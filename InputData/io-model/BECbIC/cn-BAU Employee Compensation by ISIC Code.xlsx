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activeTab="2"/>
  </bookViews>
  <sheets>
    <sheet name="About" sheetId="1" r:id="rId1"/>
    <sheet name="2020 National eps IO" sheetId="2" r:id="rId2"/>
    <sheet name="BECbIC"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<sst xmlns="http://schemas.openxmlformats.org/spreadsheetml/2006/main" count="184" uniqueCount="141">
  <si>
    <t>BECbIC BAU Employee Compensation by ISIC Code</t>
  </si>
  <si>
    <t>Source:</t>
  </si>
  <si>
    <r>
      <rPr>
        <sz val="11"/>
        <color theme="1"/>
        <rFont val="宋体"/>
        <charset val="134"/>
        <scheme val="minor"/>
      </rPr>
      <t>2</t>
    </r>
    <r>
      <rPr>
        <sz val="11"/>
        <color theme="1"/>
        <rFont val="宋体"/>
        <charset val="134"/>
        <scheme val="minor"/>
      </rPr>
      <t>020 National Input-outout Table</t>
    </r>
  </si>
  <si>
    <r>
      <rPr>
        <sz val="11"/>
        <color theme="1"/>
        <rFont val="宋体"/>
        <charset val="134"/>
        <scheme val="minor"/>
      </rPr>
      <t>N</t>
    </r>
    <r>
      <rPr>
        <sz val="11"/>
        <color theme="1"/>
        <rFont val="宋体"/>
        <charset val="134"/>
        <scheme val="minor"/>
      </rPr>
      <t>BS</t>
    </r>
  </si>
  <si>
    <t>https://data.stats.gov.cn/files/html/quickSearch/trcc/trcc01.html</t>
  </si>
  <si>
    <t>Notes</t>
  </si>
  <si>
    <t>The "2020 National Input-output Table" is a summary of the input-output table of 42 departments based on the competitive and non-competitive tables in the annual input-output table of China in 2020 and the EPS model of the United States. Government consumption expenditure is based on the amount of government consumption expenditure by industry in the "2020 National input-output Table" multiplied by the exchange rate of the RMB in 2020 against the US dollar in 2012.</t>
  </si>
  <si>
    <r>
      <rPr>
        <sz val="11"/>
        <color theme="1"/>
        <rFont val="宋体"/>
        <charset val="134"/>
        <scheme val="minor"/>
      </rPr>
      <t>Employee compensation can be obtained directly through the exchange rate in the "20</t>
    </r>
    <r>
      <rPr>
        <sz val="11"/>
        <color theme="1"/>
        <rFont val="宋体"/>
        <charset val="134"/>
        <scheme val="minor"/>
      </rPr>
      <t xml:space="preserve">20 national </t>
    </r>
    <r>
      <rPr>
        <sz val="11"/>
        <color theme="1"/>
        <rFont val="宋体"/>
        <charset val="134"/>
        <scheme val="minor"/>
      </rPr>
      <t>input-output table".</t>
    </r>
  </si>
  <si>
    <t>Currency Conversion</t>
  </si>
  <si>
    <t>We convert 2020 RMB to 2012 USD with the following conversion factor:</t>
  </si>
  <si>
    <r>
      <rPr>
        <sz val="11"/>
        <color theme="1"/>
        <rFont val="宋体"/>
        <charset val="134"/>
        <scheme val="minor"/>
      </rPr>
      <t>2</t>
    </r>
    <r>
      <rPr>
        <sz val="11"/>
        <color theme="1"/>
        <rFont val="宋体"/>
        <charset val="134"/>
        <scheme val="minor"/>
      </rPr>
      <t>020</t>
    </r>
    <r>
      <rPr>
        <sz val="11"/>
        <color theme="1"/>
        <rFont val="宋体"/>
        <charset val="134"/>
        <scheme val="minor"/>
      </rPr>
      <t xml:space="preserve"> RMB / 2012 USD</t>
    </r>
  </si>
  <si>
    <t>2020年全国投入产出表</t>
  </si>
  <si>
    <t>(按当年生产者价格计算） （Data are calculated at producers' prices in 2020)</t>
  </si>
  <si>
    <t>单位：万元</t>
  </si>
  <si>
    <t xml:space="preserve">   投入                  产出</t>
  </si>
  <si>
    <t>部门名称</t>
  </si>
  <si>
    <t>最终使用</t>
  </si>
  <si>
    <t>进口</t>
  </si>
  <si>
    <t>总产出</t>
  </si>
  <si>
    <t>农林牧渔产品和服务</t>
  </si>
  <si>
    <t>煤炭开采和洗选产品</t>
  </si>
  <si>
    <t>石油和天然气开采产品</t>
  </si>
  <si>
    <t>金属矿采选产品&amp;非金属矿</t>
  </si>
  <si>
    <t>开采辅助活动和其他采矿产品</t>
  </si>
  <si>
    <t>食品和烟草</t>
  </si>
  <si>
    <t>纺织品、纺织服装鞋帽皮革羽绒及其制品</t>
  </si>
  <si>
    <t>木材加工品和家具</t>
  </si>
  <si>
    <t>造纸印刷和文教体育用品</t>
  </si>
  <si>
    <t>石油、炼焦产品和核燃料加工品</t>
  </si>
  <si>
    <t>化学原料和化学制品制造业&amp;化学纤维制造业</t>
  </si>
  <si>
    <t>医药制造业</t>
  </si>
  <si>
    <t>橡胶和塑料制品业</t>
  </si>
  <si>
    <t>非金属矿物制品</t>
  </si>
  <si>
    <t>黑色金属冶炼和压延加工品</t>
  </si>
  <si>
    <t>有色金属冶炼和压延加工品</t>
  </si>
  <si>
    <t>金属制品</t>
  </si>
  <si>
    <t>通用设备</t>
  </si>
  <si>
    <t>专用设备</t>
  </si>
  <si>
    <t>汽车制造业</t>
  </si>
  <si>
    <t>铁路、船舶、航空航天和其他运输设备</t>
  </si>
  <si>
    <t>电气机械和器材</t>
  </si>
  <si>
    <t>通信设备、计算机和其他电子设备&amp;仪器仪表</t>
  </si>
  <si>
    <t>其他制造产品和废品废料、金属制品、机械和设备修理服务</t>
  </si>
  <si>
    <t>电力、热力生产和供应</t>
  </si>
  <si>
    <t>燃气生产和供应</t>
  </si>
  <si>
    <t>水的生产和供应</t>
  </si>
  <si>
    <t>建筑</t>
  </si>
  <si>
    <t>批发和零售</t>
  </si>
  <si>
    <t>交通运输、仓储和邮政</t>
  </si>
  <si>
    <t>住宿和餐饮</t>
  </si>
  <si>
    <t>信息传输、软件和信息技术服务</t>
  </si>
  <si>
    <t>金融</t>
  </si>
  <si>
    <t>房地产</t>
  </si>
  <si>
    <t>租赁和商务服务</t>
  </si>
  <si>
    <t>研究和试验发展</t>
  </si>
  <si>
    <t>综合技术服务</t>
  </si>
  <si>
    <t>居民服务、修理和其他服务</t>
  </si>
  <si>
    <t>教育</t>
  </si>
  <si>
    <t>卫生和社会工作</t>
  </si>
  <si>
    <t>文化、体育和娱乐</t>
  </si>
  <si>
    <t>水利、环境和公共设施管理、公共管理、社会保障和社会组织</t>
  </si>
  <si>
    <t>中间使用合计</t>
  </si>
  <si>
    <t>农村居民消费支出</t>
  </si>
  <si>
    <t>城镇居民消费支出</t>
  </si>
  <si>
    <t>居民消费支出</t>
  </si>
  <si>
    <t>政府消费支出</t>
  </si>
  <si>
    <t>消费支出合计</t>
  </si>
  <si>
    <t>固定资本形成总额</t>
  </si>
  <si>
    <t>存货变动</t>
  </si>
  <si>
    <t>资本形成总额</t>
  </si>
  <si>
    <t>出口</t>
  </si>
  <si>
    <t>最终使用合计</t>
  </si>
  <si>
    <t>代码</t>
  </si>
  <si>
    <t>ISIC 01T03</t>
  </si>
  <si>
    <t>ISIC 05</t>
  </si>
  <si>
    <t>ISIC 06</t>
  </si>
  <si>
    <t>ISIC 07T08</t>
  </si>
  <si>
    <t>ISIC 09</t>
  </si>
  <si>
    <t>ISIC 10T12</t>
  </si>
  <si>
    <t>ISIC 13T15</t>
  </si>
  <si>
    <t>ISIC 16</t>
  </si>
  <si>
    <t>ISIC 17T18</t>
  </si>
  <si>
    <t>ISIC 19</t>
  </si>
  <si>
    <t>ISIC 20</t>
  </si>
  <si>
    <t>ISIC 21</t>
  </si>
  <si>
    <t>ISIC 22</t>
  </si>
  <si>
    <t>ISIC 239</t>
  </si>
  <si>
    <t>ISIC 241</t>
  </si>
  <si>
    <t>ISIC 242</t>
  </si>
  <si>
    <t>ISIC 25</t>
  </si>
  <si>
    <t>ISIC 28</t>
  </si>
  <si>
    <t>ISIC 231</t>
  </si>
  <si>
    <t>ISIC 29</t>
  </si>
  <si>
    <t>ISIC 30</t>
  </si>
  <si>
    <t>ISIC 27</t>
  </si>
  <si>
    <t>ISIC 26</t>
  </si>
  <si>
    <t>ISIC 31T33</t>
  </si>
  <si>
    <t>ISIC 351</t>
  </si>
  <si>
    <t>ISIC 352T353</t>
  </si>
  <si>
    <t>ISIC 36T39</t>
  </si>
  <si>
    <t>ISIC 41T43</t>
  </si>
  <si>
    <t>ISIC 45T47</t>
  </si>
  <si>
    <t>ISIC 49T53</t>
  </si>
  <si>
    <t>ISIC 55T56</t>
  </si>
  <si>
    <t>ISIC 58T60</t>
  </si>
  <si>
    <t>ISIC 64T66</t>
  </si>
  <si>
    <t>ISIC 68</t>
  </si>
  <si>
    <t>ISIC 61</t>
  </si>
  <si>
    <t>ISIC 62T63</t>
  </si>
  <si>
    <t>ISIC 69T82</t>
  </si>
  <si>
    <t>ISIC 97T98</t>
  </si>
  <si>
    <t>ISIC 85</t>
  </si>
  <si>
    <t>ISIC 86T88</t>
  </si>
  <si>
    <t>ISIC 90T96</t>
  </si>
  <si>
    <t>ISIC 84</t>
  </si>
  <si>
    <t>TIU</t>
  </si>
  <si>
    <t>FU101</t>
  </si>
  <si>
    <t>FU102</t>
  </si>
  <si>
    <t>THC</t>
  </si>
  <si>
    <t>FU103</t>
  </si>
  <si>
    <t>TC</t>
  </si>
  <si>
    <t>FU201</t>
  </si>
  <si>
    <t>FU202</t>
  </si>
  <si>
    <t>GCF</t>
  </si>
  <si>
    <t>EX</t>
  </si>
  <si>
    <t>TFU</t>
  </si>
  <si>
    <t>IM</t>
  </si>
  <si>
    <t>GO</t>
  </si>
  <si>
    <t>增加值</t>
  </si>
  <si>
    <t>劳动者报酬</t>
  </si>
  <si>
    <t>VA001</t>
  </si>
  <si>
    <t>生产税净额</t>
  </si>
  <si>
    <t>VA002</t>
  </si>
  <si>
    <t>固定资产折旧</t>
  </si>
  <si>
    <t>VA003</t>
  </si>
  <si>
    <t>营业盈余</t>
  </si>
  <si>
    <t>VA004</t>
  </si>
  <si>
    <t>增加值合计</t>
  </si>
  <si>
    <t>TVA</t>
  </si>
  <si>
    <t>Unit: dimensionless (%)</t>
  </si>
  <si>
    <t>Employee Compensation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</si>
</sst>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_ "/>
  </numFmts>
  <fonts count="34">
    <font>
      <sz val="11"/>
      <color theme="1"/>
      <name val="宋体"/>
      <charset val="134"/>
      <scheme val="minor"/>
    </font>
    <font>
      <i/>
      <sz val="11"/>
      <color theme="1"/>
      <name val="宋体"/>
      <charset val="134"/>
      <scheme val="minor"/>
    </font>
    <font>
      <b/>
      <sz val="11"/>
      <color theme="1"/>
      <name val="宋体"/>
      <charset val="134"/>
      <scheme val="minor"/>
    </font>
    <font>
      <sz val="11"/>
      <color theme="1"/>
      <name val="宋体"/>
      <charset val="134"/>
      <scheme val="minor"/>
    </font>
    <font>
      <sz val="9"/>
      <color theme="1"/>
      <name val="宋体"/>
      <charset val="134"/>
      <scheme val="minor"/>
    </font>
    <font>
      <b/>
      <sz val="10"/>
      <color theme="1"/>
      <name val="宋体"/>
      <charset val="134"/>
      <scheme val="minor"/>
    </font>
    <font>
      <sz val="9"/>
      <name val="宋体"/>
      <charset val="134"/>
    </font>
    <font>
      <sz val="10"/>
      <color theme="1"/>
      <name val="宋体"/>
      <charset val="134"/>
      <scheme val="minor"/>
    </font>
    <font>
      <sz val="9"/>
      <name val="宋体"/>
      <charset val="134"/>
      <scheme val="minor"/>
    </font>
    <font>
      <b/>
      <sz val="9"/>
      <name val="宋体"/>
      <charset val="134"/>
    </font>
    <font>
      <b/>
      <sz val="9"/>
      <name val="宋体"/>
      <charset val="134"/>
      <scheme val="minor"/>
    </font>
    <font>
      <b/>
      <sz val="9"/>
      <color theme="1"/>
      <name val="宋体"/>
      <charset val="134"/>
      <scheme val="minor"/>
    </font>
    <font>
      <b/>
      <sz val="11"/>
      <color indexed="8"/>
      <name val="宋体"/>
      <charset val="134"/>
      <scheme val="minor"/>
    </font>
    <font>
      <u/>
      <sz val="11"/>
      <color theme="10"/>
      <name val="宋体"/>
      <charset val="134"/>
      <scheme val="minor"/>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right/>
      <top/>
      <bottom style="medium">
        <color auto="1"/>
      </bottom>
      <diagonal/>
    </border>
    <border diagonalDown="1">
      <left/>
      <right/>
      <top style="medium">
        <color auto="1"/>
      </top>
      <bottom/>
      <diagonal style="thin">
        <color auto="1"/>
      </diagonal>
    </border>
    <border diagonalDown="1">
      <left/>
      <right style="thin">
        <color auto="1"/>
      </right>
      <top style="medium">
        <color auto="1"/>
      </top>
      <bottom/>
      <diagonal style="thin">
        <color auto="1"/>
      </diagonal>
    </border>
    <border>
      <left style="thin">
        <color auto="1"/>
      </left>
      <right style="thin">
        <color auto="1"/>
      </right>
      <top style="medium">
        <color auto="1"/>
      </top>
      <bottom/>
      <diagonal/>
    </border>
    <border>
      <left/>
      <right/>
      <top style="medium">
        <color auto="1"/>
      </top>
      <bottom style="thin">
        <color auto="1"/>
      </bottom>
      <diagonal/>
    </border>
    <border diagonalDown="1">
      <left/>
      <right/>
      <top/>
      <bottom style="thin">
        <color auto="1"/>
      </bottom>
      <diagonal style="thin">
        <color auto="1"/>
      </diagonal>
    </border>
    <border diagonalDown="1">
      <left/>
      <right style="thin">
        <color auto="1"/>
      </right>
      <top/>
      <bottom style="thin">
        <color auto="1"/>
      </bottom>
      <diagonal style="thin">
        <color auto="1"/>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bottom/>
      <diagonal/>
    </border>
    <border>
      <left/>
      <right/>
      <top style="thin">
        <color auto="1"/>
      </top>
      <bottom/>
      <diagonal/>
    </border>
    <border>
      <left style="thin">
        <color auto="1"/>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2" borderId="23"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24" applyNumberFormat="0" applyFill="0" applyAlignment="0" applyProtection="0">
      <alignment vertical="center"/>
    </xf>
    <xf numFmtId="0" fontId="20" fillId="0" borderId="24" applyNumberFormat="0" applyFill="0" applyAlignment="0" applyProtection="0">
      <alignment vertical="center"/>
    </xf>
    <xf numFmtId="0" fontId="21" fillId="0" borderId="25" applyNumberFormat="0" applyFill="0" applyAlignment="0" applyProtection="0">
      <alignment vertical="center"/>
    </xf>
    <xf numFmtId="0" fontId="21" fillId="0" borderId="0" applyNumberFormat="0" applyFill="0" applyBorder="0" applyAlignment="0" applyProtection="0">
      <alignment vertical="center"/>
    </xf>
    <xf numFmtId="0" fontId="22" fillId="3" borderId="26" applyNumberFormat="0" applyAlignment="0" applyProtection="0">
      <alignment vertical="center"/>
    </xf>
    <xf numFmtId="0" fontId="23" fillId="4" borderId="27" applyNumberFormat="0" applyAlignment="0" applyProtection="0">
      <alignment vertical="center"/>
    </xf>
    <xf numFmtId="0" fontId="24" fillId="4" borderId="26" applyNumberFormat="0" applyAlignment="0" applyProtection="0">
      <alignment vertical="center"/>
    </xf>
    <xf numFmtId="0" fontId="25" fillId="5" borderId="28" applyNumberFormat="0" applyAlignment="0" applyProtection="0">
      <alignment vertical="center"/>
    </xf>
    <xf numFmtId="0" fontId="26" fillId="0" borderId="29" applyNumberFormat="0" applyFill="0" applyAlignment="0" applyProtection="0">
      <alignment vertical="center"/>
    </xf>
    <xf numFmtId="0" fontId="27" fillId="0" borderId="30" applyNumberFormat="0" applyFill="0" applyAlignment="0" applyProtection="0">
      <alignment vertical="center"/>
    </xf>
    <xf numFmtId="0" fontId="28" fillId="6" borderId="0" applyNumberFormat="0" applyBorder="0" applyAlignment="0" applyProtection="0">
      <alignment vertical="center"/>
    </xf>
    <xf numFmtId="0" fontId="29" fillId="7" borderId="0" applyNumberFormat="0" applyBorder="0" applyAlignment="0" applyProtection="0">
      <alignment vertical="center"/>
    </xf>
    <xf numFmtId="0" fontId="30" fillId="8" borderId="0" applyNumberFormat="0" applyBorder="0" applyAlignment="0" applyProtection="0">
      <alignment vertical="center"/>
    </xf>
    <xf numFmtId="0" fontId="31" fillId="9" borderId="0" applyNumberFormat="0" applyBorder="0" applyAlignment="0" applyProtection="0">
      <alignment vertical="center"/>
    </xf>
    <xf numFmtId="0" fontId="32" fillId="10" borderId="0" applyNumberFormat="0" applyBorder="0" applyAlignment="0" applyProtection="0">
      <alignment vertical="center"/>
    </xf>
    <xf numFmtId="0" fontId="32" fillId="11" borderId="0" applyNumberFormat="0" applyBorder="0" applyAlignment="0" applyProtection="0">
      <alignment vertical="center"/>
    </xf>
    <xf numFmtId="0" fontId="31"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2" fillId="15" borderId="0" applyNumberFormat="0" applyBorder="0" applyAlignment="0" applyProtection="0">
      <alignment vertical="center"/>
    </xf>
    <xf numFmtId="0" fontId="31" fillId="16" borderId="0" applyNumberFormat="0" applyBorder="0" applyAlignment="0" applyProtection="0">
      <alignment vertical="center"/>
    </xf>
    <xf numFmtId="0" fontId="31" fillId="17" borderId="0" applyNumberFormat="0" applyBorder="0" applyAlignment="0" applyProtection="0">
      <alignment vertical="center"/>
    </xf>
    <xf numFmtId="0" fontId="32" fillId="18" borderId="0" applyNumberFormat="0" applyBorder="0" applyAlignment="0" applyProtection="0">
      <alignment vertical="center"/>
    </xf>
    <xf numFmtId="0" fontId="32"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2" fillId="22" borderId="0" applyNumberFormat="0" applyBorder="0" applyAlignment="0" applyProtection="0">
      <alignment vertical="center"/>
    </xf>
    <xf numFmtId="0" fontId="32" fillId="23" borderId="0" applyNumberFormat="0" applyBorder="0" applyAlignment="0" applyProtection="0">
      <alignment vertical="center"/>
    </xf>
    <xf numFmtId="0" fontId="31" fillId="24" borderId="0" applyNumberFormat="0" applyBorder="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2" fillId="27" borderId="0" applyNumberFormat="0" applyBorder="0" applyAlignment="0" applyProtection="0">
      <alignment vertical="center"/>
    </xf>
    <xf numFmtId="0" fontId="31" fillId="28" borderId="0" applyNumberFormat="0" applyBorder="0" applyAlignment="0" applyProtection="0">
      <alignment vertical="center"/>
    </xf>
    <xf numFmtId="0" fontId="31" fillId="29" borderId="0" applyNumberFormat="0" applyBorder="0" applyAlignment="0" applyProtection="0">
      <alignment vertical="center"/>
    </xf>
    <xf numFmtId="0" fontId="32" fillId="30" borderId="0" applyNumberFormat="0" applyBorder="0" applyAlignment="0" applyProtection="0">
      <alignment vertical="center"/>
    </xf>
    <xf numFmtId="0" fontId="32" fillId="31" borderId="0" applyNumberFormat="0" applyBorder="0" applyAlignment="0" applyProtection="0">
      <alignment vertical="center"/>
    </xf>
    <xf numFmtId="0" fontId="31" fillId="32" borderId="0" applyNumberFormat="0" applyBorder="0" applyAlignment="0" applyProtection="0">
      <alignment vertical="center"/>
    </xf>
    <xf numFmtId="0" fontId="3" fillId="0" borderId="0">
      <alignment vertical="center"/>
    </xf>
    <xf numFmtId="0" fontId="33" fillId="0" borderId="0"/>
    <xf numFmtId="0" fontId="3" fillId="0" borderId="0"/>
    <xf numFmtId="0" fontId="33" fillId="0" borderId="0"/>
    <xf numFmtId="0" fontId="0" fillId="0" borderId="0">
      <alignment vertical="center"/>
    </xf>
  </cellStyleXfs>
  <cellXfs count="77">
    <xf numFmtId="0" fontId="0" fillId="0" borderId="0" xfId="0">
      <alignment vertical="center"/>
    </xf>
    <xf numFmtId="0" fontId="1" fillId="0" borderId="1" xfId="0" applyFont="1" applyBorder="1" applyAlignment="1">
      <alignment horizontal="left"/>
    </xf>
    <xf numFmtId="0" fontId="0" fillId="0" borderId="1" xfId="0" applyBorder="1" applyAlignment="1">
      <alignment horizontal="right"/>
    </xf>
    <xf numFmtId="0" fontId="0" fillId="0" borderId="0" xfId="0" applyAlignment="1"/>
    <xf numFmtId="0" fontId="2" fillId="0" borderId="0" xfId="49" applyFont="1" applyAlignment="1">
      <alignment horizontal="left" vertical="center"/>
    </xf>
    <xf numFmtId="0" fontId="3" fillId="0" borderId="0" xfId="51"/>
    <xf numFmtId="0" fontId="3" fillId="0" borderId="0" xfId="49" applyAlignment="1">
      <alignment horizontal="left" vertical="center"/>
    </xf>
    <xf numFmtId="1" fontId="4" fillId="0" borderId="0" xfId="51" applyNumberFormat="1" applyFont="1"/>
    <xf numFmtId="0" fontId="0" fillId="0" borderId="2" xfId="0" applyBorder="1" applyAlignment="1"/>
    <xf numFmtId="0" fontId="4" fillId="0" borderId="2" xfId="51" applyFont="1" applyBorder="1"/>
    <xf numFmtId="0" fontId="3" fillId="0" borderId="2" xfId="51" applyBorder="1"/>
    <xf numFmtId="0" fontId="5" fillId="0" borderId="0" xfId="51" applyFont="1" applyAlignment="1">
      <alignment horizont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5" xfId="0" applyFont="1" applyBorder="1" applyAlignment="1">
      <alignment horizontal="center" vertical="center" textRotation="255"/>
    </xf>
    <xf numFmtId="0" fontId="4"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4" fillId="0" borderId="9" xfId="0" applyFont="1" applyBorder="1" applyAlignment="1">
      <alignment horizontal="center" vertical="center" textRotation="255"/>
    </xf>
    <xf numFmtId="0" fontId="4" fillId="0" borderId="1" xfId="50" applyFont="1" applyBorder="1" applyAlignment="1">
      <alignment vertical="center"/>
    </xf>
    <xf numFmtId="0" fontId="6" fillId="0" borderId="9" xfId="51" applyFont="1" applyBorder="1" applyAlignment="1">
      <alignment horizontal="center" vertical="center" wrapText="1"/>
    </xf>
    <xf numFmtId="0" fontId="4" fillId="0" borderId="10" xfId="51" applyFont="1" applyBorder="1" applyAlignment="1">
      <alignment vertical="center"/>
    </xf>
    <xf numFmtId="0" fontId="4" fillId="0" borderId="11" xfId="51" applyFont="1" applyBorder="1" applyAlignment="1">
      <alignment horizontal="center" vertical="center"/>
    </xf>
    <xf numFmtId="49" fontId="4" fillId="0" borderId="1" xfId="51" applyNumberFormat="1" applyFont="1" applyBorder="1" applyAlignment="1">
      <alignment horizontal="center" vertical="center"/>
    </xf>
    <xf numFmtId="0" fontId="7" fillId="0" borderId="12" xfId="0" applyFont="1" applyBorder="1" applyAlignment="1">
      <alignment horizontal="center" vertical="center"/>
    </xf>
    <xf numFmtId="0" fontId="6" fillId="0" borderId="13" xfId="51" applyFont="1" applyBorder="1" applyAlignment="1">
      <alignment horizontal="justify" vertical="center" wrapText="1"/>
    </xf>
    <xf numFmtId="49" fontId="8" fillId="0" borderId="14" xfId="0" applyNumberFormat="1" applyFont="1" applyBorder="1" applyAlignment="1">
      <alignment horizontal="center" vertical="center" wrapText="1"/>
    </xf>
    <xf numFmtId="1" fontId="8" fillId="0" borderId="15" xfId="51" applyNumberFormat="1" applyFont="1" applyBorder="1" applyAlignment="1">
      <alignment horizontal="right" vertical="center" wrapText="1"/>
    </xf>
    <xf numFmtId="0" fontId="7" fillId="0" borderId="16" xfId="0" applyFont="1" applyBorder="1" applyAlignment="1">
      <alignment horizontal="center" vertical="center"/>
    </xf>
    <xf numFmtId="49" fontId="8" fillId="0" borderId="17" xfId="0" applyNumberFormat="1" applyFont="1" applyBorder="1" applyAlignment="1">
      <alignment horizontal="center" vertical="center" wrapText="1"/>
    </xf>
    <xf numFmtId="0" fontId="9" fillId="0" borderId="13" xfId="51" applyFont="1" applyBorder="1" applyAlignment="1">
      <alignment horizontal="justify" vertical="center" wrapText="1"/>
    </xf>
    <xf numFmtId="49" fontId="10" fillId="0" borderId="17" xfId="0" applyNumberFormat="1" applyFont="1" applyBorder="1" applyAlignment="1">
      <alignment horizontal="center" vertical="center" wrapText="1"/>
    </xf>
    <xf numFmtId="1" fontId="10" fillId="0" borderId="15" xfId="51" applyNumberFormat="1" applyFont="1" applyBorder="1" applyAlignment="1">
      <alignment horizontal="right" vertical="center" wrapText="1"/>
    </xf>
    <xf numFmtId="0" fontId="6" fillId="0" borderId="12" xfId="51" applyFont="1" applyBorder="1" applyAlignment="1">
      <alignment horizontal="center" vertical="center" wrapText="1"/>
    </xf>
    <xf numFmtId="0" fontId="8" fillId="0" borderId="12" xfId="52" applyFont="1" applyBorder="1" applyAlignment="1">
      <alignment horizontal="center" vertical="center" wrapText="1"/>
    </xf>
    <xf numFmtId="0" fontId="6" fillId="0" borderId="0" xfId="0" applyFont="1" applyAlignment="1">
      <alignment horizontal="center" vertical="center" wrapText="1"/>
    </xf>
    <xf numFmtId="0" fontId="0" fillId="0" borderId="6" xfId="0" applyBorder="1">
      <alignment vertical="center"/>
    </xf>
    <xf numFmtId="0" fontId="0" fillId="0" borderId="18" xfId="0" applyBorder="1">
      <alignment vertical="center"/>
    </xf>
    <xf numFmtId="0" fontId="6" fillId="0" borderId="19" xfId="0" applyFont="1" applyBorder="1" applyAlignment="1">
      <alignment horizontal="center" vertical="center" wrapText="1"/>
    </xf>
    <xf numFmtId="0" fontId="6" fillId="0" borderId="6" xfId="0" applyFont="1" applyBorder="1" applyAlignment="1">
      <alignment horizontal="center" vertical="center" wrapText="1"/>
    </xf>
    <xf numFmtId="0" fontId="10" fillId="0" borderId="1" xfId="0" applyFont="1" applyBorder="1" applyAlignment="1">
      <alignment horizontal="center" vertical="center" wrapText="1"/>
    </xf>
    <xf numFmtId="0" fontId="6" fillId="0" borderId="1" xfId="0" applyFont="1" applyBorder="1" applyAlignment="1">
      <alignment horizontal="center" vertical="center" wrapText="1"/>
    </xf>
    <xf numFmtId="49" fontId="4" fillId="0" borderId="1" xfId="0" applyNumberFormat="1" applyFont="1" applyBorder="1" applyAlignment="1">
      <alignment horizontal="center" vertical="center"/>
    </xf>
    <xf numFmtId="1" fontId="11" fillId="0" borderId="20" xfId="51" applyNumberFormat="1" applyFont="1" applyBorder="1" applyAlignment="1">
      <alignment horizontal="right" vertical="center"/>
    </xf>
    <xf numFmtId="0" fontId="3" fillId="0" borderId="21" xfId="51" applyBorder="1" applyAlignment="1">
      <alignment horizontal="right" vertical="center"/>
    </xf>
    <xf numFmtId="0" fontId="3" fillId="0" borderId="0" xfId="51" applyAlignment="1">
      <alignment horizontal="right" vertical="center"/>
    </xf>
    <xf numFmtId="1" fontId="3" fillId="0" borderId="0" xfId="51" applyNumberFormat="1" applyAlignment="1">
      <alignment horizontal="right" vertical="center"/>
    </xf>
    <xf numFmtId="0" fontId="2" fillId="0" borderId="0" xfId="51" applyFont="1"/>
    <xf numFmtId="0" fontId="12" fillId="0" borderId="0" xfId="0" applyFont="1" applyAlignment="1"/>
    <xf numFmtId="1" fontId="11" fillId="0" borderId="0" xfId="51" applyNumberFormat="1" applyFont="1"/>
    <xf numFmtId="1" fontId="3" fillId="0" borderId="0" xfId="51" applyNumberFormat="1"/>
    <xf numFmtId="0" fontId="12" fillId="0" borderId="2" xfId="0" applyFont="1" applyBorder="1" applyAlignment="1"/>
    <xf numFmtId="0" fontId="6" fillId="0" borderId="18" xfId="0" applyFont="1" applyBorder="1" applyAlignment="1">
      <alignment horizontal="center" vertical="center" wrapText="1"/>
    </xf>
    <xf numFmtId="0" fontId="9" fillId="0" borderId="1" xfId="0" applyFont="1" applyBorder="1" applyAlignment="1">
      <alignment horizontal="center" vertical="center" wrapText="1"/>
    </xf>
    <xf numFmtId="0" fontId="4" fillId="0" borderId="11" xfId="0" applyFont="1" applyBorder="1" applyAlignment="1">
      <alignment horizontal="center" vertical="center" wrapText="1"/>
    </xf>
    <xf numFmtId="0" fontId="10" fillId="0" borderId="17" xfId="0" applyFont="1" applyBorder="1" applyAlignment="1">
      <alignment horizontal="center" vertical="center" wrapText="1"/>
    </xf>
    <xf numFmtId="49" fontId="11" fillId="0" borderId="1" xfId="0" applyNumberFormat="1" applyFont="1" applyBorder="1" applyAlignment="1">
      <alignment horizontal="center" vertical="center"/>
    </xf>
    <xf numFmtId="0" fontId="4" fillId="0" borderId="1" xfId="0" applyFont="1" applyBorder="1" applyAlignment="1">
      <alignment horizontal="center"/>
    </xf>
    <xf numFmtId="0" fontId="11" fillId="0" borderId="1" xfId="0" applyFont="1" applyBorder="1" applyAlignment="1">
      <alignment horizontal="center" vertical="center"/>
    </xf>
    <xf numFmtId="0" fontId="2" fillId="0" borderId="21" xfId="51" applyFont="1" applyBorder="1" applyAlignment="1">
      <alignment horizontal="right" vertical="center"/>
    </xf>
    <xf numFmtId="0" fontId="2" fillId="0" borderId="21" xfId="0" applyFont="1" applyBorder="1" applyAlignment="1">
      <alignment horizontal="right" vertical="center"/>
    </xf>
    <xf numFmtId="0" fontId="2" fillId="0" borderId="0" xfId="51" applyFont="1" applyAlignment="1">
      <alignment horizontal="right" vertical="center"/>
    </xf>
    <xf numFmtId="0" fontId="2" fillId="0" borderId="0" xfId="0" applyFont="1" applyAlignment="1">
      <alignment horizontal="right" vertical="center"/>
    </xf>
    <xf numFmtId="0" fontId="12" fillId="0" borderId="0" xfId="0" applyFont="1" applyAlignment="1">
      <alignment horizontal="right" vertical="center"/>
    </xf>
    <xf numFmtId="0" fontId="6" fillId="0" borderId="5" xfId="0" applyFont="1" applyBorder="1" applyAlignment="1">
      <alignment horizontal="center" vertical="center" wrapText="1"/>
    </xf>
    <xf numFmtId="0" fontId="11" fillId="0" borderId="22" xfId="0" applyFont="1" applyBorder="1" applyAlignment="1">
      <alignment horizontal="center" vertical="center" wrapText="1"/>
    </xf>
    <xf numFmtId="0" fontId="0" fillId="0" borderId="9" xfId="0" applyBorder="1" applyAlignment="1">
      <alignment horizontal="center" vertical="center" wrapText="1"/>
    </xf>
    <xf numFmtId="0" fontId="12" fillId="0" borderId="20" xfId="0" applyFont="1" applyBorder="1" applyAlignment="1">
      <alignment horizontal="center" vertical="center"/>
    </xf>
    <xf numFmtId="0" fontId="4" fillId="0" borderId="1" xfId="0" applyFont="1" applyBorder="1" applyAlignment="1">
      <alignment horizontal="center" vertical="center"/>
    </xf>
    <xf numFmtId="0" fontId="11" fillId="0" borderId="17" xfId="0" applyFont="1" applyBorder="1" applyAlignment="1">
      <alignment horizontal="center" vertical="center"/>
    </xf>
    <xf numFmtId="0" fontId="2" fillId="0" borderId="0" xfId="0" applyFont="1" applyAlignment="1"/>
    <xf numFmtId="0" fontId="3" fillId="0" borderId="0" xfId="0" applyFont="1">
      <alignment vertical="center"/>
    </xf>
    <xf numFmtId="0" fontId="0" fillId="0" borderId="0" xfId="0" applyAlignment="1">
      <alignment horizontal="left"/>
    </xf>
    <xf numFmtId="0" fontId="13" fillId="0" borderId="0" xfId="6" applyFont="1" applyAlignment="1"/>
    <xf numFmtId="0" fontId="3" fillId="0" borderId="0" xfId="0" applyFont="1" applyAlignment="1"/>
    <xf numFmtId="176" fontId="0" fillId="0" borderId="0" xfId="0" applyNumberFormat="1" applyAlignment="1"/>
    <xf numFmtId="0" fontId="0" fillId="0" borderId="0" xfId="0" applyAlignment="1">
      <alignment horizontal="left" inden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4" xfId="50"/>
    <cellStyle name="常规 5" xfId="51"/>
    <cellStyle name="常规_Sheet1_1 2" xfId="52"/>
    <cellStyle name="常规 3 2" xfId="53"/>
  </cellStyles>
  <dxfs count="1">
    <dxf>
      <fill>
        <patternFill patternType="solid">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4"/>
  <sheetViews>
    <sheetView workbookViewId="0">
      <selection activeCell="B41" sqref="B41"/>
    </sheetView>
  </sheetViews>
  <sheetFormatPr defaultColWidth="9" defaultRowHeight="14.4" outlineLevelCol="4"/>
  <cols>
    <col min="1" max="1" width="9" style="3"/>
    <col min="2" max="2" width="77.6296296296296" style="3" customWidth="1"/>
    <col min="3" max="16384" width="9" style="3"/>
  </cols>
  <sheetData>
    <row r="1" spans="1:1">
      <c r="A1" s="70" t="s">
        <v>0</v>
      </c>
    </row>
    <row r="3" spans="1:5">
      <c r="A3" s="70" t="s">
        <v>1</v>
      </c>
      <c r="B3" s="71" t="s">
        <v>2</v>
      </c>
      <c r="C3" s="70"/>
      <c r="D3" s="70"/>
      <c r="E3" s="70"/>
    </row>
    <row r="4" spans="2:2">
      <c r="B4" s="71" t="s">
        <v>3</v>
      </c>
    </row>
    <row r="5" spans="2:4">
      <c r="B5" s="72">
        <v>2020</v>
      </c>
      <c r="D5" s="72"/>
    </row>
    <row r="6" spans="2:2">
      <c r="B6" s="3" t="s">
        <v>4</v>
      </c>
    </row>
    <row r="7" spans="2:2">
      <c r="B7" s="73"/>
    </row>
    <row r="8" spans="1:2">
      <c r="A8" s="70" t="s">
        <v>5</v>
      </c>
      <c r="B8" s="3" t="s">
        <v>6</v>
      </c>
    </row>
    <row r="9" spans="2:2">
      <c r="B9" s="74" t="s">
        <v>7</v>
      </c>
    </row>
    <row r="11" spans="1:1">
      <c r="A11" s="70" t="s">
        <v>8</v>
      </c>
    </row>
    <row r="12" spans="1:1">
      <c r="A12" s="3" t="s">
        <v>9</v>
      </c>
    </row>
    <row r="13" spans="1:2">
      <c r="A13" s="75">
        <v>0.137650677988234</v>
      </c>
      <c r="B13" s="74" t="s">
        <v>10</v>
      </c>
    </row>
    <row r="15" spans="2:2">
      <c r="B15" s="73"/>
    </row>
    <row r="19" spans="2:2">
      <c r="B19" s="72"/>
    </row>
    <row r="21" spans="2:2">
      <c r="B21" s="73"/>
    </row>
    <row r="22" spans="2:2">
      <c r="B22" s="76"/>
    </row>
    <row r="23" spans="2:2">
      <c r="B23" s="76"/>
    </row>
    <row r="24" spans="2:2">
      <c r="B24" s="76"/>
    </row>
    <row r="26" spans="1:1">
      <c r="A26" s="70"/>
    </row>
    <row r="34" spans="1:1">
      <c r="A34" s="73"/>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F11"/>
  <sheetViews>
    <sheetView workbookViewId="0">
      <pane xSplit="3" ySplit="6" topLeftCell="X7" activePane="bottomRight" state="frozen"/>
      <selection/>
      <selection pane="topRight"/>
      <selection pane="bottomLeft"/>
      <selection pane="bottomRight" activeCell="AI7" sqref="AI7"/>
    </sheetView>
  </sheetViews>
  <sheetFormatPr defaultColWidth="9" defaultRowHeight="14.4"/>
  <sheetData>
    <row r="1" spans="1:58">
      <c r="A1" s="4" t="s">
        <v>11</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47"/>
      <c r="AX1" s="5"/>
      <c r="AY1" s="47"/>
      <c r="AZ1" s="5"/>
      <c r="BA1" s="5"/>
      <c r="BB1" s="47"/>
      <c r="BC1" s="5"/>
      <c r="BD1" s="48"/>
      <c r="BE1" s="5"/>
      <c r="BF1" s="5"/>
    </row>
    <row r="2" spans="1:58">
      <c r="A2" s="6" t="s">
        <v>12</v>
      </c>
      <c r="B2" s="5"/>
      <c r="C2" s="5"/>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5"/>
      <c r="AT2" s="5"/>
      <c r="AU2" s="7"/>
      <c r="AV2" s="7"/>
      <c r="AW2" s="49"/>
      <c r="AX2" s="7"/>
      <c r="AY2" s="49"/>
      <c r="AZ2" s="7"/>
      <c r="BA2" s="7"/>
      <c r="BB2" s="49"/>
      <c r="BC2" s="50"/>
      <c r="BD2" s="48"/>
      <c r="BE2" s="50"/>
      <c r="BF2" s="5"/>
    </row>
    <row r="3" ht="15.15" spans="1:58">
      <c r="A3" s="8" t="s">
        <v>13</v>
      </c>
      <c r="B3" s="9"/>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5"/>
      <c r="AT3" s="5"/>
      <c r="AU3" s="35"/>
      <c r="AV3" s="35"/>
      <c r="AW3" s="35"/>
      <c r="AX3" s="35"/>
      <c r="AY3" s="35"/>
      <c r="AZ3" s="35"/>
      <c r="BA3" s="35"/>
      <c r="BB3" s="35"/>
      <c r="BC3" s="35"/>
      <c r="BD3" s="51"/>
      <c r="BE3" s="5"/>
      <c r="BF3" s="5"/>
    </row>
    <row r="4" spans="1:58">
      <c r="A4" s="12" t="s">
        <v>14</v>
      </c>
      <c r="B4" s="13"/>
      <c r="C4" s="14" t="s">
        <v>15</v>
      </c>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36"/>
      <c r="AS4" s="36"/>
      <c r="AT4" s="37"/>
      <c r="AU4" s="38" t="s">
        <v>16</v>
      </c>
      <c r="AV4" s="39"/>
      <c r="AW4" s="39"/>
      <c r="AX4" s="39"/>
      <c r="AY4" s="39"/>
      <c r="AZ4" s="39"/>
      <c r="BA4" s="39"/>
      <c r="BB4" s="39"/>
      <c r="BC4" s="39"/>
      <c r="BD4" s="52"/>
      <c r="BE4" s="64" t="s">
        <v>17</v>
      </c>
      <c r="BF4" s="65" t="s">
        <v>18</v>
      </c>
    </row>
    <row r="5" ht="64.8" spans="1:58">
      <c r="A5" s="16"/>
      <c r="B5" s="17"/>
      <c r="C5" s="18"/>
      <c r="D5" s="19" t="s">
        <v>19</v>
      </c>
      <c r="E5" s="20" t="s">
        <v>20</v>
      </c>
      <c r="F5" s="20" t="s">
        <v>21</v>
      </c>
      <c r="G5" s="20" t="s">
        <v>22</v>
      </c>
      <c r="H5" s="20" t="s">
        <v>23</v>
      </c>
      <c r="I5" s="20" t="s">
        <v>24</v>
      </c>
      <c r="J5" s="20" t="s">
        <v>25</v>
      </c>
      <c r="K5" s="20" t="s">
        <v>26</v>
      </c>
      <c r="L5" s="20" t="s">
        <v>27</v>
      </c>
      <c r="M5" s="20" t="s">
        <v>28</v>
      </c>
      <c r="N5" s="20" t="s">
        <v>29</v>
      </c>
      <c r="O5" s="20" t="s">
        <v>30</v>
      </c>
      <c r="P5" s="20" t="s">
        <v>31</v>
      </c>
      <c r="Q5" s="33" t="s">
        <v>32</v>
      </c>
      <c r="R5" s="33" t="s">
        <v>33</v>
      </c>
      <c r="S5" s="33" t="s">
        <v>34</v>
      </c>
      <c r="T5" s="33" t="s">
        <v>35</v>
      </c>
      <c r="U5" s="34" t="s">
        <v>36</v>
      </c>
      <c r="V5" s="33" t="s">
        <v>37</v>
      </c>
      <c r="W5" s="33" t="s">
        <v>38</v>
      </c>
      <c r="X5" s="33" t="s">
        <v>39</v>
      </c>
      <c r="Y5" s="33" t="s">
        <v>40</v>
      </c>
      <c r="Z5" s="34" t="s">
        <v>41</v>
      </c>
      <c r="AA5" s="34" t="s">
        <v>42</v>
      </c>
      <c r="AB5" s="34" t="s">
        <v>43</v>
      </c>
      <c r="AC5" s="34" t="s">
        <v>44</v>
      </c>
      <c r="AD5" s="33" t="s">
        <v>45</v>
      </c>
      <c r="AE5" s="33" t="s">
        <v>46</v>
      </c>
      <c r="AF5" s="33" t="s">
        <v>47</v>
      </c>
      <c r="AG5" s="33" t="s">
        <v>48</v>
      </c>
      <c r="AH5" s="33" t="s">
        <v>49</v>
      </c>
      <c r="AI5" s="33" t="s">
        <v>50</v>
      </c>
      <c r="AJ5" s="33" t="s">
        <v>51</v>
      </c>
      <c r="AK5" s="33" t="s">
        <v>52</v>
      </c>
      <c r="AL5" s="33" t="s">
        <v>53</v>
      </c>
      <c r="AM5" s="33" t="s">
        <v>54</v>
      </c>
      <c r="AN5" s="33" t="s">
        <v>55</v>
      </c>
      <c r="AO5" s="33" t="s">
        <v>56</v>
      </c>
      <c r="AP5" s="33" t="s">
        <v>57</v>
      </c>
      <c r="AQ5" s="33" t="s">
        <v>58</v>
      </c>
      <c r="AR5" s="33" t="s">
        <v>59</v>
      </c>
      <c r="AS5" s="33" t="s">
        <v>60</v>
      </c>
      <c r="AT5" s="40" t="s">
        <v>61</v>
      </c>
      <c r="AU5" s="41" t="s">
        <v>62</v>
      </c>
      <c r="AV5" s="41" t="s">
        <v>63</v>
      </c>
      <c r="AW5" s="53" t="s">
        <v>64</v>
      </c>
      <c r="AX5" s="41" t="s">
        <v>65</v>
      </c>
      <c r="AY5" s="53" t="s">
        <v>66</v>
      </c>
      <c r="AZ5" s="41" t="s">
        <v>67</v>
      </c>
      <c r="BA5" s="41" t="s">
        <v>68</v>
      </c>
      <c r="BB5" s="53" t="s">
        <v>69</v>
      </c>
      <c r="BC5" s="54" t="s">
        <v>70</v>
      </c>
      <c r="BD5" s="55" t="s">
        <v>71</v>
      </c>
      <c r="BE5" s="66"/>
      <c r="BF5" s="67"/>
    </row>
    <row r="6" spans="1:58">
      <c r="A6" s="5"/>
      <c r="B6" s="21" t="s">
        <v>15</v>
      </c>
      <c r="C6" s="22" t="s">
        <v>72</v>
      </c>
      <c r="D6" s="23" t="s">
        <v>73</v>
      </c>
      <c r="E6" s="23" t="s">
        <v>74</v>
      </c>
      <c r="F6" s="23" t="s">
        <v>75</v>
      </c>
      <c r="G6" s="23" t="s">
        <v>76</v>
      </c>
      <c r="H6" s="23" t="s">
        <v>77</v>
      </c>
      <c r="I6" s="23" t="s">
        <v>78</v>
      </c>
      <c r="J6" s="23" t="s">
        <v>79</v>
      </c>
      <c r="K6" s="23" t="s">
        <v>80</v>
      </c>
      <c r="L6" s="23" t="s">
        <v>81</v>
      </c>
      <c r="M6" s="23" t="s">
        <v>82</v>
      </c>
      <c r="N6" s="23" t="s">
        <v>83</v>
      </c>
      <c r="O6" s="23" t="s">
        <v>84</v>
      </c>
      <c r="P6" s="23" t="s">
        <v>85</v>
      </c>
      <c r="Q6" s="23" t="s">
        <v>86</v>
      </c>
      <c r="R6" s="23" t="s">
        <v>87</v>
      </c>
      <c r="S6" s="23" t="s">
        <v>88</v>
      </c>
      <c r="T6" s="23" t="s">
        <v>89</v>
      </c>
      <c r="U6" s="23" t="s">
        <v>90</v>
      </c>
      <c r="V6" s="23" t="s">
        <v>91</v>
      </c>
      <c r="W6" s="23" t="s">
        <v>92</v>
      </c>
      <c r="X6" s="23" t="s">
        <v>93</v>
      </c>
      <c r="Y6" s="23" t="s">
        <v>94</v>
      </c>
      <c r="Z6" s="23" t="s">
        <v>95</v>
      </c>
      <c r="AA6" s="23" t="s">
        <v>96</v>
      </c>
      <c r="AB6" s="23" t="s">
        <v>97</v>
      </c>
      <c r="AC6" s="23" t="s">
        <v>98</v>
      </c>
      <c r="AD6" s="23" t="s">
        <v>99</v>
      </c>
      <c r="AE6" s="23" t="s">
        <v>100</v>
      </c>
      <c r="AF6" s="23" t="s">
        <v>101</v>
      </c>
      <c r="AG6" s="23" t="s">
        <v>102</v>
      </c>
      <c r="AH6" s="23" t="s">
        <v>103</v>
      </c>
      <c r="AI6" s="23" t="s">
        <v>104</v>
      </c>
      <c r="AJ6" s="23" t="s">
        <v>105</v>
      </c>
      <c r="AK6" s="23" t="s">
        <v>106</v>
      </c>
      <c r="AL6" s="23" t="s">
        <v>107</v>
      </c>
      <c r="AM6" s="23" t="s">
        <v>108</v>
      </c>
      <c r="AN6" s="23" t="s">
        <v>109</v>
      </c>
      <c r="AO6" s="23" t="s">
        <v>110</v>
      </c>
      <c r="AP6" s="23" t="s">
        <v>111</v>
      </c>
      <c r="AQ6" s="23" t="s">
        <v>112</v>
      </c>
      <c r="AR6" s="23" t="s">
        <v>113</v>
      </c>
      <c r="AS6" s="23" t="s">
        <v>114</v>
      </c>
      <c r="AT6" s="23" t="s">
        <v>115</v>
      </c>
      <c r="AU6" s="42" t="s">
        <v>116</v>
      </c>
      <c r="AV6" s="42" t="s">
        <v>117</v>
      </c>
      <c r="AW6" s="56" t="s">
        <v>118</v>
      </c>
      <c r="AX6" s="42" t="s">
        <v>119</v>
      </c>
      <c r="AY6" s="56" t="s">
        <v>120</v>
      </c>
      <c r="AZ6" s="42" t="s">
        <v>121</v>
      </c>
      <c r="BA6" s="42" t="s">
        <v>122</v>
      </c>
      <c r="BB6" s="56" t="s">
        <v>123</v>
      </c>
      <c r="BC6" s="57" t="s">
        <v>124</v>
      </c>
      <c r="BD6" s="58" t="s">
        <v>125</v>
      </c>
      <c r="BE6" s="68" t="s">
        <v>126</v>
      </c>
      <c r="BF6" s="69" t="s">
        <v>127</v>
      </c>
    </row>
    <row r="7" spans="1:58">
      <c r="A7" s="24" t="s">
        <v>128</v>
      </c>
      <c r="B7" s="25" t="s">
        <v>129</v>
      </c>
      <c r="C7" s="26" t="s">
        <v>130</v>
      </c>
      <c r="D7" s="27">
        <v>821109376.632051</v>
      </c>
      <c r="E7" s="27">
        <v>49156975.9562107</v>
      </c>
      <c r="F7" s="27">
        <v>10684586.8078278</v>
      </c>
      <c r="G7" s="27">
        <v>34146732.2608017</v>
      </c>
      <c r="H7" s="27">
        <v>9070894.78577535</v>
      </c>
      <c r="I7" s="27">
        <v>92288059.9056758</v>
      </c>
      <c r="J7" s="27">
        <v>78070178.6100447</v>
      </c>
      <c r="K7" s="27">
        <v>25339700.6887769</v>
      </c>
      <c r="L7" s="27">
        <v>70607744.9636081</v>
      </c>
      <c r="M7" s="27">
        <v>12815275.3213411</v>
      </c>
      <c r="N7" s="27">
        <v>47509590.2427704</v>
      </c>
      <c r="O7" s="27">
        <v>30588660.7146926</v>
      </c>
      <c r="P7" s="27">
        <v>35944267.4865012</v>
      </c>
      <c r="Q7" s="27">
        <v>74959951.9783755</v>
      </c>
      <c r="R7" s="27">
        <v>39116758.5176721</v>
      </c>
      <c r="S7" s="27">
        <v>35418933.9930419</v>
      </c>
      <c r="T7" s="27">
        <v>57488356.1501572</v>
      </c>
      <c r="U7" s="27">
        <v>46988959.7259126</v>
      </c>
      <c r="V7" s="27">
        <v>51031136.4146658</v>
      </c>
      <c r="W7" s="27">
        <v>36758514.0184566</v>
      </c>
      <c r="X7" s="27">
        <v>17700419.3798486</v>
      </c>
      <c r="Y7" s="27">
        <v>47111753.5845014</v>
      </c>
      <c r="Z7" s="27">
        <v>100330129.042527</v>
      </c>
      <c r="AA7" s="27">
        <v>25541967.5256686</v>
      </c>
      <c r="AB7" s="27">
        <v>61395231.1624101</v>
      </c>
      <c r="AC7" s="27">
        <v>7256304.22228311</v>
      </c>
      <c r="AD7" s="27">
        <v>8632889.79187755</v>
      </c>
      <c r="AE7" s="27">
        <v>469645429.010662</v>
      </c>
      <c r="AF7" s="27">
        <v>519792503.263792</v>
      </c>
      <c r="AG7" s="27">
        <v>230523925.740211</v>
      </c>
      <c r="AH7" s="27">
        <v>85067117.1008988</v>
      </c>
      <c r="AI7" s="27">
        <v>206973736.679317</v>
      </c>
      <c r="AJ7" s="27">
        <v>215281976.520711</v>
      </c>
      <c r="AK7" s="27">
        <v>192733122.55735</v>
      </c>
      <c r="AL7" s="27">
        <v>252757212.793925</v>
      </c>
      <c r="AM7" s="27">
        <v>65841576.822612</v>
      </c>
      <c r="AN7" s="27">
        <v>115418456.212316</v>
      </c>
      <c r="AO7" s="27">
        <v>127689767.858012</v>
      </c>
      <c r="AP7" s="27">
        <v>281650493.11452</v>
      </c>
      <c r="AQ7" s="27">
        <v>171783188.525367</v>
      </c>
      <c r="AR7" s="27">
        <v>51172539.734951</v>
      </c>
      <c r="AS7" s="27">
        <v>407600705.014876</v>
      </c>
      <c r="AT7" s="43">
        <v>5295655400.14422</v>
      </c>
      <c r="AU7" s="44"/>
      <c r="AV7" s="44"/>
      <c r="AW7" s="59"/>
      <c r="AX7" s="44"/>
      <c r="AY7" s="59"/>
      <c r="AZ7" s="44"/>
      <c r="BA7" s="44"/>
      <c r="BB7" s="59"/>
      <c r="BC7" s="44"/>
      <c r="BD7" s="60"/>
      <c r="BE7" s="44"/>
      <c r="BF7" s="44"/>
    </row>
    <row r="8" spans="1:58">
      <c r="A8" s="28"/>
      <c r="B8" s="25" t="s">
        <v>131</v>
      </c>
      <c r="C8" s="29" t="s">
        <v>132</v>
      </c>
      <c r="D8" s="27">
        <v>-45528240.6524828</v>
      </c>
      <c r="E8" s="27">
        <v>23728883.970035</v>
      </c>
      <c r="F8" s="27">
        <v>26393586.367127</v>
      </c>
      <c r="G8" s="27">
        <v>29203561.314</v>
      </c>
      <c r="H8" s="27">
        <v>1127941.29772883</v>
      </c>
      <c r="I8" s="27">
        <v>82927929.5671502</v>
      </c>
      <c r="J8" s="27">
        <v>1055456.5261335</v>
      </c>
      <c r="K8" s="27">
        <v>5439494.60237603</v>
      </c>
      <c r="L8" s="27">
        <v>11735859.5567258</v>
      </c>
      <c r="M8" s="27">
        <v>49155195.5214141</v>
      </c>
      <c r="N8" s="27">
        <v>37768625.1294872</v>
      </c>
      <c r="O8" s="27">
        <v>11543781.6746586</v>
      </c>
      <c r="P8" s="27">
        <v>9432919.72683331</v>
      </c>
      <c r="Q8" s="27">
        <v>23472866.7779206</v>
      </c>
      <c r="R8" s="27">
        <v>16809803.9852195</v>
      </c>
      <c r="S8" s="27">
        <v>20103752.8548938</v>
      </c>
      <c r="T8" s="27">
        <v>11219546.9861507</v>
      </c>
      <c r="U8" s="27">
        <v>16723537.9683136</v>
      </c>
      <c r="V8" s="27">
        <v>14548976.722464</v>
      </c>
      <c r="W8" s="27">
        <v>41488605.881303</v>
      </c>
      <c r="X8" s="27">
        <v>2028721.97909231</v>
      </c>
      <c r="Y8" s="27">
        <v>4541468.4707146</v>
      </c>
      <c r="Z8" s="27">
        <v>-3678836.27294552</v>
      </c>
      <c r="AA8" s="27">
        <v>13432368.4743476</v>
      </c>
      <c r="AB8" s="27">
        <v>20698377.6315251</v>
      </c>
      <c r="AC8" s="27">
        <v>1010550.45236413</v>
      </c>
      <c r="AD8" s="27">
        <v>1860447.18374642</v>
      </c>
      <c r="AE8" s="27">
        <v>98116385.5968287</v>
      </c>
      <c r="AF8" s="27">
        <v>95383190.2804768</v>
      </c>
      <c r="AG8" s="27">
        <v>8513567.44219846</v>
      </c>
      <c r="AH8" s="27">
        <v>1360038.66259777</v>
      </c>
      <c r="AI8" s="27">
        <v>13092894.4785477</v>
      </c>
      <c r="AJ8" s="27">
        <v>82718115.8873387</v>
      </c>
      <c r="AK8" s="27">
        <v>123442718.311865</v>
      </c>
      <c r="AL8" s="27">
        <v>27690530.6917165</v>
      </c>
      <c r="AM8" s="27">
        <v>1588413.56834034</v>
      </c>
      <c r="AN8" s="27">
        <v>11715874.6086849</v>
      </c>
      <c r="AO8" s="27">
        <v>5023484.24607627</v>
      </c>
      <c r="AP8" s="27">
        <v>625840.589067589</v>
      </c>
      <c r="AQ8" s="27">
        <v>119102.009382813</v>
      </c>
      <c r="AR8" s="27">
        <v>1590021.04931616</v>
      </c>
      <c r="AS8" s="27">
        <v>2016363.5215086</v>
      </c>
      <c r="AT8" s="43">
        <v>895802230.037866</v>
      </c>
      <c r="AU8" s="45"/>
      <c r="AV8" s="45"/>
      <c r="AW8" s="61"/>
      <c r="AX8" s="45"/>
      <c r="AY8" s="61"/>
      <c r="AZ8" s="45"/>
      <c r="BA8" s="45"/>
      <c r="BB8" s="61"/>
      <c r="BC8" s="45"/>
      <c r="BD8" s="62"/>
      <c r="BE8" s="45"/>
      <c r="BF8" s="45"/>
    </row>
    <row r="9" ht="21.6" spans="1:58">
      <c r="A9" s="28"/>
      <c r="B9" s="25" t="s">
        <v>133</v>
      </c>
      <c r="C9" s="29" t="s">
        <v>134</v>
      </c>
      <c r="D9" s="27">
        <v>23048579.7015093</v>
      </c>
      <c r="E9" s="27">
        <v>11857466.9359743</v>
      </c>
      <c r="F9" s="27">
        <v>23934531.6640675</v>
      </c>
      <c r="G9" s="27">
        <v>14045534.8444722</v>
      </c>
      <c r="H9" s="27">
        <v>881427.489091594</v>
      </c>
      <c r="I9" s="27">
        <v>30616039.4796629</v>
      </c>
      <c r="J9" s="27">
        <v>17159912.3984095</v>
      </c>
      <c r="K9" s="27">
        <v>7115541.18523375</v>
      </c>
      <c r="L9" s="27">
        <v>23476685.1205348</v>
      </c>
      <c r="M9" s="27">
        <v>11540322.9497796</v>
      </c>
      <c r="N9" s="27">
        <v>37261752.7842075</v>
      </c>
      <c r="O9" s="27">
        <v>7442373.45766556</v>
      </c>
      <c r="P9" s="27">
        <v>13681348.1598697</v>
      </c>
      <c r="Q9" s="27">
        <v>36252424.8424867</v>
      </c>
      <c r="R9" s="27">
        <v>31732255.9204724</v>
      </c>
      <c r="S9" s="27">
        <v>20256127.1648298</v>
      </c>
      <c r="T9" s="27">
        <v>17451919.7586117</v>
      </c>
      <c r="U9" s="27">
        <v>16689439.146307</v>
      </c>
      <c r="V9" s="27">
        <v>12133972.5831076</v>
      </c>
      <c r="W9" s="27">
        <v>15404029.9075229</v>
      </c>
      <c r="X9" s="27">
        <v>3816835.02801987</v>
      </c>
      <c r="Y9" s="27">
        <v>15983410.4130126</v>
      </c>
      <c r="Z9" s="27">
        <v>35286959.999098</v>
      </c>
      <c r="AA9" s="27">
        <v>6722131.42762518</v>
      </c>
      <c r="AB9" s="27">
        <v>97784316.3482651</v>
      </c>
      <c r="AC9" s="27">
        <v>5463403.96630397</v>
      </c>
      <c r="AD9" s="27">
        <v>6900167.08475439</v>
      </c>
      <c r="AE9" s="27">
        <v>27714363.6799584</v>
      </c>
      <c r="AF9" s="27">
        <v>118467134.625324</v>
      </c>
      <c r="AG9" s="27">
        <v>200221941.685502</v>
      </c>
      <c r="AH9" s="27">
        <v>46183808.0137878</v>
      </c>
      <c r="AI9" s="27">
        <v>126694176.647774</v>
      </c>
      <c r="AJ9" s="27">
        <v>36197643.6232485</v>
      </c>
      <c r="AK9" s="27">
        <v>70284261.2451192</v>
      </c>
      <c r="AL9" s="27">
        <v>35220354.3225643</v>
      </c>
      <c r="AM9" s="27">
        <v>20894697.1076679</v>
      </c>
      <c r="AN9" s="27">
        <v>47257245.8232094</v>
      </c>
      <c r="AO9" s="27">
        <v>18811000.5847299</v>
      </c>
      <c r="AP9" s="27">
        <v>77784703.2094327</v>
      </c>
      <c r="AQ9" s="27">
        <v>31476065.1203941</v>
      </c>
      <c r="AR9" s="27">
        <v>19443051.9030816</v>
      </c>
      <c r="AS9" s="27">
        <v>92345943.1037209</v>
      </c>
      <c r="AT9" s="43">
        <v>1505819759.27118</v>
      </c>
      <c r="AU9" s="45"/>
      <c r="AV9" s="45"/>
      <c r="AW9" s="61"/>
      <c r="AX9" s="45"/>
      <c r="AY9" s="61"/>
      <c r="AZ9" s="45"/>
      <c r="BA9" s="45"/>
      <c r="BB9" s="61"/>
      <c r="BC9" s="45"/>
      <c r="BD9" s="63"/>
      <c r="BE9" s="45"/>
      <c r="BF9" s="45"/>
    </row>
    <row r="10" spans="1:58">
      <c r="A10" s="28"/>
      <c r="B10" s="25" t="s">
        <v>135</v>
      </c>
      <c r="C10" s="29" t="s">
        <v>136</v>
      </c>
      <c r="D10" s="27">
        <v>23117526.7569887</v>
      </c>
      <c r="E10" s="27">
        <v>35255170.9583124</v>
      </c>
      <c r="F10" s="27">
        <v>6711085.03132599</v>
      </c>
      <c r="G10" s="27">
        <v>26913764.7283137</v>
      </c>
      <c r="H10" s="27">
        <v>-2541340.49459825</v>
      </c>
      <c r="I10" s="27">
        <v>101181657.170058</v>
      </c>
      <c r="J10" s="27">
        <v>48190809.1034635</v>
      </c>
      <c r="K10" s="27">
        <v>17706881.846518</v>
      </c>
      <c r="L10" s="27">
        <v>55330296.5377042</v>
      </c>
      <c r="M10" s="27">
        <v>27079970.6715743</v>
      </c>
      <c r="N10" s="27">
        <v>75473750.7006667</v>
      </c>
      <c r="O10" s="27">
        <v>36261214.2131177</v>
      </c>
      <c r="P10" s="27">
        <v>27380721.776729</v>
      </c>
      <c r="Q10" s="27">
        <v>95894757.611015</v>
      </c>
      <c r="R10" s="27">
        <v>68635495.4348648</v>
      </c>
      <c r="S10" s="27">
        <v>43798631.4097935</v>
      </c>
      <c r="T10" s="27">
        <v>41037939.5122591</v>
      </c>
      <c r="U10" s="27">
        <v>43686015.7589667</v>
      </c>
      <c r="V10" s="27">
        <v>20237210.5040328</v>
      </c>
      <c r="W10" s="27">
        <v>51825291.1612023</v>
      </c>
      <c r="X10" s="27">
        <v>8695606.88428179</v>
      </c>
      <c r="Y10" s="27">
        <v>53690205.7608763</v>
      </c>
      <c r="Z10" s="27">
        <v>59374527.4317411</v>
      </c>
      <c r="AA10" s="27">
        <v>51110402.0784249</v>
      </c>
      <c r="AB10" s="27">
        <v>38471081.0886827</v>
      </c>
      <c r="AC10" s="27">
        <v>5841588.01525428</v>
      </c>
      <c r="AD10" s="27">
        <v>3105561.83173584</v>
      </c>
      <c r="AE10" s="27">
        <v>124616761.457381</v>
      </c>
      <c r="AF10" s="27">
        <v>219960586.719413</v>
      </c>
      <c r="AG10" s="27">
        <v>17515502.0570903</v>
      </c>
      <c r="AH10" s="27">
        <v>12909619.8106462</v>
      </c>
      <c r="AI10" s="27">
        <v>101253636.088194</v>
      </c>
      <c r="AJ10" s="27">
        <v>501973655.097806</v>
      </c>
      <c r="AK10" s="27">
        <v>383207440.021522</v>
      </c>
      <c r="AL10" s="27">
        <v>2859006.25501044</v>
      </c>
      <c r="AM10" s="27">
        <v>7602478.69404698</v>
      </c>
      <c r="AN10" s="27">
        <v>10750979.3816108</v>
      </c>
      <c r="AO10" s="27">
        <v>5752421.84212641</v>
      </c>
      <c r="AP10" s="27">
        <v>13231125.5114678</v>
      </c>
      <c r="AQ10" s="27">
        <v>4827324.60917299</v>
      </c>
      <c r="AR10" s="27">
        <v>5804782.04253919</v>
      </c>
      <c r="AS10" s="27">
        <v>8918361.97051482</v>
      </c>
      <c r="AT10" s="43">
        <v>2466942623.19533</v>
      </c>
      <c r="AU10" s="45"/>
      <c r="AV10" s="45"/>
      <c r="AW10" s="61"/>
      <c r="AX10" s="45"/>
      <c r="AY10" s="61"/>
      <c r="AZ10" s="45"/>
      <c r="BA10" s="45"/>
      <c r="BB10" s="61"/>
      <c r="BC10" s="45"/>
      <c r="BD10" s="63"/>
      <c r="BE10" s="45"/>
      <c r="BF10" s="45"/>
    </row>
    <row r="11" ht="21.6" spans="1:58">
      <c r="A11" s="28"/>
      <c r="B11" s="30" t="s">
        <v>137</v>
      </c>
      <c r="C11" s="31" t="s">
        <v>138</v>
      </c>
      <c r="D11" s="27">
        <v>821747242.438066</v>
      </c>
      <c r="E11" s="32">
        <v>119998497.820532</v>
      </c>
      <c r="F11" s="32">
        <v>67723789.8703483</v>
      </c>
      <c r="G11" s="27">
        <v>104309593.147588</v>
      </c>
      <c r="H11" s="32">
        <v>8538923.07799753</v>
      </c>
      <c r="I11" s="27">
        <v>307013686.122547</v>
      </c>
      <c r="J11" s="27">
        <v>144476356.638051</v>
      </c>
      <c r="K11" s="27">
        <v>55601618.3229046</v>
      </c>
      <c r="L11" s="27">
        <v>161150586.178573</v>
      </c>
      <c r="M11" s="27">
        <v>100590764.464109</v>
      </c>
      <c r="N11" s="27">
        <v>198013718.857132</v>
      </c>
      <c r="O11" s="32">
        <v>85836030.0601345</v>
      </c>
      <c r="P11" s="27">
        <v>86439257.1499332</v>
      </c>
      <c r="Q11" s="27">
        <v>230580001.209798</v>
      </c>
      <c r="R11" s="27">
        <v>156294313.858229</v>
      </c>
      <c r="S11" s="27">
        <v>119577445.422559</v>
      </c>
      <c r="T11" s="32">
        <v>127197762.407179</v>
      </c>
      <c r="U11" s="27">
        <v>124087952.5995</v>
      </c>
      <c r="V11" s="27">
        <v>97951296.2242703</v>
      </c>
      <c r="W11" s="27">
        <v>145476440.968485</v>
      </c>
      <c r="X11" s="27">
        <v>32241583.2712426</v>
      </c>
      <c r="Y11" s="27">
        <v>121326838.229105</v>
      </c>
      <c r="Z11" s="27">
        <v>191312780.20042</v>
      </c>
      <c r="AA11" s="27">
        <v>96806869.5060662</v>
      </c>
      <c r="AB11" s="32">
        <v>218349006.230883</v>
      </c>
      <c r="AC11" s="32">
        <v>19571846.6562055</v>
      </c>
      <c r="AD11" s="32">
        <v>20499065.8921142</v>
      </c>
      <c r="AE11" s="27">
        <v>720092939.74483</v>
      </c>
      <c r="AF11" s="27">
        <v>953603414.889006</v>
      </c>
      <c r="AG11" s="27">
        <v>456774936.925002</v>
      </c>
      <c r="AH11" s="27">
        <v>145520583.587931</v>
      </c>
      <c r="AI11" s="27">
        <v>448014443.893833</v>
      </c>
      <c r="AJ11" s="27">
        <v>836171391.129104</v>
      </c>
      <c r="AK11" s="32">
        <v>769667542.135856</v>
      </c>
      <c r="AL11" s="27">
        <v>318527104.063217</v>
      </c>
      <c r="AM11" s="32">
        <v>95927166.1926672</v>
      </c>
      <c r="AN11" s="27">
        <v>185142556.025821</v>
      </c>
      <c r="AO11" s="27">
        <v>157276674.530945</v>
      </c>
      <c r="AP11" s="32">
        <v>373292162.424488</v>
      </c>
      <c r="AQ11" s="27">
        <v>208205680.264317</v>
      </c>
      <c r="AR11" s="27">
        <v>78010394.729888</v>
      </c>
      <c r="AS11" s="27">
        <v>510881373.61062</v>
      </c>
      <c r="AT11" s="43">
        <v>10164220012.6486</v>
      </c>
      <c r="AU11" s="46"/>
      <c r="AV11" s="45"/>
      <c r="AW11" s="61"/>
      <c r="AX11" s="45"/>
      <c r="AY11" s="61"/>
      <c r="AZ11" s="45"/>
      <c r="BA11" s="45"/>
      <c r="BB11" s="61"/>
      <c r="BC11" s="45"/>
      <c r="BD11" s="63"/>
      <c r="BE11" s="45"/>
      <c r="BF11" s="45"/>
    </row>
  </sheetData>
  <mergeCells count="8">
    <mergeCell ref="AU3:BC3"/>
    <mergeCell ref="D4:AT4"/>
    <mergeCell ref="AU4:BD4"/>
    <mergeCell ref="A7:A11"/>
    <mergeCell ref="C4:C5"/>
    <mergeCell ref="BE4:BE5"/>
    <mergeCell ref="BF4:BF5"/>
    <mergeCell ref="A4:B5"/>
  </mergeCells>
  <conditionalFormatting sqref="U7:X11">
    <cfRule type="cellIs" dxfId="0" priority="1" operator="lessThan">
      <formula>0</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8" tint="-0.249977111117893"/>
  </sheetPr>
  <dimension ref="A1:AQ2"/>
  <sheetViews>
    <sheetView tabSelected="1" workbookViewId="0">
      <selection activeCell="E24" sqref="E24"/>
    </sheetView>
  </sheetViews>
  <sheetFormatPr defaultColWidth="9" defaultRowHeight="14.4" outlineLevelRow="1"/>
  <cols>
    <col min="1" max="2" width="12.8888888888889"/>
    <col min="3" max="14" width="12.6296296296296"/>
    <col min="15" max="16" width="12.8888888888889"/>
    <col min="17" max="26" width="12.6296296296296"/>
    <col min="27" max="27" width="11.5"/>
    <col min="28" max="28" width="12.6296296296296"/>
    <col min="29" max="29" width="11.5"/>
    <col min="30" max="43" width="12.6296296296296"/>
  </cols>
  <sheetData>
    <row r="1" spans="1:43">
      <c r="A1" s="1" t="s">
        <v>139</v>
      </c>
      <c r="B1" s="2" t="s">
        <v>73</v>
      </c>
      <c r="C1" s="2" t="s">
        <v>74</v>
      </c>
      <c r="D1" s="2" t="s">
        <v>75</v>
      </c>
      <c r="E1" s="2" t="s">
        <v>76</v>
      </c>
      <c r="F1" s="2" t="s">
        <v>77</v>
      </c>
      <c r="G1" s="2" t="s">
        <v>78</v>
      </c>
      <c r="H1" s="2" t="s">
        <v>79</v>
      </c>
      <c r="I1" s="2" t="s">
        <v>80</v>
      </c>
      <c r="J1" s="2" t="s">
        <v>81</v>
      </c>
      <c r="K1" s="2" t="s">
        <v>82</v>
      </c>
      <c r="L1" s="2" t="s">
        <v>83</v>
      </c>
      <c r="M1" s="2" t="s">
        <v>84</v>
      </c>
      <c r="N1" s="2" t="s">
        <v>85</v>
      </c>
      <c r="O1" s="2" t="s">
        <v>91</v>
      </c>
      <c r="P1" s="2" t="s">
        <v>86</v>
      </c>
      <c r="Q1" s="2" t="s">
        <v>87</v>
      </c>
      <c r="R1" s="2" t="s">
        <v>88</v>
      </c>
      <c r="S1" s="2" t="s">
        <v>89</v>
      </c>
      <c r="T1" s="2" t="s">
        <v>95</v>
      </c>
      <c r="U1" s="2" t="s">
        <v>94</v>
      </c>
      <c r="V1" s="2" t="s">
        <v>90</v>
      </c>
      <c r="W1" s="2" t="s">
        <v>92</v>
      </c>
      <c r="X1" s="2" t="s">
        <v>93</v>
      </c>
      <c r="Y1" s="2" t="s">
        <v>96</v>
      </c>
      <c r="Z1" s="2" t="s">
        <v>97</v>
      </c>
      <c r="AA1" s="2" t="s">
        <v>98</v>
      </c>
      <c r="AB1" s="2" t="s">
        <v>99</v>
      </c>
      <c r="AC1" s="2" t="s">
        <v>100</v>
      </c>
      <c r="AD1" s="2" t="s">
        <v>101</v>
      </c>
      <c r="AE1" s="2" t="s">
        <v>102</v>
      </c>
      <c r="AF1" s="2" t="s">
        <v>103</v>
      </c>
      <c r="AG1" s="2" t="s">
        <v>104</v>
      </c>
      <c r="AH1" s="2" t="s">
        <v>107</v>
      </c>
      <c r="AI1" s="2" t="s">
        <v>108</v>
      </c>
      <c r="AJ1" s="2" t="s">
        <v>105</v>
      </c>
      <c r="AK1" s="2" t="s">
        <v>106</v>
      </c>
      <c r="AL1" s="2" t="s">
        <v>109</v>
      </c>
      <c r="AM1" s="2" t="s">
        <v>114</v>
      </c>
      <c r="AN1" s="2" t="s">
        <v>111</v>
      </c>
      <c r="AO1" s="2" t="s">
        <v>112</v>
      </c>
      <c r="AP1" s="2" t="s">
        <v>113</v>
      </c>
      <c r="AQ1" s="2" t="s">
        <v>110</v>
      </c>
    </row>
    <row r="2" spans="1:43">
      <c r="A2" s="3" t="s">
        <v>140</v>
      </c>
      <c r="B2">
        <f>'2020 National eps IO'!$D$7*10000*About!$A$13</f>
        <v>1130262623958.98</v>
      </c>
      <c r="C2">
        <f>'2020 National eps IO'!$E$7*10000*About!$A$13</f>
        <v>67664910682.2372</v>
      </c>
      <c r="D2">
        <f>'2020 National eps IO'!$F$7*10000*About!$A$13</f>
        <v>14707406181.2164</v>
      </c>
      <c r="E2">
        <f>'2020 National eps IO'!$G$7*10000*About!$A$13</f>
        <v>47003208467.8206</v>
      </c>
      <c r="F2">
        <f>'2020 National eps IO'!$H$7*10000*About!$A$13</f>
        <v>12486148172.2191</v>
      </c>
      <c r="G2">
        <f>'2020 National eps IO'!$I$7*10000*About!$A$13</f>
        <v>127035140162.35</v>
      </c>
      <c r="H2">
        <f>'2020 National eps IO'!$J$7*10000*About!$A$13</f>
        <v>107464130163.352</v>
      </c>
      <c r="I2">
        <f>'2020 National eps IO'!$K$7*10000*About!$A$13</f>
        <v>34880269798.2906</v>
      </c>
      <c r="J2">
        <f>'2020 National eps IO'!$L$7*10000*About!$A$13</f>
        <v>97192039654.6097</v>
      </c>
      <c r="K2">
        <f>'2020 National eps IO'!$M$7*10000*About!$A$13</f>
        <v>17640313365.8849</v>
      </c>
      <c r="L2">
        <f>'2020 National eps IO'!$N$7*10000*About!$A$13</f>
        <v>65397273078.6053</v>
      </c>
      <c r="M2">
        <f>'2020 National eps IO'!$O$7*10000*About!$A$13</f>
        <v>42105498861.295</v>
      </c>
      <c r="N2">
        <f>'2020 National eps IO'!$P$7*10000*About!$A$13</f>
        <v>49477527893.0733</v>
      </c>
      <c r="O2">
        <f>'2020 National eps IO'!$V$7*10000*About!$A$13</f>
        <v>70244705259.888</v>
      </c>
      <c r="P2">
        <f>'2020 National eps IO'!$Q$7*10000*About!$A$13</f>
        <v>103182882117.889</v>
      </c>
      <c r="Q2">
        <f>'2020 National eps IO'!$R$7*10000*About!$A$13</f>
        <v>53844483306.5959</v>
      </c>
      <c r="R2">
        <f>'2020 National eps IO'!$S$7*10000*About!$A$13</f>
        <v>48754402777.6273</v>
      </c>
      <c r="S2">
        <f>'2020 National eps IO'!$T$7*10000*About!$A$13</f>
        <v>79133112004.982</v>
      </c>
      <c r="T2">
        <f>'2020 National eps IO'!$Z$7*10000*About!$A$13</f>
        <v>138105102853.508</v>
      </c>
      <c r="U2">
        <f>'2020 National eps IO'!$Y$7*10000*About!$A$13</f>
        <v>64849648221.2123</v>
      </c>
      <c r="V2">
        <f>'2020 National eps IO'!$U$7*10000*About!$A$13</f>
        <v>64680621642.3369</v>
      </c>
      <c r="W2">
        <f>'2020 National eps IO'!$W$7*10000*About!$A$13</f>
        <v>50598343764.8055</v>
      </c>
      <c r="X2">
        <f>'2020 National eps IO'!$X$7*10000*About!$A$13</f>
        <v>24364747283.1224</v>
      </c>
      <c r="Y2">
        <f>'2020 National eps IO'!$AA$7*10000*About!$A$13</f>
        <v>35158691470.6174</v>
      </c>
      <c r="Z2">
        <f>'2020 National eps IO'!$AB$7*10000*About!$A$13</f>
        <v>84510951947.501</v>
      </c>
      <c r="AA2">
        <f>'2020 National eps IO'!$AC$7*10000*About!$A$13</f>
        <v>9988351958.86155</v>
      </c>
      <c r="AB2">
        <f>'2020 National eps IO'!$AD$7*10000*About!$A$13</f>
        <v>11883231328.4965</v>
      </c>
      <c r="AC2">
        <f>'2020 National eps IO'!$AE$7*10000*About!$A$13</f>
        <v>646470117173.926</v>
      </c>
      <c r="AD2">
        <f>'2020 National eps IO'!$AF$7*10000*About!$A$13</f>
        <v>715497904874.623</v>
      </c>
      <c r="AE2">
        <f>'2020 National eps IO'!$AG$7*10000*About!$A$13</f>
        <v>317317746706.493</v>
      </c>
      <c r="AF2">
        <f>'2020 National eps IO'!$AH$7*10000*About!$A$13</f>
        <v>117095463434.432</v>
      </c>
      <c r="AG2">
        <f>'2020 National eps IO'!$AI$7*10000*About!$A$13</f>
        <v>284900751796.662</v>
      </c>
      <c r="AH2">
        <f>'2020 National eps IO'!$AL$7*10000*About!$A$13</f>
        <v>347922017075.001</v>
      </c>
      <c r="AI2">
        <f>'2020 National eps IO'!$AM$7*10000*About!$A$13</f>
        <v>90631376894.4693</v>
      </c>
      <c r="AJ2">
        <f>'2020 National eps IO'!$AJ$7*10000*About!$A$13</f>
        <v>296337100267.229</v>
      </c>
      <c r="AK2">
        <f>'2020 National eps IO'!$AK$7*10000*About!$A$13</f>
        <v>265298449908.086</v>
      </c>
      <c r="AL2">
        <f>'2020 National eps IO'!$AN$7*10000*About!$A$13</f>
        <v>158874287499.806</v>
      </c>
      <c r="AM2">
        <f>'2020 National eps IO'!$AS$7*10000*About!$A$13</f>
        <v>561065133937.799</v>
      </c>
      <c r="AN2">
        <f>'2020 National eps IO'!$AP$7*10000*About!$A$13</f>
        <v>387693813329.341</v>
      </c>
      <c r="AO2">
        <f>'2020 National eps IO'!$AQ$7*10000*About!$A$13</f>
        <v>236460723674.974</v>
      </c>
      <c r="AP2">
        <f>'2020 National eps IO'!$AR$7*10000*About!$A$13</f>
        <v>70439347888.9585</v>
      </c>
      <c r="AQ2">
        <f>'2020 National eps IO'!$AO$7*10000*About!$A$13</f>
        <v>175765831178.156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About</vt:lpstr>
      <vt:lpstr>2020 National eps IO</vt:lpstr>
      <vt:lpstr>BECbIC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zhlx2</dc:creator>
  <cp:lastModifiedBy>Emma李雯清</cp:lastModifiedBy>
  <dcterms:created xsi:type="dcterms:W3CDTF">2023-02-07T03:50:00Z</dcterms:created>
  <dcterms:modified xsi:type="dcterms:W3CDTF">2025-07-18T06:26:04Z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E1067D8037D142D3A25CF39C5D9BFCC3</vt:lpwstr>
  </property>
  <property fmtid="{D5CDD505-2E9C-101B-9397-08002B2CF9AE}" pid="3" name="KSOProductBuildVer">
    <vt:lpwstr>2052-12.1.0.21915</vt:lpwstr>
  </property>
</Properties>
</file>