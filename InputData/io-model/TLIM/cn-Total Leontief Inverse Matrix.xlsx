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zhlx6\Desktop\eps4.0-china-smart-trans\InputData\io-model\TLIM\"/>
    </mc:Choice>
  </mc:AlternateContent>
  <xr:revisionPtr revIDLastSave="0" documentId="13_ncr:1_{E3255080-51AD-45F5-A505-6ACB3564CFF3}" xr6:coauthVersionLast="47" xr6:coauthVersionMax="47" xr10:uidLastSave="{00000000-0000-0000-0000-000000000000}"/>
  <bookViews>
    <workbookView xWindow="-108" yWindow="-108" windowWidth="23256" windowHeight="12456" activeTab="3" xr2:uid="{00000000-000D-0000-FFFF-FFFF00000000}"/>
  </bookViews>
  <sheets>
    <sheet name="About" sheetId="1" r:id="rId1"/>
    <sheet name="2020 National official IO" sheetId="4" r:id="rId2"/>
    <sheet name="2020 National eps IO" sheetId="2" r:id="rId3"/>
    <sheet name="TLIM"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5" i="2" l="1"/>
  <c r="F105" i="2"/>
  <c r="G105" i="2"/>
  <c r="H105" i="2"/>
  <c r="I105" i="2"/>
  <c r="J105" i="2"/>
  <c r="K105" i="2"/>
  <c r="L105" i="2"/>
  <c r="M105" i="2"/>
  <c r="N105" i="2"/>
  <c r="O105" i="2"/>
  <c r="P105" i="2"/>
  <c r="Q105" i="2"/>
  <c r="R105" i="2"/>
  <c r="S105" i="2"/>
  <c r="T105" i="2"/>
  <c r="U105" i="2"/>
  <c r="V105" i="2"/>
  <c r="W105" i="2"/>
  <c r="X105" i="2"/>
  <c r="Y105" i="2"/>
  <c r="Z105" i="2"/>
  <c r="AA105" i="2"/>
  <c r="AB105" i="2"/>
  <c r="AC105" i="2"/>
  <c r="AD105" i="2"/>
  <c r="AE105" i="2"/>
  <c r="AF105" i="2"/>
  <c r="AG105" i="2"/>
  <c r="AH105" i="2"/>
  <c r="AI105" i="2"/>
  <c r="AJ105" i="2"/>
  <c r="AK105" i="2"/>
  <c r="AL105" i="2"/>
  <c r="AM105" i="2"/>
  <c r="AN105" i="2"/>
  <c r="AO105" i="2"/>
  <c r="AP105" i="2"/>
  <c r="AQ105" i="2"/>
  <c r="AR105" i="2"/>
  <c r="AS105" i="2"/>
  <c r="D105" i="2"/>
  <c r="BJ11" i="2" l="1"/>
  <c r="D108" i="2" l="1"/>
  <c r="BE96" i="2" l="1" a="1"/>
  <c r="BE96" i="2" s="1"/>
  <c r="BJ96" i="2" s="1"/>
  <c r="AL231" i="2" s="1"/>
  <c r="AS238" i="2"/>
  <c r="AR238" i="2"/>
  <c r="AQ238" i="2"/>
  <c r="AP238" i="2"/>
  <c r="AO238" i="2"/>
  <c r="AN238" i="2"/>
  <c r="AM238" i="2"/>
  <c r="AL238" i="2"/>
  <c r="AK238" i="2"/>
  <c r="AJ238"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I238" i="2"/>
  <c r="H238" i="2"/>
  <c r="G238" i="2"/>
  <c r="F238" i="2"/>
  <c r="E238" i="2"/>
  <c r="D238" i="2"/>
  <c r="AS237" i="2"/>
  <c r="AR237" i="2"/>
  <c r="AQ237" i="2"/>
  <c r="AP237" i="2"/>
  <c r="AO237" i="2"/>
  <c r="AN237" i="2"/>
  <c r="AM237" i="2"/>
  <c r="AL237" i="2"/>
  <c r="AK237" i="2"/>
  <c r="AJ237"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AS236" i="2"/>
  <c r="AR236" i="2"/>
  <c r="AQ236" i="2"/>
  <c r="AP236" i="2"/>
  <c r="AO236" i="2"/>
  <c r="AN236" i="2"/>
  <c r="AM236" i="2"/>
  <c r="AL236" i="2"/>
  <c r="AK236" i="2"/>
  <c r="AJ236"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AS235" i="2"/>
  <c r="AR235" i="2"/>
  <c r="AQ235" i="2"/>
  <c r="AP235" i="2"/>
  <c r="AO235" i="2"/>
  <c r="AN235" i="2"/>
  <c r="AM235" i="2"/>
  <c r="AL235" i="2"/>
  <c r="AK235" i="2"/>
  <c r="AJ235"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AS234" i="2"/>
  <c r="AR234" i="2"/>
  <c r="AQ234" i="2"/>
  <c r="AP234" i="2"/>
  <c r="AO234" i="2"/>
  <c r="AN234" i="2"/>
  <c r="AM234" i="2"/>
  <c r="AL234" i="2"/>
  <c r="AK234" i="2"/>
  <c r="AJ234"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AS233" i="2"/>
  <c r="AR233" i="2"/>
  <c r="AQ233" i="2"/>
  <c r="AP233" i="2"/>
  <c r="AO233" i="2"/>
  <c r="AN233" i="2"/>
  <c r="AM233" i="2"/>
  <c r="AL233" i="2"/>
  <c r="AK233" i="2"/>
  <c r="AJ233"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AS232" i="2"/>
  <c r="AR232" i="2"/>
  <c r="AQ232" i="2"/>
  <c r="AP232" i="2"/>
  <c r="AO232" i="2"/>
  <c r="AN232" i="2"/>
  <c r="AM232" i="2"/>
  <c r="AL232" i="2"/>
  <c r="AK232" i="2"/>
  <c r="AJ232"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H232" i="2"/>
  <c r="G232" i="2"/>
  <c r="F232" i="2"/>
  <c r="E232" i="2"/>
  <c r="D232" i="2"/>
  <c r="AS231" i="2"/>
  <c r="AR231" i="2"/>
  <c r="AQ231" i="2"/>
  <c r="AP231" i="2"/>
  <c r="AO231" i="2"/>
  <c r="AN231" i="2"/>
  <c r="AM231" i="2"/>
  <c r="AK231" i="2"/>
  <c r="AJ231"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AS230" i="2"/>
  <c r="AR230" i="2"/>
  <c r="AQ230" i="2"/>
  <c r="AP230" i="2"/>
  <c r="AO230" i="2"/>
  <c r="AN230" i="2"/>
  <c r="AM230" i="2"/>
  <c r="AL230" i="2"/>
  <c r="AK230" i="2"/>
  <c r="AJ230"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AS229" i="2"/>
  <c r="AR229" i="2"/>
  <c r="AQ229" i="2"/>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I229" i="2"/>
  <c r="H229" i="2"/>
  <c r="G229" i="2"/>
  <c r="F229" i="2"/>
  <c r="E229" i="2"/>
  <c r="D229" i="2"/>
  <c r="AS228" i="2"/>
  <c r="AR228" i="2"/>
  <c r="AQ228" i="2"/>
  <c r="AP228" i="2"/>
  <c r="AO228" i="2"/>
  <c r="AN228" i="2"/>
  <c r="AM228" i="2"/>
  <c r="AL228" i="2"/>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AS227" i="2"/>
  <c r="AR227" i="2"/>
  <c r="AQ227" i="2"/>
  <c r="AP227" i="2"/>
  <c r="AO227" i="2"/>
  <c r="AN227" i="2"/>
  <c r="AM227" i="2"/>
  <c r="AL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AS226" i="2"/>
  <c r="AR226" i="2"/>
  <c r="AQ226" i="2"/>
  <c r="AP226" i="2"/>
  <c r="AO226" i="2"/>
  <c r="AN226" i="2"/>
  <c r="AM226" i="2"/>
  <c r="AL226" i="2"/>
  <c r="AK226" i="2"/>
  <c r="AJ226"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AS225" i="2"/>
  <c r="AR225" i="2"/>
  <c r="AQ225" i="2"/>
  <c r="AP225" i="2"/>
  <c r="AO225" i="2"/>
  <c r="AN225" i="2"/>
  <c r="AM225" i="2"/>
  <c r="AL225" i="2"/>
  <c r="AK225" i="2"/>
  <c r="AJ225"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I225" i="2"/>
  <c r="H225" i="2"/>
  <c r="G225" i="2"/>
  <c r="F225" i="2"/>
  <c r="E225" i="2"/>
  <c r="D225" i="2"/>
  <c r="AS224" i="2"/>
  <c r="AR224" i="2"/>
  <c r="AQ224" i="2"/>
  <c r="AP224" i="2"/>
  <c r="AO224" i="2"/>
  <c r="AN224" i="2"/>
  <c r="AM224" i="2"/>
  <c r="AL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AS223" i="2"/>
  <c r="AR223" i="2"/>
  <c r="AQ223" i="2"/>
  <c r="AP223" i="2"/>
  <c r="AO223" i="2"/>
  <c r="AN223" i="2"/>
  <c r="AM223" i="2"/>
  <c r="AL223" i="2"/>
  <c r="AK223" i="2"/>
  <c r="AJ223"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H223" i="2"/>
  <c r="G223" i="2"/>
  <c r="F223" i="2"/>
  <c r="E223" i="2"/>
  <c r="D223" i="2"/>
  <c r="AS222" i="2"/>
  <c r="AR222" i="2"/>
  <c r="AQ222" i="2"/>
  <c r="AP222" i="2"/>
  <c r="AO222" i="2"/>
  <c r="AN222" i="2"/>
  <c r="AM222" i="2"/>
  <c r="AL222" i="2"/>
  <c r="AK222" i="2"/>
  <c r="AJ222"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I222" i="2"/>
  <c r="H222" i="2"/>
  <c r="G222" i="2"/>
  <c r="F222" i="2"/>
  <c r="E222" i="2"/>
  <c r="D222"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I221" i="2"/>
  <c r="H221" i="2"/>
  <c r="G221" i="2"/>
  <c r="F221" i="2"/>
  <c r="E221" i="2"/>
  <c r="D221" i="2"/>
  <c r="AS220" i="2"/>
  <c r="AR220" i="2"/>
  <c r="AQ220" i="2"/>
  <c r="AP220" i="2"/>
  <c r="AO220" i="2"/>
  <c r="AN220" i="2"/>
  <c r="AM220" i="2"/>
  <c r="AL220" i="2"/>
  <c r="AK220" i="2"/>
  <c r="AJ220"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H220" i="2"/>
  <c r="G220" i="2"/>
  <c r="F220" i="2"/>
  <c r="E220" i="2"/>
  <c r="D220" i="2"/>
  <c r="AS219" i="2"/>
  <c r="AR219" i="2"/>
  <c r="AQ219" i="2"/>
  <c r="AP219" i="2"/>
  <c r="AO219" i="2"/>
  <c r="AN219" i="2"/>
  <c r="AM219" i="2"/>
  <c r="AL219" i="2"/>
  <c r="AK219" i="2"/>
  <c r="AJ219"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AS218" i="2"/>
  <c r="AR218" i="2"/>
  <c r="AQ218" i="2"/>
  <c r="AP218" i="2"/>
  <c r="AO218" i="2"/>
  <c r="AN218" i="2"/>
  <c r="AM218" i="2"/>
  <c r="AL218" i="2"/>
  <c r="AK218" i="2"/>
  <c r="AJ218"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AS217" i="2"/>
  <c r="AR217" i="2"/>
  <c r="AQ217" i="2"/>
  <c r="AP217" i="2"/>
  <c r="AO217" i="2"/>
  <c r="AN217" i="2"/>
  <c r="AM217" i="2"/>
  <c r="AL217" i="2"/>
  <c r="AK217" i="2"/>
  <c r="AJ217"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I217" i="2"/>
  <c r="H217" i="2"/>
  <c r="G217" i="2"/>
  <c r="F217" i="2"/>
  <c r="E217" i="2"/>
  <c r="D217" i="2"/>
  <c r="AS216" i="2"/>
  <c r="AR216" i="2"/>
  <c r="AQ216" i="2"/>
  <c r="AP216" i="2"/>
  <c r="AO216" i="2"/>
  <c r="AN216" i="2"/>
  <c r="AM216" i="2"/>
  <c r="AL216" i="2"/>
  <c r="AK216" i="2"/>
  <c r="AJ216"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H216" i="2"/>
  <c r="G216" i="2"/>
  <c r="F216" i="2"/>
  <c r="E216" i="2"/>
  <c r="D216" i="2"/>
  <c r="AS215" i="2"/>
  <c r="AR215" i="2"/>
  <c r="AQ215" i="2"/>
  <c r="AP215" i="2"/>
  <c r="AO215" i="2"/>
  <c r="AN215" i="2"/>
  <c r="AM215" i="2"/>
  <c r="AL215" i="2"/>
  <c r="AK215" i="2"/>
  <c r="AJ215"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AS214" i="2"/>
  <c r="AR214" i="2"/>
  <c r="AQ214" i="2"/>
  <c r="AP214" i="2"/>
  <c r="AO214" i="2"/>
  <c r="AN214" i="2"/>
  <c r="AM214" i="2"/>
  <c r="AL214" i="2"/>
  <c r="AK214" i="2"/>
  <c r="AJ214"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AS213" i="2"/>
  <c r="AR213" i="2"/>
  <c r="AQ213" i="2"/>
  <c r="AP213" i="2"/>
  <c r="AO213" i="2"/>
  <c r="AN213" i="2"/>
  <c r="AM213" i="2"/>
  <c r="AL213" i="2"/>
  <c r="AK213" i="2"/>
  <c r="AJ213"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AS212" i="2"/>
  <c r="AR212" i="2"/>
  <c r="AQ212" i="2"/>
  <c r="AP212" i="2"/>
  <c r="AO212" i="2"/>
  <c r="AN212" i="2"/>
  <c r="AM212" i="2"/>
  <c r="AL212" i="2"/>
  <c r="AK212" i="2"/>
  <c r="AJ212"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H212" i="2"/>
  <c r="G212" i="2"/>
  <c r="F212" i="2"/>
  <c r="E212" i="2"/>
  <c r="D212" i="2"/>
  <c r="AS211" i="2"/>
  <c r="AR211" i="2"/>
  <c r="AQ211" i="2"/>
  <c r="AP211" i="2"/>
  <c r="AO211" i="2"/>
  <c r="AN211" i="2"/>
  <c r="AM211" i="2"/>
  <c r="AL211" i="2"/>
  <c r="AK211" i="2"/>
  <c r="AJ211"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AS210" i="2"/>
  <c r="AR210" i="2"/>
  <c r="AQ210" i="2"/>
  <c r="AP210" i="2"/>
  <c r="AO210" i="2"/>
  <c r="AN210" i="2"/>
  <c r="AM210" i="2"/>
  <c r="AL210" i="2"/>
  <c r="AK210" i="2"/>
  <c r="AJ210"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AS209" i="2"/>
  <c r="AR209" i="2"/>
  <c r="AQ209" i="2"/>
  <c r="AP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AS208" i="2"/>
  <c r="AR208" i="2"/>
  <c r="AQ208" i="2"/>
  <c r="AP208" i="2"/>
  <c r="AO208" i="2"/>
  <c r="AN208" i="2"/>
  <c r="AM208" i="2"/>
  <c r="AL208" i="2"/>
  <c r="AK208" i="2"/>
  <c r="AJ208"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AS205" i="2"/>
  <c r="AR205" i="2"/>
  <c r="AQ205" i="2"/>
  <c r="AP205" i="2"/>
  <c r="AO205" i="2"/>
  <c r="AN205" i="2"/>
  <c r="AM205" i="2"/>
  <c r="AL205" i="2"/>
  <c r="AK205" i="2"/>
  <c r="AJ205"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AS204" i="2"/>
  <c r="AR204" i="2"/>
  <c r="AQ204" i="2"/>
  <c r="AP204" i="2"/>
  <c r="AO204" i="2"/>
  <c r="AN204" i="2"/>
  <c r="AM204" i="2"/>
  <c r="AL204" i="2"/>
  <c r="AK204" i="2"/>
  <c r="AJ204"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H204" i="2"/>
  <c r="G204" i="2"/>
  <c r="F204" i="2"/>
  <c r="E204" i="2"/>
  <c r="D204" i="2"/>
  <c r="AS203" i="2"/>
  <c r="AR203" i="2"/>
  <c r="AQ203" i="2"/>
  <c r="AP203" i="2"/>
  <c r="AO203" i="2"/>
  <c r="AN203" i="2"/>
  <c r="AM203" i="2"/>
  <c r="AL203" i="2"/>
  <c r="AK203" i="2"/>
  <c r="AJ203"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H203" i="2"/>
  <c r="G203" i="2"/>
  <c r="F203" i="2"/>
  <c r="E203" i="2"/>
  <c r="D203" i="2"/>
  <c r="AS202" i="2"/>
  <c r="AR202" i="2"/>
  <c r="AQ202" i="2"/>
  <c r="AP202" i="2"/>
  <c r="AO202" i="2"/>
  <c r="AN202" i="2"/>
  <c r="AM202" i="2"/>
  <c r="AL202" i="2"/>
  <c r="AK202" i="2"/>
  <c r="AJ202"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I202" i="2"/>
  <c r="H202" i="2"/>
  <c r="G202" i="2"/>
  <c r="F202" i="2"/>
  <c r="E202" i="2"/>
  <c r="D202"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I201" i="2"/>
  <c r="H201" i="2"/>
  <c r="G201" i="2"/>
  <c r="F201" i="2"/>
  <c r="E201" i="2"/>
  <c r="D201"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AS199" i="2"/>
  <c r="AR199" i="2"/>
  <c r="AQ199" i="2"/>
  <c r="AP199" i="2"/>
  <c r="AO199" i="2"/>
  <c r="AN199" i="2"/>
  <c r="AM199" i="2"/>
  <c r="AL199" i="2"/>
  <c r="AK199" i="2"/>
  <c r="AJ199"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AS198" i="2"/>
  <c r="AR198" i="2"/>
  <c r="AQ198" i="2"/>
  <c r="AP198" i="2"/>
  <c r="AO198" i="2"/>
  <c r="AN198" i="2"/>
  <c r="AM198" i="2"/>
  <c r="AL198" i="2"/>
  <c r="AK198" i="2"/>
  <c r="AJ198"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E197" i="2"/>
  <c r="F197" i="2"/>
  <c r="G197" i="2"/>
  <c r="H197" i="2"/>
  <c r="I197" i="2"/>
  <c r="J197" i="2"/>
  <c r="K197" i="2"/>
  <c r="L197" i="2"/>
  <c r="M197" i="2"/>
  <c r="N197" i="2"/>
  <c r="O197" i="2"/>
  <c r="P197" i="2"/>
  <c r="Q197" i="2"/>
  <c r="R197" i="2"/>
  <c r="S197" i="2"/>
  <c r="T197" i="2"/>
  <c r="U197" i="2"/>
  <c r="V197" i="2"/>
  <c r="W197" i="2"/>
  <c r="X197" i="2"/>
  <c r="Y197" i="2"/>
  <c r="Z197" i="2"/>
  <c r="AA197" i="2"/>
  <c r="AB197" i="2"/>
  <c r="AC197" i="2"/>
  <c r="AD197" i="2"/>
  <c r="AE197" i="2"/>
  <c r="AF197" i="2"/>
  <c r="AG197" i="2"/>
  <c r="AH197" i="2"/>
  <c r="AI197" i="2"/>
  <c r="AJ197" i="2"/>
  <c r="AK197" i="2"/>
  <c r="AL197" i="2"/>
  <c r="AM197" i="2"/>
  <c r="AN197" i="2"/>
  <c r="AO197" i="2"/>
  <c r="AP197" i="2"/>
  <c r="AQ197" i="2"/>
  <c r="AR197" i="2"/>
  <c r="AS197" i="2"/>
  <c r="D197" i="2"/>
  <c r="BJ63" i="2"/>
  <c r="BJ64" i="2"/>
  <c r="BJ65" i="2"/>
  <c r="BJ66" i="2"/>
  <c r="BJ67" i="2"/>
  <c r="BJ68" i="2"/>
  <c r="BJ69" i="2"/>
  <c r="BJ70" i="2"/>
  <c r="BJ71" i="2"/>
  <c r="BJ72" i="2"/>
  <c r="BJ73" i="2"/>
  <c r="BJ74" i="2"/>
  <c r="BJ75" i="2"/>
  <c r="BJ76" i="2"/>
  <c r="BJ77" i="2"/>
  <c r="BJ78" i="2"/>
  <c r="BJ79" i="2"/>
  <c r="BJ80" i="2"/>
  <c r="BJ81" i="2"/>
  <c r="BJ82" i="2"/>
  <c r="BJ83" i="2"/>
  <c r="BJ84" i="2"/>
  <c r="BJ85" i="2"/>
  <c r="BJ86" i="2"/>
  <c r="BJ87" i="2"/>
  <c r="BJ88" i="2"/>
  <c r="BJ89" i="2"/>
  <c r="BJ90" i="2"/>
  <c r="BJ91" i="2"/>
  <c r="BJ92" i="2"/>
  <c r="BJ93" i="2"/>
  <c r="BJ94" i="2"/>
  <c r="BJ95" i="2"/>
  <c r="BJ97" i="2"/>
  <c r="BJ98" i="2"/>
  <c r="BJ99" i="2"/>
  <c r="BJ100" i="2"/>
  <c r="BJ101" i="2"/>
  <c r="BJ102" i="2"/>
  <c r="BJ103" i="2"/>
  <c r="BJ62" i="2"/>
  <c r="BH63" i="2"/>
  <c r="BH64" i="2"/>
  <c r="BH65" i="2"/>
  <c r="BH66" i="2"/>
  <c r="BH67" i="2"/>
  <c r="BH68" i="2"/>
  <c r="BH69" i="2"/>
  <c r="BH70" i="2"/>
  <c r="BH71" i="2"/>
  <c r="BH72" i="2"/>
  <c r="BH73" i="2"/>
  <c r="BH74" i="2"/>
  <c r="BH75" i="2"/>
  <c r="BH76" i="2"/>
  <c r="BH77" i="2"/>
  <c r="BH78" i="2"/>
  <c r="BH79" i="2"/>
  <c r="BH80" i="2"/>
  <c r="BH81" i="2"/>
  <c r="BH82" i="2"/>
  <c r="BH83" i="2"/>
  <c r="BH84" i="2"/>
  <c r="BH85" i="2"/>
  <c r="BH86" i="2"/>
  <c r="BH87" i="2"/>
  <c r="BH88" i="2"/>
  <c r="BH89" i="2"/>
  <c r="BH90" i="2"/>
  <c r="BH91" i="2"/>
  <c r="BH92" i="2"/>
  <c r="BH93" i="2"/>
  <c r="BH94" i="2"/>
  <c r="BH95" i="2"/>
  <c r="BH96" i="2"/>
  <c r="BH97" i="2"/>
  <c r="BH98" i="2"/>
  <c r="BH99" i="2"/>
  <c r="BH100" i="2"/>
  <c r="BH101" i="2"/>
  <c r="BH102" i="2"/>
  <c r="BH103" i="2"/>
  <c r="BH62" i="2"/>
  <c r="AX94" i="2" a="1"/>
  <c r="AX94" i="2" s="1"/>
  <c r="AU63" i="2" a="1"/>
  <c r="AU63" i="2" s="1"/>
  <c r="AV63" i="2" a="1"/>
  <c r="AV63" i="2" s="1"/>
  <c r="AW63" i="2" a="1"/>
  <c r="AW63" i="2" s="1"/>
  <c r="AX63" i="2" a="1"/>
  <c r="AX63" i="2"/>
  <c r="AY63" i="2" a="1"/>
  <c r="AY63" i="2" s="1"/>
  <c r="AZ63" i="2" a="1"/>
  <c r="AZ63" i="2" s="1"/>
  <c r="BA63" i="2" a="1"/>
  <c r="BA63" i="2"/>
  <c r="BB63" i="2" a="1"/>
  <c r="BB63" i="2" s="1"/>
  <c r="BC63" i="2" a="1"/>
  <c r="BC63" i="2" s="1"/>
  <c r="BD63" i="2" a="1"/>
  <c r="BD63" i="2" s="1"/>
  <c r="BE63" i="2" a="1"/>
  <c r="BE63" i="2" s="1"/>
  <c r="BF63" i="2" a="1"/>
  <c r="BF63" i="2"/>
  <c r="AU64" i="2" a="1"/>
  <c r="AU64" i="2" s="1"/>
  <c r="AV64" i="2" a="1"/>
  <c r="AV64" i="2" s="1"/>
  <c r="AW64" i="2" a="1"/>
  <c r="AW64" i="2"/>
  <c r="AX64" i="2" a="1"/>
  <c r="AX64" i="2" s="1"/>
  <c r="AY64" i="2" a="1"/>
  <c r="AY64" i="2" s="1"/>
  <c r="AZ64" i="2" a="1"/>
  <c r="AZ64" i="2" s="1"/>
  <c r="BA64" i="2" a="1"/>
  <c r="BA64" i="2" s="1"/>
  <c r="BB64" i="2" a="1"/>
  <c r="BB64" i="2"/>
  <c r="BC64" i="2" a="1"/>
  <c r="BC64" i="2" s="1"/>
  <c r="BD64" i="2" a="1"/>
  <c r="BD64" i="2" s="1"/>
  <c r="BE64" i="2" a="1"/>
  <c r="BE64" i="2"/>
  <c r="BF64" i="2" a="1"/>
  <c r="BF64" i="2" s="1"/>
  <c r="AU65" i="2" a="1"/>
  <c r="AU65" i="2" s="1"/>
  <c r="AV65" i="2" a="1"/>
  <c r="AV65" i="2" s="1"/>
  <c r="AW65" i="2" a="1"/>
  <c r="AW65" i="2" s="1"/>
  <c r="AX65" i="2" a="1"/>
  <c r="AX65" i="2"/>
  <c r="AY65" i="2" a="1"/>
  <c r="AY65" i="2" s="1"/>
  <c r="AZ65" i="2" a="1"/>
  <c r="AZ65" i="2" s="1"/>
  <c r="BA65" i="2" a="1"/>
  <c r="BA65" i="2"/>
  <c r="BB65" i="2" a="1"/>
  <c r="BB65" i="2" s="1"/>
  <c r="BC65" i="2" a="1"/>
  <c r="BC65" i="2" s="1"/>
  <c r="BD65" i="2" a="1"/>
  <c r="BD65" i="2" s="1"/>
  <c r="BE65" i="2" a="1"/>
  <c r="BE65" i="2" s="1"/>
  <c r="BF65" i="2" a="1"/>
  <c r="BF65" i="2"/>
  <c r="AU66" i="2" a="1"/>
  <c r="AU66" i="2" s="1"/>
  <c r="AV66" i="2" a="1"/>
  <c r="AV66" i="2" s="1"/>
  <c r="AW66" i="2" a="1"/>
  <c r="AW66" i="2"/>
  <c r="AX66" i="2" a="1"/>
  <c r="AX66" i="2" s="1"/>
  <c r="AY66" i="2" a="1"/>
  <c r="AY66" i="2" s="1"/>
  <c r="AZ66" i="2" a="1"/>
  <c r="AZ66" i="2" s="1"/>
  <c r="BA66" i="2" a="1"/>
  <c r="BA66" i="2" s="1"/>
  <c r="BB66" i="2" a="1"/>
  <c r="BB66" i="2"/>
  <c r="BC66" i="2" a="1"/>
  <c r="BC66" i="2" s="1"/>
  <c r="BD66" i="2" a="1"/>
  <c r="BD66" i="2" s="1"/>
  <c r="BE66" i="2" a="1"/>
  <c r="BE66" i="2"/>
  <c r="BF66" i="2" a="1"/>
  <c r="BF66" i="2" s="1"/>
  <c r="AU67" i="2" a="1"/>
  <c r="AU67" i="2" s="1"/>
  <c r="AV67" i="2" a="1"/>
  <c r="AV67" i="2" s="1"/>
  <c r="AW67" i="2" a="1"/>
  <c r="AW67" i="2" s="1"/>
  <c r="AX67" i="2" a="1"/>
  <c r="AX67" i="2"/>
  <c r="AY67" i="2" a="1"/>
  <c r="AY67" i="2" s="1"/>
  <c r="AZ67" i="2" a="1"/>
  <c r="AZ67" i="2" s="1"/>
  <c r="BA67" i="2" a="1"/>
  <c r="BA67" i="2"/>
  <c r="BB67" i="2" a="1"/>
  <c r="BB67" i="2" s="1"/>
  <c r="BC67" i="2" a="1"/>
  <c r="BC67" i="2" s="1"/>
  <c r="BD67" i="2" a="1"/>
  <c r="BD67" i="2" s="1"/>
  <c r="BE67" i="2" a="1"/>
  <c r="BE67" i="2" s="1"/>
  <c r="BF67" i="2" a="1"/>
  <c r="BF67" i="2"/>
  <c r="AU68" i="2" a="1"/>
  <c r="AU68" i="2" s="1"/>
  <c r="AV68" i="2" a="1"/>
  <c r="AV68" i="2" s="1"/>
  <c r="AW68" i="2" a="1"/>
  <c r="AW68" i="2"/>
  <c r="AX68" i="2" a="1"/>
  <c r="AX68" i="2" s="1"/>
  <c r="AY68" i="2" a="1"/>
  <c r="AY68" i="2" s="1"/>
  <c r="AZ68" i="2" a="1"/>
  <c r="AZ68" i="2" s="1"/>
  <c r="BA68" i="2" a="1"/>
  <c r="BA68" i="2" s="1"/>
  <c r="BB68" i="2" a="1"/>
  <c r="BB68" i="2"/>
  <c r="BC68" i="2" a="1"/>
  <c r="BC68" i="2" s="1"/>
  <c r="BD68" i="2" a="1"/>
  <c r="BD68" i="2" s="1"/>
  <c r="BE68" i="2" a="1"/>
  <c r="BE68" i="2"/>
  <c r="BF68" i="2" a="1"/>
  <c r="BF68" i="2" s="1"/>
  <c r="AU69" i="2" a="1"/>
  <c r="AU69" i="2" s="1"/>
  <c r="AV69" i="2" a="1"/>
  <c r="AV69" i="2" s="1"/>
  <c r="AW69" i="2" a="1"/>
  <c r="AW69" i="2" s="1"/>
  <c r="AX69" i="2" a="1"/>
  <c r="AX69" i="2"/>
  <c r="AY69" i="2" a="1"/>
  <c r="AY69" i="2" s="1"/>
  <c r="AZ69" i="2" a="1"/>
  <c r="AZ69" i="2" s="1"/>
  <c r="BA69" i="2" a="1"/>
  <c r="BA69" i="2"/>
  <c r="BB69" i="2" a="1"/>
  <c r="BB69" i="2" s="1"/>
  <c r="BC69" i="2" a="1"/>
  <c r="BC69" i="2" s="1"/>
  <c r="BD69" i="2" a="1"/>
  <c r="BD69" i="2" s="1"/>
  <c r="BE69" i="2" a="1"/>
  <c r="BE69" i="2" s="1"/>
  <c r="BF69" i="2" a="1"/>
  <c r="BF69" i="2"/>
  <c r="AU70" i="2" a="1"/>
  <c r="AU70" i="2" s="1"/>
  <c r="AV70" i="2" a="1"/>
  <c r="AV70" i="2" s="1"/>
  <c r="AW70" i="2" a="1"/>
  <c r="AW70" i="2"/>
  <c r="AX70" i="2" a="1"/>
  <c r="AX70" i="2" s="1"/>
  <c r="AY70" i="2" a="1"/>
  <c r="AY70" i="2" s="1"/>
  <c r="AZ70" i="2" a="1"/>
  <c r="AZ70" i="2" s="1"/>
  <c r="BA70" i="2" a="1"/>
  <c r="BA70" i="2" s="1"/>
  <c r="BB70" i="2" a="1"/>
  <c r="BB70" i="2"/>
  <c r="BC70" i="2" a="1"/>
  <c r="BC70" i="2" s="1"/>
  <c r="BD70" i="2" a="1"/>
  <c r="BD70" i="2" s="1"/>
  <c r="BE70" i="2" a="1"/>
  <c r="BE70" i="2"/>
  <c r="BF70" i="2" a="1"/>
  <c r="BF70" i="2" s="1"/>
  <c r="AU71" i="2" a="1"/>
  <c r="AU71" i="2" s="1"/>
  <c r="AV71" i="2" a="1"/>
  <c r="AV71" i="2" s="1"/>
  <c r="AW71" i="2" a="1"/>
  <c r="AW71" i="2" s="1"/>
  <c r="AX71" i="2" a="1"/>
  <c r="AX71" i="2"/>
  <c r="AY71" i="2" a="1"/>
  <c r="AY71" i="2" s="1"/>
  <c r="AZ71" i="2" a="1"/>
  <c r="AZ71" i="2" s="1"/>
  <c r="BA71" i="2" a="1"/>
  <c r="BA71" i="2"/>
  <c r="BB71" i="2" a="1"/>
  <c r="BB71" i="2" s="1"/>
  <c r="BC71" i="2" a="1"/>
  <c r="BC71" i="2" s="1"/>
  <c r="BD71" i="2" a="1"/>
  <c r="BD71" i="2" s="1"/>
  <c r="BE71" i="2" a="1"/>
  <c r="BE71" i="2" s="1"/>
  <c r="BF71" i="2" a="1"/>
  <c r="BF71" i="2"/>
  <c r="AU72" i="2" a="1"/>
  <c r="AU72" i="2" s="1"/>
  <c r="AV72" i="2" a="1"/>
  <c r="AV72" i="2" s="1"/>
  <c r="AW72" i="2" a="1"/>
  <c r="AW72" i="2"/>
  <c r="AX72" i="2" a="1"/>
  <c r="AX72" i="2" s="1"/>
  <c r="AY72" i="2" a="1"/>
  <c r="AY72" i="2" s="1"/>
  <c r="AZ72" i="2" a="1"/>
  <c r="AZ72" i="2" s="1"/>
  <c r="BA72" i="2" a="1"/>
  <c r="BA72" i="2" s="1"/>
  <c r="BB72" i="2" a="1"/>
  <c r="BB72" i="2"/>
  <c r="BC72" i="2" a="1"/>
  <c r="BC72" i="2" s="1"/>
  <c r="BD72" i="2" a="1"/>
  <c r="BD72" i="2" s="1"/>
  <c r="BE72" i="2" a="1"/>
  <c r="BE72" i="2"/>
  <c r="BF72" i="2" a="1"/>
  <c r="BF72" i="2" s="1"/>
  <c r="AU73" i="2" a="1"/>
  <c r="AU73" i="2" s="1"/>
  <c r="AV73" i="2" a="1"/>
  <c r="AV73" i="2" s="1"/>
  <c r="AW73" i="2" a="1"/>
  <c r="AW73" i="2" s="1"/>
  <c r="AX73" i="2" a="1"/>
  <c r="AX73" i="2"/>
  <c r="AY73" i="2" a="1"/>
  <c r="AY73" i="2" s="1"/>
  <c r="AZ73" i="2" a="1"/>
  <c r="AZ73" i="2" s="1"/>
  <c r="BA73" i="2" a="1"/>
  <c r="BA73" i="2"/>
  <c r="BB73" i="2" a="1"/>
  <c r="BB73" i="2" s="1"/>
  <c r="BC73" i="2" a="1"/>
  <c r="BC73" i="2" s="1"/>
  <c r="BD73" i="2" a="1"/>
  <c r="BD73" i="2" s="1"/>
  <c r="BE73" i="2" a="1"/>
  <c r="BE73" i="2" s="1"/>
  <c r="BF73" i="2" a="1"/>
  <c r="BF73" i="2"/>
  <c r="AU74" i="2" a="1"/>
  <c r="AU74" i="2" s="1"/>
  <c r="AV74" i="2" a="1"/>
  <c r="AV74" i="2" s="1"/>
  <c r="AW74" i="2" a="1"/>
  <c r="AW74" i="2"/>
  <c r="AX74" i="2" a="1"/>
  <c r="AX74" i="2" s="1"/>
  <c r="AY74" i="2" a="1"/>
  <c r="AY74" i="2" s="1"/>
  <c r="AZ74" i="2" a="1"/>
  <c r="AZ74" i="2" s="1"/>
  <c r="BA74" i="2" a="1"/>
  <c r="BA74" i="2" s="1"/>
  <c r="BB74" i="2" a="1"/>
  <c r="BB74" i="2"/>
  <c r="BC74" i="2" a="1"/>
  <c r="BC74" i="2" s="1"/>
  <c r="BD74" i="2" a="1"/>
  <c r="BD74" i="2" s="1"/>
  <c r="BE74" i="2" a="1"/>
  <c r="BE74" i="2"/>
  <c r="BF74" i="2" a="1"/>
  <c r="BF74" i="2" s="1"/>
  <c r="AU75" i="2" a="1"/>
  <c r="AU75" i="2" s="1"/>
  <c r="AV75" i="2" a="1"/>
  <c r="AV75" i="2" s="1"/>
  <c r="AW75" i="2" a="1"/>
  <c r="AW75" i="2" s="1"/>
  <c r="AX75" i="2" a="1"/>
  <c r="AX75" i="2"/>
  <c r="AY75" i="2" a="1"/>
  <c r="AY75" i="2" s="1"/>
  <c r="AZ75" i="2" a="1"/>
  <c r="AZ75" i="2" s="1"/>
  <c r="BA75" i="2" a="1"/>
  <c r="BA75" i="2"/>
  <c r="BB75" i="2" a="1"/>
  <c r="BB75" i="2" s="1"/>
  <c r="BC75" i="2" a="1"/>
  <c r="BC75" i="2" s="1"/>
  <c r="BD75" i="2" a="1"/>
  <c r="BD75" i="2" s="1"/>
  <c r="BE75" i="2" a="1"/>
  <c r="BE75" i="2" s="1"/>
  <c r="BF75" i="2" a="1"/>
  <c r="BF75" i="2"/>
  <c r="AU76" i="2" a="1"/>
  <c r="AU76" i="2" s="1"/>
  <c r="AV76" i="2" a="1"/>
  <c r="AV76" i="2" s="1"/>
  <c r="AW76" i="2" a="1"/>
  <c r="AW76" i="2"/>
  <c r="AX76" i="2" a="1"/>
  <c r="AX76" i="2" s="1"/>
  <c r="AY76" i="2" a="1"/>
  <c r="AY76" i="2" s="1"/>
  <c r="AZ76" i="2" a="1"/>
  <c r="AZ76" i="2" s="1"/>
  <c r="BA76" i="2" a="1"/>
  <c r="BA76" i="2" s="1"/>
  <c r="BB76" i="2" a="1"/>
  <c r="BB76" i="2"/>
  <c r="BC76" i="2" a="1"/>
  <c r="BC76" i="2" s="1"/>
  <c r="BD76" i="2" a="1"/>
  <c r="BD76" i="2" s="1"/>
  <c r="BE76" i="2" a="1"/>
  <c r="BE76" i="2"/>
  <c r="BF76" i="2" a="1"/>
  <c r="BF76" i="2" s="1"/>
  <c r="AU77" i="2" a="1"/>
  <c r="AU77" i="2" s="1"/>
  <c r="AV77" i="2" a="1"/>
  <c r="AV77" i="2" s="1"/>
  <c r="AW77" i="2" a="1"/>
  <c r="AW77" i="2" s="1"/>
  <c r="AX77" i="2" a="1"/>
  <c r="AX77" i="2"/>
  <c r="AY77" i="2" a="1"/>
  <c r="AY77" i="2" s="1"/>
  <c r="AZ77" i="2" a="1"/>
  <c r="AZ77" i="2" s="1"/>
  <c r="BA77" i="2" a="1"/>
  <c r="BA77" i="2"/>
  <c r="BB77" i="2" a="1"/>
  <c r="BB77" i="2" s="1"/>
  <c r="BC77" i="2" a="1"/>
  <c r="BC77" i="2" s="1"/>
  <c r="BD77" i="2" a="1"/>
  <c r="BD77" i="2" s="1"/>
  <c r="BE77" i="2" a="1"/>
  <c r="BE77" i="2" s="1"/>
  <c r="BF77" i="2" a="1"/>
  <c r="BF77" i="2"/>
  <c r="AU78" i="2" a="1"/>
  <c r="AU78" i="2" s="1"/>
  <c r="AV78" i="2" a="1"/>
  <c r="AV78" i="2" s="1"/>
  <c r="AW78" i="2" a="1"/>
  <c r="AW78" i="2"/>
  <c r="AX78" i="2" a="1"/>
  <c r="AX78" i="2" s="1"/>
  <c r="AY78" i="2" a="1"/>
  <c r="AY78" i="2" s="1"/>
  <c r="AZ78" i="2" a="1"/>
  <c r="AZ78" i="2" s="1"/>
  <c r="BA78" i="2" a="1"/>
  <c r="BA78" i="2" s="1"/>
  <c r="BB78" i="2" a="1"/>
  <c r="BB78" i="2"/>
  <c r="BC78" i="2" a="1"/>
  <c r="BC78" i="2" s="1"/>
  <c r="BD78" i="2" a="1"/>
  <c r="BD78" i="2" s="1"/>
  <c r="BE78" i="2" a="1"/>
  <c r="BE78" i="2"/>
  <c r="BF78" i="2" a="1"/>
  <c r="BF78" i="2" s="1"/>
  <c r="AU79" i="2" a="1"/>
  <c r="AU79" i="2" s="1"/>
  <c r="AV79" i="2" a="1"/>
  <c r="AV79" i="2" s="1"/>
  <c r="AW79" i="2" a="1"/>
  <c r="AW79" i="2" s="1"/>
  <c r="AX79" i="2" a="1"/>
  <c r="AX79" i="2"/>
  <c r="AY79" i="2" a="1"/>
  <c r="AY79" i="2" s="1"/>
  <c r="AZ79" i="2" a="1"/>
  <c r="AZ79" i="2" s="1"/>
  <c r="BA79" i="2" a="1"/>
  <c r="BA79" i="2"/>
  <c r="BB79" i="2" a="1"/>
  <c r="BB79" i="2" s="1"/>
  <c r="BC79" i="2" a="1"/>
  <c r="BC79" i="2" s="1"/>
  <c r="BD79" i="2" a="1"/>
  <c r="BD79" i="2" s="1"/>
  <c r="BE79" i="2" a="1"/>
  <c r="BE79" i="2" s="1"/>
  <c r="BF79" i="2" a="1"/>
  <c r="BF79" i="2"/>
  <c r="AU80" i="2" a="1"/>
  <c r="AU80" i="2" s="1"/>
  <c r="AV80" i="2" a="1"/>
  <c r="AV80" i="2" s="1"/>
  <c r="AW80" i="2" a="1"/>
  <c r="AW80" i="2"/>
  <c r="AX80" i="2" a="1"/>
  <c r="AX80" i="2" s="1"/>
  <c r="AY80" i="2" a="1"/>
  <c r="AY80" i="2" s="1"/>
  <c r="AZ80" i="2" a="1"/>
  <c r="AZ80" i="2" s="1"/>
  <c r="BA80" i="2" a="1"/>
  <c r="BA80" i="2" s="1"/>
  <c r="BB80" i="2" a="1"/>
  <c r="BB80" i="2"/>
  <c r="BC80" i="2" a="1"/>
  <c r="BC80" i="2" s="1"/>
  <c r="BD80" i="2" a="1"/>
  <c r="BD80" i="2" s="1"/>
  <c r="BE80" i="2" a="1"/>
  <c r="BE80" i="2"/>
  <c r="BF80" i="2" a="1"/>
  <c r="BF80" i="2" s="1"/>
  <c r="AU81" i="2" a="1"/>
  <c r="AU81" i="2" s="1"/>
  <c r="AV81" i="2" a="1"/>
  <c r="AV81" i="2" s="1"/>
  <c r="AW81" i="2" a="1"/>
  <c r="AW81" i="2" s="1"/>
  <c r="AX81" i="2" a="1"/>
  <c r="AX81" i="2"/>
  <c r="AY81" i="2" a="1"/>
  <c r="AY81" i="2" s="1"/>
  <c r="AZ81" i="2" a="1"/>
  <c r="AZ81" i="2" s="1"/>
  <c r="BA81" i="2" a="1"/>
  <c r="BA81" i="2"/>
  <c r="BB81" i="2" a="1"/>
  <c r="BB81" i="2" s="1"/>
  <c r="BC81" i="2" a="1"/>
  <c r="BC81" i="2" s="1"/>
  <c r="BD81" i="2" a="1"/>
  <c r="BD81" i="2" s="1"/>
  <c r="BE81" i="2" a="1"/>
  <c r="BE81" i="2" s="1"/>
  <c r="BF81" i="2" a="1"/>
  <c r="BF81" i="2"/>
  <c r="AU82" i="2" a="1"/>
  <c r="AU82" i="2" s="1"/>
  <c r="AV82" i="2" a="1"/>
  <c r="AV82" i="2" s="1"/>
  <c r="AW82" i="2" a="1"/>
  <c r="AW82" i="2"/>
  <c r="AX82" i="2" a="1"/>
  <c r="AX82" i="2" s="1"/>
  <c r="AY82" i="2" a="1"/>
  <c r="AY82" i="2" s="1"/>
  <c r="AZ82" i="2" a="1"/>
  <c r="AZ82" i="2" s="1"/>
  <c r="BA82" i="2" a="1"/>
  <c r="BA82" i="2" s="1"/>
  <c r="BB82" i="2" a="1"/>
  <c r="BB82" i="2"/>
  <c r="BC82" i="2" a="1"/>
  <c r="BC82" i="2" s="1"/>
  <c r="BD82" i="2" a="1"/>
  <c r="BD82" i="2" s="1"/>
  <c r="BE82" i="2" a="1"/>
  <c r="BE82" i="2"/>
  <c r="BF82" i="2" a="1"/>
  <c r="BF82" i="2" s="1"/>
  <c r="AU83" i="2" a="1"/>
  <c r="AU83" i="2" s="1"/>
  <c r="AV83" i="2" a="1"/>
  <c r="AV83" i="2" s="1"/>
  <c r="AW83" i="2" a="1"/>
  <c r="AW83" i="2" s="1"/>
  <c r="AX83" i="2" a="1"/>
  <c r="AX83" i="2"/>
  <c r="AY83" i="2" a="1"/>
  <c r="AY83" i="2" s="1"/>
  <c r="AZ83" i="2" a="1"/>
  <c r="AZ83" i="2" s="1"/>
  <c r="BA83" i="2" a="1"/>
  <c r="BA83" i="2"/>
  <c r="BB83" i="2" a="1"/>
  <c r="BB83" i="2" s="1"/>
  <c r="BC83" i="2" a="1"/>
  <c r="BC83" i="2" s="1"/>
  <c r="BD83" i="2" a="1"/>
  <c r="BD83" i="2" s="1"/>
  <c r="BE83" i="2" a="1"/>
  <c r="BE83" i="2" s="1"/>
  <c r="BF83" i="2" a="1"/>
  <c r="BF83" i="2"/>
  <c r="AU84" i="2" a="1"/>
  <c r="AU84" i="2" s="1"/>
  <c r="AV84" i="2" a="1"/>
  <c r="AV84" i="2" s="1"/>
  <c r="AW84" i="2" a="1"/>
  <c r="AW84" i="2"/>
  <c r="AX84" i="2" a="1"/>
  <c r="AX84" i="2" s="1"/>
  <c r="AY84" i="2" a="1"/>
  <c r="AY84" i="2" s="1"/>
  <c r="AZ84" i="2" a="1"/>
  <c r="AZ84" i="2" s="1"/>
  <c r="BA84" i="2" a="1"/>
  <c r="BA84" i="2" s="1"/>
  <c r="BB84" i="2" a="1"/>
  <c r="BB84" i="2"/>
  <c r="BC84" i="2" a="1"/>
  <c r="BC84" i="2" s="1"/>
  <c r="BD84" i="2" a="1"/>
  <c r="BD84" i="2" s="1"/>
  <c r="BE84" i="2" a="1"/>
  <c r="BE84" i="2"/>
  <c r="BF84" i="2" a="1"/>
  <c r="BF84" i="2" s="1"/>
  <c r="AU85" i="2" a="1"/>
  <c r="AU85" i="2" s="1"/>
  <c r="AV85" i="2" a="1"/>
  <c r="AV85" i="2" s="1"/>
  <c r="AW85" i="2" a="1"/>
  <c r="AW85" i="2" s="1"/>
  <c r="AX85" i="2" a="1"/>
  <c r="AX85" i="2"/>
  <c r="AY85" i="2" a="1"/>
  <c r="AY85" i="2" s="1"/>
  <c r="AZ85" i="2" a="1"/>
  <c r="AZ85" i="2" s="1"/>
  <c r="BA85" i="2" a="1"/>
  <c r="BA85" i="2"/>
  <c r="BB85" i="2" a="1"/>
  <c r="BB85" i="2" s="1"/>
  <c r="BC85" i="2" a="1"/>
  <c r="BC85" i="2" s="1"/>
  <c r="BD85" i="2" a="1"/>
  <c r="BD85" i="2" s="1"/>
  <c r="BE85" i="2" a="1"/>
  <c r="BE85" i="2" s="1"/>
  <c r="BF85" i="2" a="1"/>
  <c r="BF85" i="2"/>
  <c r="AU86" i="2" a="1"/>
  <c r="AU86" i="2" s="1"/>
  <c r="AV86" i="2" a="1"/>
  <c r="AV86" i="2" s="1"/>
  <c r="AW86" i="2" a="1"/>
  <c r="AW86" i="2"/>
  <c r="AX86" i="2" a="1"/>
  <c r="AX86" i="2" s="1"/>
  <c r="AY86" i="2" a="1"/>
  <c r="AY86" i="2" s="1"/>
  <c r="AZ86" i="2" a="1"/>
  <c r="AZ86" i="2" s="1"/>
  <c r="BA86" i="2" a="1"/>
  <c r="BA86" i="2" s="1"/>
  <c r="BB86" i="2" a="1"/>
  <c r="BB86" i="2"/>
  <c r="BC86" i="2" a="1"/>
  <c r="BC86" i="2" s="1"/>
  <c r="BD86" i="2" a="1"/>
  <c r="BD86" i="2" s="1"/>
  <c r="BE86" i="2" a="1"/>
  <c r="BE86" i="2"/>
  <c r="BF86" i="2" a="1"/>
  <c r="BF86" i="2" s="1"/>
  <c r="AU87" i="2" a="1"/>
  <c r="AU87" i="2" s="1"/>
  <c r="AV87" i="2" a="1"/>
  <c r="AV87" i="2" s="1"/>
  <c r="AW87" i="2" a="1"/>
  <c r="AW87" i="2" s="1"/>
  <c r="AX87" i="2" a="1"/>
  <c r="AX87" i="2"/>
  <c r="AY87" i="2" a="1"/>
  <c r="AY87" i="2" s="1"/>
  <c r="AZ87" i="2" a="1"/>
  <c r="AZ87" i="2" s="1"/>
  <c r="BA87" i="2" a="1"/>
  <c r="BA87" i="2"/>
  <c r="BB87" i="2" a="1"/>
  <c r="BB87" i="2" s="1"/>
  <c r="BC87" i="2" a="1"/>
  <c r="BC87" i="2" s="1"/>
  <c r="BD87" i="2" a="1"/>
  <c r="BD87" i="2" s="1"/>
  <c r="BE87" i="2" a="1"/>
  <c r="BE87" i="2" s="1"/>
  <c r="BF87" i="2" a="1"/>
  <c r="BF87" i="2"/>
  <c r="AU88" i="2" a="1"/>
  <c r="AU88" i="2" s="1"/>
  <c r="AV88" i="2" a="1"/>
  <c r="AV88" i="2" s="1"/>
  <c r="AW88" i="2" a="1"/>
  <c r="AW88" i="2"/>
  <c r="AX88" i="2" a="1"/>
  <c r="AX88" i="2" s="1"/>
  <c r="AY88" i="2" a="1"/>
  <c r="AY88" i="2" s="1"/>
  <c r="AZ88" i="2" a="1"/>
  <c r="AZ88" i="2" s="1"/>
  <c r="BA88" i="2" a="1"/>
  <c r="BA88" i="2" s="1"/>
  <c r="BB88" i="2" a="1"/>
  <c r="BB88" i="2"/>
  <c r="BC88" i="2" a="1"/>
  <c r="BC88" i="2" s="1"/>
  <c r="BD88" i="2" a="1"/>
  <c r="BD88" i="2" s="1"/>
  <c r="BE88" i="2" a="1"/>
  <c r="BE88" i="2"/>
  <c r="BF88" i="2" a="1"/>
  <c r="BF88" i="2" s="1"/>
  <c r="AU89" i="2" a="1"/>
  <c r="AU89" i="2" s="1"/>
  <c r="AV89" i="2" a="1"/>
  <c r="AV89" i="2" s="1"/>
  <c r="AW89" i="2" a="1"/>
  <c r="AW89" i="2" s="1"/>
  <c r="AX89" i="2" a="1"/>
  <c r="AX89" i="2"/>
  <c r="AY89" i="2" a="1"/>
  <c r="AY89" i="2" s="1"/>
  <c r="AZ89" i="2" a="1"/>
  <c r="AZ89" i="2" s="1"/>
  <c r="BA89" i="2" a="1"/>
  <c r="BA89" i="2"/>
  <c r="BB89" i="2" a="1"/>
  <c r="BB89" i="2" s="1"/>
  <c r="BC89" i="2" a="1"/>
  <c r="BC89" i="2" s="1"/>
  <c r="BD89" i="2" a="1"/>
  <c r="BD89" i="2" s="1"/>
  <c r="BE89" i="2" a="1"/>
  <c r="BE89" i="2" s="1"/>
  <c r="BF89" i="2" a="1"/>
  <c r="BF89" i="2"/>
  <c r="AU90" i="2" a="1"/>
  <c r="AU90" i="2" s="1"/>
  <c r="AV90" i="2" a="1"/>
  <c r="AV90" i="2" s="1"/>
  <c r="AW90" i="2" a="1"/>
  <c r="AW90" i="2"/>
  <c r="AX90" i="2" a="1"/>
  <c r="AX90" i="2" s="1"/>
  <c r="AY90" i="2" a="1"/>
  <c r="AY90" i="2" s="1"/>
  <c r="AZ90" i="2" a="1"/>
  <c r="AZ90" i="2" s="1"/>
  <c r="BA90" i="2" a="1"/>
  <c r="BA90" i="2" s="1"/>
  <c r="BB90" i="2" a="1"/>
  <c r="BB90" i="2"/>
  <c r="BC90" i="2" a="1"/>
  <c r="BC90" i="2" s="1"/>
  <c r="BD90" i="2" a="1"/>
  <c r="BD90" i="2" s="1"/>
  <c r="BE90" i="2" a="1"/>
  <c r="BE90" i="2"/>
  <c r="BF90" i="2" a="1"/>
  <c r="BF90" i="2" s="1"/>
  <c r="AU91" i="2" a="1"/>
  <c r="AU91" i="2" s="1"/>
  <c r="AV91" i="2" a="1"/>
  <c r="AV91" i="2" s="1"/>
  <c r="AW91" i="2" a="1"/>
  <c r="AW91" i="2" s="1"/>
  <c r="AX91" i="2" a="1"/>
  <c r="AX91" i="2"/>
  <c r="AY91" i="2" a="1"/>
  <c r="AY91" i="2" s="1"/>
  <c r="AZ91" i="2" a="1"/>
  <c r="AZ91" i="2"/>
  <c r="BA91" i="2" a="1"/>
  <c r="BA91" i="2" s="1"/>
  <c r="BB91" i="2" a="1"/>
  <c r="BB91" i="2"/>
  <c r="BC91" i="2" a="1"/>
  <c r="BC91" i="2" s="1"/>
  <c r="BD91" i="2" a="1"/>
  <c r="BD91" i="2"/>
  <c r="BE91" i="2" a="1"/>
  <c r="BE91" i="2" s="1"/>
  <c r="BF91" i="2" a="1"/>
  <c r="BF91" i="2"/>
  <c r="AU92" i="2" a="1"/>
  <c r="AU92" i="2" s="1"/>
  <c r="AV92" i="2" a="1"/>
  <c r="AV92" i="2"/>
  <c r="AW92" i="2" a="1"/>
  <c r="AW92" i="2" s="1"/>
  <c r="AX92" i="2" a="1"/>
  <c r="AX92" i="2"/>
  <c r="AY92" i="2" a="1"/>
  <c r="AY92" i="2" s="1"/>
  <c r="AZ92" i="2" a="1"/>
  <c r="AZ92" i="2"/>
  <c r="BA92" i="2" a="1"/>
  <c r="BA92" i="2" s="1"/>
  <c r="BB92" i="2" a="1"/>
  <c r="BB92" i="2"/>
  <c r="BC92" i="2" a="1"/>
  <c r="BC92" i="2" s="1"/>
  <c r="BD92" i="2" a="1"/>
  <c r="BD92" i="2"/>
  <c r="BE92" i="2" a="1"/>
  <c r="BE92" i="2" s="1"/>
  <c r="BF92" i="2" a="1"/>
  <c r="BF92" i="2"/>
  <c r="AU93" i="2" a="1"/>
  <c r="AU93" i="2" s="1"/>
  <c r="AV93" i="2" a="1"/>
  <c r="AV93" i="2"/>
  <c r="AW93" i="2" a="1"/>
  <c r="AW93" i="2" s="1"/>
  <c r="AX93" i="2" a="1"/>
  <c r="AX93" i="2"/>
  <c r="AY93" i="2" a="1"/>
  <c r="AY93" i="2" s="1"/>
  <c r="AZ93" i="2" a="1"/>
  <c r="AZ93" i="2"/>
  <c r="BA93" i="2" a="1"/>
  <c r="BA93" i="2" s="1"/>
  <c r="BB93" i="2" a="1"/>
  <c r="BB93" i="2"/>
  <c r="BC93" i="2" a="1"/>
  <c r="BC93" i="2" s="1"/>
  <c r="BD93" i="2" a="1"/>
  <c r="BD93" i="2"/>
  <c r="BE93" i="2" a="1"/>
  <c r="BE93" i="2" s="1"/>
  <c r="BF93" i="2" a="1"/>
  <c r="BF93" i="2"/>
  <c r="AU94" i="2" a="1"/>
  <c r="AU94" i="2" s="1"/>
  <c r="AV94" i="2" a="1"/>
  <c r="AV94" i="2"/>
  <c r="AW94" i="2" a="1"/>
  <c r="AW94" i="2" s="1"/>
  <c r="AY94" i="2" a="1"/>
  <c r="AY94" i="2" s="1"/>
  <c r="AZ94" i="2" a="1"/>
  <c r="AZ94" i="2"/>
  <c r="BA94" i="2" a="1"/>
  <c r="BA94" i="2" s="1"/>
  <c r="BB94" i="2" a="1"/>
  <c r="BB94" i="2"/>
  <c r="BC94" i="2" a="1"/>
  <c r="BC94" i="2" s="1"/>
  <c r="BD94" i="2" a="1"/>
  <c r="BD94" i="2"/>
  <c r="BE94" i="2" a="1"/>
  <c r="BE94" i="2" s="1"/>
  <c r="BF94" i="2" a="1"/>
  <c r="BF94" i="2"/>
  <c r="AU95" i="2" a="1"/>
  <c r="AU95" i="2" s="1"/>
  <c r="AV95" i="2" a="1"/>
  <c r="AV95" i="2"/>
  <c r="AW95" i="2" a="1"/>
  <c r="AW95" i="2" s="1"/>
  <c r="AX95" i="2" a="1"/>
  <c r="AX95" i="2"/>
  <c r="AY95" i="2" a="1"/>
  <c r="AY95" i="2" s="1"/>
  <c r="AZ95" i="2" a="1"/>
  <c r="AZ95" i="2"/>
  <c r="BA95" i="2" a="1"/>
  <c r="BA95" i="2" s="1"/>
  <c r="BB95" i="2" a="1"/>
  <c r="BB95" i="2"/>
  <c r="BC95" i="2" a="1"/>
  <c r="BC95" i="2" s="1"/>
  <c r="BD95" i="2" a="1"/>
  <c r="BD95" i="2"/>
  <c r="BE95" i="2" a="1"/>
  <c r="BE95" i="2" s="1"/>
  <c r="BF95" i="2" a="1"/>
  <c r="BF95" i="2"/>
  <c r="AU96" i="2" a="1"/>
  <c r="AU96" i="2" s="1"/>
  <c r="AV96" i="2" a="1"/>
  <c r="AV96" i="2"/>
  <c r="AW96" i="2" a="1"/>
  <c r="AW96" i="2" s="1"/>
  <c r="AX96" i="2" a="1"/>
  <c r="AX96" i="2"/>
  <c r="AY96" i="2" a="1"/>
  <c r="AY96" i="2" s="1"/>
  <c r="AZ96" i="2" a="1"/>
  <c r="AZ96" i="2"/>
  <c r="BA96" i="2" a="1"/>
  <c r="BA96" i="2" s="1"/>
  <c r="BB96" i="2" a="1"/>
  <c r="BB96" i="2"/>
  <c r="BC96" i="2" a="1"/>
  <c r="BC96" i="2" s="1"/>
  <c r="BD96" i="2" a="1"/>
  <c r="BD96" i="2"/>
  <c r="BF96" i="2" a="1"/>
  <c r="BF96" i="2"/>
  <c r="AU97" i="2" a="1"/>
  <c r="AU97" i="2" s="1"/>
  <c r="AV97" i="2" a="1"/>
  <c r="AV97" i="2"/>
  <c r="AW97" i="2" a="1"/>
  <c r="AW97" i="2" s="1"/>
  <c r="AX97" i="2" a="1"/>
  <c r="AX97" i="2"/>
  <c r="AY97" i="2" a="1"/>
  <c r="AY97" i="2" s="1"/>
  <c r="AZ97" i="2" a="1"/>
  <c r="AZ97" i="2"/>
  <c r="BA97" i="2" a="1"/>
  <c r="BA97" i="2" s="1"/>
  <c r="BB97" i="2" a="1"/>
  <c r="BB97" i="2"/>
  <c r="BC97" i="2" a="1"/>
  <c r="BC97" i="2" s="1"/>
  <c r="BD97" i="2" a="1"/>
  <c r="BD97" i="2"/>
  <c r="BE97" i="2" a="1"/>
  <c r="BE97" i="2" s="1"/>
  <c r="BF97" i="2" a="1"/>
  <c r="BF97" i="2"/>
  <c r="AU98" i="2" a="1"/>
  <c r="AU98" i="2" s="1"/>
  <c r="AV98" i="2" a="1"/>
  <c r="AV98" i="2"/>
  <c r="AW98" i="2" a="1"/>
  <c r="AW98" i="2" s="1"/>
  <c r="AX98" i="2" a="1"/>
  <c r="AX98" i="2"/>
  <c r="AY98" i="2" a="1"/>
  <c r="AY98" i="2" s="1"/>
  <c r="AZ98" i="2" a="1"/>
  <c r="AZ98" i="2"/>
  <c r="BA98" i="2" a="1"/>
  <c r="BA98" i="2" s="1"/>
  <c r="BB98" i="2" a="1"/>
  <c r="BB98" i="2"/>
  <c r="BC98" i="2" a="1"/>
  <c r="BC98" i="2" s="1"/>
  <c r="BD98" i="2" a="1"/>
  <c r="BD98" i="2"/>
  <c r="BE98" i="2" a="1"/>
  <c r="BE98" i="2" s="1"/>
  <c r="BF98" i="2" a="1"/>
  <c r="BF98" i="2"/>
  <c r="AU99" i="2" a="1"/>
  <c r="AU99" i="2" s="1"/>
  <c r="AV99" i="2" a="1"/>
  <c r="AV99" i="2"/>
  <c r="AW99" i="2" a="1"/>
  <c r="AW99" i="2" s="1"/>
  <c r="AX99" i="2" a="1"/>
  <c r="AX99" i="2"/>
  <c r="AY99" i="2" a="1"/>
  <c r="AY99" i="2" s="1"/>
  <c r="AZ99" i="2" a="1"/>
  <c r="AZ99" i="2"/>
  <c r="BA99" i="2" a="1"/>
  <c r="BA99" i="2" s="1"/>
  <c r="BB99" i="2" a="1"/>
  <c r="BB99" i="2"/>
  <c r="BC99" i="2" a="1"/>
  <c r="BC99" i="2" s="1"/>
  <c r="BD99" i="2" a="1"/>
  <c r="BD99" i="2"/>
  <c r="BE99" i="2" a="1"/>
  <c r="BE99" i="2" s="1"/>
  <c r="BF99" i="2" a="1"/>
  <c r="BF99" i="2"/>
  <c r="AU100" i="2" a="1"/>
  <c r="AU100" i="2" s="1"/>
  <c r="AV100" i="2" a="1"/>
  <c r="AV100" i="2"/>
  <c r="AW100" i="2" a="1"/>
  <c r="AW100" i="2" s="1"/>
  <c r="AX100" i="2" a="1"/>
  <c r="AX100" i="2"/>
  <c r="AY100" i="2" a="1"/>
  <c r="AY100" i="2" s="1"/>
  <c r="AZ100" i="2" a="1"/>
  <c r="AZ100" i="2"/>
  <c r="BA100" i="2" a="1"/>
  <c r="BA100" i="2" s="1"/>
  <c r="BB100" i="2" a="1"/>
  <c r="BB100" i="2"/>
  <c r="BC100" i="2" a="1"/>
  <c r="BC100" i="2" s="1"/>
  <c r="BD100" i="2" a="1"/>
  <c r="BD100" i="2"/>
  <c r="BE100" i="2" a="1"/>
  <c r="BE100" i="2" s="1"/>
  <c r="BF100" i="2" a="1"/>
  <c r="BF100" i="2"/>
  <c r="AU101" i="2" a="1"/>
  <c r="AU101" i="2" s="1"/>
  <c r="AV101" i="2" a="1"/>
  <c r="AV101" i="2"/>
  <c r="AW101" i="2" a="1"/>
  <c r="AW101" i="2" s="1"/>
  <c r="AX101" i="2" a="1"/>
  <c r="AX101" i="2"/>
  <c r="AY101" i="2" a="1"/>
  <c r="AY101" i="2" s="1"/>
  <c r="AZ101" i="2" a="1"/>
  <c r="AZ101" i="2"/>
  <c r="BA101" i="2" a="1"/>
  <c r="BA101" i="2" s="1"/>
  <c r="BB101" i="2" a="1"/>
  <c r="BB101" i="2"/>
  <c r="BC101" i="2" a="1"/>
  <c r="BC101" i="2" s="1"/>
  <c r="BD101" i="2" a="1"/>
  <c r="BD101" i="2"/>
  <c r="BE101" i="2" a="1"/>
  <c r="BE101" i="2" s="1"/>
  <c r="BF101" i="2" a="1"/>
  <c r="BF101" i="2"/>
  <c r="AU102" i="2" a="1"/>
  <c r="AU102" i="2" s="1"/>
  <c r="AV102" i="2" a="1"/>
  <c r="AV102" i="2"/>
  <c r="AW102" i="2" a="1"/>
  <c r="AW102" i="2" s="1"/>
  <c r="AX102" i="2" a="1"/>
  <c r="AX102" i="2"/>
  <c r="AY102" i="2" a="1"/>
  <c r="AY102" i="2" s="1"/>
  <c r="AZ102" i="2" a="1"/>
  <c r="AZ102" i="2"/>
  <c r="BA102" i="2" a="1"/>
  <c r="BA102" i="2" s="1"/>
  <c r="BB102" i="2" a="1"/>
  <c r="BB102" i="2"/>
  <c r="BC102" i="2" a="1"/>
  <c r="BC102" i="2" s="1"/>
  <c r="BD102" i="2" a="1"/>
  <c r="BD102" i="2"/>
  <c r="BE102" i="2" a="1"/>
  <c r="BE102" i="2" s="1"/>
  <c r="BF102" i="2" a="1"/>
  <c r="BF102" i="2"/>
  <c r="AU103" i="2" a="1"/>
  <c r="AU103" i="2" s="1"/>
  <c r="AV103" i="2" a="1"/>
  <c r="AV103" i="2"/>
  <c r="AW103" i="2" a="1"/>
  <c r="AW103" i="2" s="1"/>
  <c r="AX103" i="2" a="1"/>
  <c r="AX103" i="2"/>
  <c r="AY103" i="2" a="1"/>
  <c r="AY103" i="2" s="1"/>
  <c r="AZ103" i="2" a="1"/>
  <c r="AZ103" i="2"/>
  <c r="BA103" i="2" a="1"/>
  <c r="BA103" i="2" s="1"/>
  <c r="BB103" i="2" a="1"/>
  <c r="BB103" i="2"/>
  <c r="BC103" i="2" a="1"/>
  <c r="BC103" i="2" s="1"/>
  <c r="BD103" i="2" a="1"/>
  <c r="BD103" i="2"/>
  <c r="BE103" i="2" a="1"/>
  <c r="BE103" i="2" s="1"/>
  <c r="BF103" i="2" a="1"/>
  <c r="BF103" i="2"/>
  <c r="AV62" i="2" a="1"/>
  <c r="AV62" i="2" s="1"/>
  <c r="AW62" i="2" a="1"/>
  <c r="AW62" i="2" s="1"/>
  <c r="AX62" i="2" a="1"/>
  <c r="AX62" i="2"/>
  <c r="AY62" i="2" a="1"/>
  <c r="AY62" i="2" s="1"/>
  <c r="AZ62" i="2" a="1"/>
  <c r="AZ62" i="2" s="1"/>
  <c r="BA62" i="2" a="1"/>
  <c r="BA62" i="2" s="1"/>
  <c r="BB62" i="2" a="1"/>
  <c r="BB62" i="2"/>
  <c r="BC62" i="2" a="1"/>
  <c r="BC62" i="2" s="1"/>
  <c r="BD62" i="2" a="1"/>
  <c r="BD62" i="2" s="1"/>
  <c r="BE62" i="2" a="1"/>
  <c r="BE62" i="2" s="1"/>
  <c r="BF62" i="2" a="1"/>
  <c r="BF62" i="2"/>
  <c r="AU62" i="2" a="1"/>
  <c r="AU62" i="2" s="1"/>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62" i="2"/>
  <c r="D153" i="2" a="1"/>
  <c r="D153" i="2" s="1"/>
  <c r="AS103" i="2" a="1"/>
  <c r="AS103" i="2" s="1"/>
  <c r="AR103" i="2" a="1"/>
  <c r="AR103" i="2" s="1"/>
  <c r="AQ103" i="2" a="1"/>
  <c r="AQ103" i="2" s="1"/>
  <c r="AP103" i="2" a="1"/>
  <c r="AP103" i="2" s="1"/>
  <c r="AO103" i="2" a="1"/>
  <c r="AO103" i="2" s="1"/>
  <c r="AO149" i="2" s="1"/>
  <c r="AN103" i="2" a="1"/>
  <c r="AN103" i="2" s="1"/>
  <c r="AM103" i="2" a="1"/>
  <c r="AM103" i="2" s="1"/>
  <c r="AL103" i="2" a="1"/>
  <c r="AL103" i="2" s="1"/>
  <c r="AK103" i="2" a="1"/>
  <c r="AK103" i="2" s="1"/>
  <c r="AK149" i="2" s="1"/>
  <c r="AJ103" i="2" a="1"/>
  <c r="AJ103" i="2" s="1"/>
  <c r="AI103" i="2" a="1"/>
  <c r="AI103" i="2" s="1"/>
  <c r="AH103" i="2" a="1"/>
  <c r="AH103" i="2" s="1"/>
  <c r="AG103" i="2" a="1"/>
  <c r="AG103" i="2" s="1"/>
  <c r="AG149" i="2" s="1"/>
  <c r="AF103" i="2" a="1"/>
  <c r="AF103" i="2" s="1"/>
  <c r="AE103" i="2" a="1"/>
  <c r="AE103" i="2" s="1"/>
  <c r="AD103" i="2" a="1"/>
  <c r="AD103" i="2" s="1"/>
  <c r="AD149" i="2" s="1"/>
  <c r="AC103" i="2" a="1"/>
  <c r="AC103" i="2" s="1"/>
  <c r="AB103" i="2" a="1"/>
  <c r="AB103" i="2" s="1"/>
  <c r="AA103" i="2" a="1"/>
  <c r="AA103" i="2" s="1"/>
  <c r="Z103" i="2" a="1"/>
  <c r="Z103" i="2" s="1"/>
  <c r="Z149" i="2" s="1"/>
  <c r="Y103" i="2" a="1"/>
  <c r="Y103" i="2" s="1"/>
  <c r="Y149" i="2" s="1"/>
  <c r="X103" i="2" a="1"/>
  <c r="X103" i="2" s="1"/>
  <c r="W103" i="2" a="1"/>
  <c r="W103" i="2" s="1"/>
  <c r="V103" i="2" a="1"/>
  <c r="V103" i="2" s="1"/>
  <c r="U103" i="2" a="1"/>
  <c r="U103" i="2" s="1"/>
  <c r="U149" i="2" s="1"/>
  <c r="T103" i="2" a="1"/>
  <c r="T103" i="2" s="1"/>
  <c r="T149" i="2" s="1"/>
  <c r="S103" i="2" a="1"/>
  <c r="S103" i="2" s="1"/>
  <c r="R103" i="2" a="1"/>
  <c r="R103" i="2" s="1"/>
  <c r="R149" i="2" s="1"/>
  <c r="Q103" i="2" a="1"/>
  <c r="Q103" i="2" s="1"/>
  <c r="Q149" i="2" s="1"/>
  <c r="P103" i="2" a="1"/>
  <c r="P103" i="2" s="1"/>
  <c r="O103" i="2" a="1"/>
  <c r="O103" i="2" s="1"/>
  <c r="N103" i="2" a="1"/>
  <c r="N103" i="2" s="1"/>
  <c r="M103" i="2" a="1"/>
  <c r="M103" i="2" s="1"/>
  <c r="L103" i="2" a="1"/>
  <c r="L103" i="2" s="1"/>
  <c r="K103" i="2" a="1"/>
  <c r="K103" i="2" s="1"/>
  <c r="J103" i="2" a="1"/>
  <c r="J103" i="2" s="1"/>
  <c r="J149" i="2" s="1"/>
  <c r="I103" i="2" a="1"/>
  <c r="I103" i="2" s="1"/>
  <c r="I149" i="2" s="1"/>
  <c r="H103" i="2" a="1"/>
  <c r="H103" i="2" s="1"/>
  <c r="G103" i="2" a="1"/>
  <c r="G103" i="2" s="1"/>
  <c r="F103" i="2" a="1"/>
  <c r="F103" i="2" s="1"/>
  <c r="E103" i="2" a="1"/>
  <c r="E103" i="2" s="1"/>
  <c r="E149" i="2" s="1"/>
  <c r="D103" i="2" a="1"/>
  <c r="D103" i="2" s="1"/>
  <c r="D149" i="2" s="1"/>
  <c r="AS102" i="2" a="1"/>
  <c r="AS102" i="2" s="1"/>
  <c r="AS148" i="2" s="1"/>
  <c r="AR102" i="2" a="1"/>
  <c r="AR102" i="2" s="1"/>
  <c r="AQ102" i="2" a="1"/>
  <c r="AQ102" i="2" s="1"/>
  <c r="AP102" i="2" a="1"/>
  <c r="AP102" i="2" s="1"/>
  <c r="AO102" i="2" a="1"/>
  <c r="AO102" i="2" s="1"/>
  <c r="AO148" i="2" s="1"/>
  <c r="AN102" i="2" a="1"/>
  <c r="AN102" i="2" s="1"/>
  <c r="AN148" i="2" s="1"/>
  <c r="AM102" i="2" a="1"/>
  <c r="AM102" i="2" s="1"/>
  <c r="AL102" i="2" a="1"/>
  <c r="AL102" i="2" s="1"/>
  <c r="AL148" i="2" s="1"/>
  <c r="AK102" i="2" a="1"/>
  <c r="AK102" i="2" s="1"/>
  <c r="AJ102" i="2" a="1"/>
  <c r="AJ102" i="2" s="1"/>
  <c r="AI102" i="2" a="1"/>
  <c r="AI102" i="2" s="1"/>
  <c r="AI148" i="2" s="1"/>
  <c r="AH102" i="2" a="1"/>
  <c r="AH102" i="2" s="1"/>
  <c r="AH148" i="2" s="1"/>
  <c r="AG102" i="2" a="1"/>
  <c r="AG102" i="2" s="1"/>
  <c r="AF102" i="2" a="1"/>
  <c r="AF102" i="2" s="1"/>
  <c r="AE102" i="2" a="1"/>
  <c r="AE102" i="2" s="1"/>
  <c r="AE148" i="2" s="1"/>
  <c r="AD102" i="2" a="1"/>
  <c r="AD102" i="2" s="1"/>
  <c r="AD148" i="2" s="1"/>
  <c r="AC102" i="2" a="1"/>
  <c r="AC102" i="2" s="1"/>
  <c r="AB102" i="2" a="1"/>
  <c r="AB102" i="2" s="1"/>
  <c r="AA102" i="2" a="1"/>
  <c r="AA102" i="2" s="1"/>
  <c r="Z102" i="2" a="1"/>
  <c r="Z102" i="2" s="1"/>
  <c r="Y102" i="2" a="1"/>
  <c r="Y102" i="2" s="1"/>
  <c r="X102" i="2" a="1"/>
  <c r="X102" i="2" s="1"/>
  <c r="X148" i="2" s="1"/>
  <c r="W102" i="2" a="1"/>
  <c r="W102" i="2" s="1"/>
  <c r="V102" i="2" a="1"/>
  <c r="V102" i="2" s="1"/>
  <c r="U102" i="2" a="1"/>
  <c r="U102" i="2" s="1"/>
  <c r="T102" i="2" a="1"/>
  <c r="T102" i="2" s="1"/>
  <c r="T148" i="2" s="1"/>
  <c r="S102" i="2" a="1"/>
  <c r="S102" i="2" s="1"/>
  <c r="S148" i="2" s="1"/>
  <c r="R102" i="2" a="1"/>
  <c r="R102" i="2" s="1"/>
  <c r="Q102" i="2" a="1"/>
  <c r="Q102" i="2" s="1"/>
  <c r="Q148" i="2" s="1"/>
  <c r="P102" i="2" a="1"/>
  <c r="P102" i="2" s="1"/>
  <c r="O102" i="2" a="1"/>
  <c r="O102" i="2" s="1"/>
  <c r="N102" i="2" a="1"/>
  <c r="N102" i="2" s="1"/>
  <c r="M102" i="2" a="1"/>
  <c r="M102" i="2" s="1"/>
  <c r="M148" i="2" s="1"/>
  <c r="L102" i="2" a="1"/>
  <c r="L102" i="2" s="1"/>
  <c r="L148" i="2" s="1"/>
  <c r="K102" i="2" a="1"/>
  <c r="K102" i="2" s="1"/>
  <c r="J102" i="2" a="1"/>
  <c r="J102" i="2" s="1"/>
  <c r="I102" i="2" a="1"/>
  <c r="I102" i="2" s="1"/>
  <c r="I148" i="2" s="1"/>
  <c r="H102" i="2" a="1"/>
  <c r="H102" i="2" s="1"/>
  <c r="G102" i="2" a="1"/>
  <c r="G102" i="2" s="1"/>
  <c r="F102" i="2" a="1"/>
  <c r="F102" i="2" s="1"/>
  <c r="E102" i="2" a="1"/>
  <c r="E102" i="2" s="1"/>
  <c r="D102" i="2" a="1"/>
  <c r="D102" i="2" s="1"/>
  <c r="D148" i="2" s="1"/>
  <c r="AS101" i="2" a="1"/>
  <c r="AS101" i="2" s="1"/>
  <c r="AS147" i="2" s="1"/>
  <c r="AR101" i="2" a="1"/>
  <c r="AR101" i="2" s="1"/>
  <c r="AQ101" i="2" a="1"/>
  <c r="AQ101" i="2" s="1"/>
  <c r="AP101" i="2" a="1"/>
  <c r="AP101" i="2" s="1"/>
  <c r="AP147" i="2" s="1"/>
  <c r="AO101" i="2" a="1"/>
  <c r="AO101" i="2" s="1"/>
  <c r="AO147" i="2" s="1"/>
  <c r="AN101" i="2" a="1"/>
  <c r="AN101" i="2" s="1"/>
  <c r="AN147" i="2" s="1"/>
  <c r="AM101" i="2" a="1"/>
  <c r="AM101" i="2" s="1"/>
  <c r="AL101" i="2" a="1"/>
  <c r="AL101" i="2" s="1"/>
  <c r="AL147" i="2" s="1"/>
  <c r="AK101" i="2" a="1"/>
  <c r="AK101" i="2" s="1"/>
  <c r="AK147" i="2" s="1"/>
  <c r="AJ101" i="2" a="1"/>
  <c r="AJ101" i="2" s="1"/>
  <c r="AI101" i="2" a="1"/>
  <c r="AI101" i="2" s="1"/>
  <c r="AI147" i="2" s="1"/>
  <c r="AH101" i="2" a="1"/>
  <c r="AH101" i="2" s="1"/>
  <c r="AH147" i="2" s="1"/>
  <c r="AG101" i="2" a="1"/>
  <c r="AG101" i="2" s="1"/>
  <c r="AG147" i="2" s="1"/>
  <c r="AF101" i="2" a="1"/>
  <c r="AF101" i="2" s="1"/>
  <c r="AE101" i="2" a="1"/>
  <c r="AE101" i="2" s="1"/>
  <c r="AD101" i="2" a="1"/>
  <c r="AD101" i="2" s="1"/>
  <c r="AD147" i="2" s="1"/>
  <c r="AC101" i="2" a="1"/>
  <c r="AC101" i="2" s="1"/>
  <c r="AC147" i="2" s="1"/>
  <c r="AB101" i="2" a="1"/>
  <c r="AB101" i="2" s="1"/>
  <c r="AA101" i="2" a="1"/>
  <c r="AA101" i="2" s="1"/>
  <c r="Z101" i="2" a="1"/>
  <c r="Z101" i="2" s="1"/>
  <c r="Z147" i="2" s="1"/>
  <c r="Y101" i="2" a="1"/>
  <c r="Y101" i="2" s="1"/>
  <c r="Y147" i="2" s="1"/>
  <c r="X101" i="2" a="1"/>
  <c r="X101" i="2" s="1"/>
  <c r="X147" i="2" s="1"/>
  <c r="W101" i="2" a="1"/>
  <c r="W101" i="2" s="1"/>
  <c r="V101" i="2" a="1"/>
  <c r="V101" i="2" s="1"/>
  <c r="U101" i="2" a="1"/>
  <c r="U101" i="2" s="1"/>
  <c r="T101" i="2" a="1"/>
  <c r="T101" i="2" s="1"/>
  <c r="S101" i="2" a="1"/>
  <c r="S101" i="2" s="1"/>
  <c r="S147" i="2" s="1"/>
  <c r="R101" i="2" a="1"/>
  <c r="R101" i="2" s="1"/>
  <c r="Q101" i="2" a="1"/>
  <c r="Q101" i="2" s="1"/>
  <c r="Q147" i="2" s="1"/>
  <c r="P101" i="2" a="1"/>
  <c r="P101" i="2" s="1"/>
  <c r="P147" i="2" s="1"/>
  <c r="O101" i="2" a="1"/>
  <c r="O101" i="2" s="1"/>
  <c r="N101" i="2" a="1"/>
  <c r="N101" i="2" s="1"/>
  <c r="M101" i="2" a="1"/>
  <c r="M101" i="2" s="1"/>
  <c r="M147" i="2" s="1"/>
  <c r="L101" i="2" a="1"/>
  <c r="L101" i="2" s="1"/>
  <c r="K101" i="2" a="1"/>
  <c r="K101" i="2" s="1"/>
  <c r="J101" i="2" a="1"/>
  <c r="J101" i="2" s="1"/>
  <c r="I101" i="2" a="1"/>
  <c r="I101" i="2" s="1"/>
  <c r="I147" i="2" s="1"/>
  <c r="H101" i="2" a="1"/>
  <c r="H101" i="2" s="1"/>
  <c r="G101" i="2" a="1"/>
  <c r="G101" i="2" s="1"/>
  <c r="F101" i="2" a="1"/>
  <c r="F101" i="2" s="1"/>
  <c r="E101" i="2" a="1"/>
  <c r="E101" i="2" s="1"/>
  <c r="E147" i="2" s="1"/>
  <c r="D101" i="2" a="1"/>
  <c r="D101" i="2" s="1"/>
  <c r="AS100" i="2" a="1"/>
  <c r="AS100" i="2" s="1"/>
  <c r="AS146" i="2" s="1"/>
  <c r="AR100" i="2" a="1"/>
  <c r="AR100" i="2" s="1"/>
  <c r="AQ100" i="2" a="1"/>
  <c r="AQ100" i="2" s="1"/>
  <c r="AP100" i="2" a="1"/>
  <c r="AP100" i="2" s="1"/>
  <c r="AP146" i="2" s="1"/>
  <c r="AO100" i="2" a="1"/>
  <c r="AO100" i="2" s="1"/>
  <c r="AO146" i="2" s="1"/>
  <c r="AN100" i="2" a="1"/>
  <c r="AN100" i="2" s="1"/>
  <c r="AN146" i="2" s="1"/>
  <c r="AM100" i="2" a="1"/>
  <c r="AM100" i="2" s="1"/>
  <c r="AL100" i="2" a="1"/>
  <c r="AL100" i="2" s="1"/>
  <c r="AK100" i="2" a="1"/>
  <c r="AK100" i="2" s="1"/>
  <c r="AJ100" i="2" a="1"/>
  <c r="AJ100" i="2" s="1"/>
  <c r="AI100" i="2" a="1"/>
  <c r="AI100" i="2" s="1"/>
  <c r="AI146" i="2" s="1"/>
  <c r="AH100" i="2" a="1"/>
  <c r="AH100" i="2" s="1"/>
  <c r="AH146" i="2" s="1"/>
  <c r="AG100" i="2" a="1"/>
  <c r="AG100" i="2" s="1"/>
  <c r="AG146" i="2" s="1"/>
  <c r="AF100" i="2" a="1"/>
  <c r="AF100" i="2" s="1"/>
  <c r="AE100" i="2" a="1"/>
  <c r="AE100" i="2" s="1"/>
  <c r="AD100" i="2" a="1"/>
  <c r="AD100" i="2" s="1"/>
  <c r="AD146" i="2" s="1"/>
  <c r="AC100" i="2" a="1"/>
  <c r="AC100" i="2" s="1"/>
  <c r="AC146" i="2" s="1"/>
  <c r="AB100" i="2" a="1"/>
  <c r="AB100" i="2" s="1"/>
  <c r="AA100" i="2" a="1"/>
  <c r="AA100" i="2" s="1"/>
  <c r="Z100" i="2" a="1"/>
  <c r="Z100" i="2" s="1"/>
  <c r="Z146" i="2" s="1"/>
  <c r="Y100" i="2" a="1"/>
  <c r="Y100" i="2" s="1"/>
  <c r="X100" i="2" a="1"/>
  <c r="X100" i="2" s="1"/>
  <c r="X146" i="2" s="1"/>
  <c r="W100" i="2" a="1"/>
  <c r="W100" i="2" s="1"/>
  <c r="V100" i="2" a="1"/>
  <c r="V100" i="2" s="1"/>
  <c r="V146" i="2" s="1"/>
  <c r="U100" i="2" a="1"/>
  <c r="U100" i="2" s="1"/>
  <c r="T100" i="2" a="1"/>
  <c r="T100" i="2" s="1"/>
  <c r="T146" i="2" s="1"/>
  <c r="S100" i="2" a="1"/>
  <c r="S100" i="2" s="1"/>
  <c r="S146" i="2" s="1"/>
  <c r="R100" i="2" a="1"/>
  <c r="R100" i="2" s="1"/>
  <c r="Q100" i="2" a="1"/>
  <c r="Q100" i="2" s="1"/>
  <c r="Q146" i="2" s="1"/>
  <c r="P100" i="2" a="1"/>
  <c r="P100" i="2" s="1"/>
  <c r="O100" i="2" a="1"/>
  <c r="O100" i="2" s="1"/>
  <c r="N100" i="2" a="1"/>
  <c r="N100" i="2" s="1"/>
  <c r="N146" i="2" s="1"/>
  <c r="M100" i="2" a="1"/>
  <c r="M100" i="2" s="1"/>
  <c r="M146" i="2" s="1"/>
  <c r="L100" i="2" a="1"/>
  <c r="L100" i="2" s="1"/>
  <c r="L146" i="2" s="1"/>
  <c r="K100" i="2" a="1"/>
  <c r="K100" i="2" s="1"/>
  <c r="J100" i="2" a="1"/>
  <c r="J100" i="2" s="1"/>
  <c r="J146" i="2" s="1"/>
  <c r="I100" i="2" a="1"/>
  <c r="I100" i="2" s="1"/>
  <c r="I146" i="2" s="1"/>
  <c r="H100" i="2" a="1"/>
  <c r="H100" i="2" s="1"/>
  <c r="H146" i="2" s="1"/>
  <c r="G100" i="2" a="1"/>
  <c r="G100" i="2" s="1"/>
  <c r="F100" i="2" a="1"/>
  <c r="F100" i="2" s="1"/>
  <c r="F146" i="2" s="1"/>
  <c r="E100" i="2" a="1"/>
  <c r="E100" i="2" s="1"/>
  <c r="D100" i="2" a="1"/>
  <c r="D100" i="2" s="1"/>
  <c r="D146" i="2" s="1"/>
  <c r="AS99" i="2" a="1"/>
  <c r="AS99" i="2" s="1"/>
  <c r="AS145" i="2" s="1"/>
  <c r="AR99" i="2" a="1"/>
  <c r="AR99" i="2" s="1"/>
  <c r="AQ99" i="2" a="1"/>
  <c r="AQ99" i="2" s="1"/>
  <c r="AP99" i="2" a="1"/>
  <c r="AP99" i="2" s="1"/>
  <c r="AP145" i="2" s="1"/>
  <c r="AO99" i="2" a="1"/>
  <c r="AO99" i="2" s="1"/>
  <c r="AO145" i="2" s="1"/>
  <c r="AN99" i="2" a="1"/>
  <c r="AN99" i="2" s="1"/>
  <c r="AN145" i="2" s="1"/>
  <c r="AM99" i="2" a="1"/>
  <c r="AM99" i="2" s="1"/>
  <c r="AL99" i="2" a="1"/>
  <c r="AL99" i="2" s="1"/>
  <c r="AL145" i="2" s="1"/>
  <c r="AK99" i="2" a="1"/>
  <c r="AK99" i="2" s="1"/>
  <c r="AK145" i="2" s="1"/>
  <c r="AJ99" i="2" a="1"/>
  <c r="AJ99" i="2" s="1"/>
  <c r="AI99" i="2" a="1"/>
  <c r="AI99" i="2" s="1"/>
  <c r="AH99" i="2" a="1"/>
  <c r="AH99" i="2" s="1"/>
  <c r="AH145" i="2" s="1"/>
  <c r="AG99" i="2" a="1"/>
  <c r="AG99" i="2" s="1"/>
  <c r="AG145" i="2" s="1"/>
  <c r="AF99" i="2" a="1"/>
  <c r="AF99" i="2" s="1"/>
  <c r="AE99" i="2" a="1"/>
  <c r="AE99" i="2" s="1"/>
  <c r="AD99" i="2" a="1"/>
  <c r="AD99" i="2" s="1"/>
  <c r="AD145" i="2" s="1"/>
  <c r="AC99" i="2" a="1"/>
  <c r="AC99" i="2" s="1"/>
  <c r="AC145" i="2" s="1"/>
  <c r="AB99" i="2" a="1"/>
  <c r="AB99" i="2" s="1"/>
  <c r="AA99" i="2" a="1"/>
  <c r="AA99" i="2" s="1"/>
  <c r="Z99" i="2" a="1"/>
  <c r="Z99" i="2" s="1"/>
  <c r="Z145" i="2" s="1"/>
  <c r="Y99" i="2" a="1"/>
  <c r="Y99" i="2" s="1"/>
  <c r="X99" i="2" a="1"/>
  <c r="X99" i="2" s="1"/>
  <c r="X145" i="2" s="1"/>
  <c r="W99" i="2" a="1"/>
  <c r="W99" i="2" s="1"/>
  <c r="V99" i="2" a="1"/>
  <c r="V99" i="2" s="1"/>
  <c r="U99" i="2" a="1"/>
  <c r="U99" i="2" s="1"/>
  <c r="T99" i="2" a="1"/>
  <c r="T99" i="2" s="1"/>
  <c r="T145" i="2" s="1"/>
  <c r="S99" i="2" a="1"/>
  <c r="S99" i="2" s="1"/>
  <c r="R99" i="2" a="1"/>
  <c r="R99" i="2" s="1"/>
  <c r="Q99" i="2" a="1"/>
  <c r="Q99" i="2" s="1"/>
  <c r="Q145" i="2" s="1"/>
  <c r="P99" i="2" a="1"/>
  <c r="P99" i="2" s="1"/>
  <c r="O99" i="2" a="1"/>
  <c r="O99" i="2" s="1"/>
  <c r="N99" i="2" a="1"/>
  <c r="N99" i="2" s="1"/>
  <c r="M99" i="2" a="1"/>
  <c r="M99" i="2" s="1"/>
  <c r="M145" i="2" s="1"/>
  <c r="L99" i="2" a="1"/>
  <c r="L99" i="2" s="1"/>
  <c r="L145" i="2" s="1"/>
  <c r="K99" i="2" a="1"/>
  <c r="K99" i="2" s="1"/>
  <c r="J99" i="2" a="1"/>
  <c r="J99" i="2" s="1"/>
  <c r="J145" i="2" s="1"/>
  <c r="I99" i="2" a="1"/>
  <c r="I99" i="2" s="1"/>
  <c r="I145" i="2" s="1"/>
  <c r="H99" i="2" a="1"/>
  <c r="H99" i="2" s="1"/>
  <c r="G99" i="2" a="1"/>
  <c r="G99" i="2" s="1"/>
  <c r="F99" i="2" a="1"/>
  <c r="F99" i="2" s="1"/>
  <c r="E99" i="2" a="1"/>
  <c r="E99" i="2" s="1"/>
  <c r="E145" i="2" s="1"/>
  <c r="D99" i="2" a="1"/>
  <c r="D99" i="2" s="1"/>
  <c r="AS98" i="2" a="1"/>
  <c r="AS98" i="2" s="1"/>
  <c r="AS144" i="2" s="1"/>
  <c r="AR98" i="2" a="1"/>
  <c r="AR98" i="2" s="1"/>
  <c r="AQ98" i="2" a="1"/>
  <c r="AQ98" i="2" s="1"/>
  <c r="AP98" i="2" a="1"/>
  <c r="AP98" i="2" s="1"/>
  <c r="AP144" i="2" s="1"/>
  <c r="AO98" i="2" a="1"/>
  <c r="AO98" i="2" s="1"/>
  <c r="AO144" i="2" s="1"/>
  <c r="AN98" i="2" a="1"/>
  <c r="AN98" i="2" s="1"/>
  <c r="AM98" i="2" a="1"/>
  <c r="AM98" i="2" s="1"/>
  <c r="AL98" i="2" a="1"/>
  <c r="AL98" i="2" s="1"/>
  <c r="AK98" i="2" a="1"/>
  <c r="AK98" i="2" s="1"/>
  <c r="AJ98" i="2" a="1"/>
  <c r="AJ98" i="2" s="1"/>
  <c r="AI98" i="2" a="1"/>
  <c r="AI98" i="2" s="1"/>
  <c r="AI144" i="2" s="1"/>
  <c r="AH98" i="2" a="1"/>
  <c r="AH98" i="2" s="1"/>
  <c r="AH144" i="2" s="1"/>
  <c r="AG98" i="2" a="1"/>
  <c r="AG98" i="2" s="1"/>
  <c r="AG144" i="2" s="1"/>
  <c r="AF98" i="2" a="1"/>
  <c r="AF98" i="2" s="1"/>
  <c r="AF144" i="2" s="1"/>
  <c r="AE98" i="2" a="1"/>
  <c r="AE98" i="2" s="1"/>
  <c r="AD98" i="2" a="1"/>
  <c r="AD98" i="2" s="1"/>
  <c r="AD144" i="2" s="1"/>
  <c r="AC98" i="2" a="1"/>
  <c r="AC98" i="2" s="1"/>
  <c r="AC144" i="2" s="1"/>
  <c r="AB98" i="2" a="1"/>
  <c r="AB98" i="2" s="1"/>
  <c r="AA98" i="2" a="1"/>
  <c r="AA98" i="2" s="1"/>
  <c r="Z98" i="2" a="1"/>
  <c r="Z98" i="2" s="1"/>
  <c r="Z144" i="2" s="1"/>
  <c r="Y98" i="2" a="1"/>
  <c r="Y98" i="2" s="1"/>
  <c r="X98" i="2" a="1"/>
  <c r="X98" i="2" s="1"/>
  <c r="X144" i="2" s="1"/>
  <c r="W98" i="2" a="1"/>
  <c r="W98" i="2" s="1"/>
  <c r="V98" i="2" a="1"/>
  <c r="V98" i="2" s="1"/>
  <c r="U98" i="2" a="1"/>
  <c r="U98" i="2" s="1"/>
  <c r="T98" i="2" a="1"/>
  <c r="T98" i="2" s="1"/>
  <c r="T144" i="2" s="1"/>
  <c r="S98" i="2" a="1"/>
  <c r="S98" i="2" s="1"/>
  <c r="S144" i="2" s="1"/>
  <c r="R98" i="2" a="1"/>
  <c r="R98" i="2" s="1"/>
  <c r="Q98" i="2" a="1"/>
  <c r="Q98" i="2" s="1"/>
  <c r="Q144" i="2" s="1"/>
  <c r="P98" i="2" a="1"/>
  <c r="P98" i="2" s="1"/>
  <c r="P144" i="2" s="1"/>
  <c r="O98" i="2" a="1"/>
  <c r="O98" i="2" s="1"/>
  <c r="N98" i="2" a="1"/>
  <c r="N98" i="2" s="1"/>
  <c r="M98" i="2" a="1"/>
  <c r="M98" i="2" s="1"/>
  <c r="M144" i="2" s="1"/>
  <c r="L98" i="2" a="1"/>
  <c r="L98" i="2" s="1"/>
  <c r="L144" i="2" s="1"/>
  <c r="K98" i="2" a="1"/>
  <c r="K98" i="2" s="1"/>
  <c r="J98" i="2" a="1"/>
  <c r="J98" i="2" s="1"/>
  <c r="J144" i="2" s="1"/>
  <c r="I98" i="2" a="1"/>
  <c r="I98" i="2" s="1"/>
  <c r="I144" i="2" s="1"/>
  <c r="H98" i="2" a="1"/>
  <c r="H98" i="2" s="1"/>
  <c r="G98" i="2" a="1"/>
  <c r="G98" i="2" s="1"/>
  <c r="G144" i="2" s="1"/>
  <c r="F98" i="2" a="1"/>
  <c r="F98" i="2" s="1"/>
  <c r="E98" i="2" a="1"/>
  <c r="E98" i="2" s="1"/>
  <c r="D98" i="2" a="1"/>
  <c r="D98" i="2" s="1"/>
  <c r="AS97" i="2" a="1"/>
  <c r="AS97" i="2" s="1"/>
  <c r="AS143" i="2" s="1"/>
  <c r="AR97" i="2" a="1"/>
  <c r="AR97" i="2" s="1"/>
  <c r="AQ97" i="2" a="1"/>
  <c r="AQ97" i="2" s="1"/>
  <c r="AP97" i="2" a="1"/>
  <c r="AP97" i="2" s="1"/>
  <c r="AP143" i="2" s="1"/>
  <c r="AO97" i="2" a="1"/>
  <c r="AO97" i="2" s="1"/>
  <c r="AO143" i="2" s="1"/>
  <c r="AN97" i="2" a="1"/>
  <c r="AN97" i="2" s="1"/>
  <c r="AN143" i="2" s="1"/>
  <c r="AM97" i="2" a="1"/>
  <c r="AM97" i="2" s="1"/>
  <c r="AL97" i="2" a="1"/>
  <c r="AL97" i="2" s="1"/>
  <c r="AK97" i="2" a="1"/>
  <c r="AK97" i="2" s="1"/>
  <c r="AK143" i="2" s="1"/>
  <c r="AJ97" i="2" a="1"/>
  <c r="AJ97" i="2" s="1"/>
  <c r="AI97" i="2" a="1"/>
  <c r="AI97" i="2" s="1"/>
  <c r="AI143" i="2" s="1"/>
  <c r="AH97" i="2" a="1"/>
  <c r="AH97" i="2" s="1"/>
  <c r="AH143" i="2" s="1"/>
  <c r="AG97" i="2" a="1"/>
  <c r="AG97" i="2" s="1"/>
  <c r="AG143" i="2" s="1"/>
  <c r="AF97" i="2" a="1"/>
  <c r="AF97" i="2" s="1"/>
  <c r="AE97" i="2" a="1"/>
  <c r="AE97" i="2" s="1"/>
  <c r="AD97" i="2" a="1"/>
  <c r="AD97" i="2" s="1"/>
  <c r="AD143" i="2" s="1"/>
  <c r="AC97" i="2" a="1"/>
  <c r="AC97" i="2" s="1"/>
  <c r="AC143" i="2" s="1"/>
  <c r="AB97" i="2" a="1"/>
  <c r="AB97" i="2" s="1"/>
  <c r="AA97" i="2" a="1"/>
  <c r="AA97" i="2" s="1"/>
  <c r="Z97" i="2" a="1"/>
  <c r="Z97" i="2" s="1"/>
  <c r="Z143" i="2" s="1"/>
  <c r="Y97" i="2" a="1"/>
  <c r="Y97" i="2" s="1"/>
  <c r="X97" i="2" a="1"/>
  <c r="X97" i="2" s="1"/>
  <c r="X143" i="2" s="1"/>
  <c r="W97" i="2" a="1"/>
  <c r="W97" i="2" s="1"/>
  <c r="V97" i="2" a="1"/>
  <c r="V97" i="2" s="1"/>
  <c r="U97" i="2" a="1"/>
  <c r="U97" i="2" s="1"/>
  <c r="U143" i="2" s="1"/>
  <c r="T97" i="2" a="1"/>
  <c r="T97" i="2" s="1"/>
  <c r="T143" i="2" s="1"/>
  <c r="S97" i="2" a="1"/>
  <c r="S97" i="2" s="1"/>
  <c r="S143" i="2" s="1"/>
  <c r="R97" i="2" a="1"/>
  <c r="R97" i="2" s="1"/>
  <c r="R143" i="2" s="1"/>
  <c r="Q97" i="2" a="1"/>
  <c r="Q97" i="2" s="1"/>
  <c r="Q143" i="2" s="1"/>
  <c r="P97" i="2" a="1"/>
  <c r="P97" i="2" s="1"/>
  <c r="O97" i="2" a="1"/>
  <c r="O97" i="2" s="1"/>
  <c r="N97" i="2" a="1"/>
  <c r="N97" i="2" s="1"/>
  <c r="M97" i="2" a="1"/>
  <c r="M97" i="2" s="1"/>
  <c r="M143" i="2" s="1"/>
  <c r="L97" i="2" a="1"/>
  <c r="L97" i="2" s="1"/>
  <c r="L143" i="2" s="1"/>
  <c r="K97" i="2" a="1"/>
  <c r="K97" i="2" s="1"/>
  <c r="J97" i="2" a="1"/>
  <c r="J97" i="2" s="1"/>
  <c r="J143" i="2" s="1"/>
  <c r="I97" i="2" a="1"/>
  <c r="I97" i="2" s="1"/>
  <c r="I143" i="2" s="1"/>
  <c r="H97" i="2" a="1"/>
  <c r="H97" i="2" s="1"/>
  <c r="G97" i="2" a="1"/>
  <c r="G97" i="2" s="1"/>
  <c r="G143" i="2" s="1"/>
  <c r="F97" i="2" a="1"/>
  <c r="F97" i="2" s="1"/>
  <c r="E97" i="2" a="1"/>
  <c r="E97" i="2" s="1"/>
  <c r="E143" i="2" s="1"/>
  <c r="D97" i="2" a="1"/>
  <c r="D97" i="2" s="1"/>
  <c r="AS96" i="2" a="1"/>
  <c r="AS96" i="2" s="1"/>
  <c r="AS142" i="2" s="1"/>
  <c r="AR96" i="2" a="1"/>
  <c r="AR96" i="2" s="1"/>
  <c r="AQ96" i="2" a="1"/>
  <c r="AQ96" i="2" s="1"/>
  <c r="AP96" i="2" a="1"/>
  <c r="AP96" i="2" s="1"/>
  <c r="AP142" i="2" s="1"/>
  <c r="AO96" i="2" a="1"/>
  <c r="AO96" i="2" s="1"/>
  <c r="AO142" i="2" s="1"/>
  <c r="AN96" i="2" a="1"/>
  <c r="AN96" i="2" s="1"/>
  <c r="AN142" i="2" s="1"/>
  <c r="AM96" i="2" a="1"/>
  <c r="AM96" i="2" s="1"/>
  <c r="AM142" i="2" s="1"/>
  <c r="AL96" i="2" a="1"/>
  <c r="AL96" i="2" s="1"/>
  <c r="AK96" i="2" a="1"/>
  <c r="AK96" i="2" s="1"/>
  <c r="AK142" i="2" s="1"/>
  <c r="AJ96" i="2" a="1"/>
  <c r="AJ96" i="2" s="1"/>
  <c r="AI96" i="2" a="1"/>
  <c r="AI96" i="2" s="1"/>
  <c r="AI142" i="2" s="1"/>
  <c r="AH96" i="2" a="1"/>
  <c r="AH96" i="2" s="1"/>
  <c r="AH142" i="2" s="1"/>
  <c r="AG96" i="2" a="1"/>
  <c r="AG96" i="2" s="1"/>
  <c r="AG142" i="2" s="1"/>
  <c r="AF96" i="2" a="1"/>
  <c r="AF96" i="2" s="1"/>
  <c r="AE96" i="2" a="1"/>
  <c r="AE96" i="2" s="1"/>
  <c r="AD96" i="2" a="1"/>
  <c r="AD96" i="2" s="1"/>
  <c r="AD142" i="2" s="1"/>
  <c r="AC96" i="2" a="1"/>
  <c r="AC96" i="2" s="1"/>
  <c r="AC142" i="2" s="1"/>
  <c r="AB96" i="2" a="1"/>
  <c r="AB96" i="2" s="1"/>
  <c r="AA96" i="2" a="1"/>
  <c r="AA96" i="2" s="1"/>
  <c r="Z96" i="2" a="1"/>
  <c r="Z96" i="2" s="1"/>
  <c r="Z142" i="2" s="1"/>
  <c r="Y96" i="2" a="1"/>
  <c r="Y96" i="2" s="1"/>
  <c r="X96" i="2" a="1"/>
  <c r="X96" i="2" s="1"/>
  <c r="X142" i="2" s="1"/>
  <c r="W96" i="2" a="1"/>
  <c r="W96" i="2" s="1"/>
  <c r="W142" i="2" s="1"/>
  <c r="V96" i="2" a="1"/>
  <c r="V96" i="2" s="1"/>
  <c r="V142" i="2" s="1"/>
  <c r="U96" i="2" a="1"/>
  <c r="U96" i="2" s="1"/>
  <c r="U142" i="2" s="1"/>
  <c r="T96" i="2" a="1"/>
  <c r="T96" i="2" s="1"/>
  <c r="T142" i="2" s="1"/>
  <c r="S96" i="2" a="1"/>
  <c r="S96" i="2" s="1"/>
  <c r="S142" i="2" s="1"/>
  <c r="R96" i="2" a="1"/>
  <c r="R96" i="2" s="1"/>
  <c r="Q96" i="2" a="1"/>
  <c r="Q96" i="2" s="1"/>
  <c r="Q142" i="2" s="1"/>
  <c r="P96" i="2" a="1"/>
  <c r="P96" i="2" s="1"/>
  <c r="P142" i="2" s="1"/>
  <c r="O96" i="2" a="1"/>
  <c r="O96" i="2" s="1"/>
  <c r="N96" i="2" a="1"/>
  <c r="N96" i="2" s="1"/>
  <c r="N142" i="2" s="1"/>
  <c r="M96" i="2" a="1"/>
  <c r="M96" i="2" s="1"/>
  <c r="M142" i="2" s="1"/>
  <c r="L96" i="2" a="1"/>
  <c r="L96" i="2" s="1"/>
  <c r="L142" i="2" s="1"/>
  <c r="K96" i="2" a="1"/>
  <c r="K96" i="2" s="1"/>
  <c r="K142" i="2" s="1"/>
  <c r="J96" i="2" a="1"/>
  <c r="J96" i="2" s="1"/>
  <c r="J142" i="2" s="1"/>
  <c r="I96" i="2" a="1"/>
  <c r="I96" i="2" s="1"/>
  <c r="I142" i="2" s="1"/>
  <c r="H96" i="2" a="1"/>
  <c r="H96" i="2" s="1"/>
  <c r="G96" i="2" a="1"/>
  <c r="G96" i="2" s="1"/>
  <c r="G142" i="2" s="1"/>
  <c r="F96" i="2" a="1"/>
  <c r="F96" i="2" s="1"/>
  <c r="F142" i="2" s="1"/>
  <c r="E96" i="2" a="1"/>
  <c r="E96" i="2" s="1"/>
  <c r="E142" i="2" s="1"/>
  <c r="D96" i="2" a="1"/>
  <c r="D96" i="2" s="1"/>
  <c r="AS95" i="2" a="1"/>
  <c r="AS95" i="2" s="1"/>
  <c r="AS141" i="2" s="1"/>
  <c r="AR95" i="2" a="1"/>
  <c r="AR95" i="2" s="1"/>
  <c r="AQ95" i="2" a="1"/>
  <c r="AQ95" i="2" s="1"/>
  <c r="AP95" i="2" a="1"/>
  <c r="AP95" i="2" s="1"/>
  <c r="AP141" i="2" s="1"/>
  <c r="AO95" i="2" a="1"/>
  <c r="AO95" i="2" s="1"/>
  <c r="AO141" i="2" s="1"/>
  <c r="AN95" i="2" a="1"/>
  <c r="AN95" i="2" s="1"/>
  <c r="AN141" i="2" s="1"/>
  <c r="AM95" i="2" a="1"/>
  <c r="AM95" i="2" s="1"/>
  <c r="AL95" i="2" a="1"/>
  <c r="AL95" i="2" s="1"/>
  <c r="AL141" i="2" s="1"/>
  <c r="AK95" i="2" a="1"/>
  <c r="AK95" i="2" s="1"/>
  <c r="AK141" i="2" s="1"/>
  <c r="AJ95" i="2" a="1"/>
  <c r="AJ95" i="2" s="1"/>
  <c r="AI95" i="2" a="1"/>
  <c r="AI95" i="2" s="1"/>
  <c r="AH95" i="2" a="1"/>
  <c r="AH95" i="2" s="1"/>
  <c r="AH141" i="2" s="1"/>
  <c r="AG95" i="2" a="1"/>
  <c r="AG95" i="2" s="1"/>
  <c r="AG141" i="2" s="1"/>
  <c r="AF95" i="2" a="1"/>
  <c r="AF95" i="2" s="1"/>
  <c r="AF141" i="2" s="1"/>
  <c r="AE95" i="2" a="1"/>
  <c r="AE95" i="2" s="1"/>
  <c r="AD95" i="2" a="1"/>
  <c r="AD95" i="2" s="1"/>
  <c r="AD141" i="2" s="1"/>
  <c r="AC95" i="2" a="1"/>
  <c r="AC95" i="2" s="1"/>
  <c r="AC141" i="2" s="1"/>
  <c r="AB95" i="2" a="1"/>
  <c r="AB95" i="2" s="1"/>
  <c r="AA95" i="2" a="1"/>
  <c r="AA95" i="2" s="1"/>
  <c r="Z95" i="2" a="1"/>
  <c r="Z95" i="2" s="1"/>
  <c r="Z141" i="2" s="1"/>
  <c r="Y95" i="2" a="1"/>
  <c r="Y95" i="2" s="1"/>
  <c r="X95" i="2" a="1"/>
  <c r="X95" i="2" s="1"/>
  <c r="X141" i="2" s="1"/>
  <c r="W95" i="2" a="1"/>
  <c r="W95" i="2" s="1"/>
  <c r="V95" i="2" a="1"/>
  <c r="V95" i="2" s="1"/>
  <c r="U95" i="2" a="1"/>
  <c r="U95" i="2" s="1"/>
  <c r="U141" i="2" s="1"/>
  <c r="T95" i="2" a="1"/>
  <c r="T95" i="2" s="1"/>
  <c r="T141" i="2" s="1"/>
  <c r="S95" i="2" a="1"/>
  <c r="S95" i="2" s="1"/>
  <c r="R95" i="2" a="1"/>
  <c r="R95" i="2" s="1"/>
  <c r="R141" i="2" s="1"/>
  <c r="Q95" i="2" a="1"/>
  <c r="Q95" i="2" s="1"/>
  <c r="Q141" i="2" s="1"/>
  <c r="P95" i="2" a="1"/>
  <c r="P95" i="2" s="1"/>
  <c r="O95" i="2" a="1"/>
  <c r="O95" i="2" s="1"/>
  <c r="N95" i="2" a="1"/>
  <c r="N95" i="2" s="1"/>
  <c r="M95" i="2" a="1"/>
  <c r="M95" i="2" s="1"/>
  <c r="M141" i="2" s="1"/>
  <c r="L95" i="2" a="1"/>
  <c r="L95" i="2" s="1"/>
  <c r="L141" i="2" s="1"/>
  <c r="K95" i="2" a="1"/>
  <c r="K95" i="2" s="1"/>
  <c r="J95" i="2" a="1"/>
  <c r="J95" i="2" s="1"/>
  <c r="J141" i="2" s="1"/>
  <c r="I95" i="2" a="1"/>
  <c r="I95" i="2" s="1"/>
  <c r="I141" i="2" s="1"/>
  <c r="H95" i="2" a="1"/>
  <c r="H95" i="2" s="1"/>
  <c r="G95" i="2" a="1"/>
  <c r="G95" i="2" s="1"/>
  <c r="G141" i="2" s="1"/>
  <c r="F95" i="2" a="1"/>
  <c r="F95" i="2" s="1"/>
  <c r="E95" i="2" a="1"/>
  <c r="E95" i="2"/>
  <c r="E141" i="2" s="1"/>
  <c r="D95" i="2" a="1"/>
  <c r="D95" i="2" s="1"/>
  <c r="AS94" i="2" a="1"/>
  <c r="AS94" i="2" s="1"/>
  <c r="AS140" i="2" s="1"/>
  <c r="AR94" i="2" a="1"/>
  <c r="AR94" i="2" s="1"/>
  <c r="AQ94" i="2" a="1"/>
  <c r="AQ94" i="2"/>
  <c r="AP94" i="2" a="1"/>
  <c r="AP94" i="2" s="1"/>
  <c r="AP140" i="2" s="1"/>
  <c r="AO94" i="2" a="1"/>
  <c r="AO94" i="2" s="1"/>
  <c r="AO140" i="2" s="1"/>
  <c r="AN94" i="2" a="1"/>
  <c r="AN94" i="2" s="1"/>
  <c r="AN140" i="2" s="1"/>
  <c r="AM94" i="2" a="1"/>
  <c r="AM94" i="2" s="1"/>
  <c r="AL94" i="2" a="1"/>
  <c r="AL94" i="2" s="1"/>
  <c r="AK94" i="2" a="1"/>
  <c r="AK94" i="2" s="1"/>
  <c r="AK140" i="2" s="1"/>
  <c r="AJ94" i="2" a="1"/>
  <c r="AJ94" i="2" s="1"/>
  <c r="AI94" i="2" a="1"/>
  <c r="AI94" i="2" s="1"/>
  <c r="AI140" i="2" s="1"/>
  <c r="AH94" i="2" a="1"/>
  <c r="AH94" i="2" s="1"/>
  <c r="AH140" i="2" s="1"/>
  <c r="AG94" i="2" a="1"/>
  <c r="AG94" i="2" s="1"/>
  <c r="AG140" i="2" s="1"/>
  <c r="AF94" i="2" a="1"/>
  <c r="AF94" i="2" s="1"/>
  <c r="AE94" i="2" a="1"/>
  <c r="AE94" i="2" s="1"/>
  <c r="AD94" i="2" a="1"/>
  <c r="AD94" i="2" s="1"/>
  <c r="AD140" i="2" s="1"/>
  <c r="AC94" i="2" a="1"/>
  <c r="AC94" i="2" s="1"/>
  <c r="AC140" i="2" s="1"/>
  <c r="AB94" i="2" a="1"/>
  <c r="AB94" i="2" s="1"/>
  <c r="AA94" i="2" a="1"/>
  <c r="AA94" i="2" s="1"/>
  <c r="Z94" i="2" a="1"/>
  <c r="Z94" i="2" s="1"/>
  <c r="Z140" i="2" s="1"/>
  <c r="Y94" i="2" a="1"/>
  <c r="Y94" i="2" s="1"/>
  <c r="X94" i="2" a="1"/>
  <c r="X94" i="2" s="1"/>
  <c r="X140" i="2" s="1"/>
  <c r="W94" i="2" a="1"/>
  <c r="W94" i="2" s="1"/>
  <c r="V94" i="2" a="1"/>
  <c r="V94" i="2" s="1"/>
  <c r="V140" i="2" s="1"/>
  <c r="U94" i="2" a="1"/>
  <c r="U94" i="2" s="1"/>
  <c r="U140" i="2" s="1"/>
  <c r="T94" i="2" a="1"/>
  <c r="T94" i="2" s="1"/>
  <c r="T140" i="2" s="1"/>
  <c r="S94" i="2" a="1"/>
  <c r="S94" i="2" s="1"/>
  <c r="S140" i="2" s="1"/>
  <c r="R94" i="2" a="1"/>
  <c r="R94" i="2" s="1"/>
  <c r="Q94" i="2" a="1"/>
  <c r="Q94" i="2" s="1"/>
  <c r="Q140" i="2" s="1"/>
  <c r="P94" i="2" a="1"/>
  <c r="P94" i="2" s="1"/>
  <c r="O94" i="2" a="1"/>
  <c r="O94" i="2" s="1"/>
  <c r="N94" i="2" a="1"/>
  <c r="N94" i="2" s="1"/>
  <c r="M94" i="2" a="1"/>
  <c r="M94" i="2" s="1"/>
  <c r="M140" i="2" s="1"/>
  <c r="L94" i="2" a="1"/>
  <c r="L94" i="2" s="1"/>
  <c r="L140" i="2" s="1"/>
  <c r="K94" i="2" a="1"/>
  <c r="K94" i="2" s="1"/>
  <c r="J94" i="2" a="1"/>
  <c r="J94" i="2" s="1"/>
  <c r="J140" i="2" s="1"/>
  <c r="I94" i="2" a="1"/>
  <c r="I94" i="2" s="1"/>
  <c r="I140" i="2" s="1"/>
  <c r="H94" i="2" a="1"/>
  <c r="H94" i="2" s="1"/>
  <c r="G94" i="2" a="1"/>
  <c r="G94" i="2" s="1"/>
  <c r="G140" i="2" s="1"/>
  <c r="F94" i="2" a="1"/>
  <c r="F94" i="2" s="1"/>
  <c r="E94" i="2" a="1"/>
  <c r="E94" i="2" s="1"/>
  <c r="E140" i="2" s="1"/>
  <c r="D94" i="2" a="1"/>
  <c r="D94" i="2" s="1"/>
  <c r="AS93" i="2" a="1"/>
  <c r="AS93" i="2" s="1"/>
  <c r="AS139" i="2" s="1"/>
  <c r="AR93" i="2" a="1"/>
  <c r="AR93" i="2" s="1"/>
  <c r="AR139" i="2" s="1"/>
  <c r="AQ93" i="2" a="1"/>
  <c r="AQ93" i="2" s="1"/>
  <c r="AP93" i="2" a="1"/>
  <c r="AP93" i="2" s="1"/>
  <c r="AP139" i="2" s="1"/>
  <c r="AO93" i="2" a="1"/>
  <c r="AO93" i="2" s="1"/>
  <c r="AO139" i="2" s="1"/>
  <c r="AN93" i="2" a="1"/>
  <c r="AN93" i="2" s="1"/>
  <c r="AN139" i="2" s="1"/>
  <c r="AM93" i="2" a="1"/>
  <c r="AM93" i="2" s="1"/>
  <c r="AM139" i="2" s="1"/>
  <c r="AL93" i="2" a="1"/>
  <c r="AL93" i="2" s="1"/>
  <c r="AL139" i="2" s="1"/>
  <c r="AK93" i="2" a="1"/>
  <c r="AK93" i="2" s="1"/>
  <c r="AK139" i="2" s="1"/>
  <c r="AJ93" i="2" a="1"/>
  <c r="AJ93" i="2" s="1"/>
  <c r="AJ139" i="2" s="1"/>
  <c r="AI93" i="2" a="1"/>
  <c r="AI93" i="2" s="1"/>
  <c r="AI139" i="2" s="1"/>
  <c r="AH93" i="2" a="1"/>
  <c r="AH93" i="2" s="1"/>
  <c r="AH139" i="2" s="1"/>
  <c r="AG93" i="2" a="1"/>
  <c r="AG93" i="2"/>
  <c r="AG139" i="2" s="1"/>
  <c r="AF93" i="2" a="1"/>
  <c r="AF93" i="2" s="1"/>
  <c r="AE93" i="2" a="1"/>
  <c r="AE93" i="2" s="1"/>
  <c r="AD93" i="2" a="1"/>
  <c r="AD93" i="2" s="1"/>
  <c r="AD139" i="2" s="1"/>
  <c r="AC93" i="2" a="1"/>
  <c r="AC93" i="2" s="1"/>
  <c r="AC139" i="2" s="1"/>
  <c r="AB93" i="2" a="1"/>
  <c r="AB93" i="2" s="1"/>
  <c r="AA93" i="2" a="1"/>
  <c r="AA93" i="2" s="1"/>
  <c r="AA139" i="2" s="1"/>
  <c r="Z93" i="2" a="1"/>
  <c r="Z93" i="2"/>
  <c r="Z139" i="2" s="1"/>
  <c r="Y93" i="2" a="1"/>
  <c r="Y93" i="2" s="1"/>
  <c r="X93" i="2" a="1"/>
  <c r="X93" i="2" s="1"/>
  <c r="X139" i="2" s="1"/>
  <c r="W93" i="2" a="1"/>
  <c r="W93" i="2" s="1"/>
  <c r="V93" i="2" a="1"/>
  <c r="V93" i="2" s="1"/>
  <c r="U93" i="2" a="1"/>
  <c r="U93" i="2" s="1"/>
  <c r="U139" i="2" s="1"/>
  <c r="T93" i="2" a="1"/>
  <c r="T93" i="2" s="1"/>
  <c r="T139" i="2" s="1"/>
  <c r="S93" i="2" a="1"/>
  <c r="S93" i="2" s="1"/>
  <c r="S139" i="2" s="1"/>
  <c r="R93" i="2" a="1"/>
  <c r="R93" i="2" s="1"/>
  <c r="Q93" i="2" a="1"/>
  <c r="Q93" i="2" s="1"/>
  <c r="Q139" i="2" s="1"/>
  <c r="P93" i="2" a="1"/>
  <c r="P93" i="2" s="1"/>
  <c r="P139" i="2" s="1"/>
  <c r="O93" i="2" a="1"/>
  <c r="O93" i="2" s="1"/>
  <c r="N93" i="2" a="1"/>
  <c r="N93" i="2" s="1"/>
  <c r="M93" i="2" a="1"/>
  <c r="M93" i="2" s="1"/>
  <c r="M139" i="2" s="1"/>
  <c r="L93" i="2" a="1"/>
  <c r="L93" i="2" s="1"/>
  <c r="L139" i="2" s="1"/>
  <c r="K93" i="2" a="1"/>
  <c r="K93" i="2" s="1"/>
  <c r="J93" i="2" a="1"/>
  <c r="J93" i="2" s="1"/>
  <c r="J139" i="2" s="1"/>
  <c r="I93" i="2" a="1"/>
  <c r="I93" i="2" s="1"/>
  <c r="I139" i="2" s="1"/>
  <c r="H93" i="2" a="1"/>
  <c r="H93" i="2" s="1"/>
  <c r="G93" i="2" a="1"/>
  <c r="G93" i="2" s="1"/>
  <c r="G139" i="2" s="1"/>
  <c r="F93" i="2" a="1"/>
  <c r="F93" i="2" s="1"/>
  <c r="E93" i="2" a="1"/>
  <c r="E93" i="2" s="1"/>
  <c r="E139" i="2" s="1"/>
  <c r="D93" i="2" a="1"/>
  <c r="D93" i="2" s="1"/>
  <c r="D139" i="2" s="1"/>
  <c r="AS92" i="2" a="1"/>
  <c r="AS92" i="2" s="1"/>
  <c r="AS138" i="2" s="1"/>
  <c r="AR92" i="2" a="1"/>
  <c r="AR92" i="2" s="1"/>
  <c r="AQ92" i="2" a="1"/>
  <c r="AQ92" i="2" s="1"/>
  <c r="AQ138" i="2" s="1"/>
  <c r="AP92" i="2" a="1"/>
  <c r="AP92" i="2" s="1"/>
  <c r="AP138" i="2" s="1"/>
  <c r="AO92" i="2" a="1"/>
  <c r="AO92" i="2" s="1"/>
  <c r="AO138" i="2" s="1"/>
  <c r="AN92" i="2" a="1"/>
  <c r="AN92" i="2" s="1"/>
  <c r="AN138" i="2" s="1"/>
  <c r="AM92" i="2" a="1"/>
  <c r="AM92" i="2" s="1"/>
  <c r="AM138" i="2" s="1"/>
  <c r="AL92" i="2" a="1"/>
  <c r="AL92" i="2" s="1"/>
  <c r="AK92" i="2" a="1"/>
  <c r="AK92" i="2"/>
  <c r="AK138" i="2" s="1"/>
  <c r="AJ92" i="2" a="1"/>
  <c r="AJ92" i="2"/>
  <c r="AI92" i="2" a="1"/>
  <c r="AI92" i="2" s="1"/>
  <c r="AI138" i="2" s="1"/>
  <c r="AH92" i="2" a="1"/>
  <c r="AH92" i="2" s="1"/>
  <c r="AH138" i="2" s="1"/>
  <c r="AG92" i="2" a="1"/>
  <c r="AG92" i="2" s="1"/>
  <c r="AG138" i="2" s="1"/>
  <c r="AF92" i="2" a="1"/>
  <c r="AF92" i="2" s="1"/>
  <c r="AE92" i="2" a="1"/>
  <c r="AE92" i="2" s="1"/>
  <c r="AD92" i="2" a="1"/>
  <c r="AD92" i="2" s="1"/>
  <c r="AD138" i="2" s="1"/>
  <c r="AC92" i="2" a="1"/>
  <c r="AC92" i="2"/>
  <c r="AC138" i="2" s="1"/>
  <c r="AB92" i="2" a="1"/>
  <c r="AB92" i="2"/>
  <c r="AA92" i="2" a="1"/>
  <c r="AA92" i="2"/>
  <c r="AA138" i="2" s="1"/>
  <c r="Z92" i="2" a="1"/>
  <c r="Z92" i="2" s="1"/>
  <c r="Z138" i="2" s="1"/>
  <c r="Y92" i="2" a="1"/>
  <c r="Y92" i="2" s="1"/>
  <c r="Y138" i="2" s="1"/>
  <c r="X92" i="2" a="1"/>
  <c r="X92" i="2" s="1"/>
  <c r="X138" i="2" s="1"/>
  <c r="W92" i="2" a="1"/>
  <c r="W92" i="2" s="1"/>
  <c r="W138" i="2" s="1"/>
  <c r="V92" i="2" a="1"/>
  <c r="V92" i="2" s="1"/>
  <c r="U92" i="2" a="1"/>
  <c r="U92" i="2" s="1"/>
  <c r="U138" i="2" s="1"/>
  <c r="T92" i="2" a="1"/>
  <c r="T92" i="2" s="1"/>
  <c r="T138" i="2" s="1"/>
  <c r="S92" i="2" a="1"/>
  <c r="S92" i="2" s="1"/>
  <c r="S138" i="2" s="1"/>
  <c r="R92" i="2" a="1"/>
  <c r="R92" i="2" s="1"/>
  <c r="Q92" i="2" a="1"/>
  <c r="Q92" i="2" s="1"/>
  <c r="Q138" i="2" s="1"/>
  <c r="P92" i="2" a="1"/>
  <c r="P92" i="2" s="1"/>
  <c r="P138" i="2" s="1"/>
  <c r="O92" i="2" a="1"/>
  <c r="O92" i="2" s="1"/>
  <c r="N92" i="2" a="1"/>
  <c r="N92" i="2" s="1"/>
  <c r="M92" i="2" a="1"/>
  <c r="M92" i="2" s="1"/>
  <c r="M138" i="2" s="1"/>
  <c r="L92" i="2" a="1"/>
  <c r="L92" i="2" s="1"/>
  <c r="L138" i="2" s="1"/>
  <c r="K92" i="2" a="1"/>
  <c r="K92" i="2" s="1"/>
  <c r="K138" i="2" s="1"/>
  <c r="J92" i="2" a="1"/>
  <c r="J92" i="2" s="1"/>
  <c r="J138" i="2" s="1"/>
  <c r="I92" i="2" a="1"/>
  <c r="I92" i="2" s="1"/>
  <c r="I138" i="2" s="1"/>
  <c r="H92" i="2" a="1"/>
  <c r="H92" i="2" s="1"/>
  <c r="G92" i="2" a="1"/>
  <c r="G92" i="2" s="1"/>
  <c r="G138" i="2" s="1"/>
  <c r="F92" i="2" a="1"/>
  <c r="F92" i="2" s="1"/>
  <c r="E92" i="2" a="1"/>
  <c r="E92" i="2" s="1"/>
  <c r="E138" i="2" s="1"/>
  <c r="D92" i="2" a="1"/>
  <c r="D92" i="2" s="1"/>
  <c r="AS91" i="2" a="1"/>
  <c r="AS91" i="2" s="1"/>
  <c r="AS137" i="2" s="1"/>
  <c r="AR91" i="2" a="1"/>
  <c r="AR91" i="2" s="1"/>
  <c r="AQ91" i="2" a="1"/>
  <c r="AQ91" i="2" s="1"/>
  <c r="AP91" i="2" a="1"/>
  <c r="AP91" i="2" s="1"/>
  <c r="AP137" i="2" s="1"/>
  <c r="AO91" i="2" a="1"/>
  <c r="AO91" i="2" s="1"/>
  <c r="AO137" i="2" s="1"/>
  <c r="AN91" i="2" a="1"/>
  <c r="AN91" i="2" s="1"/>
  <c r="AN137" i="2" s="1"/>
  <c r="AM91" i="2" a="1"/>
  <c r="AM91" i="2" s="1"/>
  <c r="AL91" i="2" a="1"/>
  <c r="AL91" i="2" s="1"/>
  <c r="AK91" i="2" a="1"/>
  <c r="AK91" i="2"/>
  <c r="AK137" i="2" s="1"/>
  <c r="AJ91" i="2" a="1"/>
  <c r="AJ91" i="2" s="1"/>
  <c r="AI91" i="2" a="1"/>
  <c r="AI91" i="2" s="1"/>
  <c r="AI137" i="2" s="1"/>
  <c r="AH91" i="2" a="1"/>
  <c r="AH91" i="2" s="1"/>
  <c r="AH137" i="2" s="1"/>
  <c r="AG91" i="2" a="1"/>
  <c r="AG91" i="2" s="1"/>
  <c r="AG137" i="2" s="1"/>
  <c r="AF91" i="2" a="1"/>
  <c r="AF91" i="2" s="1"/>
  <c r="AE91" i="2" a="1"/>
  <c r="AE91" i="2" s="1"/>
  <c r="AD91" i="2" a="1"/>
  <c r="AD91" i="2"/>
  <c r="AD137" i="2" s="1"/>
  <c r="AC91" i="2" a="1"/>
  <c r="AC91" i="2" s="1"/>
  <c r="AC137" i="2" s="1"/>
  <c r="AB91" i="2" a="1"/>
  <c r="AB91" i="2" s="1"/>
  <c r="AA91" i="2" a="1"/>
  <c r="AA91" i="2" s="1"/>
  <c r="AA137" i="2" s="1"/>
  <c r="Z91" i="2" a="1"/>
  <c r="Z91" i="2" s="1"/>
  <c r="Z137" i="2" s="1"/>
  <c r="Y91" i="2" a="1"/>
  <c r="Y91" i="2" s="1"/>
  <c r="X91" i="2" a="1"/>
  <c r="X91" i="2" s="1"/>
  <c r="X137" i="2" s="1"/>
  <c r="W91" i="2" a="1"/>
  <c r="W91" i="2" s="1"/>
  <c r="W137" i="2" s="1"/>
  <c r="V91" i="2" a="1"/>
  <c r="V91" i="2" s="1"/>
  <c r="U91" i="2" a="1"/>
  <c r="U91" i="2" s="1"/>
  <c r="U137" i="2" s="1"/>
  <c r="T91" i="2" a="1"/>
  <c r="T91" i="2" s="1"/>
  <c r="T137" i="2" s="1"/>
  <c r="S91" i="2" a="1"/>
  <c r="S91" i="2" s="1"/>
  <c r="S137" i="2" s="1"/>
  <c r="R91" i="2" a="1"/>
  <c r="R91" i="2" s="1"/>
  <c r="R137" i="2" s="1"/>
  <c r="Q91" i="2" a="1"/>
  <c r="Q91" i="2" s="1"/>
  <c r="Q137" i="2" s="1"/>
  <c r="P91" i="2" a="1"/>
  <c r="P91" i="2" s="1"/>
  <c r="O91" i="2" a="1"/>
  <c r="O91" i="2"/>
  <c r="O137" i="2" s="1"/>
  <c r="N91" i="2" a="1"/>
  <c r="N91" i="2"/>
  <c r="N137" i="2" s="1"/>
  <c r="M91" i="2" a="1"/>
  <c r="M91" i="2" s="1"/>
  <c r="M137" i="2" s="1"/>
  <c r="L91" i="2" a="1"/>
  <c r="L91" i="2" s="1"/>
  <c r="L137" i="2" s="1"/>
  <c r="K91" i="2" a="1"/>
  <c r="K91" i="2" s="1"/>
  <c r="J91" i="2" a="1"/>
  <c r="J91" i="2" s="1"/>
  <c r="J137" i="2" s="1"/>
  <c r="I91" i="2" a="1"/>
  <c r="I91" i="2" s="1"/>
  <c r="I137" i="2" s="1"/>
  <c r="H91" i="2" a="1"/>
  <c r="H91" i="2" s="1"/>
  <c r="G91" i="2" a="1"/>
  <c r="G91" i="2"/>
  <c r="G137" i="2" s="1"/>
  <c r="F91" i="2" a="1"/>
  <c r="F91" i="2"/>
  <c r="F137" i="2" s="1"/>
  <c r="E91" i="2" a="1"/>
  <c r="E91" i="2"/>
  <c r="E137" i="2" s="1"/>
  <c r="D91" i="2" a="1"/>
  <c r="D91" i="2" s="1"/>
  <c r="AS90" i="2" a="1"/>
  <c r="AS90" i="2" s="1"/>
  <c r="AS136" i="2" s="1"/>
  <c r="AR90" i="2" a="1"/>
  <c r="AR90" i="2" s="1"/>
  <c r="AQ90" i="2" a="1"/>
  <c r="AQ90" i="2" s="1"/>
  <c r="AQ136" i="2" s="1"/>
  <c r="AP90" i="2" a="1"/>
  <c r="AP90" i="2" s="1"/>
  <c r="AP136" i="2" s="1"/>
  <c r="AO90" i="2" a="1"/>
  <c r="AO90" i="2" s="1"/>
  <c r="AO136" i="2" s="1"/>
  <c r="AN90" i="2" a="1"/>
  <c r="AN90" i="2" s="1"/>
  <c r="AN136" i="2" s="1"/>
  <c r="AM90" i="2" a="1"/>
  <c r="AM90" i="2" s="1"/>
  <c r="AM136" i="2" s="1"/>
  <c r="AL90" i="2" a="1"/>
  <c r="AL90" i="2" s="1"/>
  <c r="AK90" i="2" a="1"/>
  <c r="AK90" i="2" s="1"/>
  <c r="AK136" i="2" s="1"/>
  <c r="AJ90" i="2" a="1"/>
  <c r="AJ90" i="2" s="1"/>
  <c r="AI90" i="2" a="1"/>
  <c r="AI90" i="2" s="1"/>
  <c r="AI136" i="2" s="1"/>
  <c r="AH90" i="2" a="1"/>
  <c r="AH90" i="2" s="1"/>
  <c r="AH136" i="2" s="1"/>
  <c r="AG90" i="2" a="1"/>
  <c r="AG90" i="2" s="1"/>
  <c r="AG136" i="2" s="1"/>
  <c r="AF90" i="2" a="1"/>
  <c r="AF90" i="2" s="1"/>
  <c r="AE90" i="2" a="1"/>
  <c r="AE90" i="2"/>
  <c r="AE136" i="2" s="1"/>
  <c r="AD90" i="2" a="1"/>
  <c r="AD90" i="2" s="1"/>
  <c r="AD136" i="2" s="1"/>
  <c r="AC90" i="2" a="1"/>
  <c r="AC90" i="2" s="1"/>
  <c r="AC136" i="2" s="1"/>
  <c r="AB90" i="2" a="1"/>
  <c r="AB90" i="2" s="1"/>
  <c r="AA90" i="2" a="1"/>
  <c r="AA90" i="2" s="1"/>
  <c r="Z90" i="2" a="1"/>
  <c r="Z90" i="2" s="1"/>
  <c r="Z136" i="2" s="1"/>
  <c r="Y90" i="2" a="1"/>
  <c r="Y90" i="2"/>
  <c r="Y136" i="2" s="1"/>
  <c r="X90" i="2" a="1"/>
  <c r="X90" i="2"/>
  <c r="X136" i="2" s="1"/>
  <c r="W90" i="2" a="1"/>
  <c r="W90" i="2" s="1"/>
  <c r="V90" i="2" a="1"/>
  <c r="V90" i="2" s="1"/>
  <c r="V136" i="2" s="1"/>
  <c r="U90" i="2" a="1"/>
  <c r="U90" i="2" s="1"/>
  <c r="U136" i="2" s="1"/>
  <c r="T90" i="2" a="1"/>
  <c r="T90" i="2" s="1"/>
  <c r="T136" i="2" s="1"/>
  <c r="S90" i="2" a="1"/>
  <c r="S90" i="2" s="1"/>
  <c r="S136" i="2" s="1"/>
  <c r="R90" i="2" a="1"/>
  <c r="R90" i="2" s="1"/>
  <c r="R136" i="2" s="1"/>
  <c r="Q90" i="2" a="1"/>
  <c r="Q90" i="2"/>
  <c r="Q136" i="2" s="1"/>
  <c r="P90" i="2" a="1"/>
  <c r="P90" i="2"/>
  <c r="O90" i="2" a="1"/>
  <c r="O90" i="2"/>
  <c r="N90" i="2" a="1"/>
  <c r="N90" i="2" s="1"/>
  <c r="M90" i="2" a="1"/>
  <c r="M90" i="2" s="1"/>
  <c r="M136" i="2" s="1"/>
  <c r="L90" i="2" a="1"/>
  <c r="L90" i="2" s="1"/>
  <c r="L136" i="2" s="1"/>
  <c r="K90" i="2" a="1"/>
  <c r="K90" i="2" s="1"/>
  <c r="J90" i="2" a="1"/>
  <c r="J90" i="2" s="1"/>
  <c r="J136" i="2" s="1"/>
  <c r="I90" i="2" a="1"/>
  <c r="I90" i="2" s="1"/>
  <c r="I136" i="2" s="1"/>
  <c r="H90" i="2" a="1"/>
  <c r="H90" i="2"/>
  <c r="G90" i="2" a="1"/>
  <c r="G90" i="2" s="1"/>
  <c r="G136" i="2" s="1"/>
  <c r="F90" i="2" a="1"/>
  <c r="F90" i="2" s="1"/>
  <c r="E90" i="2" a="1"/>
  <c r="E90" i="2" s="1"/>
  <c r="E136" i="2" s="1"/>
  <c r="D90" i="2" a="1"/>
  <c r="D90" i="2" s="1"/>
  <c r="D136" i="2" s="1"/>
  <c r="AS89" i="2" a="1"/>
  <c r="AS89" i="2" s="1"/>
  <c r="AS135" i="2" s="1"/>
  <c r="AR89" i="2" a="1"/>
  <c r="AR89" i="2" s="1"/>
  <c r="AQ89" i="2" a="1"/>
  <c r="AQ89" i="2" s="1"/>
  <c r="AP89" i="2" a="1"/>
  <c r="AP89" i="2" s="1"/>
  <c r="AP135" i="2" s="1"/>
  <c r="AO89" i="2" a="1"/>
  <c r="AO89" i="2"/>
  <c r="AO135" i="2" s="1"/>
  <c r="AN89" i="2" a="1"/>
  <c r="AN89" i="2" s="1"/>
  <c r="AN135" i="2" s="1"/>
  <c r="AM89" i="2" a="1"/>
  <c r="AM89" i="2" s="1"/>
  <c r="AL89" i="2" a="1"/>
  <c r="AL89" i="2" s="1"/>
  <c r="AL135" i="2" s="1"/>
  <c r="AK89" i="2" a="1"/>
  <c r="AK89" i="2" s="1"/>
  <c r="AK135" i="2" s="1"/>
  <c r="AJ89" i="2" a="1"/>
  <c r="AJ89" i="2" s="1"/>
  <c r="AI89" i="2" a="1"/>
  <c r="AI89" i="2" s="1"/>
  <c r="AI135" i="2" s="1"/>
  <c r="AH89" i="2" a="1"/>
  <c r="AH89" i="2"/>
  <c r="AH135" i="2" s="1"/>
  <c r="AG89" i="2" a="1"/>
  <c r="AG89" i="2" s="1"/>
  <c r="AG135" i="2" s="1"/>
  <c r="AF89" i="2" a="1"/>
  <c r="AF89" i="2" s="1"/>
  <c r="AF135" i="2" s="1"/>
  <c r="AE89" i="2" a="1"/>
  <c r="AE89" i="2" s="1"/>
  <c r="AD89" i="2" a="1"/>
  <c r="AD89" i="2" s="1"/>
  <c r="AD135" i="2" s="1"/>
  <c r="AC89" i="2" a="1"/>
  <c r="AC89" i="2" s="1"/>
  <c r="AC135" i="2" s="1"/>
  <c r="AB89" i="2" a="1"/>
  <c r="AB89" i="2" s="1"/>
  <c r="AA89" i="2" a="1"/>
  <c r="AA89" i="2"/>
  <c r="Z89" i="2" a="1"/>
  <c r="Z89" i="2" s="1"/>
  <c r="Z135" i="2" s="1"/>
  <c r="Y89" i="2" a="1"/>
  <c r="Y89" i="2"/>
  <c r="X89" i="2" a="1"/>
  <c r="X89" i="2" s="1"/>
  <c r="X135" i="2" s="1"/>
  <c r="W89" i="2" a="1"/>
  <c r="W89" i="2" s="1"/>
  <c r="W135" i="2" s="1"/>
  <c r="V89" i="2" a="1"/>
  <c r="V89" i="2" s="1"/>
  <c r="U89" i="2" a="1"/>
  <c r="U89" i="2" s="1"/>
  <c r="U135" i="2" s="1"/>
  <c r="T89" i="2" a="1"/>
  <c r="T89" i="2" s="1"/>
  <c r="T135" i="2" s="1"/>
  <c r="S89" i="2" a="1"/>
  <c r="S89" i="2" s="1"/>
  <c r="S135" i="2" s="1"/>
  <c r="R89" i="2" a="1"/>
  <c r="R89" i="2" s="1"/>
  <c r="R135" i="2" s="1"/>
  <c r="Q89" i="2" a="1"/>
  <c r="Q89" i="2" s="1"/>
  <c r="Q135" i="2" s="1"/>
  <c r="P89" i="2" a="1"/>
  <c r="P89" i="2" s="1"/>
  <c r="O89" i="2" a="1"/>
  <c r="O89" i="2" s="1"/>
  <c r="N89" i="2" a="1"/>
  <c r="N89" i="2" s="1"/>
  <c r="M89" i="2" a="1"/>
  <c r="M89" i="2" s="1"/>
  <c r="M135" i="2" s="1"/>
  <c r="L89" i="2" a="1"/>
  <c r="L89" i="2" s="1"/>
  <c r="L135" i="2" s="1"/>
  <c r="K89" i="2" a="1"/>
  <c r="K89" i="2" s="1"/>
  <c r="K135" i="2" s="1"/>
  <c r="J89" i="2" a="1"/>
  <c r="J89" i="2" s="1"/>
  <c r="J135" i="2" s="1"/>
  <c r="I89" i="2" a="1"/>
  <c r="I89" i="2" s="1"/>
  <c r="I135" i="2" s="1"/>
  <c r="H89" i="2" a="1"/>
  <c r="H89" i="2" s="1"/>
  <c r="G89" i="2" a="1"/>
  <c r="G89" i="2" s="1"/>
  <c r="G135" i="2" s="1"/>
  <c r="F89" i="2" a="1"/>
  <c r="F89" i="2" s="1"/>
  <c r="E89" i="2" a="1"/>
  <c r="E89" i="2" s="1"/>
  <c r="E135" i="2" s="1"/>
  <c r="D89" i="2" a="1"/>
  <c r="D89" i="2" s="1"/>
  <c r="AS88" i="2" a="1"/>
  <c r="AS88" i="2" s="1"/>
  <c r="AS134" i="2" s="1"/>
  <c r="AR88" i="2" a="1"/>
  <c r="AR88" i="2" s="1"/>
  <c r="AQ88" i="2" a="1"/>
  <c r="AQ88" i="2" s="1"/>
  <c r="AQ134" i="2" s="1"/>
  <c r="AP88" i="2" a="1"/>
  <c r="AP88" i="2" s="1"/>
  <c r="AP134" i="2" s="1"/>
  <c r="AO88" i="2" a="1"/>
  <c r="AO88" i="2" s="1"/>
  <c r="AO134" i="2" s="1"/>
  <c r="AN88" i="2" a="1"/>
  <c r="AN88" i="2" s="1"/>
  <c r="AN134" i="2" s="1"/>
  <c r="AM88" i="2" a="1"/>
  <c r="AM88" i="2" s="1"/>
  <c r="AM134" i="2" s="1"/>
  <c r="AL88" i="2" a="1"/>
  <c r="AL88" i="2" s="1"/>
  <c r="AL134" i="2" s="1"/>
  <c r="AK88" i="2" a="1"/>
  <c r="AK88" i="2" s="1"/>
  <c r="AK134" i="2" s="1"/>
  <c r="AJ88" i="2" a="1"/>
  <c r="AJ88" i="2" s="1"/>
  <c r="AJ134" i="2" s="1"/>
  <c r="AI88" i="2" a="1"/>
  <c r="AI88" i="2"/>
  <c r="AI134" i="2" s="1"/>
  <c r="AH88" i="2" a="1"/>
  <c r="AH88" i="2" s="1"/>
  <c r="AH134" i="2" s="1"/>
  <c r="AG88" i="2" a="1"/>
  <c r="AG88" i="2" s="1"/>
  <c r="AG134" i="2" s="1"/>
  <c r="AF88" i="2" a="1"/>
  <c r="AF88" i="2" s="1"/>
  <c r="AE88" i="2" a="1"/>
  <c r="AE88" i="2" s="1"/>
  <c r="AD88" i="2" a="1"/>
  <c r="AD88" i="2" s="1"/>
  <c r="AD134" i="2" s="1"/>
  <c r="AC88" i="2" a="1"/>
  <c r="AC88" i="2" s="1"/>
  <c r="AC134" i="2" s="1"/>
  <c r="AB88" i="2" a="1"/>
  <c r="AB88" i="2"/>
  <c r="AA88" i="2" a="1"/>
  <c r="AA88" i="2" s="1"/>
  <c r="Z88" i="2" a="1"/>
  <c r="Z88" i="2" s="1"/>
  <c r="Z134" i="2" s="1"/>
  <c r="Y88" i="2" a="1"/>
  <c r="Y88" i="2" s="1"/>
  <c r="X88" i="2" a="1"/>
  <c r="X88" i="2" s="1"/>
  <c r="X134" i="2" s="1"/>
  <c r="W88" i="2" a="1"/>
  <c r="W88" i="2" s="1"/>
  <c r="V88" i="2" a="1"/>
  <c r="V88" i="2" s="1"/>
  <c r="U88" i="2" a="1"/>
  <c r="U88" i="2" s="1"/>
  <c r="U134" i="2" s="1"/>
  <c r="T88" i="2" a="1"/>
  <c r="T88" i="2" s="1"/>
  <c r="T134" i="2" s="1"/>
  <c r="S88" i="2" a="1"/>
  <c r="S88" i="2"/>
  <c r="S134" i="2" s="1"/>
  <c r="R88" i="2" a="1"/>
  <c r="R88" i="2" s="1"/>
  <c r="Q88" i="2" a="1"/>
  <c r="Q88" i="2" s="1"/>
  <c r="Q134" i="2" s="1"/>
  <c r="P88" i="2" a="1"/>
  <c r="P88" i="2" s="1"/>
  <c r="P134" i="2" s="1"/>
  <c r="O88" i="2" a="1"/>
  <c r="O88" i="2" s="1"/>
  <c r="N88" i="2" a="1"/>
  <c r="N88" i="2" s="1"/>
  <c r="M88" i="2" a="1"/>
  <c r="M88" i="2"/>
  <c r="M134" i="2" s="1"/>
  <c r="L88" i="2" a="1"/>
  <c r="L88" i="2"/>
  <c r="L134" i="2" s="1"/>
  <c r="K88" i="2" a="1"/>
  <c r="K88" i="2" s="1"/>
  <c r="K134" i="2" s="1"/>
  <c r="J88" i="2" a="1"/>
  <c r="J88" i="2" s="1"/>
  <c r="J134" i="2" s="1"/>
  <c r="I88" i="2" a="1"/>
  <c r="I88" i="2" s="1"/>
  <c r="I134" i="2" s="1"/>
  <c r="H88" i="2" a="1"/>
  <c r="H88" i="2" s="1"/>
  <c r="G88" i="2" a="1"/>
  <c r="G88" i="2" s="1"/>
  <c r="G134" i="2" s="1"/>
  <c r="F88" i="2" a="1"/>
  <c r="F88" i="2" s="1"/>
  <c r="E88" i="2" a="1"/>
  <c r="E88" i="2"/>
  <c r="E134" i="2" s="1"/>
  <c r="D88" i="2" a="1"/>
  <c r="D88" i="2"/>
  <c r="D134" i="2" s="1"/>
  <c r="AS87" i="2" a="1"/>
  <c r="AS87" i="2"/>
  <c r="AS133" i="2" s="1"/>
  <c r="AR87" i="2" a="1"/>
  <c r="AR87" i="2" s="1"/>
  <c r="AQ87" i="2" a="1"/>
  <c r="AQ87" i="2" s="1"/>
  <c r="AP87" i="2" a="1"/>
  <c r="AP87" i="2" s="1"/>
  <c r="AP133" i="2" s="1"/>
  <c r="AO87" i="2" a="1"/>
  <c r="AO87" i="2" s="1"/>
  <c r="AO133" i="2" s="1"/>
  <c r="AN87" i="2" a="1"/>
  <c r="AN87" i="2" s="1"/>
  <c r="AN133" i="2" s="1"/>
  <c r="AM87" i="2" a="1"/>
  <c r="AM87" i="2" s="1"/>
  <c r="AL87" i="2" a="1"/>
  <c r="AL87" i="2" s="1"/>
  <c r="AL133" i="2" s="1"/>
  <c r="AK87" i="2" a="1"/>
  <c r="AK87" i="2" s="1"/>
  <c r="AK133" i="2" s="1"/>
  <c r="AJ87" i="2" a="1"/>
  <c r="AJ87" i="2" s="1"/>
  <c r="AI87" i="2" a="1"/>
  <c r="AI87" i="2" s="1"/>
  <c r="AI133" i="2" s="1"/>
  <c r="AH87" i="2" a="1"/>
  <c r="AH87" i="2" s="1"/>
  <c r="AH133" i="2" s="1"/>
  <c r="AG87" i="2" a="1"/>
  <c r="AG87" i="2" s="1"/>
  <c r="AG133" i="2" s="1"/>
  <c r="AF87" i="2" a="1"/>
  <c r="AF87" i="2" s="1"/>
  <c r="AE87" i="2" a="1"/>
  <c r="AE87" i="2" s="1"/>
  <c r="AE133" i="2" s="1"/>
  <c r="AD87" i="2" a="1"/>
  <c r="AD87" i="2" s="1"/>
  <c r="AD133" i="2" s="1"/>
  <c r="AC87" i="2" a="1"/>
  <c r="AC87" i="2" s="1"/>
  <c r="AC133" i="2" s="1"/>
  <c r="AB87" i="2" a="1"/>
  <c r="AB87" i="2" s="1"/>
  <c r="AA87" i="2" a="1"/>
  <c r="AA87" i="2" s="1"/>
  <c r="Z87" i="2" a="1"/>
  <c r="Z87" i="2" s="1"/>
  <c r="Z133" i="2" s="1"/>
  <c r="Y87" i="2" a="1"/>
  <c r="Y87" i="2" s="1"/>
  <c r="Y133" i="2" s="1"/>
  <c r="X87" i="2" a="1"/>
  <c r="X87" i="2" s="1"/>
  <c r="X133" i="2" s="1"/>
  <c r="W87" i="2" a="1"/>
  <c r="W87" i="2" s="1"/>
  <c r="W133" i="2" s="1"/>
  <c r="V87" i="2" a="1"/>
  <c r="V87" i="2"/>
  <c r="U87" i="2" a="1"/>
  <c r="U87" i="2" s="1"/>
  <c r="U133" i="2" s="1"/>
  <c r="T87" i="2" a="1"/>
  <c r="T87" i="2" s="1"/>
  <c r="T133" i="2" s="1"/>
  <c r="S87" i="2" a="1"/>
  <c r="S87" i="2" s="1"/>
  <c r="S133" i="2" s="1"/>
  <c r="R87" i="2" a="1"/>
  <c r="R87" i="2" s="1"/>
  <c r="Q87" i="2" a="1"/>
  <c r="Q87" i="2" s="1"/>
  <c r="Q133" i="2" s="1"/>
  <c r="P87" i="2" a="1"/>
  <c r="P87" i="2" s="1"/>
  <c r="P133" i="2" s="1"/>
  <c r="O87" i="2" a="1"/>
  <c r="O87" i="2"/>
  <c r="N87" i="2" a="1"/>
  <c r="N87" i="2"/>
  <c r="M87" i="2" a="1"/>
  <c r="M87" i="2"/>
  <c r="M133" i="2" s="1"/>
  <c r="L87" i="2" a="1"/>
  <c r="L87" i="2" s="1"/>
  <c r="L133" i="2" s="1"/>
  <c r="K87" i="2" a="1"/>
  <c r="K87" i="2" s="1"/>
  <c r="K133" i="2" s="1"/>
  <c r="J87" i="2" a="1"/>
  <c r="J87" i="2" s="1"/>
  <c r="J133" i="2" s="1"/>
  <c r="I87" i="2" a="1"/>
  <c r="I87" i="2" s="1"/>
  <c r="I133" i="2" s="1"/>
  <c r="H87" i="2" a="1"/>
  <c r="H87" i="2" s="1"/>
  <c r="H133" i="2" s="1"/>
  <c r="G87" i="2" a="1"/>
  <c r="G87" i="2" s="1"/>
  <c r="G133" i="2" s="1"/>
  <c r="F87" i="2" a="1"/>
  <c r="F87" i="2"/>
  <c r="F133" i="2" s="1"/>
  <c r="E87" i="2" a="1"/>
  <c r="E87" i="2" s="1"/>
  <c r="E133" i="2" s="1"/>
  <c r="D87" i="2" a="1"/>
  <c r="D87" i="2" s="1"/>
  <c r="D133" i="2" s="1"/>
  <c r="AS86" i="2" a="1"/>
  <c r="AS86" i="2" s="1"/>
  <c r="AS132" i="2" s="1"/>
  <c r="AR86" i="2" a="1"/>
  <c r="AR86" i="2" s="1"/>
  <c r="AQ86" i="2" a="1"/>
  <c r="AQ86" i="2" s="1"/>
  <c r="AP86" i="2" a="1"/>
  <c r="AP86" i="2" s="1"/>
  <c r="AP132" i="2" s="1"/>
  <c r="AO86" i="2" a="1"/>
  <c r="AO86" i="2" s="1"/>
  <c r="AO132" i="2" s="1"/>
  <c r="AN86" i="2" a="1"/>
  <c r="AN86" i="2" s="1"/>
  <c r="AN132" i="2" s="1"/>
  <c r="AM86" i="2" a="1"/>
  <c r="AM86" i="2"/>
  <c r="AL86" i="2" a="1"/>
  <c r="AL86" i="2" s="1"/>
  <c r="AK86" i="2" a="1"/>
  <c r="AK86" i="2" s="1"/>
  <c r="AK132" i="2" s="1"/>
  <c r="AJ86" i="2" a="1"/>
  <c r="AJ86" i="2" s="1"/>
  <c r="AI86" i="2" a="1"/>
  <c r="AI86" i="2" s="1"/>
  <c r="AI132" i="2" s="1"/>
  <c r="AH86" i="2" a="1"/>
  <c r="AH86" i="2" s="1"/>
  <c r="AH132" i="2" s="1"/>
  <c r="AG86" i="2" a="1"/>
  <c r="AG86" i="2" s="1"/>
  <c r="AG132" i="2" s="1"/>
  <c r="AF86" i="2" a="1"/>
  <c r="AF86" i="2" s="1"/>
  <c r="AE86" i="2" a="1"/>
  <c r="AE86" i="2" s="1"/>
  <c r="AE132" i="2" s="1"/>
  <c r="AD86" i="2" a="1"/>
  <c r="AD86" i="2" s="1"/>
  <c r="AD132" i="2" s="1"/>
  <c r="AC86" i="2" a="1"/>
  <c r="AC86" i="2" s="1"/>
  <c r="AC132" i="2" s="1"/>
  <c r="AB86" i="2" a="1"/>
  <c r="AB86" i="2" s="1"/>
  <c r="AA86" i="2" a="1"/>
  <c r="AA86" i="2" s="1"/>
  <c r="AA132" i="2" s="1"/>
  <c r="Z86" i="2" a="1"/>
  <c r="Z86" i="2" s="1"/>
  <c r="Z132" i="2" s="1"/>
  <c r="Y86" i="2" a="1"/>
  <c r="Y86" i="2" s="1"/>
  <c r="Y132" i="2" s="1"/>
  <c r="X86" i="2" a="1"/>
  <c r="X86" i="2" s="1"/>
  <c r="X132" i="2" s="1"/>
  <c r="W86" i="2" a="1"/>
  <c r="W86" i="2"/>
  <c r="W132" i="2" s="1"/>
  <c r="V86" i="2" a="1"/>
  <c r="V86" i="2" s="1"/>
  <c r="U86" i="2" a="1"/>
  <c r="U86" i="2" s="1"/>
  <c r="U132" i="2" s="1"/>
  <c r="T86" i="2" a="1"/>
  <c r="T86" i="2" s="1"/>
  <c r="T132" i="2" s="1"/>
  <c r="S86" i="2" a="1"/>
  <c r="S86" i="2" s="1"/>
  <c r="S132" i="2" s="1"/>
  <c r="R86" i="2" a="1"/>
  <c r="R86" i="2" s="1"/>
  <c r="R132" i="2" s="1"/>
  <c r="Q86" i="2" a="1"/>
  <c r="Q86" i="2" s="1"/>
  <c r="Q132" i="2" s="1"/>
  <c r="P86" i="2" a="1"/>
  <c r="P86" i="2" s="1"/>
  <c r="P132" i="2" s="1"/>
  <c r="O86" i="2" a="1"/>
  <c r="O86" i="2" s="1"/>
  <c r="N86" i="2" a="1"/>
  <c r="N86" i="2" s="1"/>
  <c r="M86" i="2" a="1"/>
  <c r="M86" i="2" s="1"/>
  <c r="M132" i="2" s="1"/>
  <c r="L86" i="2" a="1"/>
  <c r="L86" i="2" s="1"/>
  <c r="L132" i="2" s="1"/>
  <c r="K86" i="2" a="1"/>
  <c r="K86" i="2" s="1"/>
  <c r="K132" i="2" s="1"/>
  <c r="J86" i="2" a="1"/>
  <c r="J86" i="2" s="1"/>
  <c r="J132" i="2" s="1"/>
  <c r="I86" i="2" a="1"/>
  <c r="I86" i="2" s="1"/>
  <c r="I132" i="2" s="1"/>
  <c r="H86" i="2" a="1"/>
  <c r="H86" i="2" s="1"/>
  <c r="G86" i="2" a="1"/>
  <c r="G86" i="2"/>
  <c r="G132" i="2" s="1"/>
  <c r="F86" i="2" a="1"/>
  <c r="F86" i="2" s="1"/>
  <c r="F132" i="2" s="1"/>
  <c r="E86" i="2" a="1"/>
  <c r="E86" i="2" s="1"/>
  <c r="E132" i="2" s="1"/>
  <c r="D86" i="2" a="1"/>
  <c r="D86" i="2" s="1"/>
  <c r="AS85" i="2" a="1"/>
  <c r="AS85" i="2" s="1"/>
  <c r="AS131" i="2" s="1"/>
  <c r="AR85" i="2" a="1"/>
  <c r="AR85" i="2" s="1"/>
  <c r="AQ85" i="2" a="1"/>
  <c r="AQ85" i="2"/>
  <c r="AP85" i="2" a="1"/>
  <c r="AP85" i="2"/>
  <c r="AP131" i="2" s="1"/>
  <c r="AO85" i="2" a="1"/>
  <c r="AO85" i="2" s="1"/>
  <c r="AO131" i="2" s="1"/>
  <c r="AN85" i="2" a="1"/>
  <c r="AN85" i="2" s="1"/>
  <c r="AN131" i="2" s="1"/>
  <c r="AM85" i="2" a="1"/>
  <c r="AM85" i="2" s="1"/>
  <c r="AL85" i="2" a="1"/>
  <c r="AL85" i="2" s="1"/>
  <c r="AL131" i="2" s="1"/>
  <c r="AK85" i="2" a="1"/>
  <c r="AK85" i="2" s="1"/>
  <c r="AK131" i="2" s="1"/>
  <c r="AJ85" i="2" a="1"/>
  <c r="AJ85" i="2" s="1"/>
  <c r="AI85" i="2" a="1"/>
  <c r="AI85" i="2"/>
  <c r="AI131" i="2" s="1"/>
  <c r="AH85" i="2" a="1"/>
  <c r="AH85" i="2"/>
  <c r="AH131" i="2" s="1"/>
  <c r="AG85" i="2" a="1"/>
  <c r="AG85" i="2"/>
  <c r="AG131" i="2" s="1"/>
  <c r="AF85" i="2" a="1"/>
  <c r="AF85" i="2" s="1"/>
  <c r="AF131" i="2" s="1"/>
  <c r="AE85" i="2" a="1"/>
  <c r="AE85" i="2" s="1"/>
  <c r="AE131" i="2" s="1"/>
  <c r="AD85" i="2" a="1"/>
  <c r="AD85" i="2" s="1"/>
  <c r="AD131" i="2" s="1"/>
  <c r="AC85" i="2" a="1"/>
  <c r="AC85" i="2" s="1"/>
  <c r="AC131" i="2" s="1"/>
  <c r="AB85" i="2" a="1"/>
  <c r="AB85" i="2" s="1"/>
  <c r="AA85" i="2" a="1"/>
  <c r="AA85" i="2" s="1"/>
  <c r="AA131" i="2" s="1"/>
  <c r="Z85" i="2" a="1"/>
  <c r="Z85" i="2" s="1"/>
  <c r="Z131" i="2" s="1"/>
  <c r="Y85" i="2" a="1"/>
  <c r="Y85" i="2" s="1"/>
  <c r="Y131" i="2" s="1"/>
  <c r="X85" i="2" a="1"/>
  <c r="X85" i="2" s="1"/>
  <c r="X131" i="2" s="1"/>
  <c r="W85" i="2" a="1"/>
  <c r="W85" i="2" s="1"/>
  <c r="V85" i="2" a="1"/>
  <c r="V85" i="2" s="1"/>
  <c r="U85" i="2" a="1"/>
  <c r="U85" i="2" s="1"/>
  <c r="U131" i="2" s="1"/>
  <c r="T85" i="2" a="1"/>
  <c r="T85" i="2" s="1"/>
  <c r="T131" i="2" s="1"/>
  <c r="S85" i="2" a="1"/>
  <c r="S85" i="2" s="1"/>
  <c r="S131" i="2" s="1"/>
  <c r="R85" i="2" a="1"/>
  <c r="R85" i="2" s="1"/>
  <c r="R131" i="2" s="1"/>
  <c r="Q85" i="2" a="1"/>
  <c r="Q85" i="2"/>
  <c r="Q131" i="2" s="1"/>
  <c r="P85" i="2" a="1"/>
  <c r="P85" i="2" s="1"/>
  <c r="O85" i="2" a="1"/>
  <c r="O85" i="2" s="1"/>
  <c r="N85" i="2" a="1"/>
  <c r="N85" i="2" s="1"/>
  <c r="N131" i="2" s="1"/>
  <c r="M85" i="2" a="1"/>
  <c r="M85" i="2" s="1"/>
  <c r="M131" i="2" s="1"/>
  <c r="L85" i="2" a="1"/>
  <c r="L85" i="2" s="1"/>
  <c r="L131" i="2" s="1"/>
  <c r="K85" i="2" a="1"/>
  <c r="K85" i="2"/>
  <c r="J85" i="2" a="1"/>
  <c r="J85" i="2"/>
  <c r="J131" i="2" s="1"/>
  <c r="I85" i="2" a="1"/>
  <c r="I85" i="2" s="1"/>
  <c r="I131" i="2" s="1"/>
  <c r="H85" i="2" a="1"/>
  <c r="H85" i="2" s="1"/>
  <c r="G85" i="2" a="1"/>
  <c r="G85" i="2" s="1"/>
  <c r="G131" i="2" s="1"/>
  <c r="F85" i="2" a="1"/>
  <c r="F85" i="2" s="1"/>
  <c r="F131" i="2" s="1"/>
  <c r="E85" i="2" a="1"/>
  <c r="E85" i="2" s="1"/>
  <c r="E131" i="2" s="1"/>
  <c r="D85" i="2" a="1"/>
  <c r="D85" i="2" s="1"/>
  <c r="AS84" i="2" a="1"/>
  <c r="AS84" i="2"/>
  <c r="AS130" i="2" s="1"/>
  <c r="AR84" i="2" a="1"/>
  <c r="AR84" i="2" s="1"/>
  <c r="AQ84" i="2" a="1"/>
  <c r="AQ84" i="2" s="1"/>
  <c r="AQ130" i="2" s="1"/>
  <c r="AP84" i="2" a="1"/>
  <c r="AP84" i="2" s="1"/>
  <c r="AP130" i="2" s="1"/>
  <c r="AO84" i="2" a="1"/>
  <c r="AO84" i="2" s="1"/>
  <c r="AO130" i="2" s="1"/>
  <c r="AN84" i="2" a="1"/>
  <c r="AN84" i="2" s="1"/>
  <c r="AN130" i="2" s="1"/>
  <c r="AM84" i="2" a="1"/>
  <c r="AM84" i="2" s="1"/>
  <c r="AM130" i="2" s="1"/>
  <c r="AL84" i="2" a="1"/>
  <c r="AL84" i="2" s="1"/>
  <c r="AL130" i="2" s="1"/>
  <c r="AK84" i="2" a="1"/>
  <c r="AK84" i="2" s="1"/>
  <c r="AK130" i="2" s="1"/>
  <c r="AJ84" i="2" a="1"/>
  <c r="AJ84" i="2" s="1"/>
  <c r="AI84" i="2" a="1"/>
  <c r="AI84" i="2" s="1"/>
  <c r="AI130" i="2" s="1"/>
  <c r="AH84" i="2" a="1"/>
  <c r="AH84" i="2" s="1"/>
  <c r="AH130" i="2" s="1"/>
  <c r="AG84" i="2" a="1"/>
  <c r="AG84" i="2" s="1"/>
  <c r="AG130" i="2" s="1"/>
  <c r="AF84" i="2" a="1"/>
  <c r="AF84" i="2" s="1"/>
  <c r="AF130" i="2" s="1"/>
  <c r="AE84" i="2" a="1"/>
  <c r="AE84" i="2" s="1"/>
  <c r="AE130" i="2" s="1"/>
  <c r="AD84" i="2" a="1"/>
  <c r="AD84" i="2" s="1"/>
  <c r="AD130" i="2" s="1"/>
  <c r="AC84" i="2" a="1"/>
  <c r="AC84" i="2" s="1"/>
  <c r="AC130" i="2" s="1"/>
  <c r="AB84" i="2" a="1"/>
  <c r="AB84" i="2" s="1"/>
  <c r="AA84" i="2" a="1"/>
  <c r="AA84" i="2" s="1"/>
  <c r="Z84" i="2" a="1"/>
  <c r="Z84" i="2" s="1"/>
  <c r="Z130" i="2" s="1"/>
  <c r="Y84" i="2" a="1"/>
  <c r="Y84" i="2" s="1"/>
  <c r="Y130" i="2" s="1"/>
  <c r="X84" i="2" a="1"/>
  <c r="X84" i="2" s="1"/>
  <c r="X130" i="2" s="1"/>
  <c r="W84" i="2" a="1"/>
  <c r="W84" i="2" s="1"/>
  <c r="W130" i="2" s="1"/>
  <c r="V84" i="2" a="1"/>
  <c r="V84" i="2" s="1"/>
  <c r="U84" i="2" a="1"/>
  <c r="U84" i="2"/>
  <c r="U130" i="2" s="1"/>
  <c r="T84" i="2" a="1"/>
  <c r="T84" i="2"/>
  <c r="T130" i="2" s="1"/>
  <c r="S84" i="2" a="1"/>
  <c r="S84" i="2" s="1"/>
  <c r="S130" i="2" s="1"/>
  <c r="R84" i="2" a="1"/>
  <c r="R84" i="2" s="1"/>
  <c r="R130" i="2" s="1"/>
  <c r="Q84" i="2" a="1"/>
  <c r="Q84" i="2" s="1"/>
  <c r="Q130" i="2" s="1"/>
  <c r="P84" i="2" a="1"/>
  <c r="P84" i="2" s="1"/>
  <c r="P130" i="2" s="1"/>
  <c r="O84" i="2" a="1"/>
  <c r="O84" i="2" s="1"/>
  <c r="N84" i="2" a="1"/>
  <c r="N84" i="2" s="1"/>
  <c r="N130" i="2" s="1"/>
  <c r="M84" i="2" a="1"/>
  <c r="M84" i="2"/>
  <c r="M130" i="2" s="1"/>
  <c r="L84" i="2" a="1"/>
  <c r="L84" i="2"/>
  <c r="L130" i="2" s="1"/>
  <c r="K84" i="2" a="1"/>
  <c r="K84" i="2"/>
  <c r="K130" i="2" s="1"/>
  <c r="J84" i="2" a="1"/>
  <c r="J84" i="2" s="1"/>
  <c r="J130" i="2" s="1"/>
  <c r="I84" i="2" a="1"/>
  <c r="I84" i="2" s="1"/>
  <c r="I130" i="2" s="1"/>
  <c r="H84" i="2" a="1"/>
  <c r="H84" i="2" s="1"/>
  <c r="G84" i="2" a="1"/>
  <c r="G84" i="2" s="1"/>
  <c r="G130" i="2" s="1"/>
  <c r="F84" i="2" a="1"/>
  <c r="F84" i="2" s="1"/>
  <c r="E84" i="2" a="1"/>
  <c r="E84" i="2" s="1"/>
  <c r="E130" i="2" s="1"/>
  <c r="D84" i="2" a="1"/>
  <c r="D84" i="2" s="1"/>
  <c r="D130" i="2" s="1"/>
  <c r="AS83" i="2" a="1"/>
  <c r="AS83" i="2" s="1"/>
  <c r="AS129" i="2" s="1"/>
  <c r="AR83" i="2" a="1"/>
  <c r="AR83" i="2" s="1"/>
  <c r="AQ83" i="2" a="1"/>
  <c r="AQ83" i="2" s="1"/>
  <c r="AQ129" i="2" s="1"/>
  <c r="AP83" i="2" a="1"/>
  <c r="AP83" i="2" s="1"/>
  <c r="AP129" i="2" s="1"/>
  <c r="AO83" i="2" a="1"/>
  <c r="AO83" i="2" s="1"/>
  <c r="AO129" i="2" s="1"/>
  <c r="AN83" i="2" a="1"/>
  <c r="AN83" i="2" s="1"/>
  <c r="AN129" i="2" s="1"/>
  <c r="AM83" i="2" a="1"/>
  <c r="AM83" i="2" s="1"/>
  <c r="AM129" i="2" s="1"/>
  <c r="AL83" i="2" a="1"/>
  <c r="AL83" i="2" s="1"/>
  <c r="AL129" i="2" s="1"/>
  <c r="AK83" i="2" a="1"/>
  <c r="AK83" i="2"/>
  <c r="AK129" i="2" s="1"/>
  <c r="AJ83" i="2" a="1"/>
  <c r="AJ83" i="2" s="1"/>
  <c r="AI83" i="2" a="1"/>
  <c r="AI83" i="2" s="1"/>
  <c r="AI129" i="2" s="1"/>
  <c r="AH83" i="2" a="1"/>
  <c r="AH83" i="2" s="1"/>
  <c r="AH129" i="2" s="1"/>
  <c r="AG83" i="2" a="1"/>
  <c r="AG83" i="2" s="1"/>
  <c r="AG129" i="2" s="1"/>
  <c r="AF83" i="2" a="1"/>
  <c r="AF83" i="2" s="1"/>
  <c r="AF129" i="2" s="1"/>
  <c r="AE83" i="2" a="1"/>
  <c r="AE83" i="2" s="1"/>
  <c r="AE129" i="2" s="1"/>
  <c r="AD83" i="2" a="1"/>
  <c r="AD83" i="2"/>
  <c r="AD129" i="2" s="1"/>
  <c r="AC83" i="2" a="1"/>
  <c r="AC83" i="2" s="1"/>
  <c r="AC129" i="2" s="1"/>
  <c r="AB83" i="2" a="1"/>
  <c r="AB83" i="2" s="1"/>
  <c r="AA83" i="2" a="1"/>
  <c r="AA83" i="2" s="1"/>
  <c r="Z83" i="2" a="1"/>
  <c r="Z83" i="2" s="1"/>
  <c r="Z129" i="2" s="1"/>
  <c r="Y83" i="2" a="1"/>
  <c r="Y83" i="2" s="1"/>
  <c r="X83" i="2" a="1"/>
  <c r="X83" i="2" s="1"/>
  <c r="X129" i="2" s="1"/>
  <c r="W83" i="2" a="1"/>
  <c r="W83" i="2"/>
  <c r="V83" i="2" a="1"/>
  <c r="V83" i="2"/>
  <c r="V129" i="2" s="1"/>
  <c r="U83" i="2" a="1"/>
  <c r="U83" i="2"/>
  <c r="U129" i="2" s="1"/>
  <c r="T83" i="2" a="1"/>
  <c r="T83" i="2" s="1"/>
  <c r="T129" i="2" s="1"/>
  <c r="S83" i="2" a="1"/>
  <c r="S83" i="2" s="1"/>
  <c r="S129" i="2" s="1"/>
  <c r="R83" i="2" a="1"/>
  <c r="R83" i="2" s="1"/>
  <c r="R129" i="2" s="1"/>
  <c r="Q83" i="2" a="1"/>
  <c r="Q83" i="2" s="1"/>
  <c r="Q129" i="2" s="1"/>
  <c r="P83" i="2" a="1"/>
  <c r="P83" i="2" s="1"/>
  <c r="P129" i="2" s="1"/>
  <c r="O83" i="2" a="1"/>
  <c r="O83" i="2" s="1"/>
  <c r="N83" i="2" a="1"/>
  <c r="N83" i="2" s="1"/>
  <c r="M83" i="2" a="1"/>
  <c r="M83" i="2" s="1"/>
  <c r="M129" i="2" s="1"/>
  <c r="L83" i="2" a="1"/>
  <c r="L83" i="2" s="1"/>
  <c r="L129" i="2" s="1"/>
  <c r="K83" i="2" a="1"/>
  <c r="K83" i="2" s="1"/>
  <c r="K129" i="2" s="1"/>
  <c r="J83" i="2" a="1"/>
  <c r="J83" i="2" s="1"/>
  <c r="J129" i="2" s="1"/>
  <c r="I83" i="2" a="1"/>
  <c r="I83" i="2" s="1"/>
  <c r="I129" i="2" s="1"/>
  <c r="H83" i="2" a="1"/>
  <c r="H83" i="2" s="1"/>
  <c r="G83" i="2" a="1"/>
  <c r="G83" i="2" s="1"/>
  <c r="G129" i="2" s="1"/>
  <c r="F83" i="2" a="1"/>
  <c r="F83" i="2" s="1"/>
  <c r="E83" i="2" a="1"/>
  <c r="E83" i="2" s="1"/>
  <c r="E129" i="2" s="1"/>
  <c r="D83" i="2" a="1"/>
  <c r="D83" i="2" s="1"/>
  <c r="AS82" i="2" a="1"/>
  <c r="AS82" i="2" s="1"/>
  <c r="AS128" i="2" s="1"/>
  <c r="AR82" i="2" a="1"/>
  <c r="AR82" i="2" s="1"/>
  <c r="AQ82" i="2" a="1"/>
  <c r="AQ82" i="2" s="1"/>
  <c r="AQ128" i="2" s="1"/>
  <c r="AP82" i="2" a="1"/>
  <c r="AP82" i="2" s="1"/>
  <c r="AP128" i="2" s="1"/>
  <c r="AO82" i="2" a="1"/>
  <c r="AO82" i="2" s="1"/>
  <c r="AO128" i="2" s="1"/>
  <c r="AN82" i="2" a="1"/>
  <c r="AN82" i="2"/>
  <c r="AN128" i="2" s="1"/>
  <c r="AM82" i="2" a="1"/>
  <c r="AM82" i="2" s="1"/>
  <c r="AL82" i="2" a="1"/>
  <c r="AL82" i="2" s="1"/>
  <c r="AL128" i="2" s="1"/>
  <c r="AK82" i="2" a="1"/>
  <c r="AK82" i="2" s="1"/>
  <c r="AK128" i="2" s="1"/>
  <c r="AJ82" i="2" a="1"/>
  <c r="AJ82" i="2" s="1"/>
  <c r="AI82" i="2" a="1"/>
  <c r="AI82" i="2" s="1"/>
  <c r="AI128" i="2" s="1"/>
  <c r="AH82" i="2" a="1"/>
  <c r="AH82" i="2" s="1"/>
  <c r="AH128" i="2" s="1"/>
  <c r="AG82" i="2" a="1"/>
  <c r="AG82" i="2"/>
  <c r="AG128" i="2" s="1"/>
  <c r="AF82" i="2" a="1"/>
  <c r="AF82" i="2"/>
  <c r="AF128" i="2" s="1"/>
  <c r="AE82" i="2" a="1"/>
  <c r="AE82" i="2" s="1"/>
  <c r="AE128" i="2" s="1"/>
  <c r="AD82" i="2" a="1"/>
  <c r="AD82" i="2" s="1"/>
  <c r="AD128" i="2" s="1"/>
  <c r="AC82" i="2" a="1"/>
  <c r="AC82" i="2" s="1"/>
  <c r="AC128" i="2" s="1"/>
  <c r="AB82" i="2" a="1"/>
  <c r="AB82" i="2" s="1"/>
  <c r="AA82" i="2" a="1"/>
  <c r="AA82" i="2" s="1"/>
  <c r="Z82" i="2" a="1"/>
  <c r="Z82" i="2" s="1"/>
  <c r="Z128" i="2" s="1"/>
  <c r="Y82" i="2" a="1"/>
  <c r="Y82" i="2" s="1"/>
  <c r="X82" i="2" a="1"/>
  <c r="X82" i="2" s="1"/>
  <c r="X128" i="2" s="1"/>
  <c r="W82" i="2" a="1"/>
  <c r="W82" i="2" s="1"/>
  <c r="W128" i="2" s="1"/>
  <c r="V82" i="2" a="1"/>
  <c r="V82" i="2" s="1"/>
  <c r="U82" i="2" a="1"/>
  <c r="U82" i="2" s="1"/>
  <c r="U128" i="2" s="1"/>
  <c r="T82" i="2" a="1"/>
  <c r="T82" i="2" s="1"/>
  <c r="T128" i="2" s="1"/>
  <c r="S82" i="2" a="1"/>
  <c r="S82" i="2" s="1"/>
  <c r="S128" i="2" s="1"/>
  <c r="R82" i="2" a="1"/>
  <c r="R82" i="2" s="1"/>
  <c r="R128" i="2" s="1"/>
  <c r="Q82" i="2" a="1"/>
  <c r="Q82" i="2" s="1"/>
  <c r="Q128" i="2" s="1"/>
  <c r="P82" i="2" a="1"/>
  <c r="P82" i="2" s="1"/>
  <c r="P128" i="2" s="1"/>
  <c r="O82" i="2" a="1"/>
  <c r="O82" i="2" s="1"/>
  <c r="N82" i="2" a="1"/>
  <c r="N82" i="2" s="1"/>
  <c r="M82" i="2" a="1"/>
  <c r="M82" i="2" s="1"/>
  <c r="M128" i="2" s="1"/>
  <c r="L82" i="2" a="1"/>
  <c r="L82" i="2" s="1"/>
  <c r="L128" i="2" s="1"/>
  <c r="K82" i="2" a="1"/>
  <c r="K82" i="2" s="1"/>
  <c r="K128" i="2" s="1"/>
  <c r="J82" i="2" a="1"/>
  <c r="J82" i="2" s="1"/>
  <c r="J128" i="2" s="1"/>
  <c r="I82" i="2" a="1"/>
  <c r="I82" i="2"/>
  <c r="I128" i="2" s="1"/>
  <c r="H82" i="2" a="1"/>
  <c r="H82" i="2"/>
  <c r="G82" i="2" a="1"/>
  <c r="G82" i="2" s="1"/>
  <c r="G128" i="2" s="1"/>
  <c r="F82" i="2" a="1"/>
  <c r="F82" i="2" s="1"/>
  <c r="E82" i="2" a="1"/>
  <c r="E82" i="2" s="1"/>
  <c r="E128" i="2" s="1"/>
  <c r="D82" i="2" a="1"/>
  <c r="D82" i="2" s="1"/>
  <c r="D128" i="2" s="1"/>
  <c r="AS81" i="2" a="1"/>
  <c r="AS81" i="2" s="1"/>
  <c r="AS127" i="2" s="1"/>
  <c r="AR81" i="2" a="1"/>
  <c r="AR81" i="2" s="1"/>
  <c r="AQ81" i="2" a="1"/>
  <c r="AQ81" i="2"/>
  <c r="AP81" i="2" a="1"/>
  <c r="AP81" i="2"/>
  <c r="AP127" i="2" s="1"/>
  <c r="AO81" i="2" a="1"/>
  <c r="AO81" i="2"/>
  <c r="AO127" i="2" s="1"/>
  <c r="AN81" i="2" a="1"/>
  <c r="AN81" i="2" s="1"/>
  <c r="AN127" i="2" s="1"/>
  <c r="AM81" i="2" a="1"/>
  <c r="AM81" i="2" s="1"/>
  <c r="AM127" i="2" s="1"/>
  <c r="AL81" i="2" a="1"/>
  <c r="AL81" i="2" s="1"/>
  <c r="AL127" i="2" s="1"/>
  <c r="AK81" i="2" a="1"/>
  <c r="AK81" i="2" s="1"/>
  <c r="AK127" i="2" s="1"/>
  <c r="AJ81" i="2" a="1"/>
  <c r="AJ81" i="2" s="1"/>
  <c r="AI81" i="2" a="1"/>
  <c r="AI81" i="2" s="1"/>
  <c r="AI127" i="2" s="1"/>
  <c r="AH81" i="2" a="1"/>
  <c r="AH81" i="2" s="1"/>
  <c r="AH127" i="2" s="1"/>
  <c r="AG81" i="2" a="1"/>
  <c r="AG81" i="2" s="1"/>
  <c r="AG127" i="2" s="1"/>
  <c r="AF81" i="2" a="1"/>
  <c r="AF81" i="2" s="1"/>
  <c r="AF127" i="2" s="1"/>
  <c r="AE81" i="2" a="1"/>
  <c r="AE81" i="2" s="1"/>
  <c r="AE127" i="2" s="1"/>
  <c r="AD81" i="2" a="1"/>
  <c r="AD81" i="2" s="1"/>
  <c r="AD127" i="2" s="1"/>
  <c r="AC81" i="2" a="1"/>
  <c r="AC81" i="2" s="1"/>
  <c r="AC127" i="2" s="1"/>
  <c r="AB81" i="2" a="1"/>
  <c r="AB81" i="2" s="1"/>
  <c r="AA81" i="2" a="1"/>
  <c r="AA81" i="2" s="1"/>
  <c r="Z81" i="2" a="1"/>
  <c r="Z81" i="2" s="1"/>
  <c r="Z127" i="2" s="1"/>
  <c r="Y81" i="2" a="1"/>
  <c r="Y81" i="2" s="1"/>
  <c r="Y127" i="2" s="1"/>
  <c r="X81" i="2" a="1"/>
  <c r="X81" i="2" s="1"/>
  <c r="X127" i="2" s="1"/>
  <c r="W81" i="2" a="1"/>
  <c r="W81" i="2" s="1"/>
  <c r="W127" i="2" s="1"/>
  <c r="V81" i="2" a="1"/>
  <c r="V81" i="2" s="1"/>
  <c r="U81" i="2" a="1"/>
  <c r="U81" i="2"/>
  <c r="U127" i="2" s="1"/>
  <c r="T81" i="2" a="1"/>
  <c r="T81" i="2" s="1"/>
  <c r="T127" i="2" s="1"/>
  <c r="S81" i="2" a="1"/>
  <c r="S81" i="2" s="1"/>
  <c r="S127" i="2" s="1"/>
  <c r="R81" i="2" a="1"/>
  <c r="R81" i="2" s="1"/>
  <c r="R127" i="2" s="1"/>
  <c r="Q81" i="2" a="1"/>
  <c r="Q81" i="2" s="1"/>
  <c r="Q127" i="2" s="1"/>
  <c r="P81" i="2" a="1"/>
  <c r="P81" i="2" s="1"/>
  <c r="O81" i="2" a="1"/>
  <c r="O81" i="2" s="1"/>
  <c r="N81" i="2" a="1"/>
  <c r="N81" i="2" s="1"/>
  <c r="N127" i="2" s="1"/>
  <c r="M81" i="2" a="1"/>
  <c r="M81" i="2" s="1"/>
  <c r="M127" i="2" s="1"/>
  <c r="L81" i="2" a="1"/>
  <c r="L81" i="2" s="1"/>
  <c r="L127" i="2" s="1"/>
  <c r="K81" i="2" a="1"/>
  <c r="K81" i="2"/>
  <c r="K127" i="2" s="1"/>
  <c r="J81" i="2" a="1"/>
  <c r="J81" i="2"/>
  <c r="J127" i="2" s="1"/>
  <c r="I81" i="2" a="1"/>
  <c r="I81" i="2" s="1"/>
  <c r="I127" i="2" s="1"/>
  <c r="H81" i="2" a="1"/>
  <c r="H81" i="2" s="1"/>
  <c r="G81" i="2" a="1"/>
  <c r="G81" i="2" s="1"/>
  <c r="G127" i="2" s="1"/>
  <c r="F81" i="2" a="1"/>
  <c r="F81" i="2" s="1"/>
  <c r="E81" i="2" a="1"/>
  <c r="E81" i="2" s="1"/>
  <c r="E127" i="2" s="1"/>
  <c r="D81" i="2" a="1"/>
  <c r="D81" i="2" s="1"/>
  <c r="D127" i="2" s="1"/>
  <c r="AS80" i="2" a="1"/>
  <c r="AS80" i="2" s="1"/>
  <c r="AS126" i="2" s="1"/>
  <c r="AR80" i="2" a="1"/>
  <c r="AR80" i="2"/>
  <c r="AQ80" i="2" a="1"/>
  <c r="AQ80" i="2" s="1"/>
  <c r="AQ126" i="2" s="1"/>
  <c r="AP80" i="2" a="1"/>
  <c r="AP80" i="2" s="1"/>
  <c r="AP126" i="2" s="1"/>
  <c r="AO80" i="2" a="1"/>
  <c r="AO80" i="2" s="1"/>
  <c r="AO126" i="2" s="1"/>
  <c r="AN80" i="2" a="1"/>
  <c r="AN80" i="2" s="1"/>
  <c r="AN126" i="2" s="1"/>
  <c r="AM80" i="2" a="1"/>
  <c r="AM80" i="2" s="1"/>
  <c r="AL80" i="2" a="1"/>
  <c r="AL80" i="2" s="1"/>
  <c r="AL126" i="2" s="1"/>
  <c r="AK80" i="2" a="1"/>
  <c r="AK80" i="2" s="1"/>
  <c r="AK126" i="2" s="1"/>
  <c r="AJ80" i="2" a="1"/>
  <c r="AJ80" i="2" s="1"/>
  <c r="AJ126" i="2" s="1"/>
  <c r="AI80" i="2" a="1"/>
  <c r="AI80" i="2"/>
  <c r="AI126" i="2" s="1"/>
  <c r="AH80" i="2" a="1"/>
  <c r="AH80" i="2" s="1"/>
  <c r="AH126" i="2" s="1"/>
  <c r="AG80" i="2" a="1"/>
  <c r="AG80" i="2" s="1"/>
  <c r="AG126" i="2" s="1"/>
  <c r="AF80" i="2" a="1"/>
  <c r="AF80" i="2" s="1"/>
  <c r="AF126" i="2" s="1"/>
  <c r="AE80" i="2" a="1"/>
  <c r="AE80" i="2"/>
  <c r="AE126" i="2" s="1"/>
  <c r="AD80" i="2" a="1"/>
  <c r="AD80" i="2" s="1"/>
  <c r="AD126" i="2" s="1"/>
  <c r="AC80" i="2" a="1"/>
  <c r="AC80" i="2"/>
  <c r="AC126" i="2" s="1"/>
  <c r="AB80" i="2" a="1"/>
  <c r="AB80" i="2" s="1"/>
  <c r="AA80" i="2" a="1"/>
  <c r="AA80" i="2" s="1"/>
  <c r="Z80" i="2" a="1"/>
  <c r="Z80" i="2" s="1"/>
  <c r="Z126" i="2" s="1"/>
  <c r="Y80" i="2" a="1"/>
  <c r="Y80" i="2" s="1"/>
  <c r="Y126" i="2" s="1"/>
  <c r="X80" i="2" a="1"/>
  <c r="X80" i="2" s="1"/>
  <c r="X126" i="2" s="1"/>
  <c r="W80" i="2" a="1"/>
  <c r="W80" i="2" s="1"/>
  <c r="W126" i="2" s="1"/>
  <c r="V80" i="2" a="1"/>
  <c r="V80" i="2" s="1"/>
  <c r="U80" i="2" a="1"/>
  <c r="U80" i="2" s="1"/>
  <c r="U126" i="2" s="1"/>
  <c r="T80" i="2" a="1"/>
  <c r="T80" i="2" s="1"/>
  <c r="T126" i="2" s="1"/>
  <c r="S80" i="2" a="1"/>
  <c r="S80" i="2" s="1"/>
  <c r="S126" i="2" s="1"/>
  <c r="R80" i="2" a="1"/>
  <c r="R80" i="2" s="1"/>
  <c r="Q80" i="2" a="1"/>
  <c r="Q80" i="2"/>
  <c r="Q126" i="2" s="1"/>
  <c r="P80" i="2" a="1"/>
  <c r="P80" i="2" s="1"/>
  <c r="P126" i="2" s="1"/>
  <c r="O80" i="2" a="1"/>
  <c r="O80" i="2"/>
  <c r="N80" i="2" a="1"/>
  <c r="N80" i="2" s="1"/>
  <c r="M80" i="2" a="1"/>
  <c r="M80" i="2" s="1"/>
  <c r="M126" i="2" s="1"/>
  <c r="L80" i="2" a="1"/>
  <c r="L80" i="2" s="1"/>
  <c r="L126" i="2" s="1"/>
  <c r="K80" i="2" a="1"/>
  <c r="K80" i="2"/>
  <c r="K126" i="2" s="1"/>
  <c r="J80" i="2" a="1"/>
  <c r="J80" i="2" s="1"/>
  <c r="J126" i="2" s="1"/>
  <c r="I80" i="2" a="1"/>
  <c r="I80" i="2" s="1"/>
  <c r="I126" i="2" s="1"/>
  <c r="H80" i="2" a="1"/>
  <c r="H80" i="2"/>
  <c r="G80" i="2" a="1"/>
  <c r="G80" i="2" s="1"/>
  <c r="G126" i="2" s="1"/>
  <c r="F80" i="2" a="1"/>
  <c r="F80" i="2" s="1"/>
  <c r="E80" i="2" a="1"/>
  <c r="E80" i="2"/>
  <c r="E126" i="2" s="1"/>
  <c r="D80" i="2" a="1"/>
  <c r="D80" i="2" s="1"/>
  <c r="AS79" i="2" a="1"/>
  <c r="AS79" i="2" s="1"/>
  <c r="AS125" i="2" s="1"/>
  <c r="AR79" i="2" a="1"/>
  <c r="AR79" i="2" s="1"/>
  <c r="AQ79" i="2" a="1"/>
  <c r="AQ79" i="2" s="1"/>
  <c r="AP79" i="2" a="1"/>
  <c r="AP79" i="2" s="1"/>
  <c r="AP125" i="2" s="1"/>
  <c r="AO79" i="2" a="1"/>
  <c r="AO79" i="2"/>
  <c r="AO125" i="2" s="1"/>
  <c r="AN79" i="2" a="1"/>
  <c r="AN79" i="2" s="1"/>
  <c r="AN125" i="2" s="1"/>
  <c r="AM79" i="2" a="1"/>
  <c r="AM79" i="2" s="1"/>
  <c r="AM125" i="2" s="1"/>
  <c r="AL79" i="2" a="1"/>
  <c r="AL79" i="2" s="1"/>
  <c r="AL125" i="2" s="1"/>
  <c r="AK79" i="2" a="1"/>
  <c r="AK79" i="2" s="1"/>
  <c r="AK125" i="2" s="1"/>
  <c r="AJ79" i="2" a="1"/>
  <c r="AJ79" i="2" s="1"/>
  <c r="AI79" i="2" a="1"/>
  <c r="AI79" i="2" s="1"/>
  <c r="AI125" i="2" s="1"/>
  <c r="AH79" i="2" a="1"/>
  <c r="AH79" i="2" s="1"/>
  <c r="AH125" i="2" s="1"/>
  <c r="AG79" i="2" a="1"/>
  <c r="AG79" i="2" s="1"/>
  <c r="AG125" i="2" s="1"/>
  <c r="AF79" i="2" a="1"/>
  <c r="AF79" i="2" s="1"/>
  <c r="AE79" i="2" a="1"/>
  <c r="AE79" i="2" s="1"/>
  <c r="AE125" i="2" s="1"/>
  <c r="AD79" i="2" a="1"/>
  <c r="AD79" i="2" s="1"/>
  <c r="AD125" i="2" s="1"/>
  <c r="AC79" i="2" a="1"/>
  <c r="AC79" i="2" s="1"/>
  <c r="AC125" i="2" s="1"/>
  <c r="AB79" i="2" a="1"/>
  <c r="AB79" i="2" s="1"/>
  <c r="AA79" i="2" a="1"/>
  <c r="AA79" i="2" s="1"/>
  <c r="AA125" i="2" s="1"/>
  <c r="Z79" i="2" a="1"/>
  <c r="Z79" i="2" s="1"/>
  <c r="Z125" i="2" s="1"/>
  <c r="Y79" i="2" a="1"/>
  <c r="Y79" i="2" s="1"/>
  <c r="Y125" i="2" s="1"/>
  <c r="X79" i="2" a="1"/>
  <c r="X79" i="2" s="1"/>
  <c r="X125" i="2" s="1"/>
  <c r="W79" i="2" a="1"/>
  <c r="W79" i="2" s="1"/>
  <c r="V79" i="2" a="1"/>
  <c r="V79" i="2"/>
  <c r="U79" i="2" a="1"/>
  <c r="U79" i="2" s="1"/>
  <c r="U125" i="2" s="1"/>
  <c r="T79" i="2" a="1"/>
  <c r="T79" i="2" s="1"/>
  <c r="T125" i="2" s="1"/>
  <c r="S79" i="2" a="1"/>
  <c r="S79" i="2" s="1"/>
  <c r="S125" i="2" s="1"/>
  <c r="R79" i="2" a="1"/>
  <c r="R79" i="2" s="1"/>
  <c r="R125" i="2" s="1"/>
  <c r="Q79" i="2" a="1"/>
  <c r="Q79" i="2" s="1"/>
  <c r="Q125" i="2" s="1"/>
  <c r="P79" i="2" a="1"/>
  <c r="P79" i="2" s="1"/>
  <c r="P125" i="2" s="1"/>
  <c r="O79" i="2" a="1"/>
  <c r="O79" i="2"/>
  <c r="N79" i="2" a="1"/>
  <c r="N79" i="2" s="1"/>
  <c r="M79" i="2" a="1"/>
  <c r="M79" i="2"/>
  <c r="M125" i="2" s="1"/>
  <c r="L79" i="2" a="1"/>
  <c r="L79" i="2" s="1"/>
  <c r="L125" i="2" s="1"/>
  <c r="K79" i="2" a="1"/>
  <c r="K79" i="2" s="1"/>
  <c r="K125" i="2" s="1"/>
  <c r="J79" i="2" a="1"/>
  <c r="J79" i="2" s="1"/>
  <c r="J125" i="2" s="1"/>
  <c r="I79" i="2" a="1"/>
  <c r="I79" i="2" s="1"/>
  <c r="I125" i="2" s="1"/>
  <c r="H79" i="2" a="1"/>
  <c r="H79" i="2" s="1"/>
  <c r="G79" i="2" a="1"/>
  <c r="G79" i="2"/>
  <c r="G125" i="2" s="1"/>
  <c r="F79" i="2" a="1"/>
  <c r="F79" i="2"/>
  <c r="F125" i="2" s="1"/>
  <c r="E79" i="2" a="1"/>
  <c r="E79" i="2" s="1"/>
  <c r="E125" i="2" s="1"/>
  <c r="D79" i="2" a="1"/>
  <c r="D79" i="2" s="1"/>
  <c r="D125" i="2" s="1"/>
  <c r="AS78" i="2" a="1"/>
  <c r="AS78" i="2" s="1"/>
  <c r="AS124" i="2" s="1"/>
  <c r="AR78" i="2" a="1"/>
  <c r="AR78" i="2"/>
  <c r="AQ78" i="2" a="1"/>
  <c r="AQ78" i="2" s="1"/>
  <c r="AQ124" i="2" s="1"/>
  <c r="AP78" i="2" a="1"/>
  <c r="AP78" i="2" s="1"/>
  <c r="AP124" i="2" s="1"/>
  <c r="AO78" i="2" a="1"/>
  <c r="AO78" i="2" s="1"/>
  <c r="AO124" i="2" s="1"/>
  <c r="AN78" i="2" a="1"/>
  <c r="AN78" i="2" s="1"/>
  <c r="AN124" i="2" s="1"/>
  <c r="AM78" i="2" a="1"/>
  <c r="AM78" i="2"/>
  <c r="AM124" i="2" s="1"/>
  <c r="AL78" i="2" a="1"/>
  <c r="AL78" i="2" s="1"/>
  <c r="AL124" i="2" s="1"/>
  <c r="AK78" i="2" a="1"/>
  <c r="AK78" i="2"/>
  <c r="AK124" i="2" s="1"/>
  <c r="AJ78" i="2" a="1"/>
  <c r="AJ78" i="2" s="1"/>
  <c r="AI78" i="2" a="1"/>
  <c r="AI78" i="2" s="1"/>
  <c r="AI124" i="2" s="1"/>
  <c r="AH78" i="2" a="1"/>
  <c r="AH78" i="2" s="1"/>
  <c r="AH124" i="2" s="1"/>
  <c r="AG78" i="2" a="1"/>
  <c r="AG78" i="2" s="1"/>
  <c r="AG124" i="2" s="1"/>
  <c r="AF78" i="2" a="1"/>
  <c r="AF78" i="2" s="1"/>
  <c r="AF124" i="2" s="1"/>
  <c r="AE78" i="2" a="1"/>
  <c r="AE78" i="2"/>
  <c r="AE124" i="2" s="1"/>
  <c r="AD78" i="2" a="1"/>
  <c r="AD78" i="2" s="1"/>
  <c r="AD124" i="2" s="1"/>
  <c r="AC78" i="2" a="1"/>
  <c r="AC78" i="2" s="1"/>
  <c r="AC124" i="2" s="1"/>
  <c r="AB78" i="2" a="1"/>
  <c r="AB78" i="2" s="1"/>
  <c r="AB124" i="2" s="1"/>
  <c r="AA78" i="2" a="1"/>
  <c r="AA78" i="2" s="1"/>
  <c r="Z78" i="2" a="1"/>
  <c r="Z78" i="2" s="1"/>
  <c r="Z124" i="2" s="1"/>
  <c r="Y78" i="2" a="1"/>
  <c r="Y78" i="2" s="1"/>
  <c r="Y124" i="2" s="1"/>
  <c r="X78" i="2" a="1"/>
  <c r="X78" i="2" s="1"/>
  <c r="X124" i="2" s="1"/>
  <c r="W78" i="2" a="1"/>
  <c r="W78" i="2" s="1"/>
  <c r="V78" i="2" a="1"/>
  <c r="V78" i="2" s="1"/>
  <c r="U78" i="2" a="1"/>
  <c r="U78" i="2" s="1"/>
  <c r="U124" i="2" s="1"/>
  <c r="T78" i="2" a="1"/>
  <c r="T78" i="2" s="1"/>
  <c r="T124" i="2" s="1"/>
  <c r="S78" i="2" a="1"/>
  <c r="S78" i="2"/>
  <c r="S124" i="2" s="1"/>
  <c r="R78" i="2" a="1"/>
  <c r="R78" i="2" s="1"/>
  <c r="R124" i="2" s="1"/>
  <c r="Q78" i="2" a="1"/>
  <c r="Q78" i="2" s="1"/>
  <c r="Q124" i="2" s="1"/>
  <c r="P78" i="2" a="1"/>
  <c r="P78" i="2" s="1"/>
  <c r="P124" i="2" s="1"/>
  <c r="O78" i="2" a="1"/>
  <c r="O78" i="2" s="1"/>
  <c r="N78" i="2" a="1"/>
  <c r="N78" i="2" s="1"/>
  <c r="N124" i="2" s="1"/>
  <c r="M78" i="2" a="1"/>
  <c r="M78" i="2" s="1"/>
  <c r="M124" i="2" s="1"/>
  <c r="L78" i="2" a="1"/>
  <c r="L78" i="2"/>
  <c r="L124" i="2" s="1"/>
  <c r="K78" i="2" a="1"/>
  <c r="K78" i="2"/>
  <c r="K124" i="2" s="1"/>
  <c r="J78" i="2" a="1"/>
  <c r="J78" i="2" s="1"/>
  <c r="J124" i="2" s="1"/>
  <c r="I78" i="2" a="1"/>
  <c r="I78" i="2" s="1"/>
  <c r="I124" i="2" s="1"/>
  <c r="H78" i="2" a="1"/>
  <c r="H78" i="2" s="1"/>
  <c r="G78" i="2" a="1"/>
  <c r="G78" i="2" s="1"/>
  <c r="G124" i="2" s="1"/>
  <c r="F78" i="2" a="1"/>
  <c r="F78" i="2" s="1"/>
  <c r="E78" i="2" a="1"/>
  <c r="E78" i="2" s="1"/>
  <c r="E124" i="2" s="1"/>
  <c r="D78" i="2" a="1"/>
  <c r="D78" i="2" s="1"/>
  <c r="D124" i="2" s="1"/>
  <c r="AS77" i="2" a="1"/>
  <c r="AS77" i="2" s="1"/>
  <c r="AS123" i="2" s="1"/>
  <c r="AR77" i="2" a="1"/>
  <c r="AR77" i="2" s="1"/>
  <c r="AQ77" i="2" a="1"/>
  <c r="AQ77" i="2" s="1"/>
  <c r="AP77" i="2" a="1"/>
  <c r="AP77" i="2" s="1"/>
  <c r="AP123" i="2" s="1"/>
  <c r="AO77" i="2" a="1"/>
  <c r="AO77" i="2" s="1"/>
  <c r="AO123" i="2" s="1"/>
  <c r="AN77" i="2" a="1"/>
  <c r="AN77" i="2" s="1"/>
  <c r="AN123" i="2" s="1"/>
  <c r="AM77" i="2" a="1"/>
  <c r="AM77" i="2" s="1"/>
  <c r="AM123" i="2" s="1"/>
  <c r="AL77" i="2" a="1"/>
  <c r="AL77" i="2" s="1"/>
  <c r="AL123" i="2" s="1"/>
  <c r="AK77" i="2" a="1"/>
  <c r="AK77" i="2" s="1"/>
  <c r="AK123" i="2" s="1"/>
  <c r="AJ77" i="2" a="1"/>
  <c r="AJ77" i="2" s="1"/>
  <c r="AI77" i="2" a="1"/>
  <c r="AI77" i="2" s="1"/>
  <c r="AI123" i="2" s="1"/>
  <c r="AH77" i="2" a="1"/>
  <c r="AH77" i="2" s="1"/>
  <c r="AH123" i="2" s="1"/>
  <c r="AG77" i="2" a="1"/>
  <c r="AG77" i="2" s="1"/>
  <c r="AG123" i="2" s="1"/>
  <c r="AF77" i="2" a="1"/>
  <c r="AF77" i="2" s="1"/>
  <c r="AE77" i="2" a="1"/>
  <c r="AE77" i="2" s="1"/>
  <c r="AE123" i="2" s="1"/>
  <c r="AD77" i="2" a="1"/>
  <c r="AD77" i="2" s="1"/>
  <c r="AD123" i="2" s="1"/>
  <c r="AC77" i="2" a="1"/>
  <c r="AC77" i="2" s="1"/>
  <c r="AC123" i="2" s="1"/>
  <c r="AB77" i="2" a="1"/>
  <c r="AB77" i="2" s="1"/>
  <c r="AA77" i="2" a="1"/>
  <c r="AA77" i="2" s="1"/>
  <c r="Z77" i="2" a="1"/>
  <c r="Z77" i="2" s="1"/>
  <c r="Z123" i="2" s="1"/>
  <c r="Y77" i="2" a="1"/>
  <c r="Y77" i="2" s="1"/>
  <c r="Y123" i="2" s="1"/>
  <c r="X77" i="2" a="1"/>
  <c r="X77" i="2" s="1"/>
  <c r="X123" i="2" s="1"/>
  <c r="W77" i="2" a="1"/>
  <c r="W77" i="2" s="1"/>
  <c r="V77" i="2" a="1"/>
  <c r="V77" i="2" s="1"/>
  <c r="V123" i="2" s="1"/>
  <c r="U77" i="2" a="1"/>
  <c r="U77" i="2"/>
  <c r="U123" i="2" s="1"/>
  <c r="T77" i="2" a="1"/>
  <c r="T77" i="2" s="1"/>
  <c r="T123" i="2" s="1"/>
  <c r="S77" i="2" a="1"/>
  <c r="S77" i="2" s="1"/>
  <c r="S123" i="2" s="1"/>
  <c r="R77" i="2" a="1"/>
  <c r="R77" i="2" s="1"/>
  <c r="R123" i="2" s="1"/>
  <c r="Q77" i="2" a="1"/>
  <c r="Q77" i="2" s="1"/>
  <c r="Q123" i="2" s="1"/>
  <c r="P77" i="2" a="1"/>
  <c r="P77" i="2" s="1"/>
  <c r="O77" i="2" a="1"/>
  <c r="O77" i="2" s="1"/>
  <c r="N77" i="2" a="1"/>
  <c r="N77" i="2" s="1"/>
  <c r="M77" i="2" a="1"/>
  <c r="M77" i="2"/>
  <c r="M123" i="2" s="1"/>
  <c r="L77" i="2" a="1"/>
  <c r="L77" i="2" s="1"/>
  <c r="L123" i="2" s="1"/>
  <c r="K77" i="2" a="1"/>
  <c r="K77" i="2" s="1"/>
  <c r="K123" i="2" s="1"/>
  <c r="J77" i="2" a="1"/>
  <c r="J77" i="2" s="1"/>
  <c r="J123" i="2" s="1"/>
  <c r="I77" i="2" a="1"/>
  <c r="I77" i="2" s="1"/>
  <c r="I123" i="2" s="1"/>
  <c r="H77" i="2" a="1"/>
  <c r="H77" i="2" s="1"/>
  <c r="G77" i="2" a="1"/>
  <c r="G77" i="2" s="1"/>
  <c r="G123" i="2" s="1"/>
  <c r="F77" i="2" a="1"/>
  <c r="F77" i="2"/>
  <c r="E77" i="2" a="1"/>
  <c r="E77" i="2" s="1"/>
  <c r="E123" i="2" s="1"/>
  <c r="D77" i="2" a="1"/>
  <c r="D77" i="2" s="1"/>
  <c r="D123" i="2" s="1"/>
  <c r="AS76" i="2" a="1"/>
  <c r="AS76" i="2" s="1"/>
  <c r="AS122" i="2" s="1"/>
  <c r="AR76" i="2" a="1"/>
  <c r="AR76" i="2" s="1"/>
  <c r="AQ76" i="2" a="1"/>
  <c r="AQ76" i="2" s="1"/>
  <c r="AQ122" i="2" s="1"/>
  <c r="AP76" i="2" a="1"/>
  <c r="AP76" i="2" s="1"/>
  <c r="AP122" i="2" s="1"/>
  <c r="AO76" i="2" a="1"/>
  <c r="AO76" i="2" s="1"/>
  <c r="AO122" i="2" s="1"/>
  <c r="AN76" i="2" a="1"/>
  <c r="AN76" i="2" s="1"/>
  <c r="AN122" i="2" s="1"/>
  <c r="AM76" i="2" a="1"/>
  <c r="AM76" i="2" s="1"/>
  <c r="AM122" i="2" s="1"/>
  <c r="AL76" i="2" a="1"/>
  <c r="AL76" i="2" s="1"/>
  <c r="AL122" i="2" s="1"/>
  <c r="AK76" i="2" a="1"/>
  <c r="AK76" i="2" s="1"/>
  <c r="AK122" i="2" s="1"/>
  <c r="AJ76" i="2" a="1"/>
  <c r="AJ76" i="2"/>
  <c r="AI76" i="2" a="1"/>
  <c r="AI76" i="2" s="1"/>
  <c r="AI122" i="2" s="1"/>
  <c r="AH76" i="2" a="1"/>
  <c r="AH76" i="2" s="1"/>
  <c r="AH122" i="2" s="1"/>
  <c r="AG76" i="2" a="1"/>
  <c r="AG76" i="2" s="1"/>
  <c r="AG122" i="2" s="1"/>
  <c r="AF76" i="2" a="1"/>
  <c r="AF76" i="2" s="1"/>
  <c r="AF122" i="2" s="1"/>
  <c r="AE76" i="2" a="1"/>
  <c r="AE76" i="2" s="1"/>
  <c r="AE122" i="2" s="1"/>
  <c r="AD76" i="2" a="1"/>
  <c r="AD76" i="2" s="1"/>
  <c r="AD122" i="2" s="1"/>
  <c r="AC76" i="2" a="1"/>
  <c r="AC76" i="2" s="1"/>
  <c r="AC122" i="2" s="1"/>
  <c r="AB76" i="2" a="1"/>
  <c r="AB76" i="2" s="1"/>
  <c r="AB122" i="2" s="1"/>
  <c r="AA76" i="2" a="1"/>
  <c r="AA76" i="2" s="1"/>
  <c r="Z76" i="2" a="1"/>
  <c r="Z76" i="2" s="1"/>
  <c r="Z122" i="2" s="1"/>
  <c r="Y76" i="2" a="1"/>
  <c r="Y76" i="2" s="1"/>
  <c r="Y122" i="2" s="1"/>
  <c r="X76" i="2" a="1"/>
  <c r="X76" i="2" s="1"/>
  <c r="X122" i="2" s="1"/>
  <c r="W76" i="2" a="1"/>
  <c r="W76" i="2" s="1"/>
  <c r="W122" i="2" s="1"/>
  <c r="V76" i="2" a="1"/>
  <c r="V76" i="2" s="1"/>
  <c r="V122" i="2" s="1"/>
  <c r="U76" i="2" a="1"/>
  <c r="U76" i="2" s="1"/>
  <c r="U122" i="2" s="1"/>
  <c r="T76" i="2" a="1"/>
  <c r="T76" i="2" s="1"/>
  <c r="T122" i="2" s="1"/>
  <c r="S76" i="2" a="1"/>
  <c r="S76" i="2" s="1"/>
  <c r="S122" i="2" s="1"/>
  <c r="R76" i="2" a="1"/>
  <c r="R76" i="2" s="1"/>
  <c r="Q76" i="2" a="1"/>
  <c r="Q76" i="2" s="1"/>
  <c r="Q122" i="2" s="1"/>
  <c r="P76" i="2" a="1"/>
  <c r="P76" i="2"/>
  <c r="P122" i="2" s="1"/>
  <c r="O76" i="2" a="1"/>
  <c r="O76" i="2" s="1"/>
  <c r="N76" i="2" a="1"/>
  <c r="N76" i="2" s="1"/>
  <c r="M76" i="2" a="1"/>
  <c r="M76" i="2" s="1"/>
  <c r="M122" i="2" s="1"/>
  <c r="L76" i="2" a="1"/>
  <c r="L76" i="2" s="1"/>
  <c r="L122" i="2" s="1"/>
  <c r="K76" i="2" a="1"/>
  <c r="K76" i="2"/>
  <c r="K122" i="2" s="1"/>
  <c r="J76" i="2" a="1"/>
  <c r="J76" i="2" s="1"/>
  <c r="J122" i="2" s="1"/>
  <c r="I76" i="2" a="1"/>
  <c r="I76" i="2" s="1"/>
  <c r="I122" i="2" s="1"/>
  <c r="H76" i="2" a="1"/>
  <c r="H76" i="2" s="1"/>
  <c r="G76" i="2" a="1"/>
  <c r="G76" i="2" s="1"/>
  <c r="G122" i="2" s="1"/>
  <c r="F76" i="2" a="1"/>
  <c r="F76" i="2" s="1"/>
  <c r="E76" i="2" a="1"/>
  <c r="E76" i="2"/>
  <c r="E122" i="2" s="1"/>
  <c r="D76" i="2" a="1"/>
  <c r="D76" i="2" s="1"/>
  <c r="D122" i="2" s="1"/>
  <c r="AS75" i="2" a="1"/>
  <c r="AS75" i="2" s="1"/>
  <c r="AS121" i="2" s="1"/>
  <c r="AR75" i="2" a="1"/>
  <c r="AR75" i="2" s="1"/>
  <c r="AR121" i="2" s="1"/>
  <c r="AQ75" i="2" a="1"/>
  <c r="AQ75" i="2" s="1"/>
  <c r="AP75" i="2" a="1"/>
  <c r="AP75" i="2"/>
  <c r="AP121" i="2" s="1"/>
  <c r="AO75" i="2" a="1"/>
  <c r="AO75" i="2" s="1"/>
  <c r="AO121" i="2" s="1"/>
  <c r="AN75" i="2" a="1"/>
  <c r="AN75" i="2" s="1"/>
  <c r="AN121" i="2" s="1"/>
  <c r="AM75" i="2" a="1"/>
  <c r="AM75" i="2" s="1"/>
  <c r="AM121" i="2" s="1"/>
  <c r="AL75" i="2" a="1"/>
  <c r="AL75" i="2" s="1"/>
  <c r="AL121" i="2" s="1"/>
  <c r="AK75" i="2" a="1"/>
  <c r="AK75" i="2" s="1"/>
  <c r="AK121" i="2" s="1"/>
  <c r="AJ75" i="2" a="1"/>
  <c r="AJ75" i="2" s="1"/>
  <c r="AI75" i="2" a="1"/>
  <c r="AI75" i="2"/>
  <c r="AI121" i="2" s="1"/>
  <c r="AH75" i="2" a="1"/>
  <c r="AH75" i="2" s="1"/>
  <c r="AH121" i="2" s="1"/>
  <c r="AG75" i="2" a="1"/>
  <c r="AG75" i="2" s="1"/>
  <c r="AG121" i="2" s="1"/>
  <c r="AF75" i="2" a="1"/>
  <c r="AF75" i="2" s="1"/>
  <c r="AF121" i="2" s="1"/>
  <c r="AE75" i="2" a="1"/>
  <c r="AE75" i="2" s="1"/>
  <c r="AE121" i="2" s="1"/>
  <c r="AD75" i="2" a="1"/>
  <c r="AD75" i="2" s="1"/>
  <c r="AD121" i="2" s="1"/>
  <c r="AC75" i="2" a="1"/>
  <c r="AC75" i="2"/>
  <c r="AC121" i="2" s="1"/>
  <c r="AB75" i="2" a="1"/>
  <c r="AB75" i="2" s="1"/>
  <c r="AA75" i="2" a="1"/>
  <c r="AA75" i="2" s="1"/>
  <c r="Z75" i="2" a="1"/>
  <c r="Z75" i="2" s="1"/>
  <c r="Z121" i="2" s="1"/>
  <c r="Y75" i="2" a="1"/>
  <c r="Y75" i="2" s="1"/>
  <c r="Y121" i="2" s="1"/>
  <c r="X75" i="2" a="1"/>
  <c r="X75" i="2" s="1"/>
  <c r="X121" i="2" s="1"/>
  <c r="W75" i="2" a="1"/>
  <c r="W75" i="2"/>
  <c r="V75" i="2" a="1"/>
  <c r="V75" i="2" s="1"/>
  <c r="U75" i="2" a="1"/>
  <c r="U75" i="2" s="1"/>
  <c r="U121" i="2" s="1"/>
  <c r="T75" i="2" a="1"/>
  <c r="T75" i="2" s="1"/>
  <c r="T121" i="2" s="1"/>
  <c r="S75" i="2" a="1"/>
  <c r="S75" i="2" s="1"/>
  <c r="S121" i="2" s="1"/>
  <c r="R75" i="2" a="1"/>
  <c r="R75" i="2" s="1"/>
  <c r="R121" i="2" s="1"/>
  <c r="Q75" i="2" a="1"/>
  <c r="Q75" i="2"/>
  <c r="Q121" i="2" s="1"/>
  <c r="P75" i="2" a="1"/>
  <c r="P75" i="2" s="1"/>
  <c r="P121" i="2" s="1"/>
  <c r="O75" i="2" a="1"/>
  <c r="O75" i="2"/>
  <c r="N75" i="2" a="1"/>
  <c r="N75" i="2" s="1"/>
  <c r="M75" i="2" a="1"/>
  <c r="M75" i="2" s="1"/>
  <c r="M121" i="2" s="1"/>
  <c r="L75" i="2" a="1"/>
  <c r="L75" i="2" s="1"/>
  <c r="L121" i="2" s="1"/>
  <c r="K75" i="2" a="1"/>
  <c r="K75" i="2"/>
  <c r="K121" i="2" s="1"/>
  <c r="J75" i="2" a="1"/>
  <c r="J75" i="2"/>
  <c r="J121" i="2" s="1"/>
  <c r="I75" i="2" a="1"/>
  <c r="I75" i="2" s="1"/>
  <c r="I121" i="2" s="1"/>
  <c r="H75" i="2" a="1"/>
  <c r="H75" i="2" s="1"/>
  <c r="G75" i="2" a="1"/>
  <c r="G75" i="2" s="1"/>
  <c r="G121" i="2" s="1"/>
  <c r="F75" i="2" a="1"/>
  <c r="F75" i="2" s="1"/>
  <c r="E75" i="2" a="1"/>
  <c r="E75" i="2"/>
  <c r="E121" i="2" s="1"/>
  <c r="D75" i="2" a="1"/>
  <c r="D75" i="2" s="1"/>
  <c r="D121" i="2" s="1"/>
  <c r="AS74" i="2" a="1"/>
  <c r="AS74" i="2"/>
  <c r="AS120" i="2" s="1"/>
  <c r="AR74" i="2" a="1"/>
  <c r="AR74" i="2" s="1"/>
  <c r="AQ74" i="2" a="1"/>
  <c r="AQ74" i="2" s="1"/>
  <c r="AQ120" i="2" s="1"/>
  <c r="AP74" i="2" a="1"/>
  <c r="AP74" i="2" s="1"/>
  <c r="AP120" i="2" s="1"/>
  <c r="AO74" i="2" a="1"/>
  <c r="AO74" i="2" s="1"/>
  <c r="AO120" i="2" s="1"/>
  <c r="AN74" i="2" a="1"/>
  <c r="AN74" i="2" s="1"/>
  <c r="AN120" i="2" s="1"/>
  <c r="AM74" i="2" a="1"/>
  <c r="AM74" i="2" s="1"/>
  <c r="AM120" i="2" s="1"/>
  <c r="AL74" i="2" a="1"/>
  <c r="AL74" i="2" s="1"/>
  <c r="AL120" i="2" s="1"/>
  <c r="AK74" i="2" a="1"/>
  <c r="AK74" i="2" s="1"/>
  <c r="AK120" i="2" s="1"/>
  <c r="AJ74" i="2" a="1"/>
  <c r="AJ74" i="2" s="1"/>
  <c r="AI74" i="2" a="1"/>
  <c r="AI74" i="2" s="1"/>
  <c r="AI120" i="2" s="1"/>
  <c r="AH74" i="2" a="1"/>
  <c r="AH74" i="2" s="1"/>
  <c r="AH120" i="2" s="1"/>
  <c r="AG74" i="2" a="1"/>
  <c r="AG74" i="2"/>
  <c r="AG120" i="2" s="1"/>
  <c r="AF74" i="2" a="1"/>
  <c r="AF74" i="2" s="1"/>
  <c r="AF120" i="2" s="1"/>
  <c r="AE74" i="2" a="1"/>
  <c r="AE74" i="2" s="1"/>
  <c r="AE120" i="2" s="1"/>
  <c r="AD74" i="2" a="1"/>
  <c r="AD74" i="2" s="1"/>
  <c r="AD120" i="2" s="1"/>
  <c r="AC74" i="2" a="1"/>
  <c r="AC74" i="2"/>
  <c r="AC120" i="2" s="1"/>
  <c r="AB74" i="2" a="1"/>
  <c r="AB74" i="2" s="1"/>
  <c r="AA74" i="2" a="1"/>
  <c r="AA74" i="2" s="1"/>
  <c r="AA120" i="2" s="1"/>
  <c r="Z74" i="2" a="1"/>
  <c r="Z74" i="2" s="1"/>
  <c r="Z120" i="2" s="1"/>
  <c r="Y74" i="2" a="1"/>
  <c r="Y74" i="2" s="1"/>
  <c r="Y120" i="2" s="1"/>
  <c r="X74" i="2" a="1"/>
  <c r="X74" i="2" s="1"/>
  <c r="X120" i="2" s="1"/>
  <c r="W74" i="2" a="1"/>
  <c r="W74" i="2" s="1"/>
  <c r="V74" i="2" a="1"/>
  <c r="V74" i="2" s="1"/>
  <c r="U74" i="2" a="1"/>
  <c r="U74" i="2" s="1"/>
  <c r="U120" i="2" s="1"/>
  <c r="T74" i="2" a="1"/>
  <c r="T74" i="2" s="1"/>
  <c r="T120" i="2" s="1"/>
  <c r="S74" i="2" a="1"/>
  <c r="S74" i="2" s="1"/>
  <c r="S120" i="2" s="1"/>
  <c r="R74" i="2" a="1"/>
  <c r="R74" i="2" s="1"/>
  <c r="R120" i="2" s="1"/>
  <c r="Q74" i="2" a="1"/>
  <c r="Q74" i="2" s="1"/>
  <c r="Q120" i="2" s="1"/>
  <c r="P74" i="2" a="1"/>
  <c r="P74" i="2" s="1"/>
  <c r="P120" i="2" s="1"/>
  <c r="O74" i="2" a="1"/>
  <c r="O74" i="2"/>
  <c r="O120" i="2" s="1"/>
  <c r="N74" i="2" a="1"/>
  <c r="N74" i="2" s="1"/>
  <c r="M74" i="2" a="1"/>
  <c r="M74" i="2" s="1"/>
  <c r="M120" i="2" s="1"/>
  <c r="L74" i="2" a="1"/>
  <c r="L74" i="2" s="1"/>
  <c r="L120" i="2" s="1"/>
  <c r="K74" i="2" a="1"/>
  <c r="K74" i="2" s="1"/>
  <c r="J74" i="2" a="1"/>
  <c r="J74" i="2" s="1"/>
  <c r="J120" i="2" s="1"/>
  <c r="I74" i="2" a="1"/>
  <c r="I74" i="2" s="1"/>
  <c r="I120" i="2" s="1"/>
  <c r="H74" i="2" a="1"/>
  <c r="H74" i="2" s="1"/>
  <c r="H120" i="2" s="1"/>
  <c r="G74" i="2" a="1"/>
  <c r="G74" i="2" s="1"/>
  <c r="G120" i="2" s="1"/>
  <c r="F74" i="2" a="1"/>
  <c r="F74" i="2" s="1"/>
  <c r="F120" i="2" s="1"/>
  <c r="E74" i="2" a="1"/>
  <c r="E74" i="2" s="1"/>
  <c r="E120" i="2" s="1"/>
  <c r="D74" i="2" a="1"/>
  <c r="D74" i="2" s="1"/>
  <c r="D120" i="2" s="1"/>
  <c r="AS73" i="2" a="1"/>
  <c r="AS73" i="2" s="1"/>
  <c r="AS119" i="2" s="1"/>
  <c r="AR73" i="2" a="1"/>
  <c r="AR73" i="2" s="1"/>
  <c r="AQ73" i="2" a="1"/>
  <c r="AQ73" i="2" s="1"/>
  <c r="AP73" i="2" a="1"/>
  <c r="AP73" i="2" s="1"/>
  <c r="AP119" i="2" s="1"/>
  <c r="AO73" i="2" a="1"/>
  <c r="AO73" i="2"/>
  <c r="AO119" i="2" s="1"/>
  <c r="AN73" i="2" a="1"/>
  <c r="AN73" i="2" s="1"/>
  <c r="AN119" i="2" s="1"/>
  <c r="AM73" i="2" a="1"/>
  <c r="AM73" i="2" s="1"/>
  <c r="AM119" i="2" s="1"/>
  <c r="AL73" i="2" a="1"/>
  <c r="AL73" i="2" s="1"/>
  <c r="AL119" i="2" s="1"/>
  <c r="AK73" i="2" a="1"/>
  <c r="AK73" i="2" s="1"/>
  <c r="AK119" i="2" s="1"/>
  <c r="AJ73" i="2" a="1"/>
  <c r="AJ73" i="2" s="1"/>
  <c r="AI73" i="2" a="1"/>
  <c r="AI73" i="2" s="1"/>
  <c r="AI119" i="2" s="1"/>
  <c r="AH73" i="2" a="1"/>
  <c r="AH73" i="2"/>
  <c r="AH119" i="2" s="1"/>
  <c r="AG73" i="2" a="1"/>
  <c r="AG73" i="2" s="1"/>
  <c r="AG119" i="2" s="1"/>
  <c r="AF73" i="2" a="1"/>
  <c r="AF73" i="2" s="1"/>
  <c r="AF119" i="2" s="1"/>
  <c r="AE73" i="2" a="1"/>
  <c r="AE73" i="2" s="1"/>
  <c r="AE119" i="2" s="1"/>
  <c r="AD73" i="2" a="1"/>
  <c r="AD73" i="2" s="1"/>
  <c r="AD119" i="2" s="1"/>
  <c r="AC73" i="2" a="1"/>
  <c r="AC73" i="2"/>
  <c r="AC119" i="2" s="1"/>
  <c r="AB73" i="2" a="1"/>
  <c r="AB73" i="2" s="1"/>
  <c r="AA73" i="2" a="1"/>
  <c r="AA73" i="2" s="1"/>
  <c r="AA119" i="2" s="1"/>
  <c r="Z73" i="2" a="1"/>
  <c r="Z73" i="2" s="1"/>
  <c r="Z119" i="2" s="1"/>
  <c r="Y73" i="2" a="1"/>
  <c r="Y73" i="2"/>
  <c r="Y119" i="2" s="1"/>
  <c r="X73" i="2" a="1"/>
  <c r="X73" i="2" s="1"/>
  <c r="X119" i="2" s="1"/>
  <c r="W73" i="2" a="1"/>
  <c r="W73" i="2" s="1"/>
  <c r="W119" i="2" s="1"/>
  <c r="V73" i="2" a="1"/>
  <c r="V73" i="2" s="1"/>
  <c r="V119" i="2" s="1"/>
  <c r="U73" i="2" a="1"/>
  <c r="U73" i="2" s="1"/>
  <c r="U119" i="2" s="1"/>
  <c r="T73" i="2" a="1"/>
  <c r="T73" i="2" s="1"/>
  <c r="T119" i="2" s="1"/>
  <c r="S73" i="2" a="1"/>
  <c r="S73" i="2" s="1"/>
  <c r="S119" i="2" s="1"/>
  <c r="R73" i="2" a="1"/>
  <c r="R73" i="2"/>
  <c r="R119" i="2" s="1"/>
  <c r="Q73" i="2" a="1"/>
  <c r="Q73" i="2" s="1"/>
  <c r="Q119" i="2" s="1"/>
  <c r="P73" i="2" a="1"/>
  <c r="P73" i="2" s="1"/>
  <c r="P119" i="2" s="1"/>
  <c r="O73" i="2" a="1"/>
  <c r="O73" i="2" s="1"/>
  <c r="N73" i="2" a="1"/>
  <c r="N73" i="2" s="1"/>
  <c r="N119" i="2" s="1"/>
  <c r="M73" i="2" a="1"/>
  <c r="M73" i="2" s="1"/>
  <c r="M119" i="2" s="1"/>
  <c r="L73" i="2" a="1"/>
  <c r="L73" i="2" s="1"/>
  <c r="L119" i="2" s="1"/>
  <c r="K73" i="2" a="1"/>
  <c r="K73" i="2" s="1"/>
  <c r="K119" i="2" s="1"/>
  <c r="J73" i="2" a="1"/>
  <c r="J73" i="2" s="1"/>
  <c r="J119" i="2" s="1"/>
  <c r="I73" i="2" a="1"/>
  <c r="I73" i="2" s="1"/>
  <c r="I119" i="2" s="1"/>
  <c r="H73" i="2" a="1"/>
  <c r="H73" i="2" s="1"/>
  <c r="H119" i="2" s="1"/>
  <c r="G73" i="2" a="1"/>
  <c r="G73" i="2" s="1"/>
  <c r="G119" i="2" s="1"/>
  <c r="F73" i="2" a="1"/>
  <c r="F73" i="2" s="1"/>
  <c r="E73" i="2" a="1"/>
  <c r="E73" i="2" s="1"/>
  <c r="E119" i="2" s="1"/>
  <c r="D73" i="2" a="1"/>
  <c r="D73" i="2" s="1"/>
  <c r="D119" i="2" s="1"/>
  <c r="AS72" i="2" a="1"/>
  <c r="AS72" i="2" s="1"/>
  <c r="AS118" i="2" s="1"/>
  <c r="AR72" i="2" a="1"/>
  <c r="AR72" i="2"/>
  <c r="AR118" i="2" s="1"/>
  <c r="AQ72" i="2" a="1"/>
  <c r="AQ72" i="2" s="1"/>
  <c r="AQ118" i="2" s="1"/>
  <c r="AP72" i="2" a="1"/>
  <c r="AP72" i="2" s="1"/>
  <c r="AP118" i="2" s="1"/>
  <c r="AO72" i="2" a="1"/>
  <c r="AO72" i="2" s="1"/>
  <c r="AO118" i="2" s="1"/>
  <c r="AN72" i="2" a="1"/>
  <c r="AN72" i="2" s="1"/>
  <c r="AN118" i="2" s="1"/>
  <c r="AM72" i="2" a="1"/>
  <c r="AM72" i="2" s="1"/>
  <c r="AM118" i="2" s="1"/>
  <c r="AL72" i="2" a="1"/>
  <c r="AL72" i="2" s="1"/>
  <c r="AL118" i="2" s="1"/>
  <c r="AK72" i="2" a="1"/>
  <c r="AK72" i="2" s="1"/>
  <c r="AK118" i="2" s="1"/>
  <c r="AJ72" i="2" a="1"/>
  <c r="AJ72" i="2"/>
  <c r="AI72" i="2" a="1"/>
  <c r="AI72" i="2" s="1"/>
  <c r="AI118" i="2" s="1"/>
  <c r="AH72" i="2" a="1"/>
  <c r="AH72" i="2" s="1"/>
  <c r="AH118" i="2" s="1"/>
  <c r="AG72" i="2" a="1"/>
  <c r="AG72" i="2"/>
  <c r="AG118" i="2" s="1"/>
  <c r="AF72" i="2" a="1"/>
  <c r="AF72" i="2" s="1"/>
  <c r="AF118" i="2" s="1"/>
  <c r="AE72" i="2" a="1"/>
  <c r="AE72" i="2" s="1"/>
  <c r="AE118" i="2" s="1"/>
  <c r="AD72" i="2" a="1"/>
  <c r="AD72" i="2" s="1"/>
  <c r="AD118" i="2" s="1"/>
  <c r="AC72" i="2" a="1"/>
  <c r="AC72" i="2" s="1"/>
  <c r="AC118" i="2" s="1"/>
  <c r="AB72" i="2" a="1"/>
  <c r="AB72" i="2"/>
  <c r="AB118" i="2" s="1"/>
  <c r="AA72" i="2" a="1"/>
  <c r="AA72" i="2" s="1"/>
  <c r="AA118" i="2" s="1"/>
  <c r="Z72" i="2" a="1"/>
  <c r="Z72" i="2" s="1"/>
  <c r="Z118" i="2" s="1"/>
  <c r="Y72" i="2" a="1"/>
  <c r="Y72" i="2" s="1"/>
  <c r="Y118" i="2" s="1"/>
  <c r="X72" i="2" a="1"/>
  <c r="X72" i="2" s="1"/>
  <c r="X118" i="2" s="1"/>
  <c r="W72" i="2" a="1"/>
  <c r="W72" i="2"/>
  <c r="V72" i="2" a="1"/>
  <c r="V72" i="2" s="1"/>
  <c r="V118" i="2" s="1"/>
  <c r="U72" i="2" a="1"/>
  <c r="U72" i="2" s="1"/>
  <c r="U118" i="2" s="1"/>
  <c r="T72" i="2" a="1"/>
  <c r="T72" i="2" s="1"/>
  <c r="T118" i="2" s="1"/>
  <c r="S72" i="2" a="1"/>
  <c r="S72" i="2" s="1"/>
  <c r="S118" i="2" s="1"/>
  <c r="R72" i="2" a="1"/>
  <c r="R72" i="2" s="1"/>
  <c r="R118" i="2" s="1"/>
  <c r="Q72" i="2" a="1"/>
  <c r="Q72" i="2" s="1"/>
  <c r="Q118" i="2" s="1"/>
  <c r="P72" i="2" a="1"/>
  <c r="P72" i="2" s="1"/>
  <c r="P118" i="2" s="1"/>
  <c r="O72" i="2" a="1"/>
  <c r="O72" i="2" s="1"/>
  <c r="O118" i="2" s="1"/>
  <c r="N72" i="2" a="1"/>
  <c r="N72" i="2" s="1"/>
  <c r="N118" i="2" s="1"/>
  <c r="M72" i="2" a="1"/>
  <c r="M72" i="2"/>
  <c r="M118" i="2" s="1"/>
  <c r="L72" i="2" a="1"/>
  <c r="L72" i="2" s="1"/>
  <c r="L118" i="2" s="1"/>
  <c r="K72" i="2" a="1"/>
  <c r="K72" i="2" s="1"/>
  <c r="K118" i="2" s="1"/>
  <c r="J72" i="2" a="1"/>
  <c r="J72" i="2" s="1"/>
  <c r="J118" i="2" s="1"/>
  <c r="I72" i="2" a="1"/>
  <c r="I72" i="2" s="1"/>
  <c r="I118" i="2" s="1"/>
  <c r="H72" i="2" a="1"/>
  <c r="H72" i="2"/>
  <c r="G72" i="2" a="1"/>
  <c r="G72" i="2"/>
  <c r="G118" i="2" s="1"/>
  <c r="F72" i="2" a="1"/>
  <c r="F72" i="2" s="1"/>
  <c r="F118" i="2" s="1"/>
  <c r="E72" i="2" a="1"/>
  <c r="E72" i="2" s="1"/>
  <c r="E118" i="2" s="1"/>
  <c r="D72" i="2" a="1"/>
  <c r="D72" i="2"/>
  <c r="D118" i="2" s="1"/>
  <c r="AS71" i="2" a="1"/>
  <c r="AS71" i="2" s="1"/>
  <c r="AS117" i="2" s="1"/>
  <c r="AR71" i="2" a="1"/>
  <c r="AR71" i="2" s="1"/>
  <c r="AR117" i="2" s="1"/>
  <c r="AQ71" i="2" a="1"/>
  <c r="AQ71" i="2" s="1"/>
  <c r="AQ117" i="2" s="1"/>
  <c r="AP71" i="2" a="1"/>
  <c r="AP71" i="2" s="1"/>
  <c r="AP117" i="2" s="1"/>
  <c r="AO71" i="2" a="1"/>
  <c r="AO71" i="2" s="1"/>
  <c r="AO117" i="2" s="1"/>
  <c r="AN71" i="2" a="1"/>
  <c r="AN71" i="2" s="1"/>
  <c r="AN117" i="2" s="1"/>
  <c r="AM71" i="2" a="1"/>
  <c r="AM71" i="2" s="1"/>
  <c r="AM117" i="2" s="1"/>
  <c r="AL71" i="2" a="1"/>
  <c r="AL71" i="2" s="1"/>
  <c r="AL117" i="2" s="1"/>
  <c r="AK71" i="2" a="1"/>
  <c r="AK71" i="2" s="1"/>
  <c r="AK117" i="2" s="1"/>
  <c r="AJ71" i="2" a="1"/>
  <c r="AJ71" i="2" s="1"/>
  <c r="AI71" i="2" a="1"/>
  <c r="AI71" i="2" s="1"/>
  <c r="AI117" i="2" s="1"/>
  <c r="AH71" i="2" a="1"/>
  <c r="AH71" i="2" s="1"/>
  <c r="AH117" i="2" s="1"/>
  <c r="AG71" i="2" a="1"/>
  <c r="AG71" i="2"/>
  <c r="AG117" i="2" s="1"/>
  <c r="AF71" i="2" a="1"/>
  <c r="AF71" i="2" s="1"/>
  <c r="AF117" i="2" s="1"/>
  <c r="AE71" i="2" a="1"/>
  <c r="AE71" i="2" s="1"/>
  <c r="AE117" i="2" s="1"/>
  <c r="AD71" i="2" a="1"/>
  <c r="AD71" i="2" s="1"/>
  <c r="AD117" i="2" s="1"/>
  <c r="AC71" i="2" a="1"/>
  <c r="AC71" i="2" s="1"/>
  <c r="AC117" i="2" s="1"/>
  <c r="AB71" i="2" a="1"/>
  <c r="AB71" i="2" s="1"/>
  <c r="AB117" i="2" s="1"/>
  <c r="AA71" i="2" a="1"/>
  <c r="AA71" i="2" s="1"/>
  <c r="Z71" i="2" a="1"/>
  <c r="Z71" i="2"/>
  <c r="Z117" i="2" s="1"/>
  <c r="Y71" i="2" a="1"/>
  <c r="Y71" i="2" s="1"/>
  <c r="Y117" i="2" s="1"/>
  <c r="X71" i="2" a="1"/>
  <c r="X71" i="2" s="1"/>
  <c r="X117" i="2" s="1"/>
  <c r="W71" i="2" a="1"/>
  <c r="W71" i="2" s="1"/>
  <c r="V71" i="2" a="1"/>
  <c r="V71" i="2" s="1"/>
  <c r="V117" i="2" s="1"/>
  <c r="U71" i="2" a="1"/>
  <c r="U71" i="2" s="1"/>
  <c r="U117" i="2" s="1"/>
  <c r="T71" i="2" a="1"/>
  <c r="T71" i="2" s="1"/>
  <c r="T117" i="2" s="1"/>
  <c r="S71" i="2" a="1"/>
  <c r="S71" i="2" s="1"/>
  <c r="S117" i="2" s="1"/>
  <c r="R71" i="2" a="1"/>
  <c r="R71" i="2" s="1"/>
  <c r="R117" i="2" s="1"/>
  <c r="Q71" i="2" a="1"/>
  <c r="Q71" i="2"/>
  <c r="Q117" i="2" s="1"/>
  <c r="P71" i="2" a="1"/>
  <c r="P71" i="2" s="1"/>
  <c r="P117" i="2" s="1"/>
  <c r="O71" i="2" a="1"/>
  <c r="O71" i="2" s="1"/>
  <c r="O117" i="2" s="1"/>
  <c r="N71" i="2" a="1"/>
  <c r="N71" i="2"/>
  <c r="N117" i="2" s="1"/>
  <c r="M71" i="2" a="1"/>
  <c r="M71" i="2" s="1"/>
  <c r="M117" i="2" s="1"/>
  <c r="L71" i="2" a="1"/>
  <c r="L71" i="2" s="1"/>
  <c r="L117" i="2" s="1"/>
  <c r="K71" i="2" a="1"/>
  <c r="K71" i="2"/>
  <c r="K117" i="2" s="1"/>
  <c r="J71" i="2" a="1"/>
  <c r="J71" i="2" s="1"/>
  <c r="J117" i="2" s="1"/>
  <c r="I71" i="2" a="1"/>
  <c r="I71" i="2" s="1"/>
  <c r="I117" i="2" s="1"/>
  <c r="H71" i="2" a="1"/>
  <c r="H71" i="2" s="1"/>
  <c r="G71" i="2" a="1"/>
  <c r="G71" i="2" s="1"/>
  <c r="G117" i="2" s="1"/>
  <c r="F71" i="2" a="1"/>
  <c r="F71" i="2" s="1"/>
  <c r="F117" i="2" s="1"/>
  <c r="E71" i="2" a="1"/>
  <c r="E71" i="2" s="1"/>
  <c r="E117" i="2" s="1"/>
  <c r="D71" i="2" a="1"/>
  <c r="D71" i="2" s="1"/>
  <c r="D117" i="2" s="1"/>
  <c r="AS70" i="2" a="1"/>
  <c r="AS70" i="2" s="1"/>
  <c r="AS116" i="2" s="1"/>
  <c r="AR70" i="2" a="1"/>
  <c r="AR70" i="2" s="1"/>
  <c r="AQ70" i="2" a="1"/>
  <c r="AQ70" i="2" s="1"/>
  <c r="AP70" i="2" a="1"/>
  <c r="AP70" i="2" s="1"/>
  <c r="AP116" i="2" s="1"/>
  <c r="AO70" i="2" a="1"/>
  <c r="AO70" i="2"/>
  <c r="AO116" i="2" s="1"/>
  <c r="AN70" i="2" a="1"/>
  <c r="AN70" i="2" s="1"/>
  <c r="AN116" i="2" s="1"/>
  <c r="AM70" i="2" a="1"/>
  <c r="AM70" i="2" s="1"/>
  <c r="AM116" i="2" s="1"/>
  <c r="AL70" i="2" a="1"/>
  <c r="AL70" i="2" s="1"/>
  <c r="AL116" i="2" s="1"/>
  <c r="AK70" i="2" a="1"/>
  <c r="AK70" i="2" s="1"/>
  <c r="AK116" i="2" s="1"/>
  <c r="AJ70" i="2" a="1"/>
  <c r="AJ70" i="2"/>
  <c r="AI70" i="2" a="1"/>
  <c r="AI70" i="2"/>
  <c r="AI116" i="2" s="1"/>
  <c r="AH70" i="2" a="1"/>
  <c r="AH70" i="2" s="1"/>
  <c r="AH116" i="2" s="1"/>
  <c r="AG70" i="2" a="1"/>
  <c r="AG70" i="2"/>
  <c r="AG116" i="2" s="1"/>
  <c r="AF70" i="2" a="1"/>
  <c r="AF70" i="2" s="1"/>
  <c r="AF116" i="2" s="1"/>
  <c r="AE70" i="2" a="1"/>
  <c r="AE70" i="2" s="1"/>
  <c r="AE116" i="2" s="1"/>
  <c r="AD70" i="2" a="1"/>
  <c r="AD70" i="2" s="1"/>
  <c r="AD116" i="2" s="1"/>
  <c r="AC70" i="2" a="1"/>
  <c r="AC70" i="2" s="1"/>
  <c r="AC116" i="2" s="1"/>
  <c r="AB70" i="2" a="1"/>
  <c r="AB70" i="2"/>
  <c r="AA70" i="2" a="1"/>
  <c r="AA70" i="2"/>
  <c r="AA116" i="2" s="1"/>
  <c r="Z70" i="2" a="1"/>
  <c r="Z70" i="2" s="1"/>
  <c r="Z116" i="2" s="1"/>
  <c r="Y70" i="2" a="1"/>
  <c r="Y70" i="2"/>
  <c r="Y116" i="2" s="1"/>
  <c r="X70" i="2" a="1"/>
  <c r="X70" i="2" s="1"/>
  <c r="X116" i="2" s="1"/>
  <c r="W70" i="2" a="1"/>
  <c r="W70" i="2" s="1"/>
  <c r="V70" i="2" a="1"/>
  <c r="V70" i="2" s="1"/>
  <c r="V116" i="2" s="1"/>
  <c r="U70" i="2" a="1"/>
  <c r="U70" i="2" s="1"/>
  <c r="U116" i="2" s="1"/>
  <c r="T70" i="2" a="1"/>
  <c r="T70" i="2" s="1"/>
  <c r="T116" i="2" s="1"/>
  <c r="S70" i="2" a="1"/>
  <c r="S70" i="2"/>
  <c r="S116" i="2" s="1"/>
  <c r="R70" i="2" a="1"/>
  <c r="R70" i="2" s="1"/>
  <c r="R116" i="2" s="1"/>
  <c r="Q70" i="2" a="1"/>
  <c r="Q70" i="2"/>
  <c r="Q116" i="2" s="1"/>
  <c r="P70" i="2" a="1"/>
  <c r="P70" i="2" s="1"/>
  <c r="P116" i="2" s="1"/>
  <c r="O70" i="2" a="1"/>
  <c r="O70" i="2" s="1"/>
  <c r="O116" i="2" s="1"/>
  <c r="N70" i="2" a="1"/>
  <c r="N70" i="2" s="1"/>
  <c r="M70" i="2" a="1"/>
  <c r="M70" i="2" s="1"/>
  <c r="M116" i="2" s="1"/>
  <c r="L70" i="2" a="1"/>
  <c r="L70" i="2" s="1"/>
  <c r="L116" i="2" s="1"/>
  <c r="K70" i="2" a="1"/>
  <c r="K70" i="2" s="1"/>
  <c r="K116" i="2" s="1"/>
  <c r="J70" i="2" a="1"/>
  <c r="J70" i="2" s="1"/>
  <c r="J116" i="2" s="1"/>
  <c r="I70" i="2" a="1"/>
  <c r="I70" i="2" s="1"/>
  <c r="I116" i="2" s="1"/>
  <c r="H70" i="2" a="1"/>
  <c r="H70" i="2" s="1"/>
  <c r="H116" i="2" s="1"/>
  <c r="G70" i="2" a="1"/>
  <c r="G70" i="2" s="1"/>
  <c r="G116" i="2" s="1"/>
  <c r="F70" i="2" a="1"/>
  <c r="F70" i="2" s="1"/>
  <c r="F116" i="2" s="1"/>
  <c r="E70" i="2" a="1"/>
  <c r="E70" i="2"/>
  <c r="E116" i="2" s="1"/>
  <c r="D70" i="2" a="1"/>
  <c r="D70" i="2"/>
  <c r="D116" i="2" s="1"/>
  <c r="AS69" i="2" a="1"/>
  <c r="AS69" i="2" s="1"/>
  <c r="AS115" i="2" s="1"/>
  <c r="AR69" i="2" a="1"/>
  <c r="AR69" i="2" s="1"/>
  <c r="AQ69" i="2" a="1"/>
  <c r="AQ69" i="2" s="1"/>
  <c r="AP69" i="2" a="1"/>
  <c r="AP69" i="2" s="1"/>
  <c r="AP115" i="2" s="1"/>
  <c r="AO69" i="2" a="1"/>
  <c r="AO69" i="2"/>
  <c r="AO115" i="2" s="1"/>
  <c r="AN69" i="2" a="1"/>
  <c r="AN69" i="2" s="1"/>
  <c r="AN115" i="2" s="1"/>
  <c r="AM69" i="2" a="1"/>
  <c r="AM69" i="2" s="1"/>
  <c r="AM115" i="2" s="1"/>
  <c r="AL69" i="2" a="1"/>
  <c r="AL69" i="2" s="1"/>
  <c r="AL115" i="2" s="1"/>
  <c r="AK69" i="2" a="1"/>
  <c r="AK69" i="2"/>
  <c r="AK115" i="2" s="1"/>
  <c r="AJ69" i="2" a="1"/>
  <c r="AJ69" i="2" s="1"/>
  <c r="AI69" i="2" a="1"/>
  <c r="AI69" i="2"/>
  <c r="AI115" i="2" s="1"/>
  <c r="AH69" i="2" a="1"/>
  <c r="AH69" i="2" s="1"/>
  <c r="AH115" i="2" s="1"/>
  <c r="AG69" i="2" a="1"/>
  <c r="AG69" i="2" s="1"/>
  <c r="AG115" i="2" s="1"/>
  <c r="AF69" i="2" a="1"/>
  <c r="AF69" i="2" s="1"/>
  <c r="AF115" i="2" s="1"/>
  <c r="AE69" i="2" a="1"/>
  <c r="AE69" i="2" s="1"/>
  <c r="AE115" i="2" s="1"/>
  <c r="AD69" i="2" a="1"/>
  <c r="AD69" i="2" s="1"/>
  <c r="AD115" i="2" s="1"/>
  <c r="AC69" i="2" a="1"/>
  <c r="AC69" i="2"/>
  <c r="AC115" i="2" s="1"/>
  <c r="AB69" i="2" a="1"/>
  <c r="AB69" i="2" s="1"/>
  <c r="AB115" i="2" s="1"/>
  <c r="AA69" i="2" a="1"/>
  <c r="AA69" i="2" s="1"/>
  <c r="AA115" i="2" s="1"/>
  <c r="Z69" i="2" a="1"/>
  <c r="Z69" i="2"/>
  <c r="Z115" i="2" s="1"/>
  <c r="Y69" i="2" a="1"/>
  <c r="Y69" i="2" s="1"/>
  <c r="Y115" i="2" s="1"/>
  <c r="X69" i="2" a="1"/>
  <c r="X69" i="2" s="1"/>
  <c r="X115" i="2" s="1"/>
  <c r="W69" i="2" a="1"/>
  <c r="W69" i="2"/>
  <c r="W115" i="2" s="1"/>
  <c r="V69" i="2" a="1"/>
  <c r="V69" i="2" s="1"/>
  <c r="V115" i="2" s="1"/>
  <c r="U69" i="2" a="1"/>
  <c r="U69" i="2" s="1"/>
  <c r="U115" i="2" s="1"/>
  <c r="T69" i="2" a="1"/>
  <c r="T69" i="2" s="1"/>
  <c r="T115" i="2" s="1"/>
  <c r="S69" i="2" a="1"/>
  <c r="S69" i="2" s="1"/>
  <c r="S115" i="2" s="1"/>
  <c r="R69" i="2" a="1"/>
  <c r="R69" i="2"/>
  <c r="R115" i="2" s="1"/>
  <c r="Q69" i="2" a="1"/>
  <c r="Q69" i="2"/>
  <c r="Q115" i="2" s="1"/>
  <c r="P69" i="2" a="1"/>
  <c r="P69" i="2" s="1"/>
  <c r="P115" i="2" s="1"/>
  <c r="O69" i="2" a="1"/>
  <c r="O69" i="2" s="1"/>
  <c r="O115" i="2" s="1"/>
  <c r="N69" i="2" a="1"/>
  <c r="N69" i="2" s="1"/>
  <c r="N115" i="2" s="1"/>
  <c r="M69" i="2" a="1"/>
  <c r="M69" i="2" s="1"/>
  <c r="M115" i="2" s="1"/>
  <c r="L69" i="2" a="1"/>
  <c r="L69" i="2" s="1"/>
  <c r="L115" i="2" s="1"/>
  <c r="K69" i="2" a="1"/>
  <c r="K69" i="2" s="1"/>
  <c r="K115" i="2" s="1"/>
  <c r="J69" i="2" a="1"/>
  <c r="J69" i="2" s="1"/>
  <c r="J115" i="2" s="1"/>
  <c r="I69" i="2" a="1"/>
  <c r="I69" i="2" s="1"/>
  <c r="I115" i="2" s="1"/>
  <c r="H69" i="2" a="1"/>
  <c r="H69" i="2" s="1"/>
  <c r="G69" i="2" a="1"/>
  <c r="G69" i="2"/>
  <c r="G115" i="2" s="1"/>
  <c r="F69" i="2" a="1"/>
  <c r="F69" i="2" s="1"/>
  <c r="F115" i="2" s="1"/>
  <c r="E69" i="2" a="1"/>
  <c r="E69" i="2" s="1"/>
  <c r="E115" i="2" s="1"/>
  <c r="D69" i="2" a="1"/>
  <c r="D69" i="2" s="1"/>
  <c r="D115" i="2" s="1"/>
  <c r="AS68" i="2" a="1"/>
  <c r="AS68" i="2" s="1"/>
  <c r="AS114" i="2" s="1"/>
  <c r="AR68" i="2" a="1"/>
  <c r="AR68" i="2" s="1"/>
  <c r="AQ68" i="2" a="1"/>
  <c r="AQ68" i="2" s="1"/>
  <c r="AP68" i="2" a="1"/>
  <c r="AP68" i="2" s="1"/>
  <c r="AP114" i="2" s="1"/>
  <c r="AO68" i="2" a="1"/>
  <c r="AO68" i="2" s="1"/>
  <c r="AO114" i="2" s="1"/>
  <c r="AN68" i="2" a="1"/>
  <c r="AN68" i="2"/>
  <c r="AN114" i="2" s="1"/>
  <c r="AM68" i="2" a="1"/>
  <c r="AM68" i="2" s="1"/>
  <c r="AM114" i="2" s="1"/>
  <c r="AL68" i="2" a="1"/>
  <c r="AL68" i="2" s="1"/>
  <c r="AL114" i="2" s="1"/>
  <c r="AK68" i="2" a="1"/>
  <c r="AK68" i="2"/>
  <c r="AK114" i="2" s="1"/>
  <c r="AJ68" i="2" a="1"/>
  <c r="AJ68" i="2" s="1"/>
  <c r="AI68" i="2" a="1"/>
  <c r="AI68" i="2" s="1"/>
  <c r="AI114" i="2" s="1"/>
  <c r="AH68" i="2" a="1"/>
  <c r="AH68" i="2" s="1"/>
  <c r="AH114" i="2" s="1"/>
  <c r="AG68" i="2" a="1"/>
  <c r="AG68" i="2" s="1"/>
  <c r="AG114" i="2" s="1"/>
  <c r="AF68" i="2" a="1"/>
  <c r="AF68" i="2" s="1"/>
  <c r="AF114" i="2" s="1"/>
  <c r="AE68" i="2" a="1"/>
  <c r="AE68" i="2" s="1"/>
  <c r="AE114" i="2" s="1"/>
  <c r="AD68" i="2" a="1"/>
  <c r="AD68" i="2" s="1"/>
  <c r="AD114" i="2" s="1"/>
  <c r="AC68" i="2" a="1"/>
  <c r="AC68" i="2" s="1"/>
  <c r="AC114" i="2" s="1"/>
  <c r="AB68" i="2" a="1"/>
  <c r="AB68" i="2"/>
  <c r="AB114" i="2" s="1"/>
  <c r="AA68" i="2" a="1"/>
  <c r="AA68" i="2" s="1"/>
  <c r="AA114" i="2" s="1"/>
  <c r="Z68" i="2" a="1"/>
  <c r="Z68" i="2" s="1"/>
  <c r="Z114" i="2" s="1"/>
  <c r="Y68" i="2" a="1"/>
  <c r="Y68" i="2" s="1"/>
  <c r="Y114" i="2" s="1"/>
  <c r="X68" i="2" a="1"/>
  <c r="X68" i="2" s="1"/>
  <c r="X114" i="2" s="1"/>
  <c r="W68" i="2" a="1"/>
  <c r="W68" i="2" s="1"/>
  <c r="V68" i="2" a="1"/>
  <c r="V68" i="2" s="1"/>
  <c r="V114" i="2" s="1"/>
  <c r="U68" i="2" a="1"/>
  <c r="U68" i="2" s="1"/>
  <c r="U114" i="2" s="1"/>
  <c r="T68" i="2" a="1"/>
  <c r="T68" i="2" s="1"/>
  <c r="T114" i="2" s="1"/>
  <c r="S68" i="2" a="1"/>
  <c r="S68" i="2" s="1"/>
  <c r="S114" i="2" s="1"/>
  <c r="R68" i="2" a="1"/>
  <c r="R68" i="2" s="1"/>
  <c r="R114" i="2" s="1"/>
  <c r="Q68" i="2" a="1"/>
  <c r="Q68" i="2"/>
  <c r="Q114" i="2" s="1"/>
  <c r="P68" i="2" a="1"/>
  <c r="P68" i="2"/>
  <c r="P114" i="2" s="1"/>
  <c r="O68" i="2" a="1"/>
  <c r="O68" i="2" s="1"/>
  <c r="N68" i="2" a="1"/>
  <c r="N68" i="2" s="1"/>
  <c r="N114" i="2" s="1"/>
  <c r="M68" i="2" a="1"/>
  <c r="M68" i="2" s="1"/>
  <c r="M114" i="2" s="1"/>
  <c r="L68" i="2" a="1"/>
  <c r="L68" i="2" s="1"/>
  <c r="L114" i="2" s="1"/>
  <c r="K68" i="2" a="1"/>
  <c r="K68" i="2" s="1"/>
  <c r="K114" i="2" s="1"/>
  <c r="J68" i="2" a="1"/>
  <c r="J68" i="2" s="1"/>
  <c r="J114" i="2" s="1"/>
  <c r="I68" i="2" a="1"/>
  <c r="I68" i="2" s="1"/>
  <c r="I114" i="2" s="1"/>
  <c r="H68" i="2" a="1"/>
  <c r="H68" i="2" s="1"/>
  <c r="G68" i="2" a="1"/>
  <c r="G68" i="2" s="1"/>
  <c r="G114" i="2" s="1"/>
  <c r="F68" i="2" a="1"/>
  <c r="F68" i="2" s="1"/>
  <c r="F114" i="2" s="1"/>
  <c r="E68" i="2" a="1"/>
  <c r="E68" i="2" s="1"/>
  <c r="E114" i="2" s="1"/>
  <c r="D68" i="2" a="1"/>
  <c r="D68" i="2" s="1"/>
  <c r="D114" i="2" s="1"/>
  <c r="AS67" i="2" a="1"/>
  <c r="AS67" i="2" s="1"/>
  <c r="AS113" i="2" s="1"/>
  <c r="AR67" i="2" a="1"/>
  <c r="AR67" i="2" s="1"/>
  <c r="AR113" i="2" s="1"/>
  <c r="AQ67" i="2" a="1"/>
  <c r="AQ67" i="2"/>
  <c r="AQ113" i="2" s="1"/>
  <c r="AP67" i="2" a="1"/>
  <c r="AP67" i="2" s="1"/>
  <c r="AP113" i="2" s="1"/>
  <c r="AO67" i="2" a="1"/>
  <c r="AO67" i="2" s="1"/>
  <c r="AO113" i="2" s="1"/>
  <c r="AN67" i="2" a="1"/>
  <c r="AN67" i="2" s="1"/>
  <c r="AN113" i="2" s="1"/>
  <c r="AM67" i="2" a="1"/>
  <c r="AM67" i="2" s="1"/>
  <c r="AM113" i="2" s="1"/>
  <c r="AL67" i="2" a="1"/>
  <c r="AL67" i="2" s="1"/>
  <c r="AL113" i="2" s="1"/>
  <c r="AK67" i="2" a="1"/>
  <c r="AK67" i="2" s="1"/>
  <c r="AK113" i="2" s="1"/>
  <c r="AJ67" i="2" a="1"/>
  <c r="AJ67" i="2" s="1"/>
  <c r="AJ113" i="2" s="1"/>
  <c r="AI67" i="2" a="1"/>
  <c r="AI67" i="2" s="1"/>
  <c r="AI113" i="2" s="1"/>
  <c r="AH67" i="2" a="1"/>
  <c r="AH67" i="2"/>
  <c r="AH113" i="2" s="1"/>
  <c r="AG67" i="2" a="1"/>
  <c r="AG67" i="2" s="1"/>
  <c r="AG113" i="2" s="1"/>
  <c r="AF67" i="2" a="1"/>
  <c r="AF67" i="2" s="1"/>
  <c r="AF113" i="2" s="1"/>
  <c r="AE67" i="2" a="1"/>
  <c r="AE67" i="2" s="1"/>
  <c r="AE113" i="2" s="1"/>
  <c r="AD67" i="2" a="1"/>
  <c r="AD67" i="2" s="1"/>
  <c r="AD113" i="2" s="1"/>
  <c r="AC67" i="2" a="1"/>
  <c r="AC67" i="2" s="1"/>
  <c r="AC113" i="2" s="1"/>
  <c r="AB67" i="2" a="1"/>
  <c r="AB67" i="2" s="1"/>
  <c r="AB113" i="2" s="1"/>
  <c r="AA67" i="2" a="1"/>
  <c r="AA67" i="2" s="1"/>
  <c r="Z67" i="2" a="1"/>
  <c r="Z67" i="2"/>
  <c r="Z113" i="2" s="1"/>
  <c r="Y67" i="2" a="1"/>
  <c r="Y67" i="2"/>
  <c r="Y113" i="2" s="1"/>
  <c r="X67" i="2" a="1"/>
  <c r="X67" i="2" s="1"/>
  <c r="X113" i="2" s="1"/>
  <c r="W67" i="2" a="1"/>
  <c r="W67" i="2"/>
  <c r="W113" i="2" s="1"/>
  <c r="V67" i="2" a="1"/>
  <c r="V67" i="2" s="1"/>
  <c r="U67" i="2" a="1"/>
  <c r="U67" i="2" s="1"/>
  <c r="U113" i="2" s="1"/>
  <c r="T67" i="2" a="1"/>
  <c r="T67" i="2" s="1"/>
  <c r="T113" i="2" s="1"/>
  <c r="S67" i="2" a="1"/>
  <c r="S67" i="2" s="1"/>
  <c r="S113" i="2" s="1"/>
  <c r="R67" i="2" a="1"/>
  <c r="R67" i="2" s="1"/>
  <c r="R113" i="2" s="1"/>
  <c r="Q67" i="2" a="1"/>
  <c r="Q67" i="2"/>
  <c r="Q113" i="2" s="1"/>
  <c r="P67" i="2" a="1"/>
  <c r="P67" i="2" s="1"/>
  <c r="P113" i="2" s="1"/>
  <c r="O67" i="2" a="1"/>
  <c r="O67" i="2"/>
  <c r="O113" i="2" s="1"/>
  <c r="N67" i="2" a="1"/>
  <c r="N67" i="2" s="1"/>
  <c r="N113" i="2" s="1"/>
  <c r="M67" i="2" a="1"/>
  <c r="M67" i="2" s="1"/>
  <c r="M113" i="2" s="1"/>
  <c r="L67" i="2" a="1"/>
  <c r="L67" i="2" s="1"/>
  <c r="L113" i="2" s="1"/>
  <c r="K67" i="2" a="1"/>
  <c r="K67" i="2" s="1"/>
  <c r="K113" i="2" s="1"/>
  <c r="J67" i="2" a="1"/>
  <c r="J67" i="2" s="1"/>
  <c r="J113" i="2" s="1"/>
  <c r="I67" i="2" a="1"/>
  <c r="I67" i="2"/>
  <c r="I113" i="2" s="1"/>
  <c r="H67" i="2" a="1"/>
  <c r="H67" i="2" s="1"/>
  <c r="G67" i="2" a="1"/>
  <c r="G67" i="2" s="1"/>
  <c r="G113" i="2" s="1"/>
  <c r="F67" i="2" a="1"/>
  <c r="F67" i="2" s="1"/>
  <c r="F113" i="2" s="1"/>
  <c r="E67" i="2" a="1"/>
  <c r="E67" i="2"/>
  <c r="E113" i="2" s="1"/>
  <c r="D67" i="2" a="1"/>
  <c r="D67" i="2" s="1"/>
  <c r="D113" i="2" s="1"/>
  <c r="AS66" i="2" a="1"/>
  <c r="AS66" i="2"/>
  <c r="AS112" i="2" s="1"/>
  <c r="AR66" i="2" a="1"/>
  <c r="AR66" i="2" s="1"/>
  <c r="AQ66" i="2" a="1"/>
  <c r="AQ66" i="2" s="1"/>
  <c r="AQ112" i="2" s="1"/>
  <c r="AP66" i="2" a="1"/>
  <c r="AP66" i="2" s="1"/>
  <c r="AP112" i="2" s="1"/>
  <c r="AO66" i="2" a="1"/>
  <c r="AO66" i="2" s="1"/>
  <c r="AO112" i="2" s="1"/>
  <c r="AN66" i="2" a="1"/>
  <c r="AN66" i="2" s="1"/>
  <c r="AN112" i="2" s="1"/>
  <c r="AM66" i="2" a="1"/>
  <c r="AM66" i="2"/>
  <c r="AM112" i="2" s="1"/>
  <c r="AL66" i="2" a="1"/>
  <c r="AL66" i="2" s="1"/>
  <c r="AL112" i="2" s="1"/>
  <c r="AK66" i="2" a="1"/>
  <c r="AK66" i="2"/>
  <c r="AK112" i="2" s="1"/>
  <c r="AJ66" i="2" a="1"/>
  <c r="AJ66" i="2"/>
  <c r="AJ112" i="2" s="1"/>
  <c r="AI66" i="2" a="1"/>
  <c r="AI66" i="2" s="1"/>
  <c r="AI112" i="2" s="1"/>
  <c r="AH66" i="2" a="1"/>
  <c r="AH66" i="2" s="1"/>
  <c r="AH112" i="2" s="1"/>
  <c r="AG66" i="2" a="1"/>
  <c r="AG66" i="2" s="1"/>
  <c r="AG112" i="2" s="1"/>
  <c r="AF66" i="2" a="1"/>
  <c r="AF66" i="2" s="1"/>
  <c r="AF112" i="2" s="1"/>
  <c r="AE66" i="2" a="1"/>
  <c r="AE66" i="2" s="1"/>
  <c r="AE112" i="2" s="1"/>
  <c r="AD66" i="2" a="1"/>
  <c r="AD66" i="2" s="1"/>
  <c r="AD112" i="2" s="1"/>
  <c r="AC66" i="2" a="1"/>
  <c r="AC66" i="2" s="1"/>
  <c r="AC112" i="2" s="1"/>
  <c r="AB66" i="2" a="1"/>
  <c r="AB66" i="2" s="1"/>
  <c r="AB112" i="2" s="1"/>
  <c r="AA66" i="2" a="1"/>
  <c r="AA66" i="2" s="1"/>
  <c r="Z66" i="2" a="1"/>
  <c r="Z66" i="2" s="1"/>
  <c r="Z112" i="2" s="1"/>
  <c r="Y66" i="2" a="1"/>
  <c r="Y66" i="2"/>
  <c r="Y112" i="2" s="1"/>
  <c r="X66" i="2" a="1"/>
  <c r="X66" i="2"/>
  <c r="X112" i="2" s="1"/>
  <c r="W66" i="2" a="1"/>
  <c r="W66" i="2" s="1"/>
  <c r="W112" i="2" s="1"/>
  <c r="V66" i="2" a="1"/>
  <c r="V66" i="2" s="1"/>
  <c r="U66" i="2" a="1"/>
  <c r="U66" i="2"/>
  <c r="U112" i="2" s="1"/>
  <c r="T66" i="2" a="1"/>
  <c r="T66" i="2" s="1"/>
  <c r="T112" i="2" s="1"/>
  <c r="S66" i="2" a="1"/>
  <c r="S66" i="2" s="1"/>
  <c r="S112" i="2" s="1"/>
  <c r="R66" i="2" a="1"/>
  <c r="R66" i="2" s="1"/>
  <c r="R112" i="2" s="1"/>
  <c r="Q66" i="2" a="1"/>
  <c r="Q66" i="2" s="1"/>
  <c r="Q112" i="2" s="1"/>
  <c r="P66" i="2" a="1"/>
  <c r="P66" i="2" s="1"/>
  <c r="P112" i="2" s="1"/>
  <c r="O66" i="2" a="1"/>
  <c r="O66" i="2" s="1"/>
  <c r="N66" i="2" a="1"/>
  <c r="N66" i="2" s="1"/>
  <c r="N112" i="2" s="1"/>
  <c r="M66" i="2" a="1"/>
  <c r="M66" i="2"/>
  <c r="M112" i="2" s="1"/>
  <c r="L66" i="2" a="1"/>
  <c r="L66" i="2" s="1"/>
  <c r="L112" i="2" s="1"/>
  <c r="K66" i="2" a="1"/>
  <c r="K66" i="2" s="1"/>
  <c r="K112" i="2" s="1"/>
  <c r="J66" i="2" a="1"/>
  <c r="J66" i="2" s="1"/>
  <c r="J112" i="2" s="1"/>
  <c r="I66" i="2" a="1"/>
  <c r="I66" i="2" s="1"/>
  <c r="I112" i="2" s="1"/>
  <c r="H66" i="2" a="1"/>
  <c r="H66" i="2" s="1"/>
  <c r="H112" i="2" s="1"/>
  <c r="G66" i="2" a="1"/>
  <c r="G66" i="2" s="1"/>
  <c r="G112" i="2" s="1"/>
  <c r="F66" i="2" a="1"/>
  <c r="F66" i="2" s="1"/>
  <c r="F112" i="2" s="1"/>
  <c r="E66" i="2" a="1"/>
  <c r="E66" i="2" s="1"/>
  <c r="E112" i="2" s="1"/>
  <c r="D66" i="2" a="1"/>
  <c r="D66" i="2" s="1"/>
  <c r="D112" i="2" s="1"/>
  <c r="AS65" i="2" a="1"/>
  <c r="AS65" i="2" s="1"/>
  <c r="AS111" i="2" s="1"/>
  <c r="AR65" i="2" a="1"/>
  <c r="AR65" i="2" s="1"/>
  <c r="AR111" i="2" s="1"/>
  <c r="AQ65" i="2" a="1"/>
  <c r="AQ65" i="2" s="1"/>
  <c r="AQ111" i="2" s="1"/>
  <c r="AP65" i="2" a="1"/>
  <c r="AP65" i="2" s="1"/>
  <c r="AP111" i="2" s="1"/>
  <c r="AO65" i="2" a="1"/>
  <c r="AO65" i="2" s="1"/>
  <c r="AO111" i="2" s="1"/>
  <c r="AN65" i="2" a="1"/>
  <c r="AN65" i="2" s="1"/>
  <c r="AN111" i="2" s="1"/>
  <c r="AM65" i="2" a="1"/>
  <c r="AM65" i="2" s="1"/>
  <c r="AM111" i="2" s="1"/>
  <c r="AL65" i="2" a="1"/>
  <c r="AL65" i="2" s="1"/>
  <c r="AL111" i="2" s="1"/>
  <c r="AK65" i="2" a="1"/>
  <c r="AK65" i="2" s="1"/>
  <c r="AK111" i="2" s="1"/>
  <c r="AJ65" i="2" a="1"/>
  <c r="AJ65" i="2" s="1"/>
  <c r="AJ111" i="2" s="1"/>
  <c r="AI65" i="2" a="1"/>
  <c r="AI65" i="2" s="1"/>
  <c r="AI111" i="2" s="1"/>
  <c r="AH65" i="2" a="1"/>
  <c r="AH65" i="2" s="1"/>
  <c r="AH111" i="2" s="1"/>
  <c r="AG65" i="2" a="1"/>
  <c r="AG65" i="2" s="1"/>
  <c r="AG111" i="2" s="1"/>
  <c r="AF65" i="2" a="1"/>
  <c r="AF65" i="2" s="1"/>
  <c r="AF111" i="2" s="1"/>
  <c r="AE65" i="2" a="1"/>
  <c r="AE65" i="2" s="1"/>
  <c r="AE111" i="2" s="1"/>
  <c r="AD65" i="2" a="1"/>
  <c r="AD65" i="2" s="1"/>
  <c r="AD111" i="2" s="1"/>
  <c r="AC65" i="2" a="1"/>
  <c r="AC65" i="2"/>
  <c r="AC111" i="2" s="1"/>
  <c r="AB65" i="2" a="1"/>
  <c r="AB65" i="2" s="1"/>
  <c r="AA65" i="2" a="1"/>
  <c r="AA65" i="2" s="1"/>
  <c r="AA111" i="2" s="1"/>
  <c r="Z65" i="2" a="1"/>
  <c r="Z65" i="2" s="1"/>
  <c r="Z111" i="2" s="1"/>
  <c r="Y65" i="2" a="1"/>
  <c r="Y65" i="2" s="1"/>
  <c r="Y111" i="2" s="1"/>
  <c r="X65" i="2" a="1"/>
  <c r="X65" i="2" s="1"/>
  <c r="X111" i="2" s="1"/>
  <c r="W65" i="2" a="1"/>
  <c r="W65" i="2"/>
  <c r="W111" i="2" s="1"/>
  <c r="V65" i="2" a="1"/>
  <c r="V65" i="2" s="1"/>
  <c r="V111" i="2" s="1"/>
  <c r="U65" i="2" a="1"/>
  <c r="U65" i="2" s="1"/>
  <c r="U111" i="2" s="1"/>
  <c r="T65" i="2" a="1"/>
  <c r="T65" i="2" s="1"/>
  <c r="T111" i="2" s="1"/>
  <c r="S65" i="2" a="1"/>
  <c r="S65" i="2" s="1"/>
  <c r="S111" i="2" s="1"/>
  <c r="R65" i="2" a="1"/>
  <c r="R65" i="2" s="1"/>
  <c r="R111" i="2" s="1"/>
  <c r="Q65" i="2" a="1"/>
  <c r="Q65" i="2"/>
  <c r="Q111" i="2" s="1"/>
  <c r="P65" i="2" a="1"/>
  <c r="P65" i="2" s="1"/>
  <c r="P111" i="2" s="1"/>
  <c r="O65" i="2" a="1"/>
  <c r="O65" i="2" s="1"/>
  <c r="N65" i="2" a="1"/>
  <c r="N65" i="2"/>
  <c r="N111" i="2" s="1"/>
  <c r="M65" i="2" a="1"/>
  <c r="M65" i="2"/>
  <c r="M111" i="2" s="1"/>
  <c r="L65" i="2" a="1"/>
  <c r="L65" i="2" s="1"/>
  <c r="L111" i="2" s="1"/>
  <c r="K65" i="2" a="1"/>
  <c r="K65" i="2"/>
  <c r="K111" i="2" s="1"/>
  <c r="J65" i="2" a="1"/>
  <c r="J65" i="2" s="1"/>
  <c r="J111" i="2" s="1"/>
  <c r="I65" i="2" a="1"/>
  <c r="I65" i="2" s="1"/>
  <c r="I111" i="2" s="1"/>
  <c r="H65" i="2" a="1"/>
  <c r="H65" i="2" s="1"/>
  <c r="G65" i="2" a="1"/>
  <c r="G65" i="2" s="1"/>
  <c r="G111" i="2" s="1"/>
  <c r="F65" i="2" a="1"/>
  <c r="F65" i="2" s="1"/>
  <c r="F111" i="2" s="1"/>
  <c r="E65" i="2" a="1"/>
  <c r="E65" i="2"/>
  <c r="E111" i="2" s="1"/>
  <c r="D65" i="2" a="1"/>
  <c r="D65" i="2" s="1"/>
  <c r="D111" i="2" s="1"/>
  <c r="AS64" i="2" a="1"/>
  <c r="AS64" i="2"/>
  <c r="AS110" i="2" s="1"/>
  <c r="AR64" i="2" a="1"/>
  <c r="AR64" i="2"/>
  <c r="AR110" i="2" s="1"/>
  <c r="AQ64" i="2" a="1"/>
  <c r="AQ64" i="2" s="1"/>
  <c r="AQ110" i="2" s="1"/>
  <c r="AP64" i="2" a="1"/>
  <c r="AP64" i="2" s="1"/>
  <c r="AP110" i="2" s="1"/>
  <c r="AO64" i="2" a="1"/>
  <c r="AO64" i="2" s="1"/>
  <c r="AO110" i="2" s="1"/>
  <c r="AN64" i="2" a="1"/>
  <c r="AN64" i="2" s="1"/>
  <c r="AN110" i="2" s="1"/>
  <c r="AM64" i="2" a="1"/>
  <c r="AM64" i="2" s="1"/>
  <c r="AM110" i="2" s="1"/>
  <c r="AL64" i="2" a="1"/>
  <c r="AL64" i="2" s="1"/>
  <c r="AL110" i="2" s="1"/>
  <c r="AK64" i="2" a="1"/>
  <c r="AK64" i="2" s="1"/>
  <c r="AK110" i="2" s="1"/>
  <c r="AJ64" i="2" a="1"/>
  <c r="AJ64" i="2" s="1"/>
  <c r="AJ110" i="2" s="1"/>
  <c r="AI64" i="2" a="1"/>
  <c r="AI64" i="2" s="1"/>
  <c r="AI110" i="2" s="1"/>
  <c r="AH64" i="2" a="1"/>
  <c r="AH64" i="2" s="1"/>
  <c r="AH110" i="2" s="1"/>
  <c r="AG64" i="2" a="1"/>
  <c r="AG64" i="2" s="1"/>
  <c r="AG110" i="2" s="1"/>
  <c r="AF64" i="2" a="1"/>
  <c r="AF64" i="2" s="1"/>
  <c r="AF110" i="2" s="1"/>
  <c r="AE64" i="2" a="1"/>
  <c r="AE64" i="2" s="1"/>
  <c r="AE110" i="2" s="1"/>
  <c r="AD64" i="2" a="1"/>
  <c r="AD64" i="2" s="1"/>
  <c r="AD110" i="2" s="1"/>
  <c r="AC64" i="2" a="1"/>
  <c r="AC64" i="2" s="1"/>
  <c r="AC110" i="2" s="1"/>
  <c r="AB64" i="2" a="1"/>
  <c r="AB64" i="2" s="1"/>
  <c r="AB110" i="2" s="1"/>
  <c r="AA64" i="2" a="1"/>
  <c r="AA64" i="2" s="1"/>
  <c r="AA110" i="2" s="1"/>
  <c r="Z64" i="2" a="1"/>
  <c r="Z64" i="2" s="1"/>
  <c r="Z110" i="2" s="1"/>
  <c r="Y64" i="2" a="1"/>
  <c r="Y64" i="2"/>
  <c r="Y110" i="2" s="1"/>
  <c r="X64" i="2" a="1"/>
  <c r="X64" i="2" s="1"/>
  <c r="X110" i="2" s="1"/>
  <c r="W64" i="2" a="1"/>
  <c r="W64" i="2" s="1"/>
  <c r="W110" i="2" s="1"/>
  <c r="V64" i="2" a="1"/>
  <c r="V64" i="2" s="1"/>
  <c r="V110" i="2" s="1"/>
  <c r="U64" i="2" a="1"/>
  <c r="U64" i="2" s="1"/>
  <c r="U110" i="2" s="1"/>
  <c r="T64" i="2" a="1"/>
  <c r="T64" i="2" s="1"/>
  <c r="T110" i="2" s="1"/>
  <c r="S64" i="2" a="1"/>
  <c r="S64" i="2"/>
  <c r="S110" i="2" s="1"/>
  <c r="R64" i="2" a="1"/>
  <c r="R64" i="2" s="1"/>
  <c r="R110" i="2" s="1"/>
  <c r="Q64" i="2" a="1"/>
  <c r="Q64" i="2"/>
  <c r="Q110" i="2" s="1"/>
  <c r="P64" i="2" a="1"/>
  <c r="P64" i="2" s="1"/>
  <c r="P110" i="2" s="1"/>
  <c r="O64" i="2" a="1"/>
  <c r="O64" i="2" s="1"/>
  <c r="N64" i="2" a="1"/>
  <c r="N64" i="2" s="1"/>
  <c r="M64" i="2" a="1"/>
  <c r="M64" i="2"/>
  <c r="M110" i="2" s="1"/>
  <c r="L64" i="2" a="1"/>
  <c r="L64" i="2"/>
  <c r="L110" i="2" s="1"/>
  <c r="K64" i="2" a="1"/>
  <c r="K64" i="2" s="1"/>
  <c r="K110" i="2" s="1"/>
  <c r="J64" i="2" a="1"/>
  <c r="J64" i="2" s="1"/>
  <c r="J110" i="2" s="1"/>
  <c r="I64" i="2" a="1"/>
  <c r="I64" i="2" s="1"/>
  <c r="I110" i="2" s="1"/>
  <c r="H64" i="2" a="1"/>
  <c r="H64" i="2" s="1"/>
  <c r="H110" i="2" s="1"/>
  <c r="G64" i="2" a="1"/>
  <c r="G64" i="2" s="1"/>
  <c r="G110" i="2" s="1"/>
  <c r="F64" i="2" a="1"/>
  <c r="F64" i="2" s="1"/>
  <c r="F110" i="2" s="1"/>
  <c r="E64" i="2" a="1"/>
  <c r="E64" i="2" s="1"/>
  <c r="E110" i="2" s="1"/>
  <c r="D64" i="2" a="1"/>
  <c r="D64" i="2"/>
  <c r="D110" i="2" s="1"/>
  <c r="AS63" i="2" a="1"/>
  <c r="AS63" i="2"/>
  <c r="AS109" i="2" s="1"/>
  <c r="AR63" i="2" a="1"/>
  <c r="AR63" i="2" s="1"/>
  <c r="AQ63" i="2" a="1"/>
  <c r="AQ63" i="2" s="1"/>
  <c r="AQ109" i="2" s="1"/>
  <c r="AP63" i="2" a="1"/>
  <c r="AP63" i="2" s="1"/>
  <c r="AP109" i="2" s="1"/>
  <c r="AO63" i="2" a="1"/>
  <c r="AO63" i="2"/>
  <c r="AO109" i="2" s="1"/>
  <c r="AN63" i="2" a="1"/>
  <c r="AN63" i="2" s="1"/>
  <c r="AN109" i="2" s="1"/>
  <c r="AM63" i="2" a="1"/>
  <c r="AM63" i="2" s="1"/>
  <c r="AM109" i="2" s="1"/>
  <c r="AL63" i="2" a="1"/>
  <c r="AL63" i="2"/>
  <c r="AL109" i="2" s="1"/>
  <c r="AK63" i="2" a="1"/>
  <c r="AK63" i="2" s="1"/>
  <c r="AK109" i="2" s="1"/>
  <c r="AJ63" i="2" a="1"/>
  <c r="AJ63" i="2" s="1"/>
  <c r="AI63" i="2" a="1"/>
  <c r="AI63" i="2" s="1"/>
  <c r="AI109" i="2" s="1"/>
  <c r="AH63" i="2" a="1"/>
  <c r="AH63" i="2" s="1"/>
  <c r="AH109" i="2" s="1"/>
  <c r="AG63" i="2" a="1"/>
  <c r="AG63" i="2"/>
  <c r="AG109" i="2" s="1"/>
  <c r="AF63" i="2" a="1"/>
  <c r="AF63" i="2" s="1"/>
  <c r="AF109" i="2" s="1"/>
  <c r="AE63" i="2" a="1"/>
  <c r="AE63" i="2" s="1"/>
  <c r="AE109" i="2" s="1"/>
  <c r="AD63" i="2" a="1"/>
  <c r="AD63" i="2" s="1"/>
  <c r="AD109" i="2" s="1"/>
  <c r="AC63" i="2" a="1"/>
  <c r="AC63" i="2" s="1"/>
  <c r="AC109" i="2" s="1"/>
  <c r="AB63" i="2" a="1"/>
  <c r="AB63" i="2" s="1"/>
  <c r="AB109" i="2" s="1"/>
  <c r="AA63" i="2" a="1"/>
  <c r="AA63" i="2"/>
  <c r="AA109" i="2" s="1"/>
  <c r="Z63" i="2" a="1"/>
  <c r="Z63" i="2" s="1"/>
  <c r="Z109" i="2" s="1"/>
  <c r="Y63" i="2" a="1"/>
  <c r="Y63" i="2" s="1"/>
  <c r="Y109" i="2" s="1"/>
  <c r="X63" i="2" a="1"/>
  <c r="X63" i="2" s="1"/>
  <c r="X109" i="2" s="1"/>
  <c r="W63" i="2" a="1"/>
  <c r="W63" i="2" s="1"/>
  <c r="W109" i="2" s="1"/>
  <c r="V63" i="2" a="1"/>
  <c r="V63" i="2" s="1"/>
  <c r="V109" i="2" s="1"/>
  <c r="U63" i="2" a="1"/>
  <c r="U63" i="2" s="1"/>
  <c r="U109" i="2" s="1"/>
  <c r="T63" i="2" a="1"/>
  <c r="T63" i="2" s="1"/>
  <c r="T109" i="2" s="1"/>
  <c r="S63" i="2" a="1"/>
  <c r="S63" i="2" s="1"/>
  <c r="S109" i="2" s="1"/>
  <c r="R63" i="2" a="1"/>
  <c r="R63" i="2" s="1"/>
  <c r="R109" i="2" s="1"/>
  <c r="Q63" i="2" a="1"/>
  <c r="Q63" i="2" s="1"/>
  <c r="Q109" i="2" s="1"/>
  <c r="P63" i="2" a="1"/>
  <c r="P63" i="2" s="1"/>
  <c r="P109" i="2" s="1"/>
  <c r="O63" i="2" a="1"/>
  <c r="O63" i="2"/>
  <c r="O109" i="2" s="1"/>
  <c r="N63" i="2" a="1"/>
  <c r="N63" i="2"/>
  <c r="N109" i="2" s="1"/>
  <c r="M63" i="2" a="1"/>
  <c r="M63" i="2"/>
  <c r="M109" i="2" s="1"/>
  <c r="L63" i="2" a="1"/>
  <c r="L63" i="2" s="1"/>
  <c r="L109" i="2" s="1"/>
  <c r="K63" i="2" a="1"/>
  <c r="K63" i="2" s="1"/>
  <c r="K109" i="2" s="1"/>
  <c r="J63" i="2" a="1"/>
  <c r="J63" i="2"/>
  <c r="J109" i="2" s="1"/>
  <c r="I63" i="2" a="1"/>
  <c r="I63" i="2"/>
  <c r="I109" i="2" s="1"/>
  <c r="H63" i="2" a="1"/>
  <c r="H63" i="2" s="1"/>
  <c r="H109" i="2" s="1"/>
  <c r="G63" i="2" a="1"/>
  <c r="G63" i="2" s="1"/>
  <c r="G109" i="2" s="1"/>
  <c r="F63" i="2" a="1"/>
  <c r="F63" i="2"/>
  <c r="F109" i="2" s="1"/>
  <c r="E63" i="2" a="1"/>
  <c r="E63" i="2"/>
  <c r="E109" i="2" s="1"/>
  <c r="D63" i="2" a="1"/>
  <c r="D63" i="2" s="1"/>
  <c r="D109" i="2" s="1"/>
  <c r="AS62" i="2" a="1"/>
  <c r="AS62" i="2" s="1"/>
  <c r="AS108" i="2" s="1"/>
  <c r="AR62" i="2" a="1"/>
  <c r="AR62" i="2" s="1"/>
  <c r="AQ62" i="2" a="1"/>
  <c r="AQ62" i="2" s="1"/>
  <c r="AQ108" i="2" s="1"/>
  <c r="AP62" i="2" a="1"/>
  <c r="AP62" i="2" s="1"/>
  <c r="AP108" i="2" s="1"/>
  <c r="AO62" i="2" a="1"/>
  <c r="AO62" i="2"/>
  <c r="AO108" i="2" s="1"/>
  <c r="AN62" i="2" a="1"/>
  <c r="AN62" i="2" s="1"/>
  <c r="AN108" i="2" s="1"/>
  <c r="AM62" i="2" a="1"/>
  <c r="AM62" i="2" s="1"/>
  <c r="AM108" i="2" s="1"/>
  <c r="AL62" i="2" a="1"/>
  <c r="AL62" i="2" s="1"/>
  <c r="AL108" i="2" s="1"/>
  <c r="AK62" i="2" a="1"/>
  <c r="AK62" i="2"/>
  <c r="AK108" i="2" s="1"/>
  <c r="AJ62" i="2" a="1"/>
  <c r="AJ62" i="2"/>
  <c r="AI62" i="2" a="1"/>
  <c r="AI62" i="2" s="1"/>
  <c r="AI108" i="2" s="1"/>
  <c r="AH62" i="2" a="1"/>
  <c r="AH62" i="2" s="1"/>
  <c r="AH108" i="2" s="1"/>
  <c r="AG62" i="2" a="1"/>
  <c r="AG62" i="2"/>
  <c r="AG108" i="2" s="1"/>
  <c r="AF62" i="2" a="1"/>
  <c r="AF62" i="2"/>
  <c r="AF108" i="2" s="1"/>
  <c r="AE62" i="2" a="1"/>
  <c r="AE62" i="2" s="1"/>
  <c r="AE108" i="2" s="1"/>
  <c r="AD62" i="2" a="1"/>
  <c r="AD62" i="2" s="1"/>
  <c r="AD108" i="2" s="1"/>
  <c r="AC62" i="2" a="1"/>
  <c r="AC62" i="2"/>
  <c r="AC108" i="2" s="1"/>
  <c r="AB62" i="2" a="1"/>
  <c r="AB62" i="2"/>
  <c r="AB108" i="2" s="1"/>
  <c r="AA62" i="2" a="1"/>
  <c r="AA62" i="2"/>
  <c r="AA108" i="2" s="1"/>
  <c r="Z62" i="2" a="1"/>
  <c r="Z62" i="2" s="1"/>
  <c r="Z108" i="2" s="1"/>
  <c r="Y62" i="2" a="1"/>
  <c r="Y62" i="2" s="1"/>
  <c r="Y108" i="2" s="1"/>
  <c r="X62" i="2" a="1"/>
  <c r="X62" i="2" s="1"/>
  <c r="X108" i="2" s="1"/>
  <c r="W62" i="2" a="1"/>
  <c r="W62" i="2" s="1"/>
  <c r="W108" i="2" s="1"/>
  <c r="V62" i="2" a="1"/>
  <c r="V62" i="2" s="1"/>
  <c r="V108" i="2" s="1"/>
  <c r="U62" i="2" a="1"/>
  <c r="U62" i="2" s="1"/>
  <c r="U108" i="2" s="1"/>
  <c r="T62" i="2" a="1"/>
  <c r="T62" i="2" s="1"/>
  <c r="T108" i="2" s="1"/>
  <c r="S62" i="2" a="1"/>
  <c r="S62" i="2" s="1"/>
  <c r="S108" i="2" s="1"/>
  <c r="R62" i="2" a="1"/>
  <c r="R62" i="2" s="1"/>
  <c r="R108" i="2" s="1"/>
  <c r="Q62" i="2" a="1"/>
  <c r="Q62" i="2" s="1"/>
  <c r="Q108" i="2" s="1"/>
  <c r="P62" i="2" a="1"/>
  <c r="P62" i="2" s="1"/>
  <c r="P108" i="2" s="1"/>
  <c r="O62" i="2" a="1"/>
  <c r="O62" i="2" s="1"/>
  <c r="N62" i="2" a="1"/>
  <c r="N62" i="2" s="1"/>
  <c r="N108" i="2" s="1"/>
  <c r="M62" i="2" a="1"/>
  <c r="M62" i="2" s="1"/>
  <c r="M108" i="2" s="1"/>
  <c r="L62" i="2" a="1"/>
  <c r="L62" i="2" s="1"/>
  <c r="L108" i="2" s="1"/>
  <c r="K62" i="2" a="1"/>
  <c r="K62" i="2" s="1"/>
  <c r="K108" i="2" s="1"/>
  <c r="J62" i="2" a="1"/>
  <c r="J62" i="2" s="1"/>
  <c r="J108" i="2" s="1"/>
  <c r="I62" i="2" a="1"/>
  <c r="I62" i="2" s="1"/>
  <c r="I108" i="2" s="1"/>
  <c r="H62" i="2" a="1"/>
  <c r="H62" i="2" s="1"/>
  <c r="H108" i="2" s="1"/>
  <c r="G62" i="2" a="1"/>
  <c r="G62" i="2" s="1"/>
  <c r="G108" i="2" s="1"/>
  <c r="F62" i="2" a="1"/>
  <c r="F62" i="2" s="1"/>
  <c r="F108" i="2" s="1"/>
  <c r="E62" i="2" a="1"/>
  <c r="E62" i="2"/>
  <c r="E108" i="2" s="1"/>
  <c r="D62" i="2" a="1"/>
  <c r="D62" i="2" s="1"/>
  <c r="BH48" i="2"/>
  <c r="BJ48" i="2" s="1"/>
  <c r="BH47" i="2"/>
  <c r="BJ47" i="2" s="1"/>
  <c r="BH46" i="2"/>
  <c r="BJ46" i="2" s="1"/>
  <c r="BH45" i="2"/>
  <c r="BJ45" i="2" s="1"/>
  <c r="BH44" i="2"/>
  <c r="BJ44" i="2" s="1"/>
  <c r="BH43" i="2"/>
  <c r="BJ43" i="2" s="1"/>
  <c r="BH42" i="2"/>
  <c r="BJ42" i="2" s="1"/>
  <c r="BH41" i="2"/>
  <c r="BJ41" i="2" s="1"/>
  <c r="BH40" i="2"/>
  <c r="BJ40" i="2" s="1"/>
  <c r="BH39" i="2"/>
  <c r="BJ39" i="2" s="1"/>
  <c r="BH38" i="2"/>
  <c r="BJ38" i="2" s="1"/>
  <c r="BH37" i="2"/>
  <c r="BJ37" i="2" s="1"/>
  <c r="BH36" i="2"/>
  <c r="BJ36" i="2" s="1"/>
  <c r="BH35" i="2"/>
  <c r="BJ35" i="2" s="1"/>
  <c r="BH34" i="2"/>
  <c r="BJ34" i="2" s="1"/>
  <c r="BH33" i="2"/>
  <c r="BJ33" i="2" s="1"/>
  <c r="BH32" i="2"/>
  <c r="BJ32" i="2" s="1"/>
  <c r="BH31" i="2"/>
  <c r="BJ31" i="2" s="1"/>
  <c r="BH30" i="2"/>
  <c r="BJ30" i="2" s="1"/>
  <c r="BH29" i="2"/>
  <c r="BJ29" i="2" s="1"/>
  <c r="BH28" i="2"/>
  <c r="BJ28" i="2" s="1"/>
  <c r="BH27" i="2"/>
  <c r="BJ27" i="2" s="1"/>
  <c r="BH26" i="2"/>
  <c r="BJ26" i="2" s="1"/>
  <c r="BH25" i="2"/>
  <c r="BJ25" i="2" s="1"/>
  <c r="BH24" i="2"/>
  <c r="BJ24" i="2" s="1"/>
  <c r="BH23" i="2"/>
  <c r="BJ23" i="2" s="1"/>
  <c r="BH22" i="2"/>
  <c r="BJ22" i="2" s="1"/>
  <c r="BH21" i="2"/>
  <c r="BJ21" i="2" s="1"/>
  <c r="BH20" i="2"/>
  <c r="BJ20" i="2" s="1"/>
  <c r="BH19" i="2"/>
  <c r="BJ19" i="2" s="1"/>
  <c r="BH18" i="2"/>
  <c r="BJ18" i="2" s="1"/>
  <c r="BH17" i="2"/>
  <c r="BJ17" i="2" s="1"/>
  <c r="BH16" i="2"/>
  <c r="BJ16" i="2" s="1"/>
  <c r="BH15" i="2"/>
  <c r="BJ15" i="2" s="1"/>
  <c r="BH14" i="2"/>
  <c r="BJ14" i="2" s="1"/>
  <c r="BH13" i="2"/>
  <c r="BJ13" i="2" s="1"/>
  <c r="BH12" i="2"/>
  <c r="BJ12" i="2" s="1"/>
  <c r="BH11" i="2"/>
  <c r="BH10" i="2"/>
  <c r="BJ10" i="2" s="1"/>
  <c r="BH9" i="2"/>
  <c r="BJ9" i="2" s="1"/>
  <c r="BH8" i="2"/>
  <c r="BJ8" i="2" s="1"/>
  <c r="BH7" i="2"/>
  <c r="BJ7" i="2" s="1"/>
  <c r="AR109" i="2" l="1"/>
  <c r="AJ114" i="2"/>
  <c r="AJ115" i="2"/>
  <c r="AR116" i="2"/>
  <c r="AJ117" i="2"/>
  <c r="AR127" i="2"/>
  <c r="AR108" i="2"/>
  <c r="AR112" i="2"/>
  <c r="AB120" i="2"/>
  <c r="AB143" i="2"/>
  <c r="AJ143" i="2"/>
  <c r="AB147" i="2"/>
  <c r="AB119" i="2"/>
  <c r="AR123" i="2"/>
  <c r="AB129" i="2"/>
  <c r="AR135" i="2"/>
  <c r="AB136" i="2"/>
  <c r="AB116" i="2"/>
  <c r="AJ108" i="2"/>
  <c r="AB111" i="2"/>
  <c r="AJ120" i="2"/>
  <c r="AJ129" i="2"/>
  <c r="AB130" i="2"/>
  <c r="AJ130" i="2"/>
  <c r="AR120" i="2"/>
  <c r="N121" i="2"/>
  <c r="AJ123" i="2"/>
  <c r="AQ123" i="2"/>
  <c r="V124" i="2"/>
  <c r="AJ124" i="2"/>
  <c r="V126" i="2"/>
  <c r="F127" i="2"/>
  <c r="AJ128" i="2"/>
  <c r="AA130" i="2"/>
  <c r="AB131" i="2"/>
  <c r="AJ135" i="2"/>
  <c r="AQ135" i="2"/>
  <c r="AA136" i="2"/>
  <c r="V139" i="2"/>
  <c r="AB139" i="2"/>
  <c r="AQ139" i="2"/>
  <c r="N140" i="2"/>
  <c r="AJ140" i="2"/>
  <c r="AA143" i="2"/>
  <c r="AQ143" i="2"/>
  <c r="AJ122" i="2"/>
  <c r="F123" i="2"/>
  <c r="AR124" i="2"/>
  <c r="AR126" i="2"/>
  <c r="AR129" i="2"/>
  <c r="AR130" i="2"/>
  <c r="V131" i="2"/>
  <c r="N132" i="2"/>
  <c r="V132" i="2"/>
  <c r="AB132" i="2"/>
  <c r="AJ136" i="2"/>
  <c r="AB137" i="2"/>
  <c r="AA144" i="2"/>
  <c r="AQ144" i="2"/>
  <c r="AA148" i="2"/>
  <c r="AJ119" i="2"/>
  <c r="AQ119" i="2"/>
  <c r="N120" i="2"/>
  <c r="AA121" i="2"/>
  <c r="N125" i="2"/>
  <c r="F126" i="2"/>
  <c r="AA127" i="2"/>
  <c r="F128" i="2"/>
  <c r="V130" i="2"/>
  <c r="AJ131" i="2"/>
  <c r="AQ131" i="2"/>
  <c r="N133" i="2"/>
  <c r="AA133" i="2"/>
  <c r="AQ133" i="2"/>
  <c r="F134" i="2"/>
  <c r="AA134" i="2"/>
  <c r="AJ137" i="2"/>
  <c r="F138" i="2"/>
  <c r="AB138" i="2"/>
  <c r="AA141" i="2"/>
  <c r="F143" i="2"/>
  <c r="N143" i="2"/>
  <c r="V143" i="2"/>
  <c r="AB144" i="2"/>
  <c r="AJ144" i="2"/>
  <c r="F147" i="2"/>
  <c r="N147" i="2"/>
  <c r="V147" i="2"/>
  <c r="AB148" i="2"/>
  <c r="AJ148" i="2"/>
  <c r="AH149" i="2"/>
  <c r="AP149" i="2"/>
  <c r="AR119" i="2"/>
  <c r="V121" i="2"/>
  <c r="AB121" i="2"/>
  <c r="F122" i="2"/>
  <c r="N123" i="2"/>
  <c r="AA123" i="2"/>
  <c r="AB127" i="2"/>
  <c r="AJ127" i="2"/>
  <c r="AA128" i="2"/>
  <c r="AJ132" i="2"/>
  <c r="AQ132" i="2"/>
  <c r="AB133" i="2"/>
  <c r="AJ133" i="2"/>
  <c r="AB134" i="2"/>
  <c r="AA135" i="2"/>
  <c r="V137" i="2"/>
  <c r="N138" i="2"/>
  <c r="V138" i="2"/>
  <c r="F139" i="2"/>
  <c r="AB141" i="2"/>
  <c r="AJ141" i="2"/>
  <c r="AQ141" i="2"/>
  <c r="AJ116" i="2"/>
  <c r="AJ118" i="2"/>
  <c r="F119" i="2"/>
  <c r="V120" i="2"/>
  <c r="N122" i="2"/>
  <c r="AR122" i="2"/>
  <c r="AB123" i="2"/>
  <c r="F124" i="2"/>
  <c r="AA124" i="2"/>
  <c r="V125" i="2"/>
  <c r="AB125" i="2"/>
  <c r="AJ125" i="2"/>
  <c r="AQ125" i="2"/>
  <c r="AA126" i="2"/>
  <c r="V127" i="2"/>
  <c r="AQ127" i="2"/>
  <c r="N128" i="2"/>
  <c r="AB128" i="2"/>
  <c r="AR131" i="2"/>
  <c r="AR132" i="2"/>
  <c r="V133" i="2"/>
  <c r="N134" i="2"/>
  <c r="F135" i="2"/>
  <c r="F136" i="2"/>
  <c r="AQ137" i="2"/>
  <c r="AJ138" i="2"/>
  <c r="N139" i="2"/>
  <c r="F140" i="2"/>
  <c r="F144" i="2"/>
  <c r="N144" i="2"/>
  <c r="V144" i="2"/>
  <c r="AB145" i="2"/>
  <c r="AJ145" i="2"/>
  <c r="F148" i="2"/>
  <c r="N148" i="2"/>
  <c r="V148" i="2"/>
  <c r="AB149" i="2"/>
  <c r="AA112" i="2"/>
  <c r="AQ114" i="2"/>
  <c r="AQ115" i="2"/>
  <c r="N116" i="2"/>
  <c r="AJ109" i="2"/>
  <c r="N110" i="2"/>
  <c r="V112" i="2"/>
  <c r="V113" i="2"/>
  <c r="AA113" i="2"/>
  <c r="AR114" i="2"/>
  <c r="AR115" i="2"/>
  <c r="AQ116" i="2"/>
  <c r="AA117" i="2"/>
  <c r="F121" i="2"/>
  <c r="AJ121" i="2"/>
  <c r="AQ121" i="2"/>
  <c r="AA122" i="2"/>
  <c r="AR125" i="2"/>
  <c r="N126" i="2"/>
  <c r="AB126" i="2"/>
  <c r="V128" i="2"/>
  <c r="F129" i="2"/>
  <c r="N129" i="2"/>
  <c r="AA129" i="2"/>
  <c r="F130" i="2"/>
  <c r="V134" i="2"/>
  <c r="N135" i="2"/>
  <c r="V135" i="2"/>
  <c r="AB135" i="2"/>
  <c r="N136" i="2"/>
  <c r="AA140" i="2"/>
  <c r="F141" i="2"/>
  <c r="N141" i="2"/>
  <c r="V141" i="2"/>
  <c r="AA142" i="2"/>
  <c r="AQ142" i="2"/>
  <c r="AA146" i="2"/>
  <c r="AQ146" i="2"/>
  <c r="AB140" i="2"/>
  <c r="AQ140" i="2"/>
  <c r="AB142" i="2"/>
  <c r="AJ142" i="2"/>
  <c r="AR142" i="2"/>
  <c r="F145" i="2"/>
  <c r="N145" i="2"/>
  <c r="V145" i="2"/>
  <c r="AB146" i="2"/>
  <c r="AJ146" i="2"/>
  <c r="AR146" i="2"/>
  <c r="N149" i="2"/>
  <c r="V149" i="2"/>
  <c r="W114" i="2"/>
  <c r="W117" i="2"/>
  <c r="W120" i="2"/>
  <c r="W129" i="2"/>
  <c r="W118" i="2"/>
  <c r="W123" i="2"/>
  <c r="W116" i="2"/>
  <c r="W121" i="2"/>
  <c r="W125" i="2"/>
  <c r="P123" i="2"/>
  <c r="AF123" i="2"/>
  <c r="D126" i="2"/>
  <c r="AM126" i="2"/>
  <c r="D129" i="2"/>
  <c r="AM133" i="2"/>
  <c r="AE135" i="2"/>
  <c r="K137" i="2"/>
  <c r="AF139" i="2"/>
  <c r="W141" i="2"/>
  <c r="AE141" i="2"/>
  <c r="AR141" i="2"/>
  <c r="Y143" i="2"/>
  <c r="W144" i="2"/>
  <c r="AE144" i="2"/>
  <c r="AM144" i="2"/>
  <c r="K146" i="2"/>
  <c r="W147" i="2"/>
  <c r="AR147" i="2"/>
  <c r="P148" i="2"/>
  <c r="W148" i="2"/>
  <c r="AE149" i="2"/>
  <c r="AL149" i="2"/>
  <c r="AS149" i="2"/>
  <c r="Y141" i="2"/>
  <c r="D142" i="2"/>
  <c r="Y144" i="2"/>
  <c r="W145" i="2"/>
  <c r="AM145" i="2"/>
  <c r="J147" i="2"/>
  <c r="AM147" i="2"/>
  <c r="K148" i="2"/>
  <c r="R148" i="2"/>
  <c r="Y148" i="2"/>
  <c r="AF148" i="2"/>
  <c r="AM148" i="2"/>
  <c r="AF132" i="2"/>
  <c r="R133" i="2"/>
  <c r="W134" i="2"/>
  <c r="D135" i="2"/>
  <c r="P135" i="2"/>
  <c r="AM135" i="2"/>
  <c r="AF136" i="2"/>
  <c r="AL136" i="2"/>
  <c r="AR136" i="2"/>
  <c r="Y137" i="2"/>
  <c r="R138" i="2"/>
  <c r="D140" i="2"/>
  <c r="P140" i="2"/>
  <c r="AM141" i="2"/>
  <c r="R142" i="2"/>
  <c r="AL142" i="2"/>
  <c r="AR143" i="2"/>
  <c r="R144" i="2"/>
  <c r="P145" i="2"/>
  <c r="AF145" i="2"/>
  <c r="AL146" i="2"/>
  <c r="D147" i="2"/>
  <c r="R147" i="2"/>
  <c r="AF147" i="2"/>
  <c r="R126" i="2"/>
  <c r="P127" i="2"/>
  <c r="Y128" i="2"/>
  <c r="P131" i="2"/>
  <c r="AM131" i="2"/>
  <c r="AL132" i="2"/>
  <c r="R134" i="2"/>
  <c r="AE137" i="2"/>
  <c r="K139" i="2"/>
  <c r="W139" i="2"/>
  <c r="W140" i="2"/>
  <c r="AR140" i="2"/>
  <c r="Y142" i="2"/>
  <c r="AE142" i="2"/>
  <c r="K144" i="2"/>
  <c r="Y145" i="2"/>
  <c r="W146" i="2"/>
  <c r="AE146" i="2"/>
  <c r="AM146" i="2"/>
  <c r="F149" i="2"/>
  <c r="M149" i="2"/>
  <c r="D131" i="2"/>
  <c r="K131" i="2"/>
  <c r="AM132" i="2"/>
  <c r="P136" i="2"/>
  <c r="AF137" i="2"/>
  <c r="AL137" i="2"/>
  <c r="AR137" i="2"/>
  <c r="R139" i="2"/>
  <c r="AE140" i="2"/>
  <c r="AL140" i="2"/>
  <c r="P141" i="2"/>
  <c r="AF142" i="2"/>
  <c r="P143" i="2"/>
  <c r="AL143" i="2"/>
  <c r="D144" i="2"/>
  <c r="AR144" i="2"/>
  <c r="R145" i="2"/>
  <c r="P146" i="2"/>
  <c r="AF146" i="2"/>
  <c r="AJ149" i="2"/>
  <c r="K120" i="2"/>
  <c r="R122" i="2"/>
  <c r="W124" i="2"/>
  <c r="AF125" i="2"/>
  <c r="AM128" i="2"/>
  <c r="AR128" i="2"/>
  <c r="Y129" i="2"/>
  <c r="W131" i="2"/>
  <c r="D132" i="2"/>
  <c r="AF133" i="2"/>
  <c r="AR133" i="2"/>
  <c r="Y134" i="2"/>
  <c r="AE134" i="2"/>
  <c r="K136" i="2"/>
  <c r="W136" i="2"/>
  <c r="D137" i="2"/>
  <c r="AE138" i="2"/>
  <c r="Y139" i="2"/>
  <c r="K140" i="2"/>
  <c r="R140" i="2"/>
  <c r="Y140" i="2"/>
  <c r="AM140" i="2"/>
  <c r="D141" i="2"/>
  <c r="K143" i="2"/>
  <c r="W143" i="2"/>
  <c r="AM143" i="2"/>
  <c r="Y146" i="2"/>
  <c r="AC148" i="2"/>
  <c r="AQ148" i="2"/>
  <c r="AC149" i="2"/>
  <c r="AF134" i="2"/>
  <c r="AR134" i="2"/>
  <c r="Y135" i="2"/>
  <c r="P137" i="2"/>
  <c r="AM137" i="2"/>
  <c r="D138" i="2"/>
  <c r="AF138" i="2"/>
  <c r="AL138" i="2"/>
  <c r="AR138" i="2"/>
  <c r="AE139" i="2"/>
  <c r="AF140" i="2"/>
  <c r="K141" i="2"/>
  <c r="D143" i="2"/>
  <c r="AF143" i="2"/>
  <c r="AL144" i="2"/>
  <c r="D145" i="2"/>
  <c r="AR145" i="2"/>
  <c r="R146" i="2"/>
  <c r="AR148" i="2"/>
  <c r="AR149" i="2"/>
  <c r="O114" i="2"/>
  <c r="O121" i="2"/>
  <c r="H123" i="2"/>
  <c r="O125" i="2"/>
  <c r="H129" i="2"/>
  <c r="H138" i="2"/>
  <c r="O108" i="2"/>
  <c r="O110" i="2"/>
  <c r="H111" i="2"/>
  <c r="O124" i="2"/>
  <c r="H130" i="2"/>
  <c r="H134" i="2"/>
  <c r="O138" i="2"/>
  <c r="H122" i="2"/>
  <c r="O129" i="2"/>
  <c r="O142" i="2"/>
  <c r="H113" i="2"/>
  <c r="O123" i="2"/>
  <c r="H140" i="2"/>
  <c r="O111" i="2"/>
  <c r="H114" i="2"/>
  <c r="H118" i="2"/>
  <c r="O127" i="2"/>
  <c r="O130" i="2"/>
  <c r="O135" i="2"/>
  <c r="O140" i="2"/>
  <c r="O119" i="2"/>
  <c r="O122" i="2"/>
  <c r="H124" i="2"/>
  <c r="O126" i="2"/>
  <c r="H128" i="2"/>
  <c r="O131" i="2"/>
  <c r="H132" i="2"/>
  <c r="O136" i="2"/>
  <c r="H143" i="2"/>
  <c r="O112" i="2"/>
  <c r="H115" i="2"/>
  <c r="H117" i="2"/>
  <c r="H125" i="2"/>
  <c r="O132" i="2"/>
  <c r="H139" i="2"/>
  <c r="H135" i="2"/>
  <c r="AN144" i="2"/>
  <c r="U147" i="2"/>
  <c r="G148" i="2"/>
  <c r="O148" i="2"/>
  <c r="O149" i="2"/>
  <c r="O128" i="2"/>
  <c r="O133" i="2"/>
  <c r="H136" i="2"/>
  <c r="G146" i="2"/>
  <c r="H147" i="2"/>
  <c r="H148" i="2"/>
  <c r="H126" i="2"/>
  <c r="H131" i="2"/>
  <c r="O134" i="2"/>
  <c r="O139" i="2"/>
  <c r="G145" i="2"/>
  <c r="U145" i="2"/>
  <c r="O146" i="2"/>
  <c r="H121" i="2"/>
  <c r="H137" i="2"/>
  <c r="H145" i="2"/>
  <c r="H127" i="2"/>
  <c r="H141" i="2"/>
  <c r="H144" i="2"/>
  <c r="O144" i="2"/>
  <c r="O141" i="2"/>
  <c r="H142" i="2"/>
  <c r="T147" i="2"/>
  <c r="AJ147" i="2"/>
  <c r="J148" i="2"/>
  <c r="Z148" i="2"/>
  <c r="AP148" i="2"/>
  <c r="P149" i="2"/>
  <c r="AF149" i="2"/>
  <c r="S145" i="2"/>
  <c r="AI145" i="2"/>
  <c r="O147" i="2"/>
  <c r="AE147" i="2"/>
  <c r="E148" i="2"/>
  <c r="U148" i="2"/>
  <c r="AK148" i="2"/>
  <c r="K149" i="2"/>
  <c r="AA149" i="2"/>
  <c r="AQ149" i="2"/>
  <c r="L149" i="2"/>
  <c r="O145" i="2"/>
  <c r="AE145" i="2"/>
  <c r="E146" i="2"/>
  <c r="U146" i="2"/>
  <c r="AK146" i="2"/>
  <c r="K147" i="2"/>
  <c r="AA147" i="2"/>
  <c r="AQ147" i="2"/>
  <c r="AG148" i="2"/>
  <c r="G149" i="2"/>
  <c r="W149" i="2"/>
  <c r="AM149" i="2"/>
  <c r="L147" i="2"/>
  <c r="H149" i="2"/>
  <c r="X149" i="2"/>
  <c r="AN149" i="2"/>
  <c r="S141" i="2"/>
  <c r="AI141" i="2"/>
  <c r="O143" i="2"/>
  <c r="AE143" i="2"/>
  <c r="E144" i="2"/>
  <c r="U144" i="2"/>
  <c r="AK144" i="2"/>
  <c r="K145" i="2"/>
  <c r="AA145" i="2"/>
  <c r="AQ145" i="2"/>
  <c r="G147" i="2"/>
  <c r="S149" i="2"/>
  <c r="AI149" i="2"/>
  <c r="B2" i="6" l="1" a="1"/>
  <c r="B2" i="6" s="1"/>
  <c r="D242" i="2" a="1"/>
  <c r="D24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<sst xmlns="http://schemas.openxmlformats.org/spreadsheetml/2006/main" count="994" uniqueCount="152">
  <si>
    <t>TLIM Total Leontief Inverse Matrix</t>
  </si>
  <si>
    <t>Source:</t>
  </si>
  <si>
    <r>
      <rPr>
        <sz val="11"/>
        <color theme="1"/>
        <rFont val="宋体"/>
        <family val="3"/>
        <charset val="134"/>
        <scheme val="minor"/>
      </rPr>
      <t>2</t>
    </r>
    <r>
      <rPr>
        <sz val="11"/>
        <color theme="1"/>
        <rFont val="宋体"/>
        <family val="3"/>
        <charset val="134"/>
        <scheme val="minor"/>
      </rPr>
      <t>020 National Input-outout Table</t>
    </r>
  </si>
  <si>
    <r>
      <rPr>
        <sz val="11"/>
        <color theme="1"/>
        <rFont val="宋体"/>
        <family val="3"/>
        <charset val="134"/>
        <scheme val="minor"/>
      </rPr>
      <t>N</t>
    </r>
    <r>
      <rPr>
        <sz val="11"/>
        <color theme="1"/>
        <rFont val="宋体"/>
        <family val="3"/>
        <charset val="134"/>
        <scheme val="minor"/>
      </rPr>
      <t>BS</t>
    </r>
  </si>
  <si>
    <t>https://data.stats.gov.cn/files/html/quickSearch/trcc/trcc01.html</t>
  </si>
  <si>
    <t>Notes</t>
  </si>
  <si>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</si>
  <si>
    <r>
      <rPr>
        <sz val="10.5"/>
        <color theme="1"/>
        <rFont val="宋体"/>
        <family val="3"/>
        <charset val="134"/>
        <scheme val="minor"/>
      </rPr>
      <t>Total Leontief Inverse Matrix：</t>
    </r>
  </si>
  <si>
    <t>2020年全国投入产出表</t>
  </si>
  <si>
    <t>(按当年生产者价格计算） （Data are calculated at producers' prices in 2020)</t>
  </si>
  <si>
    <t>单位：万元</t>
  </si>
  <si>
    <t xml:space="preserve">   投入                  产出</t>
  </si>
  <si>
    <t>部门名称</t>
  </si>
  <si>
    <t>最终使用</t>
  </si>
  <si>
    <t>进口</t>
  </si>
  <si>
    <t>总产出</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</si>
  <si>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</si>
  <si>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</si>
  <si>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</si>
  <si>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</si>
  <si>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</si>
  <si>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</si>
  <si>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</si>
  <si>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</si>
  <si>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</si>
  <si>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</si>
  <si>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</si>
  <si>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</si>
  <si>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</si>
  <si>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</si>
  <si>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黑色金属冶炼和压延加工品</t>
  </si>
  <si>
    <t>有色金属冶炼和压延加工品</t>
  </si>
  <si>
    <t>金属制品</t>
  </si>
  <si>
    <t>通用设备</t>
  </si>
  <si>
    <t>专用设备</t>
  </si>
  <si>
    <t>汽车制造业</t>
  </si>
  <si>
    <t>铁路、船舶、航空航天和其他运输设备</t>
  </si>
  <si>
    <t>电气机械和器材</t>
  </si>
  <si>
    <t>通信设备、计算机和其他电子设备&amp;仪器仪表</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</si>
  <si>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</si>
  <si>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</si>
  <si>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</si>
  <si>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</si>
  <si>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</si>
  <si>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</si>
  <si>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</si>
  <si>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</si>
  <si>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</si>
  <si>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金融</t>
  </si>
  <si>
    <t>房地产</t>
  </si>
  <si>
    <t>租赁和商务服务</t>
  </si>
  <si>
    <t>研究和试验发展</t>
  </si>
  <si>
    <t>综合技术服务</t>
  </si>
  <si>
    <t>居民服务、修理和其他服务</t>
  </si>
  <si>
    <t>教育</t>
  </si>
  <si>
    <t>卫生和社会工作</t>
  </si>
  <si>
    <t>文化、体育和娱乐</t>
  </si>
  <si>
    <t>水利、环境和公共设施管理、公共管理、社会保障和社会组织</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</si>
  <si>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</si>
  <si>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</si>
  <si>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</si>
  <si>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</si>
  <si>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</si>
  <si>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</si>
  <si>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</si>
  <si>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</si>
  <si>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</si>
  <si>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</si>
  <si>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</si>
  <si>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</si>
  <si>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ISIC 01T03</t>
  </si>
  <si>
    <t>ISIC 05</t>
  </si>
  <si>
    <t>ISIC 06</t>
  </si>
  <si>
    <t>ISIC 07T08</t>
  </si>
  <si>
    <t>ISIC 09</t>
  </si>
  <si>
    <t>ISIC 10T12</t>
  </si>
  <si>
    <t>ISIC 13T15</t>
  </si>
  <si>
    <t>ISIC 16</t>
  </si>
  <si>
    <t>ISIC 17T18</t>
  </si>
  <si>
    <t>ISIC 19</t>
  </si>
  <si>
    <t>ISIC 20</t>
  </si>
  <si>
    <t>ISIC 21</t>
  </si>
  <si>
    <t>ISIC 22</t>
  </si>
  <si>
    <t>ISIC 239</t>
  </si>
  <si>
    <t>ISIC 241</t>
  </si>
  <si>
    <t>ISIC 242</t>
  </si>
  <si>
    <t>ISIC 25</t>
  </si>
  <si>
    <t>ISIC 28</t>
  </si>
  <si>
    <t>ISIC 231</t>
  </si>
  <si>
    <t>ISIC 29</t>
  </si>
  <si>
    <t>ISIC 30</t>
  </si>
  <si>
    <t>ISIC 27</t>
  </si>
  <si>
    <t>ISIC 26</t>
  </si>
  <si>
    <t>ISIC 31T33</t>
  </si>
  <si>
    <t>ISIC 351</t>
  </si>
  <si>
    <t>ISIC 352T353</t>
  </si>
  <si>
    <t>ISIC 36T39</t>
  </si>
  <si>
    <t>ISIC 41T43</t>
  </si>
  <si>
    <t>ISIC 45T47</t>
  </si>
  <si>
    <t>ISIC 49T53</t>
  </si>
  <si>
    <t>ISIC 55T56</t>
  </si>
  <si>
    <t>ISIC 58T60</t>
  </si>
  <si>
    <t>ISIC 64T66</t>
  </si>
  <si>
    <t>ISIC 68</t>
  </si>
  <si>
    <t>ISIC 61</t>
  </si>
  <si>
    <t>ISIC 62T63</t>
  </si>
  <si>
    <t>ISIC 69T82</t>
  </si>
  <si>
    <t>ISIC 97T98</t>
  </si>
  <si>
    <t>ISIC 85</t>
  </si>
  <si>
    <t>ISIC 86T88</t>
  </si>
  <si>
    <t>ISIC 90T96</t>
  </si>
  <si>
    <t>ISIC 84</t>
  </si>
  <si>
    <t>TIU</t>
  </si>
  <si>
    <t>FU101</t>
  </si>
  <si>
    <t>FU102</t>
  </si>
  <si>
    <t>THC</t>
  </si>
  <si>
    <t>FU103</t>
  </si>
  <si>
    <t>TC</t>
  </si>
  <si>
    <t>FU201</t>
  </si>
  <si>
    <t>FU202</t>
  </si>
  <si>
    <t>GCF</t>
  </si>
  <si>
    <t>EX</t>
  </si>
  <si>
    <t>TFU</t>
  </si>
  <si>
    <t>IM</t>
  </si>
  <si>
    <t>GO</t>
  </si>
  <si>
    <t>中间投入合计</t>
  </si>
  <si>
    <t>TII</t>
  </si>
  <si>
    <t>增加值</t>
  </si>
  <si>
    <t>劳动者报酬</t>
  </si>
  <si>
    <t>VA001</t>
  </si>
  <si>
    <t>生产税净额</t>
  </si>
  <si>
    <t>VA002</t>
  </si>
  <si>
    <t>固定资产折旧</t>
  </si>
  <si>
    <t>VA003</t>
  </si>
  <si>
    <t>营业盈余</t>
  </si>
  <si>
    <t>VA004</t>
  </si>
  <si>
    <t>增加值合计</t>
  </si>
  <si>
    <t>TVA</t>
  </si>
  <si>
    <t>总投入</t>
  </si>
  <si>
    <t>TI</t>
  </si>
  <si>
    <t>中间使用</t>
  </si>
  <si>
    <t>最终需求</t>
  </si>
  <si>
    <t>国内需求</t>
  </si>
  <si>
    <t>进口系数M</t>
  </si>
  <si>
    <t>-</t>
  </si>
  <si>
    <t xml:space="preserve"> </t>
  </si>
  <si>
    <t>I</t>
  </si>
  <si>
    <t>M</t>
  </si>
  <si>
    <t>(I-M)A</t>
  </si>
  <si>
    <t xml:space="preserve">ISIC 27 </t>
  </si>
  <si>
    <t>按行业排列</t>
    <phoneticPr fontId="7" type="noConversion"/>
  </si>
  <si>
    <t>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</si>
</sst>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宋体"/>
      <charset val="134"/>
      <scheme val="minor"/>
    </font>
    <font>
      <sz val="11"/>
      <color theme="1"/>
      <name val="宋体"/>
      <family val="3"/>
      <charset val="134"/>
      <scheme val="minor"/>
    </font>
    <font>
      <b/>
      <sz val="11"/>
      <color theme="1"/>
      <name val="宋体"/>
      <family val="3"/>
      <charset val="134"/>
      <scheme val="minor"/>
    </font>
    <font>
      <sz val="9"/>
      <color theme="1"/>
      <name val="宋体"/>
      <family val="3"/>
      <charset val="134"/>
      <scheme val="minor"/>
    </font>
    <font>
      <b/>
      <sz val="10"/>
      <color theme="1"/>
      <name val="宋体"/>
      <family val="3"/>
      <charset val="134"/>
      <scheme val="minor"/>
    </font>
    <font>
      <sz val="9"/>
      <name val="宋体"/>
      <family val="3"/>
      <charset val="134"/>
    </font>
    <font>
      <sz val="10"/>
      <color theme="1"/>
      <name val="宋体"/>
      <family val="3"/>
      <charset val="134"/>
      <scheme val="minor"/>
    </font>
    <font>
      <sz val="9"/>
      <name val="宋体"/>
      <family val="3"/>
      <charset val="134"/>
      <scheme val="minor"/>
    </font>
    <font>
      <b/>
      <sz val="9"/>
      <name val="宋体"/>
      <family val="3"/>
      <charset val="134"/>
      <scheme val="minor"/>
    </font>
    <font>
      <b/>
      <sz val="9"/>
      <name val="宋体"/>
      <family val="3"/>
      <charset val="134"/>
    </font>
    <font>
      <b/>
      <sz val="9"/>
      <color theme="1"/>
      <name val="宋体"/>
      <family val="3"/>
      <charset val="134"/>
      <scheme val="minor"/>
    </font>
    <font>
      <sz val="10"/>
      <color indexed="8"/>
      <name val="Times New Roman"/>
      <family val="1"/>
    </font>
    <font>
      <b/>
      <sz val="11"/>
      <color indexed="8"/>
      <name val="宋体"/>
      <family val="3"/>
      <charset val="134"/>
      <scheme val="minor"/>
    </font>
    <font>
      <sz val="10"/>
      <color indexed="8"/>
      <name val="宋体"/>
      <family val="3"/>
      <charset val="134"/>
    </font>
    <font>
      <sz val="11"/>
      <color theme="1"/>
      <name val="宋体"/>
      <family val="3"/>
      <charset val="134"/>
      <scheme val="minor"/>
    </font>
    <font>
      <u/>
      <sz val="11"/>
      <color theme="10"/>
      <name val="宋体"/>
      <family val="3"/>
      <charset val="134"/>
      <scheme val="minor"/>
    </font>
    <font>
      <u/>
      <sz val="11"/>
      <color rgb="FF0000FF"/>
      <name val="宋体"/>
      <family val="3"/>
      <charset val="134"/>
      <scheme val="minor"/>
    </font>
    <font>
      <sz val="12"/>
      <name val="宋体"/>
      <family val="3"/>
      <charset val="134"/>
    </font>
    <font>
      <sz val="11"/>
      <color indexed="8"/>
      <name val="宋体"/>
      <family val="3"/>
      <charset val="134"/>
    </font>
    <font>
      <sz val="10.5"/>
      <color theme="1"/>
      <name val="宋体"/>
      <family val="3"/>
      <charset val="134"/>
      <scheme val="minor"/>
    </font>
    <font>
      <sz val="11"/>
      <color indexed="8"/>
      <name val="宋体"/>
      <family val="3"/>
      <charset val="134"/>
    </font>
  </fonts>
  <fills count="6">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65"/>
        <bgColor indexed="64"/>
      </patternFill>
    </fill>
    <fill>
      <patternFill patternType="solid">
        <fgColor rgb="FFFFFF00"/>
        <bgColor indexed="64"/>
      </patternFill>
    </fill>
  </fills>
  <borders count="29">
    <border>
      <left/>
      <right/>
      <top/>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diagonal/>
    </border>
    <border>
      <left/>
      <right/>
      <top style="thin">
        <color auto="1"/>
      </top>
      <bottom/>
      <diagonal/>
    </border>
    <border>
      <left style="thin">
        <color auto="1"/>
      </left>
      <right/>
      <top/>
      <bottom style="medium">
        <color auto="1"/>
      </bottom>
      <diagonal/>
    </border>
    <border>
      <left style="thin">
        <color auto="1"/>
      </left>
      <right/>
      <top style="medium">
        <color auto="1"/>
      </top>
      <bottom/>
      <diagonal/>
    </border>
  </borders>
  <cellStyleXfs count="7">
    <xf numFmtId="0" fontId="0" fillId="0" borderId="0">
      <alignment vertical="center"/>
    </xf>
    <xf numFmtId="0" fontId="16" fillId="0" borderId="0" applyNumberFormat="0" applyFill="0" applyBorder="0" applyAlignment="0" applyProtection="0">
      <alignment vertical="center"/>
    </xf>
    <xf numFmtId="0" fontId="1" fillId="0" borderId="0">
      <alignment vertical="center"/>
    </xf>
    <xf numFmtId="0" fontId="17" fillId="0" borderId="0"/>
    <xf numFmtId="0" fontId="1" fillId="0" borderId="0"/>
    <xf numFmtId="0" fontId="18" fillId="0" borderId="0">
      <alignment vertical="center"/>
    </xf>
    <xf numFmtId="0" fontId="17" fillId="0" borderId="0"/>
  </cellStyleXfs>
  <cellXfs count="109">
    <xf numFmtId="0" fontId="0" fillId="0" borderId="0" xfId="0">
      <alignment vertical="center"/>
    </xf>
    <xf numFmtId="0" fontId="1" fillId="0" borderId="0" xfId="0" applyFont="1">
      <alignment vertical="center"/>
    </xf>
    <xf numFmtId="0" fontId="1" fillId="0" borderId="0" xfId="0" applyFont="1" applyAlignment="1"/>
    <xf numFmtId="0" fontId="0" fillId="0" borderId="0" xfId="0" applyAlignment="1"/>
    <xf numFmtId="0" fontId="2" fillId="0" borderId="0" xfId="2" applyFont="1" applyAlignment="1">
      <alignment horizontal="left" vertical="center"/>
    </xf>
    <xf numFmtId="0" fontId="1" fillId="0" borderId="0" xfId="4"/>
    <xf numFmtId="0" fontId="1" fillId="0" borderId="0" xfId="2" applyAlignment="1">
      <alignment horizontal="left" vertical="center"/>
    </xf>
    <xf numFmtId="1" fontId="3" fillId="0" borderId="0" xfId="4" applyNumberFormat="1" applyFont="1"/>
    <xf numFmtId="0" fontId="0" fillId="0" borderId="1" xfId="0" applyBorder="1" applyAlignment="1"/>
    <xf numFmtId="0" fontId="3" fillId="0" borderId="1" xfId="4" applyFont="1" applyBorder="1"/>
    <xf numFmtId="0" fontId="1" fillId="0" borderId="1" xfId="4" applyBorder="1"/>
    <xf numFmtId="0" fontId="4" fillId="0" borderId="0" xfId="4" applyFont="1" applyAlignment="1">
      <alignment horizontal="center"/>
    </xf>
    <xf numFmtId="0" fontId="3" fillId="0" borderId="9" xfId="3" applyFont="1" applyBorder="1" applyAlignment="1">
      <alignment vertical="center"/>
    </xf>
    <xf numFmtId="0" fontId="5" fillId="0" borderId="8" xfId="4" applyFont="1" applyBorder="1" applyAlignment="1">
      <alignment horizontal="center" vertical="center" wrapText="1"/>
    </xf>
    <xf numFmtId="0" fontId="3" fillId="0" borderId="10" xfId="4" applyFont="1" applyBorder="1" applyAlignment="1">
      <alignment vertical="center"/>
    </xf>
    <xf numFmtId="0" fontId="3" fillId="0" borderId="11" xfId="4" applyFont="1" applyBorder="1" applyAlignment="1">
      <alignment horizontal="center" vertical="center"/>
    </xf>
    <xf numFmtId="49" fontId="3" fillId="0" borderId="9" xfId="4" applyNumberFormat="1" applyFont="1" applyBorder="1" applyAlignment="1">
      <alignment horizontal="center" vertical="center"/>
    </xf>
    <xf numFmtId="0" fontId="5" fillId="0" borderId="13" xfId="4" applyFont="1" applyBorder="1" applyAlignment="1">
      <alignment horizontal="justify" vertical="center" wrapText="1"/>
    </xf>
    <xf numFmtId="49" fontId="7" fillId="0" borderId="14" xfId="4" applyNumberFormat="1" applyFont="1" applyBorder="1" applyAlignment="1">
      <alignment horizontal="center" vertical="center" wrapText="1"/>
    </xf>
    <xf numFmtId="1" fontId="7" fillId="0" borderId="15" xfId="4" applyNumberFormat="1" applyFont="1" applyBorder="1" applyAlignment="1">
      <alignment horizontal="right" vertical="center" wrapText="1"/>
    </xf>
    <xf numFmtId="49" fontId="7" fillId="0" borderId="14" xfId="5" applyNumberFormat="1" applyFont="1" applyBorder="1" applyAlignment="1">
      <alignment horizontal="center" vertical="center" wrapText="1"/>
    </xf>
    <xf numFmtId="0" fontId="5" fillId="0" borderId="10" xfId="4" applyFont="1" applyBorder="1" applyAlignment="1">
      <alignment horizontal="justify" vertical="center" wrapText="1"/>
    </xf>
    <xf numFmtId="49" fontId="8" fillId="0" borderId="16" xfId="0" applyNumberFormat="1" applyFont="1" applyBorder="1" applyAlignment="1">
      <alignment horizontal="center" vertical="center" wrapText="1"/>
    </xf>
    <xf numFmtId="0" fontId="9" fillId="0" borderId="13" xfId="4" applyFont="1" applyBorder="1" applyAlignment="1">
      <alignment horizontal="justify" vertical="center" wrapText="1"/>
    </xf>
    <xf numFmtId="49" fontId="8" fillId="0" borderId="9" xfId="0" applyNumberFormat="1" applyFont="1" applyBorder="1" applyAlignment="1">
      <alignment horizontal="center" vertical="center" wrapText="1"/>
    </xf>
    <xf numFmtId="1" fontId="8" fillId="0" borderId="8" xfId="4" applyNumberFormat="1" applyFont="1" applyBorder="1" applyAlignment="1">
      <alignment horizontal="right" vertical="center" wrapText="1"/>
    </xf>
    <xf numFmtId="0" fontId="5" fillId="0" borderId="12" xfId="4" applyFont="1" applyBorder="1" applyAlignment="1">
      <alignment horizontal="justify" vertical="center" wrapText="1"/>
    </xf>
    <xf numFmtId="49" fontId="7" fillId="0" borderId="18" xfId="0" applyNumberFormat="1" applyFont="1" applyBorder="1" applyAlignment="1">
      <alignment horizontal="center" vertical="center" wrapText="1"/>
    </xf>
    <xf numFmtId="49" fontId="7" fillId="0" borderId="14" xfId="0" applyNumberFormat="1" applyFont="1" applyBorder="1" applyAlignment="1">
      <alignment horizontal="center" vertical="center" wrapText="1"/>
    </xf>
    <xf numFmtId="0" fontId="9" fillId="0" borderId="12" xfId="4" applyFont="1" applyBorder="1" applyAlignment="1">
      <alignment horizontal="justify" vertical="center" wrapText="1"/>
    </xf>
    <xf numFmtId="49" fontId="8" fillId="0" borderId="14" xfId="0" applyNumberFormat="1" applyFont="1" applyBorder="1" applyAlignment="1">
      <alignment horizontal="center" vertical="center" wrapText="1"/>
    </xf>
    <xf numFmtId="1" fontId="8" fillId="0" borderId="15" xfId="4" applyNumberFormat="1" applyFont="1" applyBorder="1" applyAlignment="1">
      <alignment horizontal="right" vertical="center" wrapText="1"/>
    </xf>
    <xf numFmtId="49" fontId="8" fillId="0" borderId="21" xfId="0" applyNumberFormat="1" applyFont="1" applyBorder="1" applyAlignment="1">
      <alignment horizontal="center" vertical="top" wrapText="1"/>
    </xf>
    <xf numFmtId="1" fontId="10" fillId="0" borderId="22" xfId="4" applyNumberFormat="1" applyFont="1" applyBorder="1" applyAlignment="1">
      <alignment horizontal="right" vertical="center"/>
    </xf>
    <xf numFmtId="0" fontId="11" fillId="2" borderId="9" xfId="0" applyFont="1" applyFill="1" applyBorder="1" applyAlignment="1">
      <alignment horizontal="center" vertical="center"/>
    </xf>
    <xf numFmtId="0" fontId="11" fillId="2" borderId="11" xfId="0" applyFont="1" applyFill="1" applyBorder="1" applyAlignment="1">
      <alignment horizontal="center" vertical="center"/>
    </xf>
    <xf numFmtId="0" fontId="11" fillId="3" borderId="15" xfId="0" applyFont="1" applyFill="1" applyBorder="1" applyAlignment="1">
      <alignment horizontal="center" vertical="center"/>
    </xf>
    <xf numFmtId="0" fontId="5" fillId="0" borderId="17" xfId="4" applyFont="1" applyBorder="1" applyAlignment="1">
      <alignment horizontal="center" vertical="center" wrapText="1"/>
    </xf>
    <xf numFmtId="0" fontId="7" fillId="0" borderId="17" xfId="6" applyFont="1" applyBorder="1" applyAlignment="1">
      <alignment horizontal="center" vertical="center" wrapText="1"/>
    </xf>
    <xf numFmtId="0" fontId="8" fillId="0" borderId="9" xfId="0" applyFont="1" applyBorder="1" applyAlignment="1">
      <alignment horizontal="center" vertical="center" wrapText="1"/>
    </xf>
    <xf numFmtId="0" fontId="5" fillId="0" borderId="9" xfId="0" applyFont="1" applyBorder="1" applyAlignment="1">
      <alignment horizontal="center" vertical="center" wrapText="1"/>
    </xf>
    <xf numFmtId="49" fontId="3" fillId="0" borderId="9" xfId="0" applyNumberFormat="1" applyFont="1" applyBorder="1" applyAlignment="1">
      <alignment horizontal="center" vertical="center"/>
    </xf>
    <xf numFmtId="1" fontId="10" fillId="0" borderId="15" xfId="4" applyNumberFormat="1" applyFont="1" applyBorder="1" applyAlignment="1">
      <alignment horizontal="right" vertical="center"/>
    </xf>
    <xf numFmtId="1" fontId="3" fillId="0" borderId="15" xfId="4" applyNumberFormat="1" applyFont="1" applyBorder="1" applyAlignment="1">
      <alignment horizontal="right" vertical="center"/>
    </xf>
    <xf numFmtId="1" fontId="10" fillId="0" borderId="25" xfId="4" applyNumberFormat="1" applyFont="1" applyBorder="1" applyAlignment="1">
      <alignment horizontal="right" vertical="center"/>
    </xf>
    <xf numFmtId="0" fontId="1" fillId="0" borderId="26" xfId="4" applyBorder="1" applyAlignment="1">
      <alignment horizontal="right" vertical="center"/>
    </xf>
    <xf numFmtId="0" fontId="1" fillId="0" borderId="0" xfId="4" applyAlignment="1">
      <alignment horizontal="right" vertical="center"/>
    </xf>
    <xf numFmtId="1" fontId="1" fillId="0" borderId="0" xfId="4" applyNumberFormat="1" applyAlignment="1">
      <alignment horizontal="right" vertical="center"/>
    </xf>
    <xf numFmtId="1" fontId="10" fillId="0" borderId="27" xfId="4" applyNumberFormat="1" applyFont="1" applyBorder="1" applyAlignment="1">
      <alignment horizontal="right" vertical="center"/>
    </xf>
    <xf numFmtId="0" fontId="1" fillId="0" borderId="1" xfId="4" applyBorder="1" applyAlignment="1">
      <alignment horizontal="right" vertical="center"/>
    </xf>
    <xf numFmtId="0" fontId="2" fillId="0" borderId="0" xfId="4" applyFont="1"/>
    <xf numFmtId="0" fontId="12" fillId="0" borderId="0" xfId="0" applyFont="1" applyAlignment="1"/>
    <xf numFmtId="1" fontId="10" fillId="0" borderId="0" xfId="4" applyNumberFormat="1" applyFont="1"/>
    <xf numFmtId="1" fontId="1" fillId="0" borderId="0" xfId="4" applyNumberFormat="1"/>
    <xf numFmtId="0" fontId="12" fillId="0" borderId="1" xfId="0" applyFont="1" applyBorder="1" applyAlignment="1"/>
    <xf numFmtId="0" fontId="9"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8" fillId="0" borderId="14" xfId="0" applyFont="1" applyBorder="1" applyAlignment="1">
      <alignment horizontal="center" vertical="center" wrapText="1"/>
    </xf>
    <xf numFmtId="49" fontId="10" fillId="0" borderId="9" xfId="0" applyNumberFormat="1" applyFont="1" applyBorder="1" applyAlignment="1">
      <alignment horizontal="center" vertical="center"/>
    </xf>
    <xf numFmtId="0" fontId="3" fillId="0" borderId="9" xfId="0" applyFont="1" applyBorder="1" applyAlignment="1">
      <alignment horizontal="center"/>
    </xf>
    <xf numFmtId="0" fontId="10" fillId="0" borderId="9" xfId="0" applyFont="1" applyBorder="1" applyAlignment="1">
      <alignment horizontal="center" vertical="center"/>
    </xf>
    <xf numFmtId="176" fontId="10" fillId="0" borderId="15" xfId="0" applyNumberFormat="1" applyFont="1" applyBorder="1" applyAlignment="1">
      <alignment horizontal="right" vertical="center"/>
    </xf>
    <xf numFmtId="0" fontId="2" fillId="0" borderId="26" xfId="4" applyFont="1" applyBorder="1" applyAlignment="1">
      <alignment horizontal="right" vertical="center"/>
    </xf>
    <xf numFmtId="0" fontId="2" fillId="0" borderId="26" xfId="0" applyFont="1" applyBorder="1" applyAlignment="1">
      <alignment horizontal="right" vertical="center"/>
    </xf>
    <xf numFmtId="0" fontId="2" fillId="0" borderId="0" xfId="4" applyFont="1" applyAlignment="1">
      <alignment horizontal="right" vertical="center"/>
    </xf>
    <xf numFmtId="0" fontId="2" fillId="0" borderId="0" xfId="0" applyFont="1" applyAlignment="1">
      <alignment horizontal="right" vertical="center"/>
    </xf>
    <xf numFmtId="0" fontId="12" fillId="0" borderId="0" xfId="0" applyFont="1" applyAlignment="1">
      <alignment horizontal="right" vertical="center"/>
    </xf>
    <xf numFmtId="0" fontId="2" fillId="0" borderId="1" xfId="4" applyFont="1" applyBorder="1" applyAlignment="1">
      <alignment horizontal="right" vertical="center"/>
    </xf>
    <xf numFmtId="0" fontId="12" fillId="0" borderId="1" xfId="0" applyFont="1" applyBorder="1" applyAlignment="1">
      <alignment horizontal="right" vertical="center"/>
    </xf>
    <xf numFmtId="0" fontId="13" fillId="4" borderId="0" xfId="0" applyFont="1" applyFill="1" applyAlignment="1">
      <alignment horizontal="center" vertical="center" wrapText="1"/>
    </xf>
    <xf numFmtId="0" fontId="14" fillId="0" borderId="0" xfId="0" applyFont="1" applyAlignment="1">
      <alignment horizontal="center"/>
    </xf>
    <xf numFmtId="0" fontId="13" fillId="5" borderId="0" xfId="0" applyFont="1" applyFill="1" applyAlignment="1">
      <alignment horizontal="center" vertical="center" wrapText="1"/>
    </xf>
    <xf numFmtId="0" fontId="3" fillId="0" borderId="9" xfId="0" applyFont="1" applyBorder="1" applyAlignment="1">
      <alignment horizontal="center" vertical="center"/>
    </xf>
    <xf numFmtId="0" fontId="10" fillId="0" borderId="14" xfId="0" applyFont="1" applyBorder="1" applyAlignment="1">
      <alignment horizontal="center" vertical="center"/>
    </xf>
    <xf numFmtId="1" fontId="8" fillId="0" borderId="18" xfId="4" applyNumberFormat="1" applyFont="1" applyBorder="1" applyAlignment="1">
      <alignment horizontal="right" vertical="center" wrapText="1"/>
    </xf>
    <xf numFmtId="0" fontId="11" fillId="3" borderId="25" xfId="0" applyFont="1" applyFill="1" applyBorder="1" applyAlignment="1">
      <alignment horizontal="center" vertical="center"/>
    </xf>
    <xf numFmtId="0" fontId="14" fillId="0" borderId="0" xfId="0" applyFont="1" applyAlignment="1"/>
    <xf numFmtId="0" fontId="2" fillId="0" borderId="0" xfId="0" applyFont="1" applyAlignment="1"/>
    <xf numFmtId="0" fontId="0" fillId="0" borderId="0" xfId="0" applyAlignment="1">
      <alignment horizontal="left"/>
    </xf>
    <xf numFmtId="0" fontId="15" fillId="0" borderId="0" xfId="1" applyFont="1" applyAlignment="1"/>
    <xf numFmtId="0" fontId="20" fillId="0" borderId="0" xfId="0" applyFont="1">
      <alignment vertical="center"/>
    </xf>
    <xf numFmtId="0" fontId="5" fillId="0" borderId="4" xfId="0" applyFont="1" applyBorder="1" applyAlignment="1">
      <alignment horizontal="center" vertical="center" wrapText="1"/>
    </xf>
    <xf numFmtId="0" fontId="0" fillId="0" borderId="8" xfId="0" applyBorder="1" applyAlignment="1">
      <alignment horizontal="center" vertical="center" wrapText="1"/>
    </xf>
    <xf numFmtId="0" fontId="10" fillId="0" borderId="28" xfId="0" applyFont="1" applyBorder="1" applyAlignment="1">
      <alignment horizontal="center" vertical="center" wrapText="1"/>
    </xf>
    <xf numFmtId="0" fontId="12" fillId="0" borderId="25" xfId="0" applyFont="1" applyBorder="1" applyAlignment="1">
      <alignment horizontal="center" vertical="center"/>
    </xf>
    <xf numFmtId="0" fontId="10" fillId="0" borderId="28" xfId="0" applyFont="1" applyBorder="1" applyAlignment="1">
      <alignment horizontal="center" vertical="center" wrapText="1"/>
    </xf>
    <xf numFmtId="0" fontId="12" fillId="0" borderId="25"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5" fillId="0" borderId="0" xfId="0" applyFont="1" applyAlignment="1">
      <alignment horizontal="center" vertical="center" wrapText="1"/>
    </xf>
    <xf numFmtId="0" fontId="3" fillId="0" borderId="5" xfId="0" applyFont="1" applyBorder="1" applyAlignment="1">
      <alignment horizontal="center" vertical="center" wrapText="1"/>
    </xf>
    <xf numFmtId="0" fontId="0" fillId="0" borderId="5" xfId="0" applyBorder="1">
      <alignment vertical="center"/>
    </xf>
    <xf numFmtId="0" fontId="0" fillId="0" borderId="23" xfId="0" applyBorder="1">
      <alignment vertical="center"/>
    </xf>
    <xf numFmtId="0" fontId="5" fillId="0" borderId="2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3" xfId="0" applyFont="1" applyBorder="1" applyAlignment="1">
      <alignment horizontal="center" vertical="center"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0" fontId="6" fillId="0" borderId="12" xfId="0" applyFont="1" applyBorder="1" applyAlignment="1">
      <alignment horizontal="center" vertical="center"/>
    </xf>
    <xf numFmtId="0" fontId="0" fillId="0" borderId="12" xfId="0" applyBorder="1">
      <alignment vertical="center"/>
    </xf>
    <xf numFmtId="0" fontId="0" fillId="0" borderId="17" xfId="0" applyBorder="1">
      <alignment vertical="center"/>
    </xf>
    <xf numFmtId="0" fontId="6" fillId="0" borderId="17" xfId="0" applyFont="1" applyBorder="1" applyAlignment="1">
      <alignment horizontal="center" vertical="center"/>
    </xf>
    <xf numFmtId="0" fontId="6" fillId="0" borderId="13" xfId="0" applyFont="1" applyBorder="1" applyAlignment="1">
      <alignment horizontal="center" vertical="center"/>
    </xf>
    <xf numFmtId="0" fontId="3" fillId="0" borderId="4" xfId="0" applyFont="1" applyBorder="1" applyAlignment="1">
      <alignment horizontal="center" vertical="center" textRotation="255"/>
    </xf>
    <xf numFmtId="0" fontId="3" fillId="0" borderId="8" xfId="0" applyFont="1" applyBorder="1" applyAlignment="1">
      <alignment horizontal="center" vertical="center" textRotation="255"/>
    </xf>
    <xf numFmtId="0" fontId="5" fillId="0" borderId="4" xfId="0" applyFont="1" applyBorder="1" applyAlignment="1">
      <alignment horizontal="center" vertical="center" wrapText="1"/>
    </xf>
    <xf numFmtId="0" fontId="0" fillId="0" borderId="8" xfId="0" applyBorder="1" applyAlignment="1">
      <alignment horizontal="center" vertical="center" wrapText="1"/>
    </xf>
  </cellXfs>
  <cellStyles count="7">
    <cellStyle name="常规" xfId="0" builtinId="0"/>
    <cellStyle name="常规 2" xfId="2" xr:uid="{00000000-0005-0000-0000-000031000000}"/>
    <cellStyle name="常规 4" xfId="3" xr:uid="{00000000-0005-0000-0000-000032000000}"/>
    <cellStyle name="常规 5" xfId="4" xr:uid="{00000000-0005-0000-0000-000033000000}"/>
    <cellStyle name="常规_Sheet1" xfId="5" xr:uid="{00000000-0005-0000-0000-000034000000}"/>
    <cellStyle name="常规_Sheet1_1 2" xfId="6" xr:uid="{00000000-0005-0000-0000-000035000000}"/>
    <cellStyle name="超链接" xfId="1" builtinId="8"/>
  </cellStyles>
  <dxfs count="2">
    <dxf>
      <fill>
        <patternFill patternType="solid">
          <bgColor theme="4"/>
        </patternFill>
      </fill>
    </dxf>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62865</xdr:colOff>
      <xdr:row>9</xdr:row>
      <xdr:rowOff>43815</xdr:rowOff>
    </xdr:from>
    <xdr:to>
      <xdr:col>2</xdr:col>
      <xdr:colOff>424815</xdr:colOff>
      <xdr:row>10</xdr:row>
      <xdr:rowOff>168275</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680085" y="1689735"/>
          <a:ext cx="979170" cy="3073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C6" sqref="C6"/>
    </sheetView>
  </sheetViews>
  <sheetFormatPr defaultColWidth="9" defaultRowHeight="14.4" x14ac:dyDescent="0.25"/>
  <sheetData>
    <row r="1" spans="1:2" x14ac:dyDescent="0.25">
      <c r="A1" s="77" t="s">
        <v>0</v>
      </c>
    </row>
    <row r="3" spans="1:2" x14ac:dyDescent="0.25">
      <c r="A3" s="77" t="s">
        <v>1</v>
      </c>
      <c r="B3" s="1" t="s">
        <v>2</v>
      </c>
    </row>
    <row r="4" spans="1:2" x14ac:dyDescent="0.25">
      <c r="A4" s="3"/>
      <c r="B4" s="1" t="s">
        <v>3</v>
      </c>
    </row>
    <row r="5" spans="1:2" x14ac:dyDescent="0.25">
      <c r="A5" s="3"/>
      <c r="B5" s="78">
        <v>2020</v>
      </c>
    </row>
    <row r="6" spans="1:2" x14ac:dyDescent="0.25">
      <c r="A6" s="3"/>
      <c r="B6" s="3" t="s">
        <v>4</v>
      </c>
    </row>
    <row r="7" spans="1:2" x14ac:dyDescent="0.25">
      <c r="A7" s="3"/>
      <c r="B7" s="79"/>
    </row>
    <row r="8" spans="1:2" x14ac:dyDescent="0.25">
      <c r="A8" s="77" t="s">
        <v>5</v>
      </c>
      <c r="B8" s="1" t="s">
        <v>6</v>
      </c>
    </row>
    <row r="9" spans="1:2" x14ac:dyDescent="0.25">
      <c r="B9" s="1" t="s">
        <v>7</v>
      </c>
    </row>
    <row r="10" spans="1:2" x14ac:dyDescent="0.25">
      <c r="B10" s="3"/>
    </row>
  </sheetData>
  <phoneticPr fontId="7"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55"/>
  <sheetViews>
    <sheetView topLeftCell="A49" workbookViewId="0">
      <selection activeCell="Q12" sqref="Q12"/>
    </sheetView>
  </sheetViews>
  <sheetFormatPr defaultColWidth="8.88671875" defaultRowHeight="14.4" x14ac:dyDescent="0.25"/>
  <sheetData>
    <row r="1" spans="1:58" x14ac:dyDescent="0.25">
      <c r="A1" s="4" t="s">
        <v>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0"/>
      <c r="AX1" s="5"/>
      <c r="AY1" s="50"/>
      <c r="AZ1" s="5"/>
      <c r="BA1" s="5"/>
      <c r="BB1" s="50"/>
      <c r="BC1" s="5"/>
      <c r="BD1" s="51"/>
      <c r="BE1" s="5"/>
      <c r="BF1" s="5"/>
    </row>
    <row r="2" spans="1:58" x14ac:dyDescent="0.25">
      <c r="A2" s="6" t="s">
        <v>9</v>
      </c>
      <c r="B2" s="5"/>
      <c r="C2" s="5"/>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5"/>
      <c r="AT2" s="5"/>
      <c r="AU2" s="7"/>
      <c r="AV2" s="7"/>
      <c r="AW2" s="52"/>
      <c r="AX2" s="7"/>
      <c r="AY2" s="52"/>
      <c r="AZ2" s="7"/>
      <c r="BA2" s="7"/>
      <c r="BB2" s="52"/>
      <c r="BC2" s="53"/>
      <c r="BD2" s="51"/>
      <c r="BE2" s="53"/>
      <c r="BF2" s="5"/>
    </row>
    <row r="3" spans="1:58" x14ac:dyDescent="0.25">
      <c r="A3" s="8" t="s">
        <v>10</v>
      </c>
      <c r="B3" s="9"/>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5"/>
      <c r="AT3" s="5"/>
      <c r="AU3" s="91"/>
      <c r="AV3" s="91"/>
      <c r="AW3" s="91"/>
      <c r="AX3" s="91"/>
      <c r="AY3" s="91"/>
      <c r="AZ3" s="91"/>
      <c r="BA3" s="91"/>
      <c r="BB3" s="91"/>
      <c r="BC3" s="91"/>
      <c r="BD3" s="54"/>
      <c r="BE3" s="5"/>
      <c r="BF3" s="5"/>
    </row>
    <row r="4" spans="1:58" x14ac:dyDescent="0.25">
      <c r="A4" s="87" t="s">
        <v>11</v>
      </c>
      <c r="B4" s="88"/>
      <c r="C4" s="105" t="s">
        <v>12</v>
      </c>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3"/>
      <c r="AS4" s="93"/>
      <c r="AT4" s="94"/>
      <c r="AU4" s="95" t="s">
        <v>13</v>
      </c>
      <c r="AV4" s="96"/>
      <c r="AW4" s="96"/>
      <c r="AX4" s="96"/>
      <c r="AY4" s="96"/>
      <c r="AZ4" s="96"/>
      <c r="BA4" s="96"/>
      <c r="BB4" s="96"/>
      <c r="BC4" s="96"/>
      <c r="BD4" s="97"/>
      <c r="BE4" s="107" t="s">
        <v>14</v>
      </c>
      <c r="BF4" s="85" t="s">
        <v>15</v>
      </c>
    </row>
    <row r="5" spans="1:58" ht="64.8" x14ac:dyDescent="0.25">
      <c r="A5" s="89"/>
      <c r="B5" s="90"/>
      <c r="C5" s="106"/>
      <c r="D5" s="12" t="s">
        <v>16</v>
      </c>
      <c r="E5" s="13" t="s">
        <v>17</v>
      </c>
      <c r="F5" s="13" t="s">
        <v>18</v>
      </c>
      <c r="G5" s="13" t="s">
        <v>19</v>
      </c>
      <c r="H5" s="13" t="s">
        <v>20</v>
      </c>
      <c r="I5" s="13" t="s">
        <v>21</v>
      </c>
      <c r="J5" s="13" t="s">
        <v>22</v>
      </c>
      <c r="K5" s="13" t="s">
        <v>23</v>
      </c>
      <c r="L5" s="13" t="s">
        <v>24</v>
      </c>
      <c r="M5" s="13" t="s">
        <v>25</v>
      </c>
      <c r="N5" s="13" t="s">
        <v>26</v>
      </c>
      <c r="O5" s="13" t="s">
        <v>27</v>
      </c>
      <c r="P5" s="13" t="s">
        <v>28</v>
      </c>
      <c r="Q5" s="37" t="s">
        <v>29</v>
      </c>
      <c r="R5" s="37" t="s">
        <v>30</v>
      </c>
      <c r="S5" s="37" t="s">
        <v>31</v>
      </c>
      <c r="T5" s="37" t="s">
        <v>32</v>
      </c>
      <c r="U5" s="38" t="s">
        <v>33</v>
      </c>
      <c r="V5" s="37" t="s">
        <v>34</v>
      </c>
      <c r="W5" s="37" t="s">
        <v>35</v>
      </c>
      <c r="X5" s="37" t="s">
        <v>36</v>
      </c>
      <c r="Y5" s="37" t="s">
        <v>37</v>
      </c>
      <c r="Z5" s="38" t="s">
        <v>38</v>
      </c>
      <c r="AA5" s="38" t="s">
        <v>39</v>
      </c>
      <c r="AB5" s="38" t="s">
        <v>40</v>
      </c>
      <c r="AC5" s="38" t="s">
        <v>41</v>
      </c>
      <c r="AD5" s="37" t="s">
        <v>42</v>
      </c>
      <c r="AE5" s="37" t="s">
        <v>43</v>
      </c>
      <c r="AF5" s="37" t="s">
        <v>44</v>
      </c>
      <c r="AG5" s="37" t="s">
        <v>45</v>
      </c>
      <c r="AH5" s="37" t="s">
        <v>46</v>
      </c>
      <c r="AI5" s="37" t="s">
        <v>47</v>
      </c>
      <c r="AJ5" s="37" t="s">
        <v>48</v>
      </c>
      <c r="AK5" s="37" t="s">
        <v>49</v>
      </c>
      <c r="AL5" s="37" t="s">
        <v>50</v>
      </c>
      <c r="AM5" s="37" t="s">
        <v>51</v>
      </c>
      <c r="AN5" s="37" t="s">
        <v>52</v>
      </c>
      <c r="AO5" s="37" t="s">
        <v>53</v>
      </c>
      <c r="AP5" s="37" t="s">
        <v>54</v>
      </c>
      <c r="AQ5" s="37" t="s">
        <v>55</v>
      </c>
      <c r="AR5" s="37" t="s">
        <v>56</v>
      </c>
      <c r="AS5" s="37" t="s">
        <v>57</v>
      </c>
      <c r="AT5" s="39" t="s">
        <v>58</v>
      </c>
      <c r="AU5" s="40" t="s">
        <v>59</v>
      </c>
      <c r="AV5" s="40" t="s">
        <v>60</v>
      </c>
      <c r="AW5" s="55" t="s">
        <v>61</v>
      </c>
      <c r="AX5" s="40" t="s">
        <v>62</v>
      </c>
      <c r="AY5" s="55" t="s">
        <v>63</v>
      </c>
      <c r="AZ5" s="40" t="s">
        <v>64</v>
      </c>
      <c r="BA5" s="40" t="s">
        <v>65</v>
      </c>
      <c r="BB5" s="55" t="s">
        <v>66</v>
      </c>
      <c r="BC5" s="56" t="s">
        <v>67</v>
      </c>
      <c r="BD5" s="57" t="s">
        <v>68</v>
      </c>
      <c r="BE5" s="108"/>
      <c r="BF5" s="86"/>
    </row>
    <row r="6" spans="1:58" x14ac:dyDescent="0.25">
      <c r="A6" s="5"/>
      <c r="B6" s="14" t="s">
        <v>12</v>
      </c>
      <c r="C6" s="15" t="s">
        <v>69</v>
      </c>
      <c r="D6" s="16" t="s">
        <v>70</v>
      </c>
      <c r="E6" s="16" t="s">
        <v>71</v>
      </c>
      <c r="F6" s="16" t="s">
        <v>72</v>
      </c>
      <c r="G6" s="16" t="s">
        <v>73</v>
      </c>
      <c r="H6" s="16" t="s">
        <v>74</v>
      </c>
      <c r="I6" s="16" t="s">
        <v>75</v>
      </c>
      <c r="J6" s="16" t="s">
        <v>76</v>
      </c>
      <c r="K6" s="16" t="s">
        <v>77</v>
      </c>
      <c r="L6" s="16" t="s">
        <v>78</v>
      </c>
      <c r="M6" s="16" t="s">
        <v>79</v>
      </c>
      <c r="N6" s="16" t="s">
        <v>80</v>
      </c>
      <c r="O6" s="16" t="s">
        <v>81</v>
      </c>
      <c r="P6" s="16" t="s">
        <v>82</v>
      </c>
      <c r="Q6" s="16" t="s">
        <v>83</v>
      </c>
      <c r="R6" s="16" t="s">
        <v>84</v>
      </c>
      <c r="S6" s="16" t="s">
        <v>85</v>
      </c>
      <c r="T6" s="16" t="s">
        <v>86</v>
      </c>
      <c r="U6" s="16" t="s">
        <v>87</v>
      </c>
      <c r="V6" s="16" t="s">
        <v>88</v>
      </c>
      <c r="W6" s="16" t="s">
        <v>89</v>
      </c>
      <c r="X6" s="16" t="s">
        <v>90</v>
      </c>
      <c r="Y6" s="16" t="s">
        <v>91</v>
      </c>
      <c r="Z6" s="16" t="s">
        <v>92</v>
      </c>
      <c r="AA6" s="16" t="s">
        <v>93</v>
      </c>
      <c r="AB6" s="16" t="s">
        <v>94</v>
      </c>
      <c r="AC6" s="16" t="s">
        <v>95</v>
      </c>
      <c r="AD6" s="16" t="s">
        <v>96</v>
      </c>
      <c r="AE6" s="16" t="s">
        <v>97</v>
      </c>
      <c r="AF6" s="16" t="s">
        <v>98</v>
      </c>
      <c r="AG6" s="16" t="s">
        <v>99</v>
      </c>
      <c r="AH6" s="16" t="s">
        <v>100</v>
      </c>
      <c r="AI6" s="16" t="s">
        <v>101</v>
      </c>
      <c r="AJ6" s="16" t="s">
        <v>102</v>
      </c>
      <c r="AK6" s="16" t="s">
        <v>103</v>
      </c>
      <c r="AL6" s="16" t="s">
        <v>104</v>
      </c>
      <c r="AM6" s="16" t="s">
        <v>105</v>
      </c>
      <c r="AN6" s="16" t="s">
        <v>106</v>
      </c>
      <c r="AO6" s="16" t="s">
        <v>107</v>
      </c>
      <c r="AP6" s="16" t="s">
        <v>108</v>
      </c>
      <c r="AQ6" s="16" t="s">
        <v>109</v>
      </c>
      <c r="AR6" s="16" t="s">
        <v>110</v>
      </c>
      <c r="AS6" s="16" t="s">
        <v>111</v>
      </c>
      <c r="AT6" s="16" t="s">
        <v>112</v>
      </c>
      <c r="AU6" s="41" t="s">
        <v>113</v>
      </c>
      <c r="AV6" s="41" t="s">
        <v>114</v>
      </c>
      <c r="AW6" s="58" t="s">
        <v>115</v>
      </c>
      <c r="AX6" s="41" t="s">
        <v>116</v>
      </c>
      <c r="AY6" s="58" t="s">
        <v>117</v>
      </c>
      <c r="AZ6" s="41" t="s">
        <v>118</v>
      </c>
      <c r="BA6" s="41" t="s">
        <v>119</v>
      </c>
      <c r="BB6" s="58" t="s">
        <v>120</v>
      </c>
      <c r="BC6" s="59" t="s">
        <v>121</v>
      </c>
      <c r="BD6" s="60" t="s">
        <v>122</v>
      </c>
      <c r="BE6" s="72" t="s">
        <v>123</v>
      </c>
      <c r="BF6" s="73" t="s">
        <v>124</v>
      </c>
    </row>
    <row r="7" spans="1:58" ht="21.6" x14ac:dyDescent="0.25">
      <c r="A7" s="100"/>
      <c r="B7" s="17" t="s">
        <v>16</v>
      </c>
      <c r="C7" s="18" t="s">
        <v>70</v>
      </c>
      <c r="D7" s="19">
        <v>183133769.00858301</v>
      </c>
      <c r="E7" s="19">
        <v>203490.68408443301</v>
      </c>
      <c r="F7" s="19">
        <v>2231.1266199760998</v>
      </c>
      <c r="G7" s="19">
        <v>30366.117979029001</v>
      </c>
      <c r="H7" s="19">
        <v>118.548902968788</v>
      </c>
      <c r="I7" s="19">
        <v>467586720.28646201</v>
      </c>
      <c r="J7" s="19">
        <v>82006169.486367702</v>
      </c>
      <c r="K7" s="19">
        <v>31973462.848005898</v>
      </c>
      <c r="L7" s="19">
        <v>53736066.677819602</v>
      </c>
      <c r="M7" s="19">
        <v>15804.3604181711</v>
      </c>
      <c r="N7" s="19">
        <v>11513733.3673205</v>
      </c>
      <c r="O7" s="19">
        <v>44821824.893563502</v>
      </c>
      <c r="P7" s="19">
        <v>7680873.6462266697</v>
      </c>
      <c r="Q7" s="19">
        <v>218881.18769850201</v>
      </c>
      <c r="R7" s="19">
        <v>20627.161501968301</v>
      </c>
      <c r="S7" s="19">
        <v>15998.126294932499</v>
      </c>
      <c r="T7" s="19">
        <v>97311.762035804</v>
      </c>
      <c r="U7" s="19">
        <v>27411.881051118198</v>
      </c>
      <c r="V7" s="19">
        <v>79539.685076425099</v>
      </c>
      <c r="W7" s="19">
        <v>26629.6079430389</v>
      </c>
      <c r="X7" s="19">
        <v>12565.823957512001</v>
      </c>
      <c r="Y7" s="19">
        <v>68073.7608283015</v>
      </c>
      <c r="Z7" s="19">
        <v>2175.5735884985602</v>
      </c>
      <c r="AA7" s="19">
        <v>3451035.1821262799</v>
      </c>
      <c r="AB7" s="19">
        <v>101721.231936442</v>
      </c>
      <c r="AC7" s="19">
        <v>1310.78692957769</v>
      </c>
      <c r="AD7" s="19">
        <v>0</v>
      </c>
      <c r="AE7" s="19">
        <v>18834171.9565458</v>
      </c>
      <c r="AF7" s="19">
        <v>13768.593246832301</v>
      </c>
      <c r="AG7" s="19">
        <v>154389.965643367</v>
      </c>
      <c r="AH7" s="19">
        <v>53857078.585626699</v>
      </c>
      <c r="AI7" s="19">
        <v>509534.91520112101</v>
      </c>
      <c r="AJ7" s="19">
        <v>67279.739160820202</v>
      </c>
      <c r="AK7" s="19">
        <v>336941.12881730997</v>
      </c>
      <c r="AL7" s="19">
        <v>7363183.3790552802</v>
      </c>
      <c r="AM7" s="19">
        <v>4230391.8261997299</v>
      </c>
      <c r="AN7" s="19">
        <v>1149759.56904357</v>
      </c>
      <c r="AO7" s="19">
        <v>2268491.10930721</v>
      </c>
      <c r="AP7" s="19">
        <v>612269.38744812203</v>
      </c>
      <c r="AQ7" s="19">
        <v>605609.60475212894</v>
      </c>
      <c r="AR7" s="19">
        <v>477755.87084350502</v>
      </c>
      <c r="AS7" s="19">
        <v>9519615.66929329</v>
      </c>
      <c r="AT7" s="19">
        <v>954854691.27550101</v>
      </c>
      <c r="AU7" s="19">
        <v>109745451.40185501</v>
      </c>
      <c r="AV7" s="19">
        <v>221055004.42388201</v>
      </c>
      <c r="AW7" s="19">
        <v>330800455.825737</v>
      </c>
      <c r="AX7" s="19">
        <v>19639627.580839101</v>
      </c>
      <c r="AY7" s="19">
        <v>350440083.40657598</v>
      </c>
      <c r="AZ7" s="19">
        <v>17577339.566559002</v>
      </c>
      <c r="BA7" s="19">
        <v>54901501.621725</v>
      </c>
      <c r="BB7" s="19">
        <v>72478841.188283995</v>
      </c>
      <c r="BC7" s="19">
        <v>18171672.030595101</v>
      </c>
      <c r="BD7" s="19">
        <v>441090596.62545598</v>
      </c>
      <c r="BE7" s="19">
        <v>64262037.629985198</v>
      </c>
      <c r="BF7" s="19">
        <v>1331683250.2709701</v>
      </c>
    </row>
    <row r="8" spans="1:58" ht="21.6" x14ac:dyDescent="0.25">
      <c r="A8" s="100"/>
      <c r="B8" s="17" t="s">
        <v>17</v>
      </c>
      <c r="C8" s="18" t="s">
        <v>71</v>
      </c>
      <c r="D8" s="19">
        <v>601665.538401025</v>
      </c>
      <c r="E8" s="19">
        <v>36204793.6824397</v>
      </c>
      <c r="F8" s="19">
        <v>63785.089784693002</v>
      </c>
      <c r="G8" s="19">
        <v>1725453.8706338899</v>
      </c>
      <c r="H8" s="19">
        <v>60512.7785480819</v>
      </c>
      <c r="I8" s="19">
        <v>2167450.15250292</v>
      </c>
      <c r="J8" s="19">
        <v>1809485.7307809701</v>
      </c>
      <c r="K8" s="19">
        <v>280086.13462574099</v>
      </c>
      <c r="L8" s="19">
        <v>3698845.8920788602</v>
      </c>
      <c r="M8" s="19">
        <v>22001119.828746099</v>
      </c>
      <c r="N8" s="19">
        <v>21794626.064204998</v>
      </c>
      <c r="O8" s="19">
        <v>436019.61784148501</v>
      </c>
      <c r="P8" s="19">
        <v>562146.69443158899</v>
      </c>
      <c r="Q8" s="19">
        <v>34167884.2571337</v>
      </c>
      <c r="R8" s="19">
        <v>21281682.9252996</v>
      </c>
      <c r="S8" s="19">
        <v>3302161.3408503002</v>
      </c>
      <c r="T8" s="19">
        <v>494727.50506545597</v>
      </c>
      <c r="U8" s="19">
        <v>360707.784187513</v>
      </c>
      <c r="V8" s="19">
        <v>252507.67466881199</v>
      </c>
      <c r="W8" s="19">
        <v>48318.134936206698</v>
      </c>
      <c r="X8" s="19">
        <v>49904.045640293603</v>
      </c>
      <c r="Y8" s="19">
        <v>214230.20991276501</v>
      </c>
      <c r="Z8" s="19">
        <v>20070.6192482144</v>
      </c>
      <c r="AA8" s="19">
        <v>178085.13534955701</v>
      </c>
      <c r="AB8" s="19">
        <v>93800322.346398696</v>
      </c>
      <c r="AC8" s="19">
        <v>2360515.4870768199</v>
      </c>
      <c r="AD8" s="19">
        <v>0</v>
      </c>
      <c r="AE8" s="19">
        <v>843243.22422716196</v>
      </c>
      <c r="AF8" s="19">
        <v>45563.861165130103</v>
      </c>
      <c r="AG8" s="19">
        <v>128090.518834844</v>
      </c>
      <c r="AH8" s="19">
        <v>50429.8104455348</v>
      </c>
      <c r="AI8" s="19">
        <v>0</v>
      </c>
      <c r="AJ8" s="19">
        <v>17218.229644303101</v>
      </c>
      <c r="AK8" s="19">
        <v>63307.689676131602</v>
      </c>
      <c r="AL8" s="19">
        <v>64.301927438646302</v>
      </c>
      <c r="AM8" s="19">
        <v>234549.26818834001</v>
      </c>
      <c r="AN8" s="19">
        <v>170081.93752087501</v>
      </c>
      <c r="AO8" s="19">
        <v>326757.72811334702</v>
      </c>
      <c r="AP8" s="19">
        <v>607785.81586245506</v>
      </c>
      <c r="AQ8" s="19">
        <v>360760.39266515698</v>
      </c>
      <c r="AR8" s="19">
        <v>41612.685146271499</v>
      </c>
      <c r="AS8" s="19">
        <v>603682.14532045706</v>
      </c>
      <c r="AT8" s="42">
        <v>251150170.0149</v>
      </c>
      <c r="AU8" s="43">
        <v>753293.48323987797</v>
      </c>
      <c r="AV8" s="43">
        <v>468986.09634170099</v>
      </c>
      <c r="AW8" s="42">
        <v>1222279.5795815799</v>
      </c>
      <c r="AX8" s="43">
        <v>0</v>
      </c>
      <c r="AY8" s="42">
        <v>1222279.5795815799</v>
      </c>
      <c r="AZ8" s="43">
        <v>0</v>
      </c>
      <c r="BA8" s="43">
        <v>-2627614.6415468901</v>
      </c>
      <c r="BB8" s="42">
        <v>-2627614.6415468901</v>
      </c>
      <c r="BC8" s="43">
        <v>260795.53562456899</v>
      </c>
      <c r="BD8" s="61">
        <v>-1144539.52634074</v>
      </c>
      <c r="BE8" s="43">
        <v>14933018.4856</v>
      </c>
      <c r="BF8" s="44">
        <v>235072612.00295901</v>
      </c>
    </row>
    <row r="9" spans="1:58" ht="21.6" x14ac:dyDescent="0.25">
      <c r="A9" s="100"/>
      <c r="B9" s="17" t="s">
        <v>18</v>
      </c>
      <c r="C9" s="18" t="s">
        <v>72</v>
      </c>
      <c r="D9" s="19">
        <v>0</v>
      </c>
      <c r="E9" s="19">
        <v>44377.409200752503</v>
      </c>
      <c r="F9" s="19">
        <v>535454.38845314702</v>
      </c>
      <c r="G9" s="19">
        <v>31524.5192237171</v>
      </c>
      <c r="H9" s="19">
        <v>15664.728389906701</v>
      </c>
      <c r="I9" s="19">
        <v>0</v>
      </c>
      <c r="J9" s="19">
        <v>0</v>
      </c>
      <c r="K9" s="19">
        <v>0</v>
      </c>
      <c r="L9" s="19">
        <v>59261.942827036197</v>
      </c>
      <c r="M9" s="19">
        <v>187886293.75204399</v>
      </c>
      <c r="N9" s="19">
        <v>16889359.6350297</v>
      </c>
      <c r="O9" s="19">
        <v>26683.811355182301</v>
      </c>
      <c r="P9" s="19">
        <v>822898.05516862404</v>
      </c>
      <c r="Q9" s="19">
        <v>1363725.1848709099</v>
      </c>
      <c r="R9" s="19">
        <v>372310.778593975</v>
      </c>
      <c r="S9" s="19">
        <v>752409.26404975797</v>
      </c>
      <c r="T9" s="19">
        <v>586961.70180362405</v>
      </c>
      <c r="U9" s="19">
        <v>564473.99473040295</v>
      </c>
      <c r="V9" s="19">
        <v>372468.27386265399</v>
      </c>
      <c r="W9" s="19">
        <v>425241.52690250898</v>
      </c>
      <c r="X9" s="19">
        <v>143883.096274343</v>
      </c>
      <c r="Y9" s="19">
        <v>68067.404685126705</v>
      </c>
      <c r="Z9" s="19">
        <v>0</v>
      </c>
      <c r="AA9" s="19">
        <v>0</v>
      </c>
      <c r="AB9" s="19">
        <v>6735286.1471629096</v>
      </c>
      <c r="AC9" s="19">
        <v>33825563.811464399</v>
      </c>
      <c r="AD9" s="19">
        <v>0</v>
      </c>
      <c r="AE9" s="19">
        <v>0</v>
      </c>
      <c r="AF9" s="19">
        <v>0</v>
      </c>
      <c r="AG9" s="19">
        <v>487.91952830347202</v>
      </c>
      <c r="AH9" s="19">
        <v>0</v>
      </c>
      <c r="AI9" s="19">
        <v>0</v>
      </c>
      <c r="AJ9" s="19">
        <v>0</v>
      </c>
      <c r="AK9" s="19">
        <v>0</v>
      </c>
      <c r="AL9" s="19">
        <v>0</v>
      </c>
      <c r="AM9" s="19">
        <v>2507.1571750275598</v>
      </c>
      <c r="AN9" s="19">
        <v>0</v>
      </c>
      <c r="AO9" s="19">
        <v>0</v>
      </c>
      <c r="AP9" s="19">
        <v>0</v>
      </c>
      <c r="AQ9" s="19">
        <v>34579.890377714801</v>
      </c>
      <c r="AR9" s="19">
        <v>1756.02572738146</v>
      </c>
      <c r="AS9" s="19">
        <v>48307.892179915703</v>
      </c>
      <c r="AT9" s="42">
        <v>251609548.31108099</v>
      </c>
      <c r="AU9" s="43">
        <v>0</v>
      </c>
      <c r="AV9" s="43">
        <v>0</v>
      </c>
      <c r="AW9" s="42">
        <v>0</v>
      </c>
      <c r="AX9" s="43">
        <v>0</v>
      </c>
      <c r="AY9" s="42">
        <v>0</v>
      </c>
      <c r="AZ9" s="43">
        <v>0</v>
      </c>
      <c r="BA9" s="43">
        <v>288640.90826580301</v>
      </c>
      <c r="BB9" s="42">
        <v>288640.90826580301</v>
      </c>
      <c r="BC9" s="43">
        <v>1085317.43329964</v>
      </c>
      <c r="BD9" s="61">
        <v>1373958.3415654399</v>
      </c>
      <c r="BE9" s="43">
        <v>145293939.37647599</v>
      </c>
      <c r="BF9" s="44">
        <v>107689567.27617</v>
      </c>
    </row>
    <row r="10" spans="1:58" ht="32.4" x14ac:dyDescent="0.25">
      <c r="A10" s="100"/>
      <c r="B10" s="17" t="s">
        <v>19</v>
      </c>
      <c r="C10" s="18" t="s">
        <v>73</v>
      </c>
      <c r="D10" s="19">
        <v>2307.8115185747502</v>
      </c>
      <c r="E10" s="19">
        <v>45270.045796420804</v>
      </c>
      <c r="F10" s="19">
        <v>20550.067837663199</v>
      </c>
      <c r="G10" s="19">
        <v>12059564.9586758</v>
      </c>
      <c r="H10" s="19">
        <v>74468.260627687894</v>
      </c>
      <c r="I10" s="19">
        <v>62486.303967056097</v>
      </c>
      <c r="J10" s="19">
        <v>20915.9223997197</v>
      </c>
      <c r="K10" s="19">
        <v>14130.600939591101</v>
      </c>
      <c r="L10" s="19">
        <v>917816.88813265401</v>
      </c>
      <c r="M10" s="19">
        <v>351666.07211173401</v>
      </c>
      <c r="N10" s="19">
        <v>13663939.405401301</v>
      </c>
      <c r="O10" s="19">
        <v>218560.812755461</v>
      </c>
      <c r="P10" s="19">
        <v>57763.343714702503</v>
      </c>
      <c r="Q10" s="19">
        <v>51091548.573826402</v>
      </c>
      <c r="R10" s="19">
        <v>132438838.939999</v>
      </c>
      <c r="S10" s="19">
        <v>78502942.851173803</v>
      </c>
      <c r="T10" s="19">
        <v>6503772.5155035397</v>
      </c>
      <c r="U10" s="19">
        <v>64839.412482434498</v>
      </c>
      <c r="V10" s="19">
        <v>122513.00041072399</v>
      </c>
      <c r="W10" s="19">
        <v>165447.67931237299</v>
      </c>
      <c r="X10" s="19">
        <v>51425.008783817597</v>
      </c>
      <c r="Y10" s="19">
        <v>614877.85152406897</v>
      </c>
      <c r="Z10" s="19">
        <v>90520.249422050794</v>
      </c>
      <c r="AA10" s="19">
        <v>56747.978985439899</v>
      </c>
      <c r="AB10" s="19">
        <v>106588.815233874</v>
      </c>
      <c r="AC10" s="19">
        <v>0</v>
      </c>
      <c r="AD10" s="19">
        <v>0</v>
      </c>
      <c r="AE10" s="19">
        <v>24113818.501206901</v>
      </c>
      <c r="AF10" s="19">
        <v>60555.457465035601</v>
      </c>
      <c r="AG10" s="19">
        <v>179268.14835334101</v>
      </c>
      <c r="AH10" s="19">
        <v>4016.8528267524398</v>
      </c>
      <c r="AI10" s="19">
        <v>87.113671940353896</v>
      </c>
      <c r="AJ10" s="19">
        <v>747.23882856312105</v>
      </c>
      <c r="AK10" s="19">
        <v>376.87523853913302</v>
      </c>
      <c r="AL10" s="19">
        <v>1678.8513859603499</v>
      </c>
      <c r="AM10" s="19">
        <v>333550.55546202097</v>
      </c>
      <c r="AN10" s="19">
        <v>3880.5923173810202</v>
      </c>
      <c r="AO10" s="19">
        <v>3727.6437269153698</v>
      </c>
      <c r="AP10" s="19">
        <v>2965.11773276757</v>
      </c>
      <c r="AQ10" s="19">
        <v>1023.05544281491</v>
      </c>
      <c r="AR10" s="19">
        <v>5435.0280575937004</v>
      </c>
      <c r="AS10" s="19">
        <v>31541.5542402049</v>
      </c>
      <c r="AT10" s="19">
        <v>322048045.35555297</v>
      </c>
      <c r="AU10" s="19">
        <v>0</v>
      </c>
      <c r="AV10" s="19">
        <v>0</v>
      </c>
      <c r="AW10" s="19">
        <v>0</v>
      </c>
      <c r="AX10" s="19">
        <v>0</v>
      </c>
      <c r="AY10" s="19">
        <v>0</v>
      </c>
      <c r="AZ10" s="19">
        <v>0</v>
      </c>
      <c r="BA10" s="19">
        <v>2801192.3120360398</v>
      </c>
      <c r="BB10" s="19">
        <v>2801192.3120360398</v>
      </c>
      <c r="BC10" s="19">
        <v>3333103.89853743</v>
      </c>
      <c r="BD10" s="19">
        <v>6134296.2105734702</v>
      </c>
      <c r="BE10" s="19">
        <v>134647742.327847</v>
      </c>
      <c r="BF10" s="19">
        <v>193534599.23827901</v>
      </c>
    </row>
    <row r="11" spans="1:58" ht="32.4" x14ac:dyDescent="0.25">
      <c r="A11" s="100"/>
      <c r="B11" s="17" t="s">
        <v>20</v>
      </c>
      <c r="C11" s="18" t="s">
        <v>74</v>
      </c>
      <c r="D11" s="19">
        <v>0</v>
      </c>
      <c r="E11" s="19">
        <v>1372272.5958966599</v>
      </c>
      <c r="F11" s="19">
        <v>16942467.356343601</v>
      </c>
      <c r="G11" s="19">
        <v>1047957.68174087</v>
      </c>
      <c r="H11" s="19">
        <v>177012.61799321501</v>
      </c>
      <c r="I11" s="19">
        <v>466046.58840800601</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12.6722374204862</v>
      </c>
      <c r="AA11" s="19">
        <v>0</v>
      </c>
      <c r="AB11" s="19">
        <v>231004.90996498999</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42">
        <v>20236774.422584798</v>
      </c>
      <c r="AU11" s="43">
        <v>0</v>
      </c>
      <c r="AV11" s="43">
        <v>0</v>
      </c>
      <c r="AW11" s="42">
        <v>0</v>
      </c>
      <c r="AX11" s="43">
        <v>0</v>
      </c>
      <c r="AY11" s="42">
        <v>0</v>
      </c>
      <c r="AZ11" s="43">
        <v>0</v>
      </c>
      <c r="BA11" s="43">
        <v>0</v>
      </c>
      <c r="BB11" s="42">
        <v>0</v>
      </c>
      <c r="BC11" s="43">
        <v>0</v>
      </c>
      <c r="BD11" s="61">
        <v>0</v>
      </c>
      <c r="BE11" s="43">
        <v>0</v>
      </c>
      <c r="BF11" s="44">
        <v>20236774.422584798</v>
      </c>
    </row>
    <row r="12" spans="1:58" ht="21.6" x14ac:dyDescent="0.25">
      <c r="A12" s="100"/>
      <c r="B12" s="17" t="s">
        <v>21</v>
      </c>
      <c r="C12" s="18" t="s">
        <v>75</v>
      </c>
      <c r="D12" s="19">
        <v>108184867.522413</v>
      </c>
      <c r="E12" s="19">
        <v>413271.65844336699</v>
      </c>
      <c r="F12" s="19">
        <v>79328.1272889104</v>
      </c>
      <c r="G12" s="19">
        <v>942010.64600477298</v>
      </c>
      <c r="H12" s="19">
        <v>15471.0429285469</v>
      </c>
      <c r="I12" s="19">
        <v>249372493.69703001</v>
      </c>
      <c r="J12" s="19">
        <v>14128691.5738324</v>
      </c>
      <c r="K12" s="19">
        <v>1247437.6388638699</v>
      </c>
      <c r="L12" s="19">
        <v>3016090.1708590901</v>
      </c>
      <c r="M12" s="19">
        <v>3256002.5538341198</v>
      </c>
      <c r="N12" s="19">
        <v>25114335.1987531</v>
      </c>
      <c r="O12" s="19">
        <v>7560676.0969755901</v>
      </c>
      <c r="P12" s="19">
        <v>750764.12286723498</v>
      </c>
      <c r="Q12" s="19">
        <v>1766033.0825439</v>
      </c>
      <c r="R12" s="19">
        <v>3822314.4307082701</v>
      </c>
      <c r="S12" s="19">
        <v>4171930.42313954</v>
      </c>
      <c r="T12" s="19">
        <v>2846827.6921563102</v>
      </c>
      <c r="U12" s="19">
        <v>4402856.8840291603</v>
      </c>
      <c r="V12" s="19">
        <v>2451141.56851923</v>
      </c>
      <c r="W12" s="19">
        <v>2157646.3784742099</v>
      </c>
      <c r="X12" s="19">
        <v>1244965.1723612901</v>
      </c>
      <c r="Y12" s="19">
        <v>4524092.6392990705</v>
      </c>
      <c r="Z12" s="19">
        <v>7303684.2971111601</v>
      </c>
      <c r="AA12" s="19">
        <v>618269.90207279206</v>
      </c>
      <c r="AB12" s="19">
        <v>5006459.0918666804</v>
      </c>
      <c r="AC12" s="19">
        <v>538269.50862606696</v>
      </c>
      <c r="AD12" s="19">
        <v>432454.54748725903</v>
      </c>
      <c r="AE12" s="19">
        <v>5743107.4265601104</v>
      </c>
      <c r="AF12" s="19">
        <v>2301664.0439841002</v>
      </c>
      <c r="AG12" s="19">
        <v>7651112.7979270304</v>
      </c>
      <c r="AH12" s="19">
        <v>127743752.704125</v>
      </c>
      <c r="AI12" s="19">
        <v>5595412.7393014701</v>
      </c>
      <c r="AJ12" s="19">
        <v>2856239.8503461499</v>
      </c>
      <c r="AK12" s="19">
        <v>4673588.7287675804</v>
      </c>
      <c r="AL12" s="19">
        <v>16568941.000821199</v>
      </c>
      <c r="AM12" s="19">
        <v>4782871.6076720497</v>
      </c>
      <c r="AN12" s="19">
        <v>3289851.36364205</v>
      </c>
      <c r="AO12" s="19">
        <v>7513197.7088389201</v>
      </c>
      <c r="AP12" s="19">
        <v>12503170.855266299</v>
      </c>
      <c r="AQ12" s="19">
        <v>7006157.6699213404</v>
      </c>
      <c r="AR12" s="19">
        <v>9671567.5998847503</v>
      </c>
      <c r="AS12" s="19">
        <v>7647553.5130842999</v>
      </c>
      <c r="AT12" s="19">
        <v>679669137.639768</v>
      </c>
      <c r="AU12" s="19">
        <v>156188434.73749101</v>
      </c>
      <c r="AV12" s="19">
        <v>452326731.01745701</v>
      </c>
      <c r="AW12" s="19">
        <v>608515165.75494802</v>
      </c>
      <c r="AX12" s="19">
        <v>0</v>
      </c>
      <c r="AY12" s="19">
        <v>608515165.75494802</v>
      </c>
      <c r="AZ12" s="19">
        <v>0</v>
      </c>
      <c r="BA12" s="19">
        <v>8525640.2327463608</v>
      </c>
      <c r="BB12" s="19">
        <v>8525640.2327463608</v>
      </c>
      <c r="BC12" s="19">
        <v>35833494.4737183</v>
      </c>
      <c r="BD12" s="19">
        <v>652874300.46141303</v>
      </c>
      <c r="BE12" s="19">
        <v>81180639.930074707</v>
      </c>
      <c r="BF12" s="19">
        <v>1251362798.1711099</v>
      </c>
    </row>
    <row r="13" spans="1:58" ht="43.2" x14ac:dyDescent="0.25">
      <c r="A13" s="100"/>
      <c r="B13" s="17" t="s">
        <v>22</v>
      </c>
      <c r="C13" s="18" t="s">
        <v>76</v>
      </c>
      <c r="D13" s="19">
        <v>255022.543439289</v>
      </c>
      <c r="E13" s="19">
        <v>1536716.4615694401</v>
      </c>
      <c r="F13" s="19">
        <v>172891.147199542</v>
      </c>
      <c r="G13" s="19">
        <v>431377.15059935598</v>
      </c>
      <c r="H13" s="19">
        <v>299060.72832192999</v>
      </c>
      <c r="I13" s="19">
        <v>3696564.1752409101</v>
      </c>
      <c r="J13" s="19">
        <v>314846172.317828</v>
      </c>
      <c r="K13" s="19">
        <v>8109575.9068406802</v>
      </c>
      <c r="L13" s="19">
        <v>21141410.3650942</v>
      </c>
      <c r="M13" s="19">
        <v>892568.29669920204</v>
      </c>
      <c r="N13" s="19">
        <v>3692227.01976529</v>
      </c>
      <c r="O13" s="19">
        <v>4066224.9370025401</v>
      </c>
      <c r="P13" s="19">
        <v>3366898.14673525</v>
      </c>
      <c r="Q13" s="19">
        <v>4050298.8980250498</v>
      </c>
      <c r="R13" s="19">
        <v>649060.66057088599</v>
      </c>
      <c r="S13" s="19">
        <v>445858.5484269</v>
      </c>
      <c r="T13" s="19">
        <v>2025532.94802317</v>
      </c>
      <c r="U13" s="19">
        <v>1951908.6158987</v>
      </c>
      <c r="V13" s="19">
        <v>1960493.2319757999</v>
      </c>
      <c r="W13" s="19">
        <v>5639280.4127312796</v>
      </c>
      <c r="X13" s="19">
        <v>1374959.5139363799</v>
      </c>
      <c r="Y13" s="19">
        <v>3039653.0402595601</v>
      </c>
      <c r="Z13" s="19">
        <v>3035965.5310010798</v>
      </c>
      <c r="AA13" s="19">
        <v>4187381.8069357099</v>
      </c>
      <c r="AB13" s="19">
        <v>864761.16908143205</v>
      </c>
      <c r="AC13" s="19">
        <v>343622.08607446298</v>
      </c>
      <c r="AD13" s="19">
        <v>391871.28241978498</v>
      </c>
      <c r="AE13" s="19">
        <v>4541077.5001725396</v>
      </c>
      <c r="AF13" s="19">
        <v>3219495.2731076898</v>
      </c>
      <c r="AG13" s="19">
        <v>5114728.6137928003</v>
      </c>
      <c r="AH13" s="19">
        <v>3509705.2336370898</v>
      </c>
      <c r="AI13" s="19">
        <v>999494.98799007002</v>
      </c>
      <c r="AJ13" s="19">
        <v>4708210.3710430805</v>
      </c>
      <c r="AK13" s="19">
        <v>2106065.8379452401</v>
      </c>
      <c r="AL13" s="19">
        <v>16680634.6777205</v>
      </c>
      <c r="AM13" s="19">
        <v>2606793.12976341</v>
      </c>
      <c r="AN13" s="19">
        <v>1524598.30164377</v>
      </c>
      <c r="AO13" s="19">
        <v>2503390.6033801599</v>
      </c>
      <c r="AP13" s="19">
        <v>1549810.36722802</v>
      </c>
      <c r="AQ13" s="19">
        <v>9533818.8441091105</v>
      </c>
      <c r="AR13" s="19">
        <v>4734179.2707703104</v>
      </c>
      <c r="AS13" s="19">
        <v>25315084.364078</v>
      </c>
      <c r="AT13" s="19">
        <v>473004868.411237</v>
      </c>
      <c r="AU13" s="19">
        <v>23013748.4379359</v>
      </c>
      <c r="AV13" s="19">
        <v>108193778.35794599</v>
      </c>
      <c r="AW13" s="19">
        <v>131207526.795881</v>
      </c>
      <c r="AX13" s="19">
        <v>0</v>
      </c>
      <c r="AY13" s="19">
        <v>131207526.795881</v>
      </c>
      <c r="AZ13" s="19">
        <v>0</v>
      </c>
      <c r="BA13" s="19">
        <v>-3571111.1821360299</v>
      </c>
      <c r="BB13" s="19">
        <v>-3571111.1821360299</v>
      </c>
      <c r="BC13" s="19">
        <v>186801140.367055</v>
      </c>
      <c r="BD13" s="19">
        <v>314437555.98079997</v>
      </c>
      <c r="BE13" s="19">
        <v>30055497.577927399</v>
      </c>
      <c r="BF13" s="19">
        <v>757386926.81410897</v>
      </c>
    </row>
    <row r="14" spans="1:58" ht="21.6" x14ac:dyDescent="0.25">
      <c r="A14" s="100"/>
      <c r="B14" s="17" t="s">
        <v>23</v>
      </c>
      <c r="C14" s="18" t="s">
        <v>77</v>
      </c>
      <c r="D14" s="19">
        <v>336188.94851517997</v>
      </c>
      <c r="E14" s="19">
        <v>3559037.46550998</v>
      </c>
      <c r="F14" s="19">
        <v>156891.29500928399</v>
      </c>
      <c r="G14" s="19">
        <v>254624.37089377199</v>
      </c>
      <c r="H14" s="19">
        <v>6327.7150673874103</v>
      </c>
      <c r="I14" s="19">
        <v>845240.03818156605</v>
      </c>
      <c r="J14" s="19">
        <v>918481.02107663197</v>
      </c>
      <c r="K14" s="19">
        <v>81780666.7864068</v>
      </c>
      <c r="L14" s="19">
        <v>90084970.052630693</v>
      </c>
      <c r="M14" s="19">
        <v>186690.20276233001</v>
      </c>
      <c r="N14" s="19">
        <v>1302287.31358054</v>
      </c>
      <c r="O14" s="19">
        <v>114696.06316618199</v>
      </c>
      <c r="P14" s="19">
        <v>708459.64329744095</v>
      </c>
      <c r="Q14" s="19">
        <v>1957227.2128331601</v>
      </c>
      <c r="R14" s="19">
        <v>49068.255669272301</v>
      </c>
      <c r="S14" s="19">
        <v>185262.26386720801</v>
      </c>
      <c r="T14" s="19">
        <v>4792477.8358831797</v>
      </c>
      <c r="U14" s="19">
        <v>931517.23040675104</v>
      </c>
      <c r="V14" s="19">
        <v>637156.81387395598</v>
      </c>
      <c r="W14" s="19">
        <v>5926683.1802302804</v>
      </c>
      <c r="X14" s="19">
        <v>652732.72847238998</v>
      </c>
      <c r="Y14" s="19">
        <v>1177748.8394233999</v>
      </c>
      <c r="Z14" s="19">
        <v>1019650.00693627</v>
      </c>
      <c r="AA14" s="19">
        <v>1295524.2485475501</v>
      </c>
      <c r="AB14" s="19">
        <v>201717.80041153601</v>
      </c>
      <c r="AC14" s="19">
        <v>4011.85983524315</v>
      </c>
      <c r="AD14" s="19">
        <v>3316.5084622772201</v>
      </c>
      <c r="AE14" s="19">
        <v>57246609.186167397</v>
      </c>
      <c r="AF14" s="19">
        <v>423651.48303005402</v>
      </c>
      <c r="AG14" s="19">
        <v>934919.87192588102</v>
      </c>
      <c r="AH14" s="19">
        <v>196032.426933949</v>
      </c>
      <c r="AI14" s="19">
        <v>922455.744975699</v>
      </c>
      <c r="AJ14" s="19">
        <v>474744.03877929098</v>
      </c>
      <c r="AK14" s="19">
        <v>546486.36108233605</v>
      </c>
      <c r="AL14" s="19">
        <v>599781.95068565605</v>
      </c>
      <c r="AM14" s="19">
        <v>50562.203571571401</v>
      </c>
      <c r="AN14" s="19">
        <v>401102.14532939898</v>
      </c>
      <c r="AO14" s="19">
        <v>635895.59428515099</v>
      </c>
      <c r="AP14" s="19">
        <v>342879.71965333901</v>
      </c>
      <c r="AQ14" s="19">
        <v>75136.026260805404</v>
      </c>
      <c r="AR14" s="19">
        <v>319747.384311979</v>
      </c>
      <c r="AS14" s="19">
        <v>3983063.1081222198</v>
      </c>
      <c r="AT14" s="19">
        <v>184461056.15965801</v>
      </c>
      <c r="AU14" s="19">
        <v>5007508.0162722301</v>
      </c>
      <c r="AV14" s="19">
        <v>17646337.097442199</v>
      </c>
      <c r="AW14" s="19">
        <v>22653845.113714501</v>
      </c>
      <c r="AX14" s="19">
        <v>0</v>
      </c>
      <c r="AY14" s="19">
        <v>22653845.113714501</v>
      </c>
      <c r="AZ14" s="19">
        <v>21595789.2652824</v>
      </c>
      <c r="BA14" s="19">
        <v>1674063.132307</v>
      </c>
      <c r="BB14" s="19">
        <v>23269852.3975894</v>
      </c>
      <c r="BC14" s="19">
        <v>44765296.899224401</v>
      </c>
      <c r="BD14" s="19">
        <v>90688994.410528198</v>
      </c>
      <c r="BE14" s="19">
        <v>9736870.6606359407</v>
      </c>
      <c r="BF14" s="19">
        <v>265413179.90955001</v>
      </c>
    </row>
    <row r="15" spans="1:58" ht="32.4" x14ac:dyDescent="0.25">
      <c r="A15" s="100"/>
      <c r="B15" s="17" t="s">
        <v>24</v>
      </c>
      <c r="C15" s="18" t="s">
        <v>78</v>
      </c>
      <c r="D15" s="19">
        <v>1025682.30896579</v>
      </c>
      <c r="E15" s="19">
        <v>31068.881795914898</v>
      </c>
      <c r="F15" s="19">
        <v>9688.6353693274705</v>
      </c>
      <c r="G15" s="19">
        <v>315134.03242535098</v>
      </c>
      <c r="H15" s="19">
        <v>18042.4084069333</v>
      </c>
      <c r="I15" s="19">
        <v>13214439.554017199</v>
      </c>
      <c r="J15" s="19">
        <v>3599305.40965772</v>
      </c>
      <c r="K15" s="19">
        <v>2513515.6980929798</v>
      </c>
      <c r="L15" s="19">
        <v>105171872.237609</v>
      </c>
      <c r="M15" s="19">
        <v>357515.62733863801</v>
      </c>
      <c r="N15" s="19">
        <v>4061404.6097377101</v>
      </c>
      <c r="O15" s="19">
        <v>4907967.41960839</v>
      </c>
      <c r="P15" s="19">
        <v>1782237.4405934401</v>
      </c>
      <c r="Q15" s="19">
        <v>8915729.5225193892</v>
      </c>
      <c r="R15" s="19">
        <v>89427.250295816906</v>
      </c>
      <c r="S15" s="19">
        <v>336660.36558656598</v>
      </c>
      <c r="T15" s="19">
        <v>1916810.8290677101</v>
      </c>
      <c r="U15" s="19">
        <v>1926288.9358832799</v>
      </c>
      <c r="V15" s="19">
        <v>1841924.1243241299</v>
      </c>
      <c r="W15" s="19">
        <v>1597372.4923795001</v>
      </c>
      <c r="X15" s="19">
        <v>344645.46248240297</v>
      </c>
      <c r="Y15" s="19">
        <v>5512884.4773892304</v>
      </c>
      <c r="Z15" s="19">
        <v>5349964.5754080201</v>
      </c>
      <c r="AA15" s="19">
        <v>807927.26260598504</v>
      </c>
      <c r="AB15" s="19">
        <v>458088.56563187699</v>
      </c>
      <c r="AC15" s="19">
        <v>13078.612930485901</v>
      </c>
      <c r="AD15" s="19">
        <v>21179.986195194899</v>
      </c>
      <c r="AE15" s="19">
        <v>5313846.9508039998</v>
      </c>
      <c r="AF15" s="19">
        <v>8789370.7770565208</v>
      </c>
      <c r="AG15" s="19">
        <v>4327923.8509802902</v>
      </c>
      <c r="AH15" s="19">
        <v>1732626.8138709399</v>
      </c>
      <c r="AI15" s="19">
        <v>27520721.374125499</v>
      </c>
      <c r="AJ15" s="19">
        <v>20038604.196891099</v>
      </c>
      <c r="AK15" s="19">
        <v>5345538.7782828296</v>
      </c>
      <c r="AL15" s="19">
        <v>69510375.7570052</v>
      </c>
      <c r="AM15" s="19">
        <v>2605460.1047098902</v>
      </c>
      <c r="AN15" s="19">
        <v>5513422.1732468205</v>
      </c>
      <c r="AO15" s="19">
        <v>1759661.66398027</v>
      </c>
      <c r="AP15" s="19">
        <v>12646200.961506501</v>
      </c>
      <c r="AQ15" s="19">
        <v>288424.63390770002</v>
      </c>
      <c r="AR15" s="19">
        <v>7453946.5892663701</v>
      </c>
      <c r="AS15" s="19">
        <v>20046564.543822698</v>
      </c>
      <c r="AT15" s="19">
        <v>356519030.19768202</v>
      </c>
      <c r="AU15" s="19">
        <v>6120942.0135803903</v>
      </c>
      <c r="AV15" s="19">
        <v>29346781.884146001</v>
      </c>
      <c r="AW15" s="19">
        <v>35467723.897726402</v>
      </c>
      <c r="AX15" s="19">
        <v>0</v>
      </c>
      <c r="AY15" s="19">
        <v>35467723.897726402</v>
      </c>
      <c r="AZ15" s="19">
        <v>4281134.5776765598</v>
      </c>
      <c r="BA15" s="19">
        <v>-8038986.6264104899</v>
      </c>
      <c r="BB15" s="19">
        <v>-3757852.0487339301</v>
      </c>
      <c r="BC15" s="19">
        <v>66074535.271569103</v>
      </c>
      <c r="BD15" s="19">
        <v>97784407.1205616</v>
      </c>
      <c r="BE15" s="19">
        <v>25910670.934909102</v>
      </c>
      <c r="BF15" s="19">
        <v>428392766.38333398</v>
      </c>
    </row>
    <row r="16" spans="1:58" ht="32.4" x14ac:dyDescent="0.25">
      <c r="A16" s="100"/>
      <c r="B16" s="17" t="s">
        <v>25</v>
      </c>
      <c r="C16" s="18" t="s">
        <v>79</v>
      </c>
      <c r="D16" s="19">
        <v>4991926.8170677004</v>
      </c>
      <c r="E16" s="19">
        <v>700362.54839890404</v>
      </c>
      <c r="F16" s="19">
        <v>395976.19321763498</v>
      </c>
      <c r="G16" s="19">
        <v>7776692.2608783804</v>
      </c>
      <c r="H16" s="19">
        <v>799185.804049714</v>
      </c>
      <c r="I16" s="19">
        <v>1015050.64892136</v>
      </c>
      <c r="J16" s="19">
        <v>1120310.30955065</v>
      </c>
      <c r="K16" s="19">
        <v>1004346.25642645</v>
      </c>
      <c r="L16" s="19">
        <v>1858172.82265521</v>
      </c>
      <c r="M16" s="19">
        <v>22688075.962093201</v>
      </c>
      <c r="N16" s="19">
        <v>63847204.8147908</v>
      </c>
      <c r="O16" s="19">
        <v>474305.05805845698</v>
      </c>
      <c r="P16" s="19">
        <v>2190479.2634456502</v>
      </c>
      <c r="Q16" s="19">
        <v>19987603.867374402</v>
      </c>
      <c r="R16" s="19">
        <v>42144146.633987799</v>
      </c>
      <c r="S16" s="19">
        <v>7221065.2469647899</v>
      </c>
      <c r="T16" s="19">
        <v>3078282.7603366501</v>
      </c>
      <c r="U16" s="19">
        <v>2035296.8308451199</v>
      </c>
      <c r="V16" s="19">
        <v>1035075.19329482</v>
      </c>
      <c r="W16" s="19">
        <v>1106854.0149806901</v>
      </c>
      <c r="X16" s="19">
        <v>444478.81957636902</v>
      </c>
      <c r="Y16" s="19">
        <v>1121539.9099812401</v>
      </c>
      <c r="Z16" s="19">
        <v>1058861.3070405801</v>
      </c>
      <c r="AA16" s="19">
        <v>836932.65424876998</v>
      </c>
      <c r="AB16" s="19">
        <v>10310485.4882796</v>
      </c>
      <c r="AC16" s="19">
        <v>1882494.50116738</v>
      </c>
      <c r="AD16" s="19">
        <v>38463.431520377097</v>
      </c>
      <c r="AE16" s="19">
        <v>37120733.080253102</v>
      </c>
      <c r="AF16" s="19">
        <v>3295901.7849033498</v>
      </c>
      <c r="AG16" s="19">
        <v>96331786.3585812</v>
      </c>
      <c r="AH16" s="19">
        <v>1029117.57201222</v>
      </c>
      <c r="AI16" s="19">
        <v>1116149.5638975999</v>
      </c>
      <c r="AJ16" s="19">
        <v>3729490.5709153502</v>
      </c>
      <c r="AK16" s="19">
        <v>1528256.1230027401</v>
      </c>
      <c r="AL16" s="19">
        <v>19256951.1198758</v>
      </c>
      <c r="AM16" s="19">
        <v>1475382.56939414</v>
      </c>
      <c r="AN16" s="19">
        <v>12374899.301728999</v>
      </c>
      <c r="AO16" s="19">
        <v>1218116.7765680801</v>
      </c>
      <c r="AP16" s="19">
        <v>2786127.9066548198</v>
      </c>
      <c r="AQ16" s="19">
        <v>239725.60842664001</v>
      </c>
      <c r="AR16" s="19">
        <v>469119.17965067498</v>
      </c>
      <c r="AS16" s="19">
        <v>5767313.9905040897</v>
      </c>
      <c r="AT16" s="19">
        <v>387898394.66909498</v>
      </c>
      <c r="AU16" s="19">
        <v>5745628.19309087</v>
      </c>
      <c r="AV16" s="19">
        <v>28313584.6405669</v>
      </c>
      <c r="AW16" s="19">
        <v>34059212.833657697</v>
      </c>
      <c r="AX16" s="19">
        <v>0</v>
      </c>
      <c r="AY16" s="19">
        <v>34059212.833657697</v>
      </c>
      <c r="AZ16" s="19">
        <v>0</v>
      </c>
      <c r="BA16" s="19">
        <v>-5955399.24897708</v>
      </c>
      <c r="BB16" s="19">
        <v>-5955399.24897708</v>
      </c>
      <c r="BC16" s="19">
        <v>15981224.401177</v>
      </c>
      <c r="BD16" s="19">
        <v>44085037.985857598</v>
      </c>
      <c r="BE16" s="19">
        <v>22650148.1800972</v>
      </c>
      <c r="BF16" s="19">
        <v>409333284.47485602</v>
      </c>
    </row>
    <row r="17" spans="1:58" ht="43.2" x14ac:dyDescent="0.25">
      <c r="A17" s="100"/>
      <c r="B17" s="17" t="s">
        <v>26</v>
      </c>
      <c r="C17" s="18" t="s">
        <v>80</v>
      </c>
      <c r="D17" s="19">
        <v>75932742.213260502</v>
      </c>
      <c r="E17" s="19">
        <v>2724058.15268707</v>
      </c>
      <c r="F17" s="19">
        <v>3946860.51405884</v>
      </c>
      <c r="G17" s="19">
        <v>9732267.0914701205</v>
      </c>
      <c r="H17" s="19">
        <v>1246400.0556822801</v>
      </c>
      <c r="I17" s="19">
        <v>5072727.7006933503</v>
      </c>
      <c r="J17" s="19">
        <v>54593583.318500802</v>
      </c>
      <c r="K17" s="19">
        <v>16223099.5250488</v>
      </c>
      <c r="L17" s="19">
        <v>51348512.5649212</v>
      </c>
      <c r="M17" s="19">
        <v>14670765.357755</v>
      </c>
      <c r="N17" s="19">
        <v>292965053.664608</v>
      </c>
      <c r="O17" s="19">
        <v>11936419.056146599</v>
      </c>
      <c r="P17" s="19">
        <v>110271806.29350699</v>
      </c>
      <c r="Q17" s="19">
        <v>31280002.3053056</v>
      </c>
      <c r="R17" s="19">
        <v>3761258.98916111</v>
      </c>
      <c r="S17" s="19">
        <v>9341339.8389430195</v>
      </c>
      <c r="T17" s="19">
        <v>10641343.791129</v>
      </c>
      <c r="U17" s="19">
        <v>4653059.1683464795</v>
      </c>
      <c r="V17" s="19">
        <v>2243331.55982255</v>
      </c>
      <c r="W17" s="19">
        <v>6970340.16868803</v>
      </c>
      <c r="X17" s="19">
        <v>2118210.80846642</v>
      </c>
      <c r="Y17" s="19">
        <v>26478745.382496499</v>
      </c>
      <c r="Z17" s="19">
        <v>15451768.3835839</v>
      </c>
      <c r="AA17" s="19">
        <v>5086887.5907676704</v>
      </c>
      <c r="AB17" s="19">
        <v>221438.66653513399</v>
      </c>
      <c r="AC17" s="19">
        <v>31293.1657941251</v>
      </c>
      <c r="AD17" s="19">
        <v>2463333.3016807502</v>
      </c>
      <c r="AE17" s="19">
        <v>75178170.055959806</v>
      </c>
      <c r="AF17" s="19">
        <v>101065.70409229099</v>
      </c>
      <c r="AG17" s="19">
        <v>988410.01262835099</v>
      </c>
      <c r="AH17" s="19">
        <v>2502380.8395175301</v>
      </c>
      <c r="AI17" s="19">
        <v>1218070.2521790899</v>
      </c>
      <c r="AJ17" s="19">
        <v>301378.83771868399</v>
      </c>
      <c r="AK17" s="19">
        <v>339047.63523125602</v>
      </c>
      <c r="AL17" s="19">
        <v>4302489.10772241</v>
      </c>
      <c r="AM17" s="19">
        <v>14442888.994406501</v>
      </c>
      <c r="AN17" s="19">
        <v>20348720.0274329</v>
      </c>
      <c r="AO17" s="19">
        <v>13522935.637700999</v>
      </c>
      <c r="AP17" s="19">
        <v>7517280.0777033204</v>
      </c>
      <c r="AQ17" s="19">
        <v>538883.132006158</v>
      </c>
      <c r="AR17" s="19">
        <v>1609725.58352926</v>
      </c>
      <c r="AS17" s="19">
        <v>8727065.8294576202</v>
      </c>
      <c r="AT17" s="19">
        <v>906822060.83129597</v>
      </c>
      <c r="AU17" s="19">
        <v>2773014.2064051102</v>
      </c>
      <c r="AV17" s="19">
        <v>19771296.6729743</v>
      </c>
      <c r="AW17" s="19">
        <v>22544310.879379399</v>
      </c>
      <c r="AX17" s="19">
        <v>0</v>
      </c>
      <c r="AY17" s="19">
        <v>22544310.879379399</v>
      </c>
      <c r="AZ17" s="19">
        <v>0</v>
      </c>
      <c r="BA17" s="19">
        <v>-17407692.4580363</v>
      </c>
      <c r="BB17" s="19">
        <v>-17407692.4580363</v>
      </c>
      <c r="BC17" s="19">
        <v>66207877.6200248</v>
      </c>
      <c r="BD17" s="19">
        <v>71344496.041367993</v>
      </c>
      <c r="BE17" s="19">
        <v>123069963.945637</v>
      </c>
      <c r="BF17" s="19">
        <v>855096592.92702794</v>
      </c>
    </row>
    <row r="18" spans="1:58" x14ac:dyDescent="0.25">
      <c r="A18" s="100"/>
      <c r="B18" s="17" t="s">
        <v>27</v>
      </c>
      <c r="C18" s="18" t="s">
        <v>81</v>
      </c>
      <c r="D18" s="19">
        <v>6070961.4374369001</v>
      </c>
      <c r="E18" s="19">
        <v>41905.1238799485</v>
      </c>
      <c r="F18" s="19">
        <v>18810.368854661101</v>
      </c>
      <c r="G18" s="19">
        <v>6112.2849642644696</v>
      </c>
      <c r="H18" s="19">
        <v>670.13327881885402</v>
      </c>
      <c r="I18" s="19">
        <v>812022.34228900995</v>
      </c>
      <c r="J18" s="19">
        <v>88147.314917836804</v>
      </c>
      <c r="K18" s="19">
        <v>2763.5261905479001</v>
      </c>
      <c r="L18" s="19">
        <v>656674.06808880798</v>
      </c>
      <c r="M18" s="19">
        <v>14976.675812205</v>
      </c>
      <c r="N18" s="19">
        <v>1196870.9554063</v>
      </c>
      <c r="O18" s="19">
        <v>61912202.1611742</v>
      </c>
      <c r="P18" s="19">
        <v>81220.678649797701</v>
      </c>
      <c r="Q18" s="19">
        <v>569294.79213128798</v>
      </c>
      <c r="R18" s="19">
        <v>104789.230336209</v>
      </c>
      <c r="S18" s="19">
        <v>14108.632184689</v>
      </c>
      <c r="T18" s="19">
        <v>174018.26597316301</v>
      </c>
      <c r="U18" s="19">
        <v>7811.9409713792102</v>
      </c>
      <c r="V18" s="19">
        <v>424487.47467669699</v>
      </c>
      <c r="W18" s="19">
        <v>10204.6638427004</v>
      </c>
      <c r="X18" s="19">
        <v>10869.3228811845</v>
      </c>
      <c r="Y18" s="19">
        <v>124300.882651088</v>
      </c>
      <c r="Z18" s="19">
        <v>501241.91274992801</v>
      </c>
      <c r="AA18" s="19">
        <v>124963.88315405</v>
      </c>
      <c r="AB18" s="19">
        <v>16580.568116655599</v>
      </c>
      <c r="AC18" s="19">
        <v>375.41192867780302</v>
      </c>
      <c r="AD18" s="19">
        <v>16573.3630853305</v>
      </c>
      <c r="AE18" s="19">
        <v>2238386.65971391</v>
      </c>
      <c r="AF18" s="19">
        <v>10825.856603877201</v>
      </c>
      <c r="AG18" s="19">
        <v>152802.03973739099</v>
      </c>
      <c r="AH18" s="19">
        <v>814.26545664270998</v>
      </c>
      <c r="AI18" s="19">
        <v>302859.26629002002</v>
      </c>
      <c r="AJ18" s="19">
        <v>71563.524587609994</v>
      </c>
      <c r="AK18" s="19">
        <v>15249.378604661501</v>
      </c>
      <c r="AL18" s="19">
        <v>178518.27735863501</v>
      </c>
      <c r="AM18" s="19">
        <v>1060731.91296312</v>
      </c>
      <c r="AN18" s="19">
        <v>2592341.7705153902</v>
      </c>
      <c r="AO18" s="19">
        <v>184325.82636609601</v>
      </c>
      <c r="AP18" s="19">
        <v>710406.21710605698</v>
      </c>
      <c r="AQ18" s="19">
        <v>163829848.56430799</v>
      </c>
      <c r="AR18" s="19">
        <v>24625.036891759799</v>
      </c>
      <c r="AS18" s="19">
        <v>264315.06789918197</v>
      </c>
      <c r="AT18" s="42">
        <v>244637807.55383801</v>
      </c>
      <c r="AU18" s="43">
        <v>16266750.555721899</v>
      </c>
      <c r="AV18" s="43">
        <v>47595953.712028898</v>
      </c>
      <c r="AW18" s="42">
        <v>63862704.267750703</v>
      </c>
      <c r="AX18" s="43">
        <v>0</v>
      </c>
      <c r="AY18" s="42">
        <v>63862704.267750703</v>
      </c>
      <c r="AZ18" s="43">
        <v>0</v>
      </c>
      <c r="BA18" s="43">
        <v>-336221.76102223003</v>
      </c>
      <c r="BB18" s="42">
        <v>-336221.76102223003</v>
      </c>
      <c r="BC18" s="43">
        <v>22931108.4346494</v>
      </c>
      <c r="BD18" s="61">
        <v>86457590.941377893</v>
      </c>
      <c r="BE18" s="43">
        <v>31039261.6919652</v>
      </c>
      <c r="BF18" s="44">
        <v>300056136.80325001</v>
      </c>
    </row>
    <row r="19" spans="1:58" ht="21.6" x14ac:dyDescent="0.25">
      <c r="A19" s="100"/>
      <c r="B19" s="17" t="s">
        <v>28</v>
      </c>
      <c r="C19" s="18" t="s">
        <v>82</v>
      </c>
      <c r="D19" s="19">
        <v>8674566.8560292199</v>
      </c>
      <c r="E19" s="19">
        <v>554790.31351451494</v>
      </c>
      <c r="F19" s="19">
        <v>68528.8864528181</v>
      </c>
      <c r="G19" s="19">
        <v>994753.47934881004</v>
      </c>
      <c r="H19" s="19">
        <v>744309.45223715203</v>
      </c>
      <c r="I19" s="19">
        <v>11841214.9098398</v>
      </c>
      <c r="J19" s="19">
        <v>10980215.0053935</v>
      </c>
      <c r="K19" s="19">
        <v>3914342.38141541</v>
      </c>
      <c r="L19" s="19">
        <v>18647978.8345959</v>
      </c>
      <c r="M19" s="19">
        <v>1430383.3507345901</v>
      </c>
      <c r="N19" s="19">
        <v>17479775.9892103</v>
      </c>
      <c r="O19" s="19">
        <v>1643105.08134056</v>
      </c>
      <c r="P19" s="19">
        <v>66951058.3381522</v>
      </c>
      <c r="Q19" s="19">
        <v>6557029.9445980303</v>
      </c>
      <c r="R19" s="19">
        <v>203901.473861746</v>
      </c>
      <c r="S19" s="19">
        <v>669836.43049463094</v>
      </c>
      <c r="T19" s="19">
        <v>5295045.1467806203</v>
      </c>
      <c r="U19" s="19">
        <v>7971170.3617942696</v>
      </c>
      <c r="V19" s="19">
        <v>9663695.9011367802</v>
      </c>
      <c r="W19" s="19">
        <v>23623523.381000299</v>
      </c>
      <c r="X19" s="19">
        <v>5314520.9821037799</v>
      </c>
      <c r="Y19" s="19">
        <v>26318074.354584899</v>
      </c>
      <c r="Z19" s="19">
        <v>20386766.106557</v>
      </c>
      <c r="AA19" s="19">
        <v>3231171.4593421798</v>
      </c>
      <c r="AB19" s="19">
        <v>33464.580271121398</v>
      </c>
      <c r="AC19" s="19">
        <v>49605.9371683766</v>
      </c>
      <c r="AD19" s="19">
        <v>698996.62604487</v>
      </c>
      <c r="AE19" s="19">
        <v>34699536.488755003</v>
      </c>
      <c r="AF19" s="19">
        <v>2792063.86942768</v>
      </c>
      <c r="AG19" s="19">
        <v>11281845.091144601</v>
      </c>
      <c r="AH19" s="19">
        <v>1105133.7167942501</v>
      </c>
      <c r="AI19" s="19">
        <v>1435216.1186581</v>
      </c>
      <c r="AJ19" s="19">
        <v>84412.141204118801</v>
      </c>
      <c r="AK19" s="19">
        <v>381127.87814054202</v>
      </c>
      <c r="AL19" s="19">
        <v>3235527.5466587399</v>
      </c>
      <c r="AM19" s="19">
        <v>1079352.1002815899</v>
      </c>
      <c r="AN19" s="19">
        <v>1638385.26975062</v>
      </c>
      <c r="AO19" s="19">
        <v>2721409.7469974798</v>
      </c>
      <c r="AP19" s="19">
        <v>56410.504601542401</v>
      </c>
      <c r="AQ19" s="19">
        <v>542008.48610851797</v>
      </c>
      <c r="AR19" s="19">
        <v>259882.12780501699</v>
      </c>
      <c r="AS19" s="19">
        <v>2071130.0449797099</v>
      </c>
      <c r="AT19" s="19">
        <v>313410924.31389499</v>
      </c>
      <c r="AU19" s="19">
        <v>1618615.7769835501</v>
      </c>
      <c r="AV19" s="19">
        <v>4802149.2593036797</v>
      </c>
      <c r="AW19" s="19">
        <v>6420765.0362872304</v>
      </c>
      <c r="AX19" s="19">
        <v>0</v>
      </c>
      <c r="AY19" s="19">
        <v>6420765.0362872304</v>
      </c>
      <c r="AZ19" s="19">
        <v>0</v>
      </c>
      <c r="BA19" s="19">
        <v>-1905835.73546151</v>
      </c>
      <c r="BB19" s="19">
        <v>-1905835.73546151</v>
      </c>
      <c r="BC19" s="19">
        <v>57120608.633020498</v>
      </c>
      <c r="BD19" s="19">
        <v>61635537.933846198</v>
      </c>
      <c r="BE19" s="19">
        <v>16854882.888343401</v>
      </c>
      <c r="BF19" s="19">
        <v>358191579.35939801</v>
      </c>
    </row>
    <row r="20" spans="1:58" ht="21.6" x14ac:dyDescent="0.25">
      <c r="A20" s="100"/>
      <c r="B20" s="17" t="s">
        <v>29</v>
      </c>
      <c r="C20" s="18" t="s">
        <v>83</v>
      </c>
      <c r="D20" s="19">
        <v>527672.17759183003</v>
      </c>
      <c r="E20" s="19">
        <v>651313.19079708494</v>
      </c>
      <c r="F20" s="19">
        <v>44591.483799540998</v>
      </c>
      <c r="G20" s="19">
        <v>1669898.4257018401</v>
      </c>
      <c r="H20" s="19">
        <v>621832.46480163594</v>
      </c>
      <c r="I20" s="19">
        <v>4888099.9351435602</v>
      </c>
      <c r="J20" s="19">
        <v>571224.96578001301</v>
      </c>
      <c r="K20" s="19">
        <v>1921176.1345617401</v>
      </c>
      <c r="L20" s="19">
        <v>2831024.8289935598</v>
      </c>
      <c r="M20" s="19">
        <v>2724987.2257891898</v>
      </c>
      <c r="N20" s="19">
        <v>4189217.0565114799</v>
      </c>
      <c r="O20" s="19">
        <v>2706366.3491932498</v>
      </c>
      <c r="P20" s="19">
        <v>1610249.5580941399</v>
      </c>
      <c r="Q20" s="19">
        <v>139143632.92928699</v>
      </c>
      <c r="R20" s="19">
        <v>9435905.6832035594</v>
      </c>
      <c r="S20" s="19">
        <v>5914732.9799443996</v>
      </c>
      <c r="T20" s="19">
        <v>6783958.8157480899</v>
      </c>
      <c r="U20" s="19">
        <v>2873744.3313156501</v>
      </c>
      <c r="V20" s="19">
        <v>4066510.9793166602</v>
      </c>
      <c r="W20" s="19">
        <v>9953436.8281746097</v>
      </c>
      <c r="X20" s="19">
        <v>671083.25344635604</v>
      </c>
      <c r="Y20" s="19">
        <v>19235014.3764924</v>
      </c>
      <c r="Z20" s="19">
        <v>18711839.314458799</v>
      </c>
      <c r="AA20" s="19">
        <v>485772.81758116197</v>
      </c>
      <c r="AB20" s="19">
        <v>1991624.45078551</v>
      </c>
      <c r="AC20" s="19">
        <v>7340.5128802151503</v>
      </c>
      <c r="AD20" s="19">
        <v>22846.396904826601</v>
      </c>
      <c r="AE20" s="19">
        <v>454627661.34888202</v>
      </c>
      <c r="AF20" s="19">
        <v>241247.96405304101</v>
      </c>
      <c r="AG20" s="19">
        <v>461491.74080067402</v>
      </c>
      <c r="AH20" s="19">
        <v>358067.29957438703</v>
      </c>
      <c r="AI20" s="19">
        <v>91296.394104551306</v>
      </c>
      <c r="AJ20" s="19">
        <v>23697.817957801999</v>
      </c>
      <c r="AK20" s="19">
        <v>32694.029898242399</v>
      </c>
      <c r="AL20" s="19">
        <v>260519.45747035</v>
      </c>
      <c r="AM20" s="19">
        <v>2268609.7974372599</v>
      </c>
      <c r="AN20" s="19">
        <v>198547.940541488</v>
      </c>
      <c r="AO20" s="19">
        <v>95799.755972606697</v>
      </c>
      <c r="AP20" s="19">
        <v>1130620.33187729</v>
      </c>
      <c r="AQ20" s="19">
        <v>325720.01134953898</v>
      </c>
      <c r="AR20" s="19">
        <v>4789.9804853633796</v>
      </c>
      <c r="AS20" s="19">
        <v>832366.780787269</v>
      </c>
      <c r="AT20" s="19">
        <v>703287051.98292804</v>
      </c>
      <c r="AU20" s="19">
        <v>1560823.70183441</v>
      </c>
      <c r="AV20" s="19">
        <v>3925831.46539935</v>
      </c>
      <c r="AW20" s="19">
        <v>5486655.1672337595</v>
      </c>
      <c r="AX20" s="19">
        <v>0</v>
      </c>
      <c r="AY20" s="19">
        <v>5486655.1672337595</v>
      </c>
      <c r="AZ20" s="19">
        <v>0</v>
      </c>
      <c r="BA20" s="19">
        <v>2140696.2500745901</v>
      </c>
      <c r="BB20" s="19">
        <v>2140696.2500745901</v>
      </c>
      <c r="BC20" s="19">
        <v>34554204.179467797</v>
      </c>
      <c r="BD20" s="19">
        <v>42181555.596776202</v>
      </c>
      <c r="BE20" s="19">
        <v>12436721.0287978</v>
      </c>
      <c r="BF20" s="19">
        <v>733031886.55090594</v>
      </c>
    </row>
    <row r="21" spans="1:58" ht="32.4" x14ac:dyDescent="0.25">
      <c r="A21" s="100"/>
      <c r="B21" s="17" t="s">
        <v>30</v>
      </c>
      <c r="C21" s="18" t="s">
        <v>84</v>
      </c>
      <c r="D21" s="19">
        <v>231511.56821559201</v>
      </c>
      <c r="E21" s="19">
        <v>5985486.0851936499</v>
      </c>
      <c r="F21" s="19">
        <v>1118312.4937215501</v>
      </c>
      <c r="G21" s="19">
        <v>720856.19657338597</v>
      </c>
      <c r="H21" s="19">
        <v>1121508.83883353</v>
      </c>
      <c r="I21" s="19">
        <v>272337.82113822002</v>
      </c>
      <c r="J21" s="19">
        <v>382742.21567873697</v>
      </c>
      <c r="K21" s="19">
        <v>2368084.2043395499</v>
      </c>
      <c r="L21" s="19">
        <v>4485716.3425042396</v>
      </c>
      <c r="M21" s="19">
        <v>198223.33922962699</v>
      </c>
      <c r="N21" s="19">
        <v>718206.53295077302</v>
      </c>
      <c r="O21" s="19">
        <v>44680.393718689003</v>
      </c>
      <c r="P21" s="19">
        <v>1465016.6010706199</v>
      </c>
      <c r="Q21" s="19">
        <v>13933004.787727</v>
      </c>
      <c r="R21" s="19">
        <v>128395223.97115999</v>
      </c>
      <c r="S21" s="19">
        <v>2760821.3172431001</v>
      </c>
      <c r="T21" s="19">
        <v>109844585.75668301</v>
      </c>
      <c r="U21" s="19">
        <v>45037806.531296797</v>
      </c>
      <c r="V21" s="19">
        <v>24422112.739553999</v>
      </c>
      <c r="W21" s="19">
        <v>24330508.557217401</v>
      </c>
      <c r="X21" s="19">
        <v>7720732.1174316201</v>
      </c>
      <c r="Y21" s="19">
        <v>18090718.1437351</v>
      </c>
      <c r="Z21" s="19">
        <v>4833386.6625495004</v>
      </c>
      <c r="AA21" s="19">
        <v>1307683.8663037501</v>
      </c>
      <c r="AB21" s="19">
        <v>256746.456367951</v>
      </c>
      <c r="AC21" s="19">
        <v>114830.235785861</v>
      </c>
      <c r="AD21" s="19">
        <v>71861.890675810195</v>
      </c>
      <c r="AE21" s="19">
        <v>278702659.949081</v>
      </c>
      <c r="AF21" s="19">
        <v>8351.0433915085505</v>
      </c>
      <c r="AG21" s="19">
        <v>604608.95717440697</v>
      </c>
      <c r="AH21" s="19">
        <v>1823.5000182725</v>
      </c>
      <c r="AI21" s="19">
        <v>6206.6617905018202</v>
      </c>
      <c r="AJ21" s="19">
        <v>11.358825536026099</v>
      </c>
      <c r="AK21" s="19">
        <v>1871.3278520020799</v>
      </c>
      <c r="AL21" s="19">
        <v>1198.28643644775</v>
      </c>
      <c r="AM21" s="19">
        <v>177423.31501094499</v>
      </c>
      <c r="AN21" s="19">
        <v>331864.869519912</v>
      </c>
      <c r="AO21" s="19">
        <v>8411.9484486656202</v>
      </c>
      <c r="AP21" s="19">
        <v>26880.872074540701</v>
      </c>
      <c r="AQ21" s="19">
        <v>329.00023493489903</v>
      </c>
      <c r="AR21" s="19">
        <v>828.99301499868795</v>
      </c>
      <c r="AS21" s="19">
        <v>140681.94973206901</v>
      </c>
      <c r="AT21" s="19">
        <v>677877773.49516499</v>
      </c>
      <c r="AU21" s="19">
        <v>0</v>
      </c>
      <c r="AV21" s="19">
        <v>0</v>
      </c>
      <c r="AW21" s="19">
        <v>0</v>
      </c>
      <c r="AX21" s="19">
        <v>0</v>
      </c>
      <c r="AY21" s="19">
        <v>0</v>
      </c>
      <c r="AZ21" s="19">
        <v>0</v>
      </c>
      <c r="BA21" s="19">
        <v>4405504.3332162499</v>
      </c>
      <c r="BB21" s="19">
        <v>4405504.3332162499</v>
      </c>
      <c r="BC21" s="19">
        <v>27767871.756153099</v>
      </c>
      <c r="BD21" s="19">
        <v>32173376.089369401</v>
      </c>
      <c r="BE21" s="19">
        <v>26541208.673854899</v>
      </c>
      <c r="BF21" s="19">
        <v>683509940.91067898</v>
      </c>
    </row>
    <row r="22" spans="1:58" ht="32.4" x14ac:dyDescent="0.25">
      <c r="A22" s="100"/>
      <c r="B22" s="17" t="s">
        <v>31</v>
      </c>
      <c r="C22" s="18" t="s">
        <v>85</v>
      </c>
      <c r="D22" s="19">
        <v>8900.6755486550392</v>
      </c>
      <c r="E22" s="19">
        <v>15416.107396695001</v>
      </c>
      <c r="F22" s="19">
        <v>227.82763401391099</v>
      </c>
      <c r="G22" s="19">
        <v>443804.90291369101</v>
      </c>
      <c r="H22" s="19">
        <v>166228.30901152801</v>
      </c>
      <c r="I22" s="19">
        <v>109160.627027975</v>
      </c>
      <c r="J22" s="19">
        <v>220462.383442483</v>
      </c>
      <c r="K22" s="19">
        <v>906287.23217680596</v>
      </c>
      <c r="L22" s="19">
        <v>19977459.015090998</v>
      </c>
      <c r="M22" s="19">
        <v>15125.422401429299</v>
      </c>
      <c r="N22" s="19">
        <v>8623449.7674129307</v>
      </c>
      <c r="O22" s="19">
        <v>119933.47570344299</v>
      </c>
      <c r="P22" s="19">
        <v>2202103.6067858599</v>
      </c>
      <c r="Q22" s="19">
        <v>7233885.0167974196</v>
      </c>
      <c r="R22" s="19">
        <v>8479844.5970187299</v>
      </c>
      <c r="S22" s="19">
        <v>196601311.08714399</v>
      </c>
      <c r="T22" s="19">
        <v>48942799.232145399</v>
      </c>
      <c r="U22" s="19">
        <v>37701392.028613701</v>
      </c>
      <c r="V22" s="19">
        <v>12717404.924781101</v>
      </c>
      <c r="W22" s="19">
        <v>34619046.993302003</v>
      </c>
      <c r="X22" s="19">
        <v>7591588.5535006896</v>
      </c>
      <c r="Y22" s="19">
        <v>128393623.886509</v>
      </c>
      <c r="Z22" s="19">
        <v>31542514.349654399</v>
      </c>
      <c r="AA22" s="19">
        <v>5247794.0737348702</v>
      </c>
      <c r="AB22" s="19">
        <v>82372.637321982795</v>
      </c>
      <c r="AC22" s="19">
        <v>775.80563588545499</v>
      </c>
      <c r="AD22" s="19">
        <v>5801.6448365556298</v>
      </c>
      <c r="AE22" s="19">
        <v>10715656.0886856</v>
      </c>
      <c r="AF22" s="19">
        <v>23345.672744347001</v>
      </c>
      <c r="AG22" s="19">
        <v>69400.541344120502</v>
      </c>
      <c r="AH22" s="19">
        <v>3687.67374083509</v>
      </c>
      <c r="AI22" s="19">
        <v>0</v>
      </c>
      <c r="AJ22" s="19">
        <v>0</v>
      </c>
      <c r="AK22" s="19">
        <v>0</v>
      </c>
      <c r="AL22" s="19">
        <v>1660.03780915729</v>
      </c>
      <c r="AM22" s="19">
        <v>173035.62437909801</v>
      </c>
      <c r="AN22" s="19">
        <v>92358.918739074899</v>
      </c>
      <c r="AO22" s="19">
        <v>146370.74051122699</v>
      </c>
      <c r="AP22" s="19">
        <v>45405.512128530303</v>
      </c>
      <c r="AQ22" s="19">
        <v>1123.5706396457699</v>
      </c>
      <c r="AR22" s="19">
        <v>334.00906927717398</v>
      </c>
      <c r="AS22" s="19">
        <v>5.3244188152449801E-3</v>
      </c>
      <c r="AT22" s="19">
        <v>562334805.34648097</v>
      </c>
      <c r="AU22" s="19">
        <v>0</v>
      </c>
      <c r="AV22" s="19">
        <v>0</v>
      </c>
      <c r="AW22" s="19">
        <v>0</v>
      </c>
      <c r="AX22" s="19">
        <v>0</v>
      </c>
      <c r="AY22" s="19">
        <v>0</v>
      </c>
      <c r="AZ22" s="19">
        <v>0</v>
      </c>
      <c r="BA22" s="19">
        <v>-957892.18613737996</v>
      </c>
      <c r="BB22" s="19">
        <v>-957892.18613737996</v>
      </c>
      <c r="BC22" s="19">
        <v>17965733.8081997</v>
      </c>
      <c r="BD22" s="19">
        <v>17007841.6220624</v>
      </c>
      <c r="BE22" s="19">
        <v>54672624.212560698</v>
      </c>
      <c r="BF22" s="19">
        <v>524670022.755983</v>
      </c>
    </row>
    <row r="23" spans="1:58" x14ac:dyDescent="0.25">
      <c r="A23" s="100"/>
      <c r="B23" s="17" t="s">
        <v>32</v>
      </c>
      <c r="C23" s="18" t="s">
        <v>86</v>
      </c>
      <c r="D23" s="19">
        <v>823239.11904421495</v>
      </c>
      <c r="E23" s="19">
        <v>6843894.5905335899</v>
      </c>
      <c r="F23" s="19">
        <v>47481.494058685901</v>
      </c>
      <c r="G23" s="19">
        <v>4175081.2072523101</v>
      </c>
      <c r="H23" s="19">
        <v>587075.01477385801</v>
      </c>
      <c r="I23" s="19">
        <v>3523907.1059125401</v>
      </c>
      <c r="J23" s="19">
        <v>2164374.0390686402</v>
      </c>
      <c r="K23" s="19">
        <v>6160907.4104285799</v>
      </c>
      <c r="L23" s="19">
        <v>9762688.7829015497</v>
      </c>
      <c r="M23" s="19">
        <v>367056.84101174597</v>
      </c>
      <c r="N23" s="19">
        <v>3226326.0254301601</v>
      </c>
      <c r="O23" s="19">
        <v>1210054.81549578</v>
      </c>
      <c r="P23" s="19">
        <v>4964060.1108945403</v>
      </c>
      <c r="Q23" s="19">
        <v>16927420.3252392</v>
      </c>
      <c r="R23" s="19">
        <v>1218101.9140089599</v>
      </c>
      <c r="S23" s="19">
        <v>1056789.4499055899</v>
      </c>
      <c r="T23" s="19">
        <v>69726613.019667506</v>
      </c>
      <c r="U23" s="19">
        <v>27665192.2268015</v>
      </c>
      <c r="V23" s="19">
        <v>16436651.429209201</v>
      </c>
      <c r="W23" s="19">
        <v>14866905.531682801</v>
      </c>
      <c r="X23" s="19">
        <v>5355333.5250885896</v>
      </c>
      <c r="Y23" s="19">
        <v>25722146.776101898</v>
      </c>
      <c r="Z23" s="19">
        <v>16994492.5820494</v>
      </c>
      <c r="AA23" s="19">
        <v>2549699.0505310101</v>
      </c>
      <c r="AB23" s="19">
        <v>275728.82485353999</v>
      </c>
      <c r="AC23" s="19">
        <v>36839.2092825543</v>
      </c>
      <c r="AD23" s="19">
        <v>843476.84553949302</v>
      </c>
      <c r="AE23" s="19">
        <v>132161439.87616301</v>
      </c>
      <c r="AF23" s="19">
        <v>290667.52798172802</v>
      </c>
      <c r="AG23" s="19">
        <v>3135118.8234383902</v>
      </c>
      <c r="AH23" s="19">
        <v>384818.74600209598</v>
      </c>
      <c r="AI23" s="19">
        <v>599301.04505910794</v>
      </c>
      <c r="AJ23" s="19">
        <v>86808.766644974094</v>
      </c>
      <c r="AK23" s="19">
        <v>1196639.3719067799</v>
      </c>
      <c r="AL23" s="19">
        <v>25113883.567990702</v>
      </c>
      <c r="AM23" s="19">
        <v>5682565.0823589396</v>
      </c>
      <c r="AN23" s="19">
        <v>13354998.645677401</v>
      </c>
      <c r="AO23" s="19">
        <v>3302520.2984277802</v>
      </c>
      <c r="AP23" s="19">
        <v>758921.69106769597</v>
      </c>
      <c r="AQ23" s="19">
        <v>53758.700924684599</v>
      </c>
      <c r="AR23" s="19">
        <v>152670.465164302</v>
      </c>
      <c r="AS23" s="19">
        <v>2122995.8596761199</v>
      </c>
      <c r="AT23" s="42">
        <v>425767738.32482201</v>
      </c>
      <c r="AU23" s="43">
        <v>665462.94812565099</v>
      </c>
      <c r="AV23" s="43">
        <v>4215024.1264948603</v>
      </c>
      <c r="AW23" s="42">
        <v>4880487.0746205105</v>
      </c>
      <c r="AX23" s="43">
        <v>0</v>
      </c>
      <c r="AY23" s="42">
        <v>4880487.0746205105</v>
      </c>
      <c r="AZ23" s="43">
        <v>25162931.8981722</v>
      </c>
      <c r="BA23" s="43">
        <v>9509406.9148277901</v>
      </c>
      <c r="BB23" s="42">
        <v>34672338.813000001</v>
      </c>
      <c r="BC23" s="43">
        <v>62348551.232276402</v>
      </c>
      <c r="BD23" s="61">
        <v>101901377.11989699</v>
      </c>
      <c r="BE23" s="43">
        <v>8187441.3282561703</v>
      </c>
      <c r="BF23" s="44">
        <v>519481674.11646301</v>
      </c>
    </row>
    <row r="24" spans="1:58" x14ac:dyDescent="0.25">
      <c r="A24" s="100"/>
      <c r="B24" s="17" t="s">
        <v>33</v>
      </c>
      <c r="C24" s="18" t="s">
        <v>87</v>
      </c>
      <c r="D24" s="19">
        <v>806226.18427011406</v>
      </c>
      <c r="E24" s="19">
        <v>2843363.00046338</v>
      </c>
      <c r="F24" s="19">
        <v>696909.96340312297</v>
      </c>
      <c r="G24" s="19">
        <v>2538535.2640932701</v>
      </c>
      <c r="H24" s="19">
        <v>114281.127685603</v>
      </c>
      <c r="I24" s="19">
        <v>1454621.35317593</v>
      </c>
      <c r="J24" s="19">
        <v>1829431.6301696899</v>
      </c>
      <c r="K24" s="19">
        <v>1278520.9770092999</v>
      </c>
      <c r="L24" s="19">
        <v>2428023.7047939198</v>
      </c>
      <c r="M24" s="19">
        <v>2442105.7796665598</v>
      </c>
      <c r="N24" s="19">
        <v>4521088.9240815099</v>
      </c>
      <c r="O24" s="19">
        <v>549583.609396482</v>
      </c>
      <c r="P24" s="19">
        <v>1114986.9222331999</v>
      </c>
      <c r="Q24" s="19">
        <v>11173708.1146356</v>
      </c>
      <c r="R24" s="19">
        <v>7711312.9210711699</v>
      </c>
      <c r="S24" s="19">
        <v>949139.59365227295</v>
      </c>
      <c r="T24" s="19">
        <v>13379131.6650398</v>
      </c>
      <c r="U24" s="19">
        <v>113487863.806767</v>
      </c>
      <c r="V24" s="19">
        <v>35452640.1347683</v>
      </c>
      <c r="W24" s="19">
        <v>25719680.581695199</v>
      </c>
      <c r="X24" s="19">
        <v>11260438.380139099</v>
      </c>
      <c r="Y24" s="19">
        <v>24040251.918908302</v>
      </c>
      <c r="Z24" s="19">
        <v>9038625.3852601498</v>
      </c>
      <c r="AA24" s="19">
        <v>2159487.8262955402</v>
      </c>
      <c r="AB24" s="19">
        <v>2748010.6879523299</v>
      </c>
      <c r="AC24" s="19">
        <v>160562.279466362</v>
      </c>
      <c r="AD24" s="19">
        <v>150061.209496772</v>
      </c>
      <c r="AE24" s="19">
        <v>21074962.820468999</v>
      </c>
      <c r="AF24" s="19">
        <v>243034.79239735601</v>
      </c>
      <c r="AG24" s="19">
        <v>10091175.5281896</v>
      </c>
      <c r="AH24" s="19">
        <v>297627.994707292</v>
      </c>
      <c r="AI24" s="19">
        <v>403328.36474002502</v>
      </c>
      <c r="AJ24" s="19">
        <v>644747.67425622803</v>
      </c>
      <c r="AK24" s="19">
        <v>308267.21312674601</v>
      </c>
      <c r="AL24" s="19">
        <v>296883.48786970699</v>
      </c>
      <c r="AM24" s="19">
        <v>216508.4433095</v>
      </c>
      <c r="AN24" s="19">
        <v>721127.50449931505</v>
      </c>
      <c r="AO24" s="19">
        <v>131078.39591309801</v>
      </c>
      <c r="AP24" s="19">
        <v>649463.41106906906</v>
      </c>
      <c r="AQ24" s="19">
        <v>107743.552579729</v>
      </c>
      <c r="AR24" s="19">
        <v>51761.111660537899</v>
      </c>
      <c r="AS24" s="19">
        <v>375857.54939213098</v>
      </c>
      <c r="AT24" s="19">
        <v>314383639.81276</v>
      </c>
      <c r="AU24" s="19">
        <v>376403.35212190199</v>
      </c>
      <c r="AV24" s="19">
        <v>1228363.5907578301</v>
      </c>
      <c r="AW24" s="19">
        <v>1604766.9428797399</v>
      </c>
      <c r="AX24" s="19">
        <v>0</v>
      </c>
      <c r="AY24" s="19">
        <v>1604766.9428797399</v>
      </c>
      <c r="AZ24" s="19">
        <v>170362145.94569999</v>
      </c>
      <c r="BA24" s="19">
        <v>9413554.5502387397</v>
      </c>
      <c r="BB24" s="19">
        <v>179775700.495938</v>
      </c>
      <c r="BC24" s="19">
        <v>92569318.362554893</v>
      </c>
      <c r="BD24" s="19">
        <v>273949785.801373</v>
      </c>
      <c r="BE24" s="19">
        <v>55422439.185358502</v>
      </c>
      <c r="BF24" s="19">
        <v>532910986.428774</v>
      </c>
    </row>
    <row r="25" spans="1:58" x14ac:dyDescent="0.25">
      <c r="A25" s="100"/>
      <c r="B25" s="17" t="s">
        <v>34</v>
      </c>
      <c r="C25" s="18" t="s">
        <v>88</v>
      </c>
      <c r="D25" s="19">
        <v>9442062.9280193709</v>
      </c>
      <c r="E25" s="19">
        <v>4363149.3368060002</v>
      </c>
      <c r="F25" s="19">
        <v>2865981.2518185498</v>
      </c>
      <c r="G25" s="19">
        <v>5453583.9108511005</v>
      </c>
      <c r="H25" s="19">
        <v>1809891.30244196</v>
      </c>
      <c r="I25" s="19">
        <v>571460.14655284001</v>
      </c>
      <c r="J25" s="19">
        <v>1222125.93598965</v>
      </c>
      <c r="K25" s="19">
        <v>807146.352519896</v>
      </c>
      <c r="L25" s="19">
        <v>2812881.9783396502</v>
      </c>
      <c r="M25" s="19">
        <v>833887.88345839898</v>
      </c>
      <c r="N25" s="19">
        <v>3285331.7057016301</v>
      </c>
      <c r="O25" s="19">
        <v>235061.27541503901</v>
      </c>
      <c r="P25" s="19">
        <v>1275752.54841213</v>
      </c>
      <c r="Q25" s="19">
        <v>3308438.8618798601</v>
      </c>
      <c r="R25" s="19">
        <v>5251960.0150080603</v>
      </c>
      <c r="S25" s="19">
        <v>3482298.16140767</v>
      </c>
      <c r="T25" s="19">
        <v>3764377.5885242298</v>
      </c>
      <c r="U25" s="19">
        <v>4434748.5168989599</v>
      </c>
      <c r="V25" s="19">
        <v>48823626.045814</v>
      </c>
      <c r="W25" s="19">
        <v>4354380.2918230398</v>
      </c>
      <c r="X25" s="19">
        <v>1023610.76363881</v>
      </c>
      <c r="Y25" s="19">
        <v>4191944.0242041</v>
      </c>
      <c r="Z25" s="19">
        <v>21202968.585347101</v>
      </c>
      <c r="AA25" s="19">
        <v>693670.45465858595</v>
      </c>
      <c r="AB25" s="19">
        <v>179779.53739239901</v>
      </c>
      <c r="AC25" s="19">
        <v>8470.1489079702405</v>
      </c>
      <c r="AD25" s="19">
        <v>108797.71737827901</v>
      </c>
      <c r="AE25" s="19">
        <v>17847619.676196799</v>
      </c>
      <c r="AF25" s="19">
        <v>34879.999182738698</v>
      </c>
      <c r="AG25" s="19">
        <v>1382805.2328975999</v>
      </c>
      <c r="AH25" s="19">
        <v>142728.16216783799</v>
      </c>
      <c r="AI25" s="19">
        <v>102271.22397752901</v>
      </c>
      <c r="AJ25" s="19">
        <v>923602.28535310796</v>
      </c>
      <c r="AK25" s="19">
        <v>8292.9333309210906</v>
      </c>
      <c r="AL25" s="19">
        <v>523390.39074432303</v>
      </c>
      <c r="AM25" s="19">
        <v>39920.178304627298</v>
      </c>
      <c r="AN25" s="19">
        <v>160663.045571544</v>
      </c>
      <c r="AO25" s="19">
        <v>160146.609952256</v>
      </c>
      <c r="AP25" s="19">
        <v>133533.26709046101</v>
      </c>
      <c r="AQ25" s="19">
        <v>16681231.4471724</v>
      </c>
      <c r="AR25" s="19">
        <v>11275.3032369504</v>
      </c>
      <c r="AS25" s="19">
        <v>264818.82299359998</v>
      </c>
      <c r="AT25" s="19">
        <v>173417419.49486199</v>
      </c>
      <c r="AU25" s="19">
        <v>595579.78670823295</v>
      </c>
      <c r="AV25" s="19">
        <v>3720729.2812877698</v>
      </c>
      <c r="AW25" s="19">
        <v>4316309.0679959999</v>
      </c>
      <c r="AX25" s="19">
        <v>0</v>
      </c>
      <c r="AY25" s="19">
        <v>4316309.0679959999</v>
      </c>
      <c r="AZ25" s="19">
        <v>204929596.99676499</v>
      </c>
      <c r="BA25" s="19">
        <v>4556075.6479765102</v>
      </c>
      <c r="BB25" s="19">
        <v>209485672.644741</v>
      </c>
      <c r="BC25" s="19">
        <v>59350299.402435601</v>
      </c>
      <c r="BD25" s="19">
        <v>273152281.11517298</v>
      </c>
      <c r="BE25" s="19">
        <v>59218616.805418603</v>
      </c>
      <c r="BF25" s="19">
        <v>387351083.80461699</v>
      </c>
    </row>
    <row r="26" spans="1:58" x14ac:dyDescent="0.25">
      <c r="A26" s="100"/>
      <c r="B26" s="17" t="s">
        <v>35</v>
      </c>
      <c r="C26" s="18" t="s">
        <v>89</v>
      </c>
      <c r="D26" s="19">
        <v>1408919.4717485199</v>
      </c>
      <c r="E26" s="19">
        <v>198746.70320897701</v>
      </c>
      <c r="F26" s="19">
        <v>17829.499566618098</v>
      </c>
      <c r="G26" s="19">
        <v>1022626.22236667</v>
      </c>
      <c r="H26" s="19">
        <v>150879.72892678401</v>
      </c>
      <c r="I26" s="19">
        <v>174622.0626038</v>
      </c>
      <c r="J26" s="19">
        <v>253639.82760961601</v>
      </c>
      <c r="K26" s="19">
        <v>118989.438174631</v>
      </c>
      <c r="L26" s="19">
        <v>309975.01103406999</v>
      </c>
      <c r="M26" s="19">
        <v>11160.7151198479</v>
      </c>
      <c r="N26" s="19">
        <v>366530.84219789697</v>
      </c>
      <c r="O26" s="19">
        <v>35280.411469775303</v>
      </c>
      <c r="P26" s="19">
        <v>161696.96047242501</v>
      </c>
      <c r="Q26" s="19">
        <v>2370746.5846731002</v>
      </c>
      <c r="R26" s="19">
        <v>187208.86335535001</v>
      </c>
      <c r="S26" s="19">
        <v>60658.885042088303</v>
      </c>
      <c r="T26" s="19">
        <v>593836.08689967403</v>
      </c>
      <c r="U26" s="19">
        <v>7563616.9372198097</v>
      </c>
      <c r="V26" s="19">
        <v>8848095.2821246609</v>
      </c>
      <c r="W26" s="19">
        <v>237540166.84993601</v>
      </c>
      <c r="X26" s="19">
        <v>988820.12635228306</v>
      </c>
      <c r="Y26" s="19">
        <v>1344462.3825576301</v>
      </c>
      <c r="Z26" s="19">
        <v>694918.87258071196</v>
      </c>
      <c r="AA26" s="19">
        <v>291795.62766576197</v>
      </c>
      <c r="AB26" s="19">
        <v>58968.430252993501</v>
      </c>
      <c r="AC26" s="19">
        <v>10597.370534223301</v>
      </c>
      <c r="AD26" s="19">
        <v>10282.349596240199</v>
      </c>
      <c r="AE26" s="19">
        <v>1111563.2263322801</v>
      </c>
      <c r="AF26" s="19">
        <v>118840.414417673</v>
      </c>
      <c r="AG26" s="19">
        <v>70012316.491765201</v>
      </c>
      <c r="AH26" s="19">
        <v>471817.61011926399</v>
      </c>
      <c r="AI26" s="19">
        <v>259987.74788360999</v>
      </c>
      <c r="AJ26" s="19">
        <v>289071.47100823099</v>
      </c>
      <c r="AK26" s="19">
        <v>28341.215566360999</v>
      </c>
      <c r="AL26" s="19">
        <v>32334152.313072499</v>
      </c>
      <c r="AM26" s="19">
        <v>356407.83469469397</v>
      </c>
      <c r="AN26" s="19">
        <v>3427487.6863864302</v>
      </c>
      <c r="AO26" s="19">
        <v>8061811.8950887304</v>
      </c>
      <c r="AP26" s="19">
        <v>115094.30247296199</v>
      </c>
      <c r="AQ26" s="19">
        <v>44551.655223810303</v>
      </c>
      <c r="AR26" s="19">
        <v>91094.949710739296</v>
      </c>
      <c r="AS26" s="19">
        <v>4080096.6803558799</v>
      </c>
      <c r="AT26" s="19">
        <v>385478717.59921402</v>
      </c>
      <c r="AU26" s="19">
        <v>21454358.9824</v>
      </c>
      <c r="AV26" s="19">
        <v>126837276.97145499</v>
      </c>
      <c r="AW26" s="19">
        <v>148291635.95385399</v>
      </c>
      <c r="AX26" s="19">
        <v>0</v>
      </c>
      <c r="AY26" s="19">
        <v>148291635.95385399</v>
      </c>
      <c r="AZ26" s="19">
        <v>176416405.60986</v>
      </c>
      <c r="BA26" s="19">
        <v>16277173.520149</v>
      </c>
      <c r="BB26" s="19">
        <v>192693579.130009</v>
      </c>
      <c r="BC26" s="19">
        <v>31524411.8740067</v>
      </c>
      <c r="BD26" s="19">
        <v>372509626.95787001</v>
      </c>
      <c r="BE26" s="19">
        <v>51530883.893830098</v>
      </c>
      <c r="BF26" s="19">
        <v>706457460.66325498</v>
      </c>
    </row>
    <row r="27" spans="1:58" ht="43.2" x14ac:dyDescent="0.25">
      <c r="A27" s="100"/>
      <c r="B27" s="17" t="s">
        <v>36</v>
      </c>
      <c r="C27" s="18" t="s">
        <v>90</v>
      </c>
      <c r="D27" s="19">
        <v>1633653.65806691</v>
      </c>
      <c r="E27" s="19">
        <v>137377.205097078</v>
      </c>
      <c r="F27" s="19">
        <v>3299.56189290866</v>
      </c>
      <c r="G27" s="19">
        <v>67835.345997617202</v>
      </c>
      <c r="H27" s="19">
        <v>4779.0758828880298</v>
      </c>
      <c r="I27" s="19">
        <v>63498.750357734301</v>
      </c>
      <c r="J27" s="19">
        <v>69505.485293589401</v>
      </c>
      <c r="K27" s="19">
        <v>69778.941010616894</v>
      </c>
      <c r="L27" s="19">
        <v>108012.372758994</v>
      </c>
      <c r="M27" s="19">
        <v>42843.272878725897</v>
      </c>
      <c r="N27" s="19">
        <v>152643.88033177101</v>
      </c>
      <c r="O27" s="19">
        <v>41875.393603671699</v>
      </c>
      <c r="P27" s="19">
        <v>24313.253380856</v>
      </c>
      <c r="Q27" s="19">
        <v>62621.1042461217</v>
      </c>
      <c r="R27" s="19">
        <v>37696.937032711998</v>
      </c>
      <c r="S27" s="19">
        <v>1730.54803290979</v>
      </c>
      <c r="T27" s="19">
        <v>65866.299807706106</v>
      </c>
      <c r="U27" s="19">
        <v>2010934.9536918199</v>
      </c>
      <c r="V27" s="19">
        <v>1579977.0574509599</v>
      </c>
      <c r="W27" s="19">
        <v>566701.38138896006</v>
      </c>
      <c r="X27" s="19">
        <v>26429459.433544502</v>
      </c>
      <c r="Y27" s="19">
        <v>415016.33223081799</v>
      </c>
      <c r="Z27" s="19">
        <v>293311.21236644202</v>
      </c>
      <c r="AA27" s="19">
        <v>2270996.1002662899</v>
      </c>
      <c r="AB27" s="19">
        <v>2147.5666799442502</v>
      </c>
      <c r="AC27" s="19">
        <v>2909.1458383651898</v>
      </c>
      <c r="AD27" s="19">
        <v>3349.1709272210301</v>
      </c>
      <c r="AE27" s="19">
        <v>1342301.0627207099</v>
      </c>
      <c r="AF27" s="19">
        <v>33836.107716070197</v>
      </c>
      <c r="AG27" s="19">
        <v>17589480.278308801</v>
      </c>
      <c r="AH27" s="19">
        <v>5954.9325288047003</v>
      </c>
      <c r="AI27" s="19">
        <v>9733.5713622886906</v>
      </c>
      <c r="AJ27" s="19">
        <v>37918.7506338776</v>
      </c>
      <c r="AK27" s="19">
        <v>2136.2818403119099</v>
      </c>
      <c r="AL27" s="19">
        <v>30801.702328791798</v>
      </c>
      <c r="AM27" s="19">
        <v>97615.365861826198</v>
      </c>
      <c r="AN27" s="19">
        <v>159496.18997423799</v>
      </c>
      <c r="AO27" s="19">
        <v>4542218.6420078604</v>
      </c>
      <c r="AP27" s="19">
        <v>18162.665249341801</v>
      </c>
      <c r="AQ27" s="19">
        <v>211712.63319013201</v>
      </c>
      <c r="AR27" s="19">
        <v>18823.8901585928</v>
      </c>
      <c r="AS27" s="19">
        <v>630868.85632389295</v>
      </c>
      <c r="AT27" s="19">
        <v>60823415.429253101</v>
      </c>
      <c r="AU27" s="19">
        <v>5697629.1082278304</v>
      </c>
      <c r="AV27" s="19">
        <v>9025381.5833560508</v>
      </c>
      <c r="AW27" s="19">
        <v>14723010.6915839</v>
      </c>
      <c r="AX27" s="19">
        <v>0</v>
      </c>
      <c r="AY27" s="19">
        <v>14723010.6915839</v>
      </c>
      <c r="AZ27" s="19">
        <v>60601018.913020499</v>
      </c>
      <c r="BA27" s="19">
        <v>109528.026406031</v>
      </c>
      <c r="BB27" s="19">
        <v>60710546.939426497</v>
      </c>
      <c r="BC27" s="19">
        <v>28964418.0481885</v>
      </c>
      <c r="BD27" s="19">
        <v>104397975.679199</v>
      </c>
      <c r="BE27" s="19">
        <v>9207467.0758240409</v>
      </c>
      <c r="BF27" s="19">
        <v>156013924.032628</v>
      </c>
    </row>
    <row r="28" spans="1:58" ht="21.6" x14ac:dyDescent="0.25">
      <c r="A28" s="100"/>
      <c r="B28" s="17" t="s">
        <v>37</v>
      </c>
      <c r="C28" s="18" t="s">
        <v>91</v>
      </c>
      <c r="D28" s="19">
        <v>197717.41518768799</v>
      </c>
      <c r="E28" s="19">
        <v>881627.77806250704</v>
      </c>
      <c r="F28" s="19">
        <v>103121.478636574</v>
      </c>
      <c r="G28" s="19">
        <v>981292.41104552196</v>
      </c>
      <c r="H28" s="19">
        <v>106644.456891027</v>
      </c>
      <c r="I28" s="19">
        <v>653308.46934062603</v>
      </c>
      <c r="J28" s="19">
        <v>495172.500311499</v>
      </c>
      <c r="K28" s="19">
        <v>286554.20689321798</v>
      </c>
      <c r="L28" s="19">
        <v>1752872.2545674001</v>
      </c>
      <c r="M28" s="19">
        <v>180840.089195095</v>
      </c>
      <c r="N28" s="19">
        <v>822089.17390728102</v>
      </c>
      <c r="O28" s="19">
        <v>125439.831913432</v>
      </c>
      <c r="P28" s="19">
        <v>1149003.59757298</v>
      </c>
      <c r="Q28" s="19">
        <v>1447646.24429034</v>
      </c>
      <c r="R28" s="19">
        <v>565778.76574593596</v>
      </c>
      <c r="S28" s="19">
        <v>269475.60754760302</v>
      </c>
      <c r="T28" s="19">
        <v>1218352.28813117</v>
      </c>
      <c r="U28" s="19">
        <v>30663801.736531898</v>
      </c>
      <c r="V28" s="19">
        <v>17420251.047840498</v>
      </c>
      <c r="W28" s="19">
        <v>16970910.7034714</v>
      </c>
      <c r="X28" s="19">
        <v>16325888.3708768</v>
      </c>
      <c r="Y28" s="19">
        <v>117461126.23187301</v>
      </c>
      <c r="Z28" s="19">
        <v>56751423.251501299</v>
      </c>
      <c r="AA28" s="19">
        <v>2060373.1156653999</v>
      </c>
      <c r="AB28" s="19">
        <v>42504095.549183898</v>
      </c>
      <c r="AC28" s="19">
        <v>79167.884545307403</v>
      </c>
      <c r="AD28" s="19">
        <v>81672.392538750602</v>
      </c>
      <c r="AE28" s="19">
        <v>93400845.831815302</v>
      </c>
      <c r="AF28" s="19">
        <v>14542910.593776001</v>
      </c>
      <c r="AG28" s="19">
        <v>5206775.2229577499</v>
      </c>
      <c r="AH28" s="19">
        <v>522242.572353372</v>
      </c>
      <c r="AI28" s="19">
        <v>10616440.492946099</v>
      </c>
      <c r="AJ28" s="19">
        <v>110440.953008636</v>
      </c>
      <c r="AK28" s="19">
        <v>58084.791495129102</v>
      </c>
      <c r="AL28" s="19">
        <v>12746420.9702527</v>
      </c>
      <c r="AM28" s="19">
        <v>7320572.0469589699</v>
      </c>
      <c r="AN28" s="19">
        <v>9868972.9432907794</v>
      </c>
      <c r="AO28" s="19">
        <v>3254772.8784903199</v>
      </c>
      <c r="AP28" s="19">
        <v>94102.024412990198</v>
      </c>
      <c r="AQ28" s="19">
        <v>481029.797254609</v>
      </c>
      <c r="AR28" s="19">
        <v>104873.43936141999</v>
      </c>
      <c r="AS28" s="19">
        <v>3268322.84521895</v>
      </c>
      <c r="AT28" s="19">
        <v>472865900.04996902</v>
      </c>
      <c r="AU28" s="19">
        <v>10878967.9395498</v>
      </c>
      <c r="AV28" s="19">
        <v>29242602.743562698</v>
      </c>
      <c r="AW28" s="19">
        <v>40121570.683112599</v>
      </c>
      <c r="AX28" s="19">
        <v>0</v>
      </c>
      <c r="AY28" s="19">
        <v>40121570.683112599</v>
      </c>
      <c r="AZ28" s="19">
        <v>63813745.932882003</v>
      </c>
      <c r="BA28" s="19">
        <v>752723.18437021005</v>
      </c>
      <c r="BB28" s="19">
        <v>64566469.117252298</v>
      </c>
      <c r="BC28" s="19">
        <v>170548525.74938399</v>
      </c>
      <c r="BD28" s="19">
        <v>275236565.549748</v>
      </c>
      <c r="BE28" s="19">
        <v>50436211.012560003</v>
      </c>
      <c r="BF28" s="19">
        <v>697666254.58715796</v>
      </c>
    </row>
    <row r="29" spans="1:58" ht="43.2" x14ac:dyDescent="0.25">
      <c r="A29" s="100"/>
      <c r="B29" s="17" t="s">
        <v>38</v>
      </c>
      <c r="C29" s="18" t="s">
        <v>92</v>
      </c>
      <c r="D29" s="19">
        <v>331571.92327286699</v>
      </c>
      <c r="E29" s="19">
        <v>360777.60004878597</v>
      </c>
      <c r="F29" s="19">
        <v>869124.76538268302</v>
      </c>
      <c r="G29" s="19">
        <v>145408.002156292</v>
      </c>
      <c r="H29" s="19">
        <v>375468.67917023</v>
      </c>
      <c r="I29" s="19">
        <v>747037.24195235805</v>
      </c>
      <c r="J29" s="19">
        <v>409009.19244003698</v>
      </c>
      <c r="K29" s="19">
        <v>114685.419699634</v>
      </c>
      <c r="L29" s="19">
        <v>3374013.3855403601</v>
      </c>
      <c r="M29" s="19">
        <v>1119303.6177410099</v>
      </c>
      <c r="N29" s="19">
        <v>1074059.68590883</v>
      </c>
      <c r="O29" s="19">
        <v>481071.44129976898</v>
      </c>
      <c r="P29" s="19">
        <v>1201955.6937511</v>
      </c>
      <c r="Q29" s="19">
        <v>1208113.1755727599</v>
      </c>
      <c r="R29" s="19">
        <v>932509.34751355695</v>
      </c>
      <c r="S29" s="19">
        <v>157946.37516031301</v>
      </c>
      <c r="T29" s="19">
        <v>965077.73084339395</v>
      </c>
      <c r="U29" s="19">
        <v>25381587.3322048</v>
      </c>
      <c r="V29" s="19">
        <v>27022920.555623099</v>
      </c>
      <c r="W29" s="19">
        <v>16792407.243783802</v>
      </c>
      <c r="X29" s="19">
        <v>8374607.9499963196</v>
      </c>
      <c r="Y29" s="19">
        <v>53832828.6339688</v>
      </c>
      <c r="Z29" s="19">
        <v>603819523.000826</v>
      </c>
      <c r="AA29" s="19">
        <v>2302751.1303630099</v>
      </c>
      <c r="AB29" s="19">
        <v>17376246.384032998</v>
      </c>
      <c r="AC29" s="19">
        <v>181125.68877307299</v>
      </c>
      <c r="AD29" s="19">
        <v>131744.26850608201</v>
      </c>
      <c r="AE29" s="19">
        <v>13384228.346578401</v>
      </c>
      <c r="AF29" s="19">
        <v>8333877.7981027002</v>
      </c>
      <c r="AG29" s="19">
        <v>6813502.5938912099</v>
      </c>
      <c r="AH29" s="19">
        <v>1176063.9398599199</v>
      </c>
      <c r="AI29" s="19">
        <v>56611169.591117397</v>
      </c>
      <c r="AJ29" s="19">
        <v>1165549.52734219</v>
      </c>
      <c r="AK29" s="19">
        <v>447000.472689652</v>
      </c>
      <c r="AL29" s="19">
        <v>22296948.636496801</v>
      </c>
      <c r="AM29" s="19">
        <v>16278535.2568956</v>
      </c>
      <c r="AN29" s="19">
        <v>48000174.052217603</v>
      </c>
      <c r="AO29" s="19">
        <v>12802603.0218603</v>
      </c>
      <c r="AP29" s="19">
        <v>5849192.9874777598</v>
      </c>
      <c r="AQ29" s="19">
        <v>1202627.02425139</v>
      </c>
      <c r="AR29" s="19">
        <v>1117205.07324635</v>
      </c>
      <c r="AS29" s="19">
        <v>6557094.8933862802</v>
      </c>
      <c r="AT29" s="19">
        <v>971003963.26124597</v>
      </c>
      <c r="AU29" s="19">
        <v>15240055.9404142</v>
      </c>
      <c r="AV29" s="19">
        <v>51826486.888728797</v>
      </c>
      <c r="AW29" s="19">
        <v>67066542.829143099</v>
      </c>
      <c r="AX29" s="19">
        <v>0</v>
      </c>
      <c r="AY29" s="19">
        <v>67066542.829143099</v>
      </c>
      <c r="AZ29" s="19">
        <v>107099836.458124</v>
      </c>
      <c r="BA29" s="19">
        <v>6140154.9455792503</v>
      </c>
      <c r="BB29" s="19">
        <v>113239991.403703</v>
      </c>
      <c r="BC29" s="19">
        <v>439367334.97759402</v>
      </c>
      <c r="BD29" s="19">
        <v>619673869.21044004</v>
      </c>
      <c r="BE29" s="19">
        <v>402155880.98906702</v>
      </c>
      <c r="BF29" s="19">
        <v>1188521951.48262</v>
      </c>
    </row>
    <row r="30" spans="1:58" ht="64.8" x14ac:dyDescent="0.25">
      <c r="A30" s="100"/>
      <c r="B30" s="17" t="s">
        <v>39</v>
      </c>
      <c r="C30" s="18" t="s">
        <v>93</v>
      </c>
      <c r="D30" s="19">
        <v>164747.47787442</v>
      </c>
      <c r="E30" s="19">
        <v>405514.02869687701</v>
      </c>
      <c r="F30" s="19">
        <v>146894.390608488</v>
      </c>
      <c r="G30" s="19">
        <v>199118.318682827</v>
      </c>
      <c r="H30" s="19">
        <v>133740.27413289601</v>
      </c>
      <c r="I30" s="19">
        <v>651164.66223560495</v>
      </c>
      <c r="J30" s="19">
        <v>1365889.2419316201</v>
      </c>
      <c r="K30" s="19">
        <v>242435.44420260299</v>
      </c>
      <c r="L30" s="19">
        <v>13403852.7991249</v>
      </c>
      <c r="M30" s="19">
        <v>563622.57549381198</v>
      </c>
      <c r="N30" s="19">
        <v>2080644.8010068401</v>
      </c>
      <c r="O30" s="19">
        <v>113887.729667525</v>
      </c>
      <c r="P30" s="19">
        <v>2943239.5497239898</v>
      </c>
      <c r="Q30" s="19">
        <v>3630070.67910031</v>
      </c>
      <c r="R30" s="19">
        <v>53093165.586032197</v>
      </c>
      <c r="S30" s="19">
        <v>13891355.113508901</v>
      </c>
      <c r="T30" s="19">
        <v>8634157.3163604196</v>
      </c>
      <c r="U30" s="19">
        <v>880502.95925384597</v>
      </c>
      <c r="V30" s="19">
        <v>861292.65728146199</v>
      </c>
      <c r="W30" s="19">
        <v>847818.19447725499</v>
      </c>
      <c r="X30" s="19">
        <v>612599.36564607301</v>
      </c>
      <c r="Y30" s="19">
        <v>953658.57623559504</v>
      </c>
      <c r="Z30" s="19">
        <v>1492023.5335540599</v>
      </c>
      <c r="AA30" s="19">
        <v>13185015.9538418</v>
      </c>
      <c r="AB30" s="19">
        <v>3665815.02354141</v>
      </c>
      <c r="AC30" s="19">
        <v>154857.195317682</v>
      </c>
      <c r="AD30" s="19">
        <v>89102.353197733595</v>
      </c>
      <c r="AE30" s="19">
        <v>3882686.3362354101</v>
      </c>
      <c r="AF30" s="19">
        <v>133738.98332051601</v>
      </c>
      <c r="AG30" s="19">
        <v>1407910.2921991199</v>
      </c>
      <c r="AH30" s="19">
        <v>205188.88588644299</v>
      </c>
      <c r="AI30" s="19">
        <v>462987.37195750099</v>
      </c>
      <c r="AJ30" s="19">
        <v>72347.132271356299</v>
      </c>
      <c r="AK30" s="19">
        <v>1286923.14998262</v>
      </c>
      <c r="AL30" s="19">
        <v>8954361.7373353001</v>
      </c>
      <c r="AM30" s="19">
        <v>1783852.69528289</v>
      </c>
      <c r="AN30" s="19">
        <v>5440678.9545661397</v>
      </c>
      <c r="AO30" s="19">
        <v>2143669.9012925201</v>
      </c>
      <c r="AP30" s="19">
        <v>265892.83775368001</v>
      </c>
      <c r="AQ30" s="19">
        <v>216482.433895731</v>
      </c>
      <c r="AR30" s="19">
        <v>626246.26319446799</v>
      </c>
      <c r="AS30" s="19">
        <v>1384717.8866036299</v>
      </c>
      <c r="AT30" s="19">
        <v>152431435.21830601</v>
      </c>
      <c r="AU30" s="19">
        <v>1188015.9589508199</v>
      </c>
      <c r="AV30" s="19">
        <v>3366560.1635568701</v>
      </c>
      <c r="AW30" s="19">
        <v>4554576.1225076802</v>
      </c>
      <c r="AX30" s="19">
        <v>0</v>
      </c>
      <c r="AY30" s="19">
        <v>0</v>
      </c>
      <c r="AZ30" s="19">
        <v>1945824.4473167399</v>
      </c>
      <c r="BA30" s="19">
        <v>0</v>
      </c>
      <c r="BB30" s="19">
        <v>1945824.4473167399</v>
      </c>
      <c r="BC30" s="19">
        <v>5279719.0121863401</v>
      </c>
      <c r="BD30" s="19">
        <v>7225543.4595030798</v>
      </c>
      <c r="BE30" s="19">
        <v>2317558.0961611802</v>
      </c>
      <c r="BF30" s="19">
        <v>20697060.147269402</v>
      </c>
    </row>
    <row r="31" spans="1:58" ht="21.6" x14ac:dyDescent="0.25">
      <c r="A31" s="100"/>
      <c r="B31" s="17" t="s">
        <v>40</v>
      </c>
      <c r="C31" s="18" t="s">
        <v>94</v>
      </c>
      <c r="D31" s="19">
        <v>10632509.685994901</v>
      </c>
      <c r="E31" s="19">
        <v>8492039.3265241291</v>
      </c>
      <c r="F31" s="19">
        <v>3827929.6782418001</v>
      </c>
      <c r="G31" s="19">
        <v>14593431.6584963</v>
      </c>
      <c r="H31" s="19">
        <v>481039.22682557401</v>
      </c>
      <c r="I31" s="19">
        <v>8337210.0737607097</v>
      </c>
      <c r="J31" s="19">
        <v>9271306.1659300793</v>
      </c>
      <c r="K31" s="19">
        <v>5198622.9815821303</v>
      </c>
      <c r="L31" s="19">
        <v>12650200.924738299</v>
      </c>
      <c r="M31" s="19">
        <v>8918733.7900041603</v>
      </c>
      <c r="N31" s="19">
        <v>41485169.034775697</v>
      </c>
      <c r="O31" s="19">
        <v>4492909.9962751605</v>
      </c>
      <c r="P31" s="19">
        <v>6429846.75502072</v>
      </c>
      <c r="Q31" s="19">
        <v>36511483.283643097</v>
      </c>
      <c r="R31" s="19">
        <v>34770410.734096497</v>
      </c>
      <c r="S31" s="19">
        <v>28693763.723575801</v>
      </c>
      <c r="T31" s="19">
        <v>23642420.6271042</v>
      </c>
      <c r="U31" s="19">
        <v>9037398.2731788196</v>
      </c>
      <c r="V31" s="19">
        <v>5826705.6488526901</v>
      </c>
      <c r="W31" s="19">
        <v>5789468.1708769798</v>
      </c>
      <c r="X31" s="19">
        <v>1608516.3967347201</v>
      </c>
      <c r="Y31" s="19">
        <v>8301003.1445472101</v>
      </c>
      <c r="Z31" s="19">
        <v>11503234.3090018</v>
      </c>
      <c r="AA31" s="19">
        <v>2024340.4440145099</v>
      </c>
      <c r="AB31" s="19">
        <v>207763089.590819</v>
      </c>
      <c r="AC31" s="19">
        <v>1989258.6932657999</v>
      </c>
      <c r="AD31" s="19">
        <v>5177395.5040959297</v>
      </c>
      <c r="AE31" s="19">
        <v>41785891.453726701</v>
      </c>
      <c r="AF31" s="19">
        <v>12653101.4524859</v>
      </c>
      <c r="AG31" s="19">
        <v>16559627.487119701</v>
      </c>
      <c r="AH31" s="19">
        <v>4171232.3615359901</v>
      </c>
      <c r="AI31" s="19">
        <v>9487206.2947387099</v>
      </c>
      <c r="AJ31" s="19">
        <v>4342106.1335527599</v>
      </c>
      <c r="AK31" s="19">
        <v>4550954.1046263101</v>
      </c>
      <c r="AL31" s="19">
        <v>3785533.7397023598</v>
      </c>
      <c r="AM31" s="19">
        <v>3096348.0609721499</v>
      </c>
      <c r="AN31" s="19">
        <v>2489328.2551162899</v>
      </c>
      <c r="AO31" s="19">
        <v>3425610.48251737</v>
      </c>
      <c r="AP31" s="19">
        <v>3442352.6814395399</v>
      </c>
      <c r="AQ31" s="19">
        <v>3190635.0215070802</v>
      </c>
      <c r="AR31" s="19">
        <v>1566849.4882740499</v>
      </c>
      <c r="AS31" s="19">
        <v>10257739.6612089</v>
      </c>
      <c r="AT31" s="42">
        <v>637055331.53891802</v>
      </c>
      <c r="AU31" s="43">
        <v>12007734.9831194</v>
      </c>
      <c r="AV31" s="43">
        <v>49517677.873736903</v>
      </c>
      <c r="AW31" s="42">
        <v>61525412.856856301</v>
      </c>
      <c r="AX31" s="43">
        <v>0</v>
      </c>
      <c r="AY31" s="42">
        <v>61525412.856856301</v>
      </c>
      <c r="AZ31" s="43">
        <v>0</v>
      </c>
      <c r="BA31" s="43">
        <v>0</v>
      </c>
      <c r="BB31" s="42">
        <v>0</v>
      </c>
      <c r="BC31" s="43">
        <v>1045039.7484</v>
      </c>
      <c r="BD31" s="61">
        <v>62570452.605256297</v>
      </c>
      <c r="BE31" s="43">
        <v>123218.4412</v>
      </c>
      <c r="BF31" s="44">
        <v>699502565.70297396</v>
      </c>
    </row>
    <row r="32" spans="1:58" ht="21.6" x14ac:dyDescent="0.25">
      <c r="A32" s="100"/>
      <c r="B32" s="17" t="s">
        <v>41</v>
      </c>
      <c r="C32" s="20" t="s">
        <v>95</v>
      </c>
      <c r="D32" s="19">
        <v>158734.702636481</v>
      </c>
      <c r="E32" s="19">
        <v>28901.4549832347</v>
      </c>
      <c r="F32" s="19">
        <v>21479.904192603601</v>
      </c>
      <c r="G32" s="19">
        <v>23210.4423339237</v>
      </c>
      <c r="H32" s="19">
        <v>66417.539930823696</v>
      </c>
      <c r="I32" s="19">
        <v>443352.99437906401</v>
      </c>
      <c r="J32" s="19">
        <v>187804.34269080599</v>
      </c>
      <c r="K32" s="19">
        <v>26205.230886828998</v>
      </c>
      <c r="L32" s="19">
        <v>455864.76763070998</v>
      </c>
      <c r="M32" s="19">
        <v>817644.24839578895</v>
      </c>
      <c r="N32" s="19">
        <v>2010632.1788910399</v>
      </c>
      <c r="O32" s="19">
        <v>3228.6624178986499</v>
      </c>
      <c r="P32" s="19">
        <v>5038.3119184469597</v>
      </c>
      <c r="Q32" s="19">
        <v>240915.818847029</v>
      </c>
      <c r="R32" s="19">
        <v>233825.70539204401</v>
      </c>
      <c r="S32" s="19">
        <v>69857.983572238896</v>
      </c>
      <c r="T32" s="19">
        <v>440098.52054863202</v>
      </c>
      <c r="U32" s="19">
        <v>183042.98405176101</v>
      </c>
      <c r="V32" s="19">
        <v>306402.22007457301</v>
      </c>
      <c r="W32" s="19">
        <v>104306.632854689</v>
      </c>
      <c r="X32" s="19">
        <v>136222.61171656</v>
      </c>
      <c r="Y32" s="19">
        <v>250330.61046927501</v>
      </c>
      <c r="Z32" s="19">
        <v>139669.20555458</v>
      </c>
      <c r="AA32" s="19">
        <v>421341.49805195199</v>
      </c>
      <c r="AB32" s="19">
        <v>1999455.2125124999</v>
      </c>
      <c r="AC32" s="19">
        <v>9988214.6152514108</v>
      </c>
      <c r="AD32" s="19">
        <v>577.10973224771101</v>
      </c>
      <c r="AE32" s="19">
        <v>43646.7161920363</v>
      </c>
      <c r="AF32" s="19">
        <v>108729.406380966</v>
      </c>
      <c r="AG32" s="19">
        <v>19661653.7984179</v>
      </c>
      <c r="AH32" s="19">
        <v>2563138.31292585</v>
      </c>
      <c r="AI32" s="19">
        <v>79885.205672357595</v>
      </c>
      <c r="AJ32" s="19">
        <v>29927.4073905187</v>
      </c>
      <c r="AK32" s="19">
        <v>2003956.33127242</v>
      </c>
      <c r="AL32" s="19">
        <v>461291.884655495</v>
      </c>
      <c r="AM32" s="19">
        <v>181897.00048366399</v>
      </c>
      <c r="AN32" s="19">
        <v>211884.969231725</v>
      </c>
      <c r="AO32" s="19">
        <v>1107430.7801409401</v>
      </c>
      <c r="AP32" s="19">
        <v>533949.62356846302</v>
      </c>
      <c r="AQ32" s="19">
        <v>253896.226234584</v>
      </c>
      <c r="AR32" s="19">
        <v>279996.55674751702</v>
      </c>
      <c r="AS32" s="19">
        <v>347185.736217506</v>
      </c>
      <c r="AT32" s="42">
        <v>46605040.234562203</v>
      </c>
      <c r="AU32" s="43">
        <v>1394219.1029457999</v>
      </c>
      <c r="AV32" s="43">
        <v>32378337.354393002</v>
      </c>
      <c r="AW32" s="42">
        <v>33772556.457338803</v>
      </c>
      <c r="AX32" s="43">
        <v>0</v>
      </c>
      <c r="AY32" s="42">
        <v>33772556.457338803</v>
      </c>
      <c r="AZ32" s="43">
        <v>0</v>
      </c>
      <c r="BA32" s="43">
        <v>893408.64044541295</v>
      </c>
      <c r="BB32" s="42">
        <v>893408.64044541295</v>
      </c>
      <c r="BC32" s="43">
        <v>0</v>
      </c>
      <c r="BD32" s="61">
        <v>34665965.097784303</v>
      </c>
      <c r="BE32" s="43">
        <v>0</v>
      </c>
      <c r="BF32" s="44">
        <v>81271005.332346603</v>
      </c>
    </row>
    <row r="33" spans="1:58" ht="21.6" x14ac:dyDescent="0.25">
      <c r="A33" s="100"/>
      <c r="B33" s="17" t="s">
        <v>42</v>
      </c>
      <c r="C33" s="20" t="s">
        <v>96</v>
      </c>
      <c r="D33" s="19">
        <v>41316.588252533198</v>
      </c>
      <c r="E33" s="19">
        <v>56861.257707942998</v>
      </c>
      <c r="F33" s="19">
        <v>66724.691130288003</v>
      </c>
      <c r="G33" s="19">
        <v>75500.916232385003</v>
      </c>
      <c r="H33" s="19">
        <v>15289.876303716201</v>
      </c>
      <c r="I33" s="19">
        <v>1176862.5578435501</v>
      </c>
      <c r="J33" s="19">
        <v>280582.66604564601</v>
      </c>
      <c r="K33" s="19">
        <v>118367.57321422199</v>
      </c>
      <c r="L33" s="19">
        <v>442167.91749623301</v>
      </c>
      <c r="M33" s="19">
        <v>149328.75506023099</v>
      </c>
      <c r="N33" s="19">
        <v>481011.19009596203</v>
      </c>
      <c r="O33" s="19">
        <v>235131.24611225101</v>
      </c>
      <c r="P33" s="19">
        <v>150793.20284570201</v>
      </c>
      <c r="Q33" s="19">
        <v>532732.64514070202</v>
      </c>
      <c r="R33" s="19">
        <v>313577.763558793</v>
      </c>
      <c r="S33" s="19">
        <v>110786.029679926</v>
      </c>
      <c r="T33" s="19">
        <v>157179.32835927201</v>
      </c>
      <c r="U33" s="19">
        <v>340480.59486597299</v>
      </c>
      <c r="V33" s="19">
        <v>185550.30952927901</v>
      </c>
      <c r="W33" s="19">
        <v>167372.94243364499</v>
      </c>
      <c r="X33" s="19">
        <v>121137.104951136</v>
      </c>
      <c r="Y33" s="19">
        <v>405654.938503351</v>
      </c>
      <c r="Z33" s="19">
        <v>532648.03583173396</v>
      </c>
      <c r="AA33" s="19">
        <v>182154.691878221</v>
      </c>
      <c r="AB33" s="19">
        <v>1234128.68752964</v>
      </c>
      <c r="AC33" s="19">
        <v>36613.344005373401</v>
      </c>
      <c r="AD33" s="19">
        <v>2092918.6371561601</v>
      </c>
      <c r="AE33" s="19">
        <v>2894162.0483027301</v>
      </c>
      <c r="AF33" s="19">
        <v>552057.35316751699</v>
      </c>
      <c r="AG33" s="19">
        <v>496240.20191985503</v>
      </c>
      <c r="AH33" s="19">
        <v>1161758.0917028401</v>
      </c>
      <c r="AI33" s="19">
        <v>269693.69170390099</v>
      </c>
      <c r="AJ33" s="19">
        <v>367635.55861132202</v>
      </c>
      <c r="AK33" s="19">
        <v>556423.34696311899</v>
      </c>
      <c r="AL33" s="19">
        <v>119223.28508387999</v>
      </c>
      <c r="AM33" s="19">
        <v>505701.343195469</v>
      </c>
      <c r="AN33" s="19">
        <v>125838.583104519</v>
      </c>
      <c r="AO33" s="19">
        <v>426824.19165027101</v>
      </c>
      <c r="AP33" s="19">
        <v>435482.55695067899</v>
      </c>
      <c r="AQ33" s="19">
        <v>316913.101361849</v>
      </c>
      <c r="AR33" s="19">
        <v>273234.61167785601</v>
      </c>
      <c r="AS33" s="19">
        <v>903821.15177748597</v>
      </c>
      <c r="AT33" s="42">
        <v>18989515.0357229</v>
      </c>
      <c r="AU33" s="43">
        <v>2708952.0732222698</v>
      </c>
      <c r="AV33" s="43">
        <v>18088343.402777299</v>
      </c>
      <c r="AW33" s="42">
        <v>20797295.475999601</v>
      </c>
      <c r="AX33" s="43">
        <v>0</v>
      </c>
      <c r="AY33" s="42">
        <v>20797295.475999601</v>
      </c>
      <c r="AZ33" s="43">
        <v>0</v>
      </c>
      <c r="BA33" s="43">
        <v>891741.45750941802</v>
      </c>
      <c r="BB33" s="42">
        <v>891741.45750941802</v>
      </c>
      <c r="BC33" s="43">
        <v>0</v>
      </c>
      <c r="BD33" s="61">
        <v>21689036.933509</v>
      </c>
      <c r="BE33" s="43">
        <v>0</v>
      </c>
      <c r="BF33" s="44">
        <v>40678551.969231904</v>
      </c>
    </row>
    <row r="34" spans="1:58" ht="21.6" x14ac:dyDescent="0.25">
      <c r="A34" s="100"/>
      <c r="B34" s="17" t="s">
        <v>43</v>
      </c>
      <c r="C34" s="20" t="s">
        <v>97</v>
      </c>
      <c r="D34" s="19">
        <v>767866.27291258995</v>
      </c>
      <c r="E34" s="19">
        <v>136712.76462960101</v>
      </c>
      <c r="F34" s="19">
        <v>28483.4786058051</v>
      </c>
      <c r="G34" s="19">
        <v>39555.2327590926</v>
      </c>
      <c r="H34" s="19">
        <v>5924.7935314633096</v>
      </c>
      <c r="I34" s="19">
        <v>215253.65315689999</v>
      </c>
      <c r="J34" s="19">
        <v>226716.426076526</v>
      </c>
      <c r="K34" s="19">
        <v>132624.129456814</v>
      </c>
      <c r="L34" s="19">
        <v>238488.81530050599</v>
      </c>
      <c r="M34" s="19">
        <v>50165.433194638303</v>
      </c>
      <c r="N34" s="19">
        <v>339457.69367522199</v>
      </c>
      <c r="O34" s="19">
        <v>62322.093986348002</v>
      </c>
      <c r="P34" s="19">
        <v>93738.603114202997</v>
      </c>
      <c r="Q34" s="19">
        <v>162675.607305991</v>
      </c>
      <c r="R34" s="19">
        <v>95544.614739968194</v>
      </c>
      <c r="S34" s="19">
        <v>78767.820339656595</v>
      </c>
      <c r="T34" s="19">
        <v>112818.398974717</v>
      </c>
      <c r="U34" s="19">
        <v>310533.93412080401</v>
      </c>
      <c r="V34" s="19">
        <v>124690.040871795</v>
      </c>
      <c r="W34" s="19">
        <v>139887.315349785</v>
      </c>
      <c r="X34" s="19">
        <v>47393.878590150103</v>
      </c>
      <c r="Y34" s="19">
        <v>180123.420648795</v>
      </c>
      <c r="Z34" s="19">
        <v>667409.93998919497</v>
      </c>
      <c r="AA34" s="19">
        <v>89637.304741633401</v>
      </c>
      <c r="AB34" s="19">
        <v>2679712.7946501598</v>
      </c>
      <c r="AC34" s="19">
        <v>28595.2440077961</v>
      </c>
      <c r="AD34" s="19">
        <v>75522.733505083699</v>
      </c>
      <c r="AE34" s="19">
        <v>102777626.861809</v>
      </c>
      <c r="AF34" s="19">
        <v>1487150.4145561899</v>
      </c>
      <c r="AG34" s="19">
        <v>2015285.3911783299</v>
      </c>
      <c r="AH34" s="19">
        <v>901665.81305564696</v>
      </c>
      <c r="AI34" s="19">
        <v>954151.50461212103</v>
      </c>
      <c r="AJ34" s="19">
        <v>2489999.29194621</v>
      </c>
      <c r="AK34" s="19">
        <v>14193938.3943872</v>
      </c>
      <c r="AL34" s="19">
        <v>445793.24860177102</v>
      </c>
      <c r="AM34" s="19">
        <v>424334.51161238598</v>
      </c>
      <c r="AN34" s="19">
        <v>514616.38248372899</v>
      </c>
      <c r="AO34" s="19">
        <v>528902.69084494305</v>
      </c>
      <c r="AP34" s="19">
        <v>3319541.48031619</v>
      </c>
      <c r="AQ34" s="19">
        <v>1071607.6873737201</v>
      </c>
      <c r="AR34" s="19">
        <v>993565.57971969096</v>
      </c>
      <c r="AS34" s="19">
        <v>10876464.686654501</v>
      </c>
      <c r="AT34" s="19">
        <v>149992642.24792999</v>
      </c>
      <c r="AU34" s="19">
        <v>0</v>
      </c>
      <c r="AV34" s="19">
        <v>0</v>
      </c>
      <c r="AW34" s="19">
        <v>0</v>
      </c>
      <c r="AX34" s="19">
        <v>0</v>
      </c>
      <c r="AY34" s="19">
        <v>0</v>
      </c>
      <c r="AZ34" s="19">
        <v>2707176325.74966</v>
      </c>
      <c r="BA34" s="19">
        <v>0</v>
      </c>
      <c r="BB34" s="19">
        <v>2707176325.74966</v>
      </c>
      <c r="BC34" s="19">
        <v>8681061.2808516994</v>
      </c>
      <c r="BD34" s="19">
        <v>2715857387.03052</v>
      </c>
      <c r="BE34" s="19">
        <v>5545047.8637640001</v>
      </c>
      <c r="BF34" s="19">
        <v>2860304981.41468</v>
      </c>
    </row>
    <row r="35" spans="1:58" ht="21.6" x14ac:dyDescent="0.25">
      <c r="A35" s="100"/>
      <c r="B35" s="17" t="s">
        <v>44</v>
      </c>
      <c r="C35" s="20" t="s">
        <v>98</v>
      </c>
      <c r="D35" s="19">
        <v>32445341.8210967</v>
      </c>
      <c r="E35" s="19">
        <v>6037786.7320662104</v>
      </c>
      <c r="F35" s="19">
        <v>775392.27401589404</v>
      </c>
      <c r="G35" s="19">
        <v>4137179.2881825902</v>
      </c>
      <c r="H35" s="19">
        <v>811001.70867601898</v>
      </c>
      <c r="I35" s="19">
        <v>81687886.060643494</v>
      </c>
      <c r="J35" s="19">
        <v>49418319.526525803</v>
      </c>
      <c r="K35" s="19">
        <v>23952570.404968601</v>
      </c>
      <c r="L35" s="19">
        <v>51727062.722152598</v>
      </c>
      <c r="M35" s="19">
        <v>10885899.5352103</v>
      </c>
      <c r="N35" s="19">
        <v>35967199.2637394</v>
      </c>
      <c r="O35" s="19">
        <v>19903155.950842701</v>
      </c>
      <c r="P35" s="19">
        <v>19717113.371896099</v>
      </c>
      <c r="Q35" s="19">
        <v>37090632.127917603</v>
      </c>
      <c r="R35" s="19">
        <v>18088633.433522701</v>
      </c>
      <c r="S35" s="19">
        <v>13482091.1086585</v>
      </c>
      <c r="T35" s="19">
        <v>22175914.737617198</v>
      </c>
      <c r="U35" s="19">
        <v>27687169.007828999</v>
      </c>
      <c r="V35" s="19">
        <v>19596217.765617799</v>
      </c>
      <c r="W35" s="19">
        <v>54110905.513489</v>
      </c>
      <c r="X35" s="19">
        <v>10569374.970818</v>
      </c>
      <c r="Y35" s="19">
        <v>42723961.570809498</v>
      </c>
      <c r="Z35" s="19">
        <v>59473321.116125599</v>
      </c>
      <c r="AA35" s="19">
        <v>4006169.6424203599</v>
      </c>
      <c r="AB35" s="19">
        <v>15451656.157005301</v>
      </c>
      <c r="AC35" s="19">
        <v>2301900.8425521599</v>
      </c>
      <c r="AD35" s="19">
        <v>565625.06653206202</v>
      </c>
      <c r="AE35" s="19">
        <v>143079872.33824301</v>
      </c>
      <c r="AF35" s="19">
        <v>11226156.781745801</v>
      </c>
      <c r="AG35" s="19">
        <v>35456523.308043502</v>
      </c>
      <c r="AH35" s="19">
        <v>28035741.060201</v>
      </c>
      <c r="AI35" s="19">
        <v>15872913.5323215</v>
      </c>
      <c r="AJ35" s="19">
        <v>5735570.8359558098</v>
      </c>
      <c r="AK35" s="19">
        <v>3311533.5759604299</v>
      </c>
      <c r="AL35" s="19">
        <v>34868107.184738502</v>
      </c>
      <c r="AM35" s="19">
        <v>7310894.07936115</v>
      </c>
      <c r="AN35" s="19">
        <v>13897489.3645106</v>
      </c>
      <c r="AO35" s="19">
        <v>8483107.7031672597</v>
      </c>
      <c r="AP35" s="19">
        <v>6371391.4748348603</v>
      </c>
      <c r="AQ35" s="19">
        <v>34246220.181799702</v>
      </c>
      <c r="AR35" s="19">
        <v>4838226.8271174803</v>
      </c>
      <c r="AS35" s="19">
        <v>15105573.595953301</v>
      </c>
      <c r="AT35" s="19">
        <v>1008676233.15992</v>
      </c>
      <c r="AU35" s="19">
        <v>51457511.092132501</v>
      </c>
      <c r="AV35" s="19">
        <v>166522713.313402</v>
      </c>
      <c r="AW35" s="19">
        <v>217980224.405534</v>
      </c>
      <c r="AX35" s="19">
        <v>0</v>
      </c>
      <c r="AY35" s="19">
        <v>217980224.405534</v>
      </c>
      <c r="AZ35" s="19">
        <v>84921149.455762297</v>
      </c>
      <c r="BA35" s="19">
        <v>8345553.6658840599</v>
      </c>
      <c r="BB35" s="19">
        <v>93266703.121646494</v>
      </c>
      <c r="BC35" s="19">
        <v>178591537.87247801</v>
      </c>
      <c r="BD35" s="19">
        <v>489838465.39965898</v>
      </c>
      <c r="BE35" s="19">
        <v>0</v>
      </c>
      <c r="BF35" s="19">
        <v>1498514698.5595801</v>
      </c>
    </row>
    <row r="36" spans="1:58" ht="21.6" x14ac:dyDescent="0.25">
      <c r="A36" s="100"/>
      <c r="B36" s="17" t="s">
        <v>45</v>
      </c>
      <c r="C36" s="20" t="s">
        <v>99</v>
      </c>
      <c r="D36" s="19">
        <v>25502816.8995248</v>
      </c>
      <c r="E36" s="19">
        <v>5466615.4697256703</v>
      </c>
      <c r="F36" s="19">
        <v>662325.93177021295</v>
      </c>
      <c r="G36" s="19">
        <v>3705387.6243679901</v>
      </c>
      <c r="H36" s="19">
        <v>459922.389176214</v>
      </c>
      <c r="I36" s="19">
        <v>33568250.7764825</v>
      </c>
      <c r="J36" s="19">
        <v>30654371.8358142</v>
      </c>
      <c r="K36" s="19">
        <v>8982067.3529972397</v>
      </c>
      <c r="L36" s="19">
        <v>20843806.401541501</v>
      </c>
      <c r="M36" s="19">
        <v>11193285.5741792</v>
      </c>
      <c r="N36" s="19">
        <v>31172179.9123803</v>
      </c>
      <c r="O36" s="19">
        <v>11209228.5782545</v>
      </c>
      <c r="P36" s="19">
        <v>13733058.033603299</v>
      </c>
      <c r="Q36" s="19">
        <v>25345785.753468301</v>
      </c>
      <c r="R36" s="19">
        <v>19869246.551746801</v>
      </c>
      <c r="S36" s="19">
        <v>13197425.411509201</v>
      </c>
      <c r="T36" s="19">
        <v>15073279.3625574</v>
      </c>
      <c r="U36" s="19">
        <v>16500075.924443601</v>
      </c>
      <c r="V36" s="19">
        <v>14118443.387983499</v>
      </c>
      <c r="W36" s="19">
        <v>24769356.2474804</v>
      </c>
      <c r="X36" s="19">
        <v>4521511.0037380997</v>
      </c>
      <c r="Y36" s="19">
        <v>22153380.483358599</v>
      </c>
      <c r="Z36" s="19">
        <v>18528288.710067999</v>
      </c>
      <c r="AA36" s="19">
        <v>2444020.0275438898</v>
      </c>
      <c r="AB36" s="19">
        <v>12897844.057169201</v>
      </c>
      <c r="AC36" s="19">
        <v>1690453.88206179</v>
      </c>
      <c r="AD36" s="19">
        <v>399060.12304012902</v>
      </c>
      <c r="AE36" s="19">
        <v>77457881.624707803</v>
      </c>
      <c r="AF36" s="19">
        <v>90975726.641584098</v>
      </c>
      <c r="AG36" s="19">
        <v>173252511.26195401</v>
      </c>
      <c r="AH36" s="19">
        <v>15280892.5786233</v>
      </c>
      <c r="AI36" s="19">
        <v>13780271.547948699</v>
      </c>
      <c r="AJ36" s="19">
        <v>13542347.8239497</v>
      </c>
      <c r="AK36" s="19">
        <v>4279025.9934587199</v>
      </c>
      <c r="AL36" s="19">
        <v>57539641.480696499</v>
      </c>
      <c r="AM36" s="19">
        <v>9247844.2679492496</v>
      </c>
      <c r="AN36" s="19">
        <v>18900788.576480001</v>
      </c>
      <c r="AO36" s="19">
        <v>7465876.5164753599</v>
      </c>
      <c r="AP36" s="19">
        <v>12170731.8832801</v>
      </c>
      <c r="AQ36" s="19">
        <v>15774297.659290999</v>
      </c>
      <c r="AR36" s="19">
        <v>5216650.8288543904</v>
      </c>
      <c r="AS36" s="19">
        <v>30875236.414519198</v>
      </c>
      <c r="AT36" s="19">
        <v>925439145.45276201</v>
      </c>
      <c r="AU36" s="19">
        <v>30607379.101441901</v>
      </c>
      <c r="AV36" s="19">
        <v>107378578.754783</v>
      </c>
      <c r="AW36" s="19">
        <v>137985957.85622501</v>
      </c>
      <c r="AX36" s="19">
        <v>42787710.951599598</v>
      </c>
      <c r="AY36" s="19">
        <v>180773668.807825</v>
      </c>
      <c r="AZ36" s="19">
        <v>34380961.708352</v>
      </c>
      <c r="BA36" s="19">
        <v>2787948.9429763998</v>
      </c>
      <c r="BB36" s="19">
        <v>37168910.651328497</v>
      </c>
      <c r="BC36" s="19">
        <v>95111712.935939193</v>
      </c>
      <c r="BD36" s="19">
        <v>313054292.39509201</v>
      </c>
      <c r="BE36" s="19">
        <v>39322169.213351302</v>
      </c>
      <c r="BF36" s="19">
        <v>1199171268.6345</v>
      </c>
    </row>
    <row r="37" spans="1:58" ht="21.6" x14ac:dyDescent="0.25">
      <c r="A37" s="100"/>
      <c r="B37" s="17" t="s">
        <v>46</v>
      </c>
      <c r="C37" s="20" t="s">
        <v>100</v>
      </c>
      <c r="D37" s="19">
        <v>2365578.9880881701</v>
      </c>
      <c r="E37" s="19">
        <v>762175.49667994701</v>
      </c>
      <c r="F37" s="19">
        <v>199599.92691240201</v>
      </c>
      <c r="G37" s="19">
        <v>842149.98613457906</v>
      </c>
      <c r="H37" s="19">
        <v>109283.546670268</v>
      </c>
      <c r="I37" s="19">
        <v>5081633.5890060896</v>
      </c>
      <c r="J37" s="19">
        <v>2389261.74244902</v>
      </c>
      <c r="K37" s="19">
        <v>1133676.64022426</v>
      </c>
      <c r="L37" s="19">
        <v>3087924.9706234699</v>
      </c>
      <c r="M37" s="19">
        <v>858498.177586523</v>
      </c>
      <c r="N37" s="19">
        <v>3499576.9477412901</v>
      </c>
      <c r="O37" s="19">
        <v>3967101.9921749802</v>
      </c>
      <c r="P37" s="19">
        <v>1394763.17711906</v>
      </c>
      <c r="Q37" s="19">
        <v>4067231.6033907202</v>
      </c>
      <c r="R37" s="19">
        <v>2414344.96716937</v>
      </c>
      <c r="S37" s="19">
        <v>1033268.47012779</v>
      </c>
      <c r="T37" s="19">
        <v>2894258.5718172202</v>
      </c>
      <c r="U37" s="19">
        <v>2733036.73885831</v>
      </c>
      <c r="V37" s="19">
        <v>3475131.3451918298</v>
      </c>
      <c r="W37" s="19">
        <v>2884251.2143198401</v>
      </c>
      <c r="X37" s="19">
        <v>837981.49521439301</v>
      </c>
      <c r="Y37" s="19">
        <v>3803760.4041102901</v>
      </c>
      <c r="Z37" s="19">
        <v>4571761.3817649903</v>
      </c>
      <c r="AA37" s="19">
        <v>553103.52908509702</v>
      </c>
      <c r="AB37" s="19">
        <v>2051215.08631479</v>
      </c>
      <c r="AC37" s="19">
        <v>224739.51470622499</v>
      </c>
      <c r="AD37" s="19">
        <v>196672.810478203</v>
      </c>
      <c r="AE37" s="19">
        <v>14884407.391132699</v>
      </c>
      <c r="AF37" s="19">
        <v>7190141.5956000304</v>
      </c>
      <c r="AG37" s="19">
        <v>21824752.656176601</v>
      </c>
      <c r="AH37" s="19">
        <v>939543.14637547301</v>
      </c>
      <c r="AI37" s="19">
        <v>5890208.15955415</v>
      </c>
      <c r="AJ37" s="19">
        <v>28451801.880011</v>
      </c>
      <c r="AK37" s="19">
        <v>4188796.83246565</v>
      </c>
      <c r="AL37" s="19">
        <v>46050709.454658702</v>
      </c>
      <c r="AM37" s="19">
        <v>9505464.4839702006</v>
      </c>
      <c r="AN37" s="19">
        <v>17842364.908427902</v>
      </c>
      <c r="AO37" s="19">
        <v>3362199.60532963</v>
      </c>
      <c r="AP37" s="19">
        <v>12682565.3168176</v>
      </c>
      <c r="AQ37" s="19">
        <v>1987214.01266115</v>
      </c>
      <c r="AR37" s="19">
        <v>5104499.0634741597</v>
      </c>
      <c r="AS37" s="19">
        <v>38154941.923845701</v>
      </c>
      <c r="AT37" s="19">
        <v>274357916.10423601</v>
      </c>
      <c r="AU37" s="19">
        <v>26632162.7816424</v>
      </c>
      <c r="AV37" s="19">
        <v>156061116.80866599</v>
      </c>
      <c r="AW37" s="19">
        <v>182693279.59030801</v>
      </c>
      <c r="AX37" s="19">
        <v>0</v>
      </c>
      <c r="AY37" s="19">
        <v>182693279.59030801</v>
      </c>
      <c r="AZ37" s="19">
        <v>0</v>
      </c>
      <c r="BA37" s="19">
        <v>0</v>
      </c>
      <c r="BB37" s="19">
        <v>0</v>
      </c>
      <c r="BC37" s="19">
        <v>2705954.49598409</v>
      </c>
      <c r="BD37" s="19">
        <v>185399234.08629301</v>
      </c>
      <c r="BE37" s="19">
        <v>27767390.085102599</v>
      </c>
      <c r="BF37" s="19">
        <v>431989760.105425</v>
      </c>
    </row>
    <row r="38" spans="1:58" ht="32.4" x14ac:dyDescent="0.25">
      <c r="A38" s="100"/>
      <c r="B38" s="17" t="s">
        <v>47</v>
      </c>
      <c r="C38" s="20" t="s">
        <v>101</v>
      </c>
      <c r="D38" s="19">
        <v>2380372.7882407499</v>
      </c>
      <c r="E38" s="19">
        <v>321232.86135543702</v>
      </c>
      <c r="F38" s="19">
        <v>130830.941198361</v>
      </c>
      <c r="G38" s="19">
        <v>660885.16421326098</v>
      </c>
      <c r="H38" s="19">
        <v>51314.843354326003</v>
      </c>
      <c r="I38" s="19">
        <v>2985457.2071557702</v>
      </c>
      <c r="J38" s="19">
        <v>2795304.3033230598</v>
      </c>
      <c r="K38" s="19">
        <v>702160.28093722498</v>
      </c>
      <c r="L38" s="19">
        <v>2870632.0237698499</v>
      </c>
      <c r="M38" s="19">
        <v>297324.707152127</v>
      </c>
      <c r="N38" s="19">
        <v>2928437.6155691799</v>
      </c>
      <c r="O38" s="19">
        <v>1802778.23692655</v>
      </c>
      <c r="P38" s="19">
        <v>1073247.9677768799</v>
      </c>
      <c r="Q38" s="19">
        <v>1879832.34809695</v>
      </c>
      <c r="R38" s="19">
        <v>758487.52028575598</v>
      </c>
      <c r="S38" s="19">
        <v>759639.70492993901</v>
      </c>
      <c r="T38" s="19">
        <v>1666606.6070314299</v>
      </c>
      <c r="U38" s="19">
        <v>3216940.16125764</v>
      </c>
      <c r="V38" s="19">
        <v>2097447.4664449599</v>
      </c>
      <c r="W38" s="19">
        <v>2312784.1849024901</v>
      </c>
      <c r="X38" s="19">
        <v>739434.71481951897</v>
      </c>
      <c r="Y38" s="19">
        <v>3891181.9173671198</v>
      </c>
      <c r="Z38" s="19">
        <v>26849254.1742833</v>
      </c>
      <c r="AA38" s="19">
        <v>290368.47980838799</v>
      </c>
      <c r="AB38" s="19">
        <v>4714676.0832067998</v>
      </c>
      <c r="AC38" s="19">
        <v>378597.82045240502</v>
      </c>
      <c r="AD38" s="19">
        <v>364023.25841085502</v>
      </c>
      <c r="AE38" s="19">
        <v>39431330.986085199</v>
      </c>
      <c r="AF38" s="19">
        <v>11266280.2419986</v>
      </c>
      <c r="AG38" s="19">
        <v>36361881.152962402</v>
      </c>
      <c r="AH38" s="19">
        <v>3189231.6805301402</v>
      </c>
      <c r="AI38" s="19">
        <v>194104989.05070299</v>
      </c>
      <c r="AJ38" s="19">
        <v>41502192.8395724</v>
      </c>
      <c r="AK38" s="19">
        <v>8707730.9318200592</v>
      </c>
      <c r="AL38" s="19">
        <v>14421754.3457487</v>
      </c>
      <c r="AM38" s="19">
        <v>3120866.5165921198</v>
      </c>
      <c r="AN38" s="19">
        <v>11332785.543717699</v>
      </c>
      <c r="AO38" s="19">
        <v>1805080.1013281799</v>
      </c>
      <c r="AP38" s="19">
        <v>10760607.881895101</v>
      </c>
      <c r="AQ38" s="19">
        <v>10365566.128374999</v>
      </c>
      <c r="AR38" s="19">
        <v>2895577.2704651402</v>
      </c>
      <c r="AS38" s="19">
        <v>51257794.8407465</v>
      </c>
      <c r="AT38" s="19">
        <v>508740762.61387402</v>
      </c>
      <c r="AU38" s="19">
        <v>27729871.4639141</v>
      </c>
      <c r="AV38" s="19">
        <v>96992063.336868405</v>
      </c>
      <c r="AW38" s="19">
        <v>124721934.80078299</v>
      </c>
      <c r="AX38" s="19">
        <v>0</v>
      </c>
      <c r="AY38" s="19">
        <v>124721934.80078299</v>
      </c>
      <c r="AZ38" s="19">
        <v>328686630.65903503</v>
      </c>
      <c r="BA38" s="19">
        <v>0</v>
      </c>
      <c r="BB38" s="19">
        <v>328686630.65903503</v>
      </c>
      <c r="BC38" s="19">
        <v>30745009.333072402</v>
      </c>
      <c r="BD38" s="19">
        <v>484153574.79289001</v>
      </c>
      <c r="BE38" s="19">
        <v>27651547.580722298</v>
      </c>
      <c r="BF38" s="19">
        <v>965242789.82604098</v>
      </c>
    </row>
    <row r="39" spans="1:58" ht="21.6" x14ac:dyDescent="0.25">
      <c r="A39" s="100"/>
      <c r="B39" s="17" t="s">
        <v>48</v>
      </c>
      <c r="C39" s="20" t="s">
        <v>102</v>
      </c>
      <c r="D39" s="19">
        <v>15766818.180193</v>
      </c>
      <c r="E39" s="19">
        <v>11355297.9950202</v>
      </c>
      <c r="F39" s="19">
        <v>3523955.0546134901</v>
      </c>
      <c r="G39" s="19">
        <v>5093818.7846388901</v>
      </c>
      <c r="H39" s="19">
        <v>364840.56967419299</v>
      </c>
      <c r="I39" s="19">
        <v>6436987.4079373898</v>
      </c>
      <c r="J39" s="19">
        <v>6249925.8013545396</v>
      </c>
      <c r="K39" s="19">
        <v>2488537.4583907099</v>
      </c>
      <c r="L39" s="19">
        <v>8811327.1266631093</v>
      </c>
      <c r="M39" s="19">
        <v>5416578.4359622402</v>
      </c>
      <c r="N39" s="19">
        <v>13092551.2328758</v>
      </c>
      <c r="O39" s="19">
        <v>6602747.3756686496</v>
      </c>
      <c r="P39" s="19">
        <v>4242624.0443470702</v>
      </c>
      <c r="Q39" s="19">
        <v>14297153.9563694</v>
      </c>
      <c r="R39" s="19">
        <v>20570210.4352994</v>
      </c>
      <c r="S39" s="19">
        <v>12597606.312720601</v>
      </c>
      <c r="T39" s="19">
        <v>9590467.50565698</v>
      </c>
      <c r="U39" s="19">
        <v>7295027.1000640998</v>
      </c>
      <c r="V39" s="19">
        <v>7663645.7644708296</v>
      </c>
      <c r="W39" s="19">
        <v>5381052.8415667396</v>
      </c>
      <c r="X39" s="19">
        <v>1960594.08092552</v>
      </c>
      <c r="Y39" s="19">
        <v>9787171.45932322</v>
      </c>
      <c r="Z39" s="19">
        <v>19032060.787423901</v>
      </c>
      <c r="AA39" s="19">
        <v>1872017.3346531701</v>
      </c>
      <c r="AB39" s="19">
        <v>30701715.880519599</v>
      </c>
      <c r="AC39" s="19">
        <v>2949098.61340047</v>
      </c>
      <c r="AD39" s="19">
        <v>2337898.0729335099</v>
      </c>
      <c r="AE39" s="19">
        <v>104688408.690953</v>
      </c>
      <c r="AF39" s="19">
        <v>66615980.037014998</v>
      </c>
      <c r="AG39" s="19">
        <v>112449320.143672</v>
      </c>
      <c r="AH39" s="19">
        <v>4074223.4112146799</v>
      </c>
      <c r="AI39" s="19">
        <v>19132082.7698179</v>
      </c>
      <c r="AJ39" s="19">
        <v>88119497.319638893</v>
      </c>
      <c r="AK39" s="19">
        <v>120667640.234183</v>
      </c>
      <c r="AL39" s="19">
        <v>66178193.697203703</v>
      </c>
      <c r="AM39" s="19">
        <v>2215790.5328792399</v>
      </c>
      <c r="AN39" s="19">
        <v>20409284.7257853</v>
      </c>
      <c r="AO39" s="19">
        <v>3820089.7894017198</v>
      </c>
      <c r="AP39" s="19">
        <v>14202032.2973217</v>
      </c>
      <c r="AQ39" s="19">
        <v>3588207.51262978</v>
      </c>
      <c r="AR39" s="19">
        <v>3870128.1601535399</v>
      </c>
      <c r="AS39" s="19">
        <v>24922671.979609702</v>
      </c>
      <c r="AT39" s="19">
        <v>887946743.45575595</v>
      </c>
      <c r="AU39" s="19">
        <v>42322847.945521198</v>
      </c>
      <c r="AV39" s="19">
        <v>257666069.66063899</v>
      </c>
      <c r="AW39" s="19">
        <v>299988917.606161</v>
      </c>
      <c r="AX39" s="19">
        <v>45102452.991895698</v>
      </c>
      <c r="AY39" s="19">
        <v>345091370.59805697</v>
      </c>
      <c r="AZ39" s="19">
        <v>0</v>
      </c>
      <c r="BA39" s="19">
        <v>0</v>
      </c>
      <c r="BB39" s="19">
        <v>0</v>
      </c>
      <c r="BC39" s="19">
        <v>6895161.3437699499</v>
      </c>
      <c r="BD39" s="19">
        <v>351986531.94182599</v>
      </c>
      <c r="BE39" s="19">
        <v>10563119.925339</v>
      </c>
      <c r="BF39" s="19">
        <v>1229370155.47224</v>
      </c>
    </row>
    <row r="40" spans="1:58" x14ac:dyDescent="0.25">
      <c r="A40" s="100"/>
      <c r="B40" s="17" t="s">
        <v>49</v>
      </c>
      <c r="C40" s="20" t="s">
        <v>103</v>
      </c>
      <c r="D40" s="19">
        <v>20082.659692497</v>
      </c>
      <c r="E40" s="19">
        <v>154368.02123161001</v>
      </c>
      <c r="F40" s="19">
        <v>30567.8260411511</v>
      </c>
      <c r="G40" s="19">
        <v>19898.1266009709</v>
      </c>
      <c r="H40" s="19">
        <v>23226.7155544534</v>
      </c>
      <c r="I40" s="19">
        <v>368861.65740346297</v>
      </c>
      <c r="J40" s="19">
        <v>288885.35468097398</v>
      </c>
      <c r="K40" s="19">
        <v>231530.11877910901</v>
      </c>
      <c r="L40" s="19">
        <v>416231.79099395499</v>
      </c>
      <c r="M40" s="19">
        <v>11998.50796184</v>
      </c>
      <c r="N40" s="19">
        <v>162231.238773794</v>
      </c>
      <c r="O40" s="19">
        <v>83152.339185095101</v>
      </c>
      <c r="P40" s="19">
        <v>382335.98193726502</v>
      </c>
      <c r="Q40" s="19">
        <v>308749.03082849999</v>
      </c>
      <c r="R40" s="19">
        <v>13759.602691317399</v>
      </c>
      <c r="S40" s="19">
        <v>26366.781774939202</v>
      </c>
      <c r="T40" s="19">
        <v>274687.64752175601</v>
      </c>
      <c r="U40" s="19">
        <v>363253.37029321102</v>
      </c>
      <c r="V40" s="19">
        <v>219130.96665667699</v>
      </c>
      <c r="W40" s="19">
        <v>250810.52486964199</v>
      </c>
      <c r="X40" s="19">
        <v>146868.164765758</v>
      </c>
      <c r="Y40" s="19">
        <v>470907.96131708898</v>
      </c>
      <c r="Z40" s="19">
        <v>699524.37305979105</v>
      </c>
      <c r="AA40" s="19">
        <v>307943.65353746398</v>
      </c>
      <c r="AB40" s="19">
        <v>142396.25576479899</v>
      </c>
      <c r="AC40" s="19">
        <v>67003.995144613596</v>
      </c>
      <c r="AD40" s="19">
        <v>57196.021567538002</v>
      </c>
      <c r="AE40" s="19">
        <v>529996.06552817405</v>
      </c>
      <c r="AF40" s="19">
        <v>109562548.179287</v>
      </c>
      <c r="AG40" s="19">
        <v>15294260.5489939</v>
      </c>
      <c r="AH40" s="19">
        <v>18203225.337623</v>
      </c>
      <c r="AI40" s="19">
        <v>63369467.412171103</v>
      </c>
      <c r="AJ40" s="19">
        <v>74704849.541175306</v>
      </c>
      <c r="AK40" s="19">
        <v>44133548.918102302</v>
      </c>
      <c r="AL40" s="19">
        <v>58013520.616728298</v>
      </c>
      <c r="AM40" s="19">
        <v>3738744.5800551898</v>
      </c>
      <c r="AN40" s="19">
        <v>8758746.6943565309</v>
      </c>
      <c r="AO40" s="19">
        <v>30523399.633694999</v>
      </c>
      <c r="AP40" s="19">
        <v>21605085.831631999</v>
      </c>
      <c r="AQ40" s="19">
        <v>7425864.63189016</v>
      </c>
      <c r="AR40" s="19">
        <v>6106378.2433424303</v>
      </c>
      <c r="AS40" s="19">
        <v>16933128.687311999</v>
      </c>
      <c r="AT40" s="42">
        <v>484213203.49174303</v>
      </c>
      <c r="AU40" s="43">
        <v>106799901.48438001</v>
      </c>
      <c r="AV40" s="43">
        <v>442660375.35766399</v>
      </c>
      <c r="AW40" s="42">
        <v>549460276.842044</v>
      </c>
      <c r="AX40" s="43">
        <v>0</v>
      </c>
      <c r="AY40" s="42">
        <v>549460276.842044</v>
      </c>
      <c r="AZ40" s="43">
        <v>32960000</v>
      </c>
      <c r="BA40" s="43">
        <v>0</v>
      </c>
      <c r="BB40" s="42">
        <v>32960000</v>
      </c>
      <c r="BC40" s="43">
        <v>0</v>
      </c>
      <c r="BD40" s="61">
        <v>582420276.842044</v>
      </c>
      <c r="BE40" s="43">
        <v>0</v>
      </c>
      <c r="BF40" s="44">
        <v>1066633480.3337899</v>
      </c>
    </row>
    <row r="41" spans="1:58" ht="21.6" x14ac:dyDescent="0.25">
      <c r="A41" s="100"/>
      <c r="B41" s="17" t="s">
        <v>50</v>
      </c>
      <c r="C41" s="20" t="s">
        <v>104</v>
      </c>
      <c r="D41" s="19">
        <v>3129882.2488734</v>
      </c>
      <c r="E41" s="19">
        <v>7849725.1383739896</v>
      </c>
      <c r="F41" s="19">
        <v>1555028.2144507901</v>
      </c>
      <c r="G41" s="19">
        <v>4119545.5737890298</v>
      </c>
      <c r="H41" s="19">
        <v>372693.72858292999</v>
      </c>
      <c r="I41" s="19">
        <v>29453725.832132298</v>
      </c>
      <c r="J41" s="19">
        <v>13137051.9205012</v>
      </c>
      <c r="K41" s="19">
        <v>3192072.9113833299</v>
      </c>
      <c r="L41" s="19">
        <v>13280152.6862859</v>
      </c>
      <c r="M41" s="19">
        <v>5462401.4564253297</v>
      </c>
      <c r="N41" s="19">
        <v>12564972.5615984</v>
      </c>
      <c r="O41" s="19">
        <v>17577354.936966401</v>
      </c>
      <c r="P41" s="19">
        <v>7884997.0104298303</v>
      </c>
      <c r="Q41" s="19">
        <v>12561166.321784901</v>
      </c>
      <c r="R41" s="19">
        <v>4776147.5989378104</v>
      </c>
      <c r="S41" s="19">
        <v>2689490.4995318698</v>
      </c>
      <c r="T41" s="19">
        <v>8356979.5537029998</v>
      </c>
      <c r="U41" s="19">
        <v>11688945.121528801</v>
      </c>
      <c r="V41" s="19">
        <v>10242614.5158324</v>
      </c>
      <c r="W41" s="19">
        <v>17330624.9111703</v>
      </c>
      <c r="X41" s="19">
        <v>2164350.08201198</v>
      </c>
      <c r="Y41" s="19">
        <v>13481919.167808199</v>
      </c>
      <c r="Z41" s="19">
        <v>20098279.286866501</v>
      </c>
      <c r="AA41" s="19">
        <v>1727034.3058073199</v>
      </c>
      <c r="AB41" s="19">
        <v>4572205.4078474399</v>
      </c>
      <c r="AC41" s="19">
        <v>1778231.98856279</v>
      </c>
      <c r="AD41" s="19">
        <v>496311.83405932301</v>
      </c>
      <c r="AE41" s="19">
        <v>52549966.346371099</v>
      </c>
      <c r="AF41" s="19">
        <v>159935089.74753299</v>
      </c>
      <c r="AG41" s="19">
        <v>36186483.1966158</v>
      </c>
      <c r="AH41" s="19">
        <v>8687960.0839802604</v>
      </c>
      <c r="AI41" s="19">
        <v>74215811.333413094</v>
      </c>
      <c r="AJ41" s="19">
        <v>77042668.512262002</v>
      </c>
      <c r="AK41" s="19">
        <v>65627876.7691359</v>
      </c>
      <c r="AL41" s="19">
        <v>104609027.14887901</v>
      </c>
      <c r="AM41" s="19">
        <v>8846749.5698839799</v>
      </c>
      <c r="AN41" s="19">
        <v>27453542.088415399</v>
      </c>
      <c r="AO41" s="19">
        <v>7215213.4638893995</v>
      </c>
      <c r="AP41" s="19">
        <v>5708290.1259355703</v>
      </c>
      <c r="AQ41" s="19">
        <v>2729915.7078018002</v>
      </c>
      <c r="AR41" s="19">
        <v>7213133.8737245798</v>
      </c>
      <c r="AS41" s="19">
        <v>28124552.034899201</v>
      </c>
      <c r="AT41" s="19">
        <v>894498111.90660298</v>
      </c>
      <c r="AU41" s="19">
        <v>1757638.98538596</v>
      </c>
      <c r="AV41" s="19">
        <v>34063051.8751361</v>
      </c>
      <c r="AW41" s="19">
        <v>35820690.860522099</v>
      </c>
      <c r="AX41" s="19">
        <v>22155634.737713002</v>
      </c>
      <c r="AY41" s="19">
        <v>57976325.598235101</v>
      </c>
      <c r="AZ41" s="19">
        <v>0</v>
      </c>
      <c r="BA41" s="19">
        <v>0</v>
      </c>
      <c r="BB41" s="19">
        <v>0</v>
      </c>
      <c r="BC41" s="19">
        <v>40525349.164613903</v>
      </c>
      <c r="BD41" s="19">
        <v>98501674.762849003</v>
      </c>
      <c r="BE41" s="19">
        <v>30437186.0607545</v>
      </c>
      <c r="BF41" s="19">
        <v>962562600.60869706</v>
      </c>
    </row>
    <row r="42" spans="1:58" ht="21.6" x14ac:dyDescent="0.25">
      <c r="A42" s="100"/>
      <c r="B42" s="17" t="s">
        <v>51</v>
      </c>
      <c r="C42" s="20" t="s">
        <v>105</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860250.38824139803</v>
      </c>
      <c r="AN42" s="19">
        <v>0</v>
      </c>
      <c r="AO42" s="19">
        <v>0</v>
      </c>
      <c r="AP42" s="19">
        <v>0</v>
      </c>
      <c r="AQ42" s="19">
        <v>0</v>
      </c>
      <c r="AR42" s="19">
        <v>0</v>
      </c>
      <c r="AS42" s="19">
        <v>0</v>
      </c>
      <c r="AT42" s="42">
        <v>860250.38824139803</v>
      </c>
      <c r="AU42" s="43">
        <v>0</v>
      </c>
      <c r="AV42" s="43">
        <v>0</v>
      </c>
      <c r="AW42" s="42">
        <v>0</v>
      </c>
      <c r="AX42" s="43">
        <v>60926779.103685901</v>
      </c>
      <c r="AY42" s="42">
        <v>60926779.103685901</v>
      </c>
      <c r="AZ42" s="43">
        <v>187839985.89905101</v>
      </c>
      <c r="BA42" s="43">
        <v>0</v>
      </c>
      <c r="BB42" s="42">
        <v>187839985.89905101</v>
      </c>
      <c r="BC42" s="43">
        <v>9676778.9460403305</v>
      </c>
      <c r="BD42" s="61">
        <v>258443543.94877699</v>
      </c>
      <c r="BE42" s="43">
        <v>27747226.1777905</v>
      </c>
      <c r="BF42" s="44">
        <v>231556568.159228</v>
      </c>
    </row>
    <row r="43" spans="1:58" ht="21.6" x14ac:dyDescent="0.25">
      <c r="A43" s="100"/>
      <c r="B43" s="17" t="s">
        <v>52</v>
      </c>
      <c r="C43" s="20" t="s">
        <v>106</v>
      </c>
      <c r="D43" s="19">
        <v>8183686.4984879</v>
      </c>
      <c r="E43" s="19">
        <v>2051462.5413861801</v>
      </c>
      <c r="F43" s="19">
        <v>439977.22522319399</v>
      </c>
      <c r="G43" s="19">
        <v>2152967.3999973601</v>
      </c>
      <c r="H43" s="19">
        <v>231921.08252613299</v>
      </c>
      <c r="I43" s="19">
        <v>1676472.6376771899</v>
      </c>
      <c r="J43" s="19">
        <v>1471681.3707582799</v>
      </c>
      <c r="K43" s="19">
        <v>953469.34393643099</v>
      </c>
      <c r="L43" s="19">
        <v>2297490.7446818901</v>
      </c>
      <c r="M43" s="19">
        <v>231164.630889436</v>
      </c>
      <c r="N43" s="19">
        <v>7275667.2874377202</v>
      </c>
      <c r="O43" s="19">
        <v>1930217.26939713</v>
      </c>
      <c r="P43" s="19">
        <v>1274308.3404329901</v>
      </c>
      <c r="Q43" s="19">
        <v>2805612.4768574801</v>
      </c>
      <c r="R43" s="19">
        <v>2192418.97039587</v>
      </c>
      <c r="S43" s="19">
        <v>1092155.93932901</v>
      </c>
      <c r="T43" s="19">
        <v>2353821.5669880202</v>
      </c>
      <c r="U43" s="19">
        <v>2501260.76717408</v>
      </c>
      <c r="V43" s="19">
        <v>3941338.7136013</v>
      </c>
      <c r="W43" s="19">
        <v>7517546.71555347</v>
      </c>
      <c r="X43" s="19">
        <v>1917876.8857104699</v>
      </c>
      <c r="Y43" s="19">
        <v>3565826.6950027798</v>
      </c>
      <c r="Z43" s="19">
        <v>10154751.005095899</v>
      </c>
      <c r="AA43" s="19">
        <v>228523.154110395</v>
      </c>
      <c r="AB43" s="19">
        <v>3652469.7056428902</v>
      </c>
      <c r="AC43" s="19">
        <v>10048.662790447601</v>
      </c>
      <c r="AD43" s="19">
        <v>43760.738152455699</v>
      </c>
      <c r="AE43" s="19">
        <v>240915312.73825899</v>
      </c>
      <c r="AF43" s="19">
        <v>11282048.0261098</v>
      </c>
      <c r="AG43" s="19">
        <v>3801996.45327027</v>
      </c>
      <c r="AH43" s="19">
        <v>167826.700410252</v>
      </c>
      <c r="AI43" s="19">
        <v>3281325.0035332399</v>
      </c>
      <c r="AJ43" s="19">
        <v>841145.41304402298</v>
      </c>
      <c r="AK43" s="19">
        <v>886848.71732186596</v>
      </c>
      <c r="AL43" s="19">
        <v>123358.933337507</v>
      </c>
      <c r="AM43" s="19">
        <v>13591265.8409639</v>
      </c>
      <c r="AN43" s="19">
        <v>72827591.494632795</v>
      </c>
      <c r="AO43" s="19">
        <v>14101.0968310876</v>
      </c>
      <c r="AP43" s="19">
        <v>1373597.44737479</v>
      </c>
      <c r="AQ43" s="19">
        <v>250745.104060527</v>
      </c>
      <c r="AR43" s="19">
        <v>31778.2614969229</v>
      </c>
      <c r="AS43" s="19">
        <v>690117.10367164598</v>
      </c>
      <c r="AT43" s="19">
        <v>421273487.35961699</v>
      </c>
      <c r="AU43" s="19">
        <v>845712.72625391802</v>
      </c>
      <c r="AV43" s="19">
        <v>3554225.2271068501</v>
      </c>
      <c r="AW43" s="19">
        <v>4399937.9533607699</v>
      </c>
      <c r="AX43" s="19">
        <v>85393018.048174903</v>
      </c>
      <c r="AY43" s="19">
        <v>89792956.001535699</v>
      </c>
      <c r="AZ43" s="19">
        <v>8718585.0500000007</v>
      </c>
      <c r="BA43" s="19">
        <v>0</v>
      </c>
      <c r="BB43" s="19">
        <v>8718585.0500000007</v>
      </c>
      <c r="BC43" s="19">
        <v>1387.71592662749</v>
      </c>
      <c r="BD43" s="19">
        <v>98512928.767462298</v>
      </c>
      <c r="BE43" s="19">
        <v>546.59866212170198</v>
      </c>
      <c r="BF43" s="19">
        <v>519785869.52841699</v>
      </c>
    </row>
    <row r="44" spans="1:58" ht="32.4" x14ac:dyDescent="0.25">
      <c r="A44" s="100"/>
      <c r="B44" s="17" t="s">
        <v>53</v>
      </c>
      <c r="C44" s="18" t="s">
        <v>107</v>
      </c>
      <c r="D44" s="19">
        <v>1162397.39834427</v>
      </c>
      <c r="E44" s="19">
        <v>1569830.502662</v>
      </c>
      <c r="F44" s="19">
        <v>159386.41042071499</v>
      </c>
      <c r="G44" s="19">
        <v>318946.29647918901</v>
      </c>
      <c r="H44" s="19">
        <v>31443.2389671735</v>
      </c>
      <c r="I44" s="19">
        <v>1801970.03318312</v>
      </c>
      <c r="J44" s="19">
        <v>1266265.8232640999</v>
      </c>
      <c r="K44" s="19">
        <v>748904.04015807004</v>
      </c>
      <c r="L44" s="19">
        <v>1959896.55437019</v>
      </c>
      <c r="M44" s="19">
        <v>696299.77172118402</v>
      </c>
      <c r="N44" s="19">
        <v>1882933.6113621099</v>
      </c>
      <c r="O44" s="19">
        <v>1374331.9906798201</v>
      </c>
      <c r="P44" s="19">
        <v>1144520.54790092</v>
      </c>
      <c r="Q44" s="19">
        <v>2152188.0837502601</v>
      </c>
      <c r="R44" s="19">
        <v>1142727.12728802</v>
      </c>
      <c r="S44" s="19">
        <v>369600.17646541999</v>
      </c>
      <c r="T44" s="19">
        <v>1871053.2094211699</v>
      </c>
      <c r="U44" s="19">
        <v>2177435.0947761</v>
      </c>
      <c r="V44" s="19">
        <v>1440596.56517176</v>
      </c>
      <c r="W44" s="19">
        <v>3661165.3887218498</v>
      </c>
      <c r="X44" s="19">
        <v>475779.72318513901</v>
      </c>
      <c r="Y44" s="19">
        <v>2650589.9530470702</v>
      </c>
      <c r="Z44" s="19">
        <v>3183056.1609925302</v>
      </c>
      <c r="AA44" s="19">
        <v>353088.74108188797</v>
      </c>
      <c r="AB44" s="19">
        <v>2395782.91856207</v>
      </c>
      <c r="AC44" s="19">
        <v>247361.96540363299</v>
      </c>
      <c r="AD44" s="19">
        <v>377392.45383433398</v>
      </c>
      <c r="AE44" s="19">
        <v>18589278.348517202</v>
      </c>
      <c r="AF44" s="19">
        <v>10936817.248268301</v>
      </c>
      <c r="AG44" s="19">
        <v>17956064.926748902</v>
      </c>
      <c r="AH44" s="19">
        <v>2370048.7500258801</v>
      </c>
      <c r="AI44" s="19">
        <v>2165345.5165395201</v>
      </c>
      <c r="AJ44" s="19">
        <v>3686570.7058681101</v>
      </c>
      <c r="AK44" s="19">
        <v>1817217.87257167</v>
      </c>
      <c r="AL44" s="19">
        <v>7553140.62261423</v>
      </c>
      <c r="AM44" s="19">
        <v>3501305.2251438298</v>
      </c>
      <c r="AN44" s="19">
        <v>6088183.5300455596</v>
      </c>
      <c r="AO44" s="19">
        <v>5478387.8782970803</v>
      </c>
      <c r="AP44" s="19">
        <v>6387727.0345332203</v>
      </c>
      <c r="AQ44" s="19">
        <v>3728248.68452788</v>
      </c>
      <c r="AR44" s="19">
        <v>2160584.8214631998</v>
      </c>
      <c r="AS44" s="19">
        <v>21334218.202364098</v>
      </c>
      <c r="AT44" s="19">
        <v>149619179.108585</v>
      </c>
      <c r="AU44" s="19">
        <v>25532574.6362359</v>
      </c>
      <c r="AV44" s="19">
        <v>126223906.314163</v>
      </c>
      <c r="AW44" s="19">
        <v>151756480.95039901</v>
      </c>
      <c r="AX44" s="19">
        <v>0</v>
      </c>
      <c r="AY44" s="19">
        <v>151756480.95039901</v>
      </c>
      <c r="AZ44" s="19">
        <v>0</v>
      </c>
      <c r="BA44" s="19">
        <v>0</v>
      </c>
      <c r="BB44" s="19">
        <v>0</v>
      </c>
      <c r="BC44" s="19">
        <v>97675.720235379995</v>
      </c>
      <c r="BD44" s="19">
        <v>151854156.670634</v>
      </c>
      <c r="BE44" s="19">
        <v>1135747.05678996</v>
      </c>
      <c r="BF44" s="19">
        <v>300337588.72242898</v>
      </c>
    </row>
    <row r="45" spans="1:58" x14ac:dyDescent="0.25">
      <c r="A45" s="100"/>
      <c r="B45" s="17" t="s">
        <v>54</v>
      </c>
      <c r="C45" s="18" t="s">
        <v>108</v>
      </c>
      <c r="D45" s="19">
        <v>167081.06331998101</v>
      </c>
      <c r="E45" s="19">
        <v>84289.854237092994</v>
      </c>
      <c r="F45" s="19">
        <v>10224.641401065899</v>
      </c>
      <c r="G45" s="19">
        <v>24879.367741705501</v>
      </c>
      <c r="H45" s="19">
        <v>2741.1637729004301</v>
      </c>
      <c r="I45" s="19">
        <v>142405.141809283</v>
      </c>
      <c r="J45" s="19">
        <v>107412.081915253</v>
      </c>
      <c r="K45" s="19">
        <v>64124.256356654798</v>
      </c>
      <c r="L45" s="19">
        <v>108319.73984558</v>
      </c>
      <c r="M45" s="19">
        <v>38711.843107244502</v>
      </c>
      <c r="N45" s="19">
        <v>101524.864179033</v>
      </c>
      <c r="O45" s="19">
        <v>107005.794391859</v>
      </c>
      <c r="P45" s="19">
        <v>53348.195398323602</v>
      </c>
      <c r="Q45" s="19">
        <v>126924.069557151</v>
      </c>
      <c r="R45" s="19">
        <v>33654.308581612502</v>
      </c>
      <c r="S45" s="19">
        <v>28190.028241189699</v>
      </c>
      <c r="T45" s="19">
        <v>113665.885247161</v>
      </c>
      <c r="U45" s="19">
        <v>153989.56078336501</v>
      </c>
      <c r="V45" s="19">
        <v>99155.720747533502</v>
      </c>
      <c r="W45" s="19">
        <v>104298.948935405</v>
      </c>
      <c r="X45" s="19">
        <v>28793.430408637301</v>
      </c>
      <c r="Y45" s="19">
        <v>91487.399886738101</v>
      </c>
      <c r="Z45" s="19">
        <v>136697.887802376</v>
      </c>
      <c r="AA45" s="19">
        <v>37989.488503676097</v>
      </c>
      <c r="AB45" s="19">
        <v>21622.444301002401</v>
      </c>
      <c r="AC45" s="19">
        <v>20627.188815816298</v>
      </c>
      <c r="AD45" s="19">
        <v>25220.108459746101</v>
      </c>
      <c r="AE45" s="19">
        <v>864553.12834388402</v>
      </c>
      <c r="AF45" s="19">
        <v>1556026.8212163199</v>
      </c>
      <c r="AG45" s="19">
        <v>1314848.2779828501</v>
      </c>
      <c r="AH45" s="19">
        <v>298521.32652886497</v>
      </c>
      <c r="AI45" s="19">
        <v>578304.51939634897</v>
      </c>
      <c r="AJ45" s="19">
        <v>3102120.9427249501</v>
      </c>
      <c r="AK45" s="19">
        <v>274596.44974074</v>
      </c>
      <c r="AL45" s="19">
        <v>576898.76788159704</v>
      </c>
      <c r="AM45" s="19">
        <v>142839.265608974</v>
      </c>
      <c r="AN45" s="19">
        <v>492632.15666866698</v>
      </c>
      <c r="AO45" s="19">
        <v>189130.321780453</v>
      </c>
      <c r="AP45" s="19">
        <v>7696008.6095650997</v>
      </c>
      <c r="AQ45" s="19">
        <v>792734.63606964098</v>
      </c>
      <c r="AR45" s="19">
        <v>245179.80757904201</v>
      </c>
      <c r="AS45" s="19">
        <v>7577069.9852550402</v>
      </c>
      <c r="AT45" s="42">
        <v>27671725.2377332</v>
      </c>
      <c r="AU45" s="43">
        <v>51147978.3054616</v>
      </c>
      <c r="AV45" s="43">
        <v>183950274.18251199</v>
      </c>
      <c r="AW45" s="42">
        <v>235098252.48797399</v>
      </c>
      <c r="AX45" s="43">
        <v>269717581.40908903</v>
      </c>
      <c r="AY45" s="42">
        <v>504815833.89706302</v>
      </c>
      <c r="AZ45" s="43">
        <v>0</v>
      </c>
      <c r="BA45" s="43">
        <v>0</v>
      </c>
      <c r="BB45" s="42">
        <v>0</v>
      </c>
      <c r="BC45" s="43">
        <v>0</v>
      </c>
      <c r="BD45" s="61">
        <v>504815833.89706302</v>
      </c>
      <c r="BE45" s="43">
        <v>0</v>
      </c>
      <c r="BF45" s="44">
        <v>532487559.13479602</v>
      </c>
    </row>
    <row r="46" spans="1:58" ht="21.6" x14ac:dyDescent="0.25">
      <c r="A46" s="100"/>
      <c r="B46" s="17" t="s">
        <v>55</v>
      </c>
      <c r="C46" s="18" t="s">
        <v>109</v>
      </c>
      <c r="D46" s="19">
        <v>106215.237680217</v>
      </c>
      <c r="E46" s="19">
        <v>145358.06994113699</v>
      </c>
      <c r="F46" s="19">
        <v>13148.4182333425</v>
      </c>
      <c r="G46" s="19">
        <v>97022.232795075601</v>
      </c>
      <c r="H46" s="19">
        <v>0</v>
      </c>
      <c r="I46" s="19">
        <v>74031.800856356902</v>
      </c>
      <c r="J46" s="19">
        <v>124131.532760006</v>
      </c>
      <c r="K46" s="19">
        <v>48373.441422995304</v>
      </c>
      <c r="L46" s="19">
        <v>136284.37427054701</v>
      </c>
      <c r="M46" s="19">
        <v>838032.64446160104</v>
      </c>
      <c r="N46" s="19">
        <v>95879.754534086795</v>
      </c>
      <c r="O46" s="19">
        <v>62106.358939058096</v>
      </c>
      <c r="P46" s="19">
        <v>11596.239364290401</v>
      </c>
      <c r="Q46" s="19">
        <v>239737.57158259401</v>
      </c>
      <c r="R46" s="19">
        <v>295395.38169873803</v>
      </c>
      <c r="S46" s="19">
        <v>97498.299766050404</v>
      </c>
      <c r="T46" s="19">
        <v>270233.491610175</v>
      </c>
      <c r="U46" s="19">
        <v>412737.91321225301</v>
      </c>
      <c r="V46" s="19">
        <v>261703.144700056</v>
      </c>
      <c r="W46" s="19">
        <v>235573.381728295</v>
      </c>
      <c r="X46" s="19">
        <v>109811.424117341</v>
      </c>
      <c r="Y46" s="19">
        <v>307450.819624611</v>
      </c>
      <c r="Z46" s="19">
        <v>179407.08534904299</v>
      </c>
      <c r="AA46" s="19">
        <v>18328.046797860901</v>
      </c>
      <c r="AB46" s="19">
        <v>352667.83560781798</v>
      </c>
      <c r="AC46" s="19">
        <v>37394.683584889899</v>
      </c>
      <c r="AD46" s="19">
        <v>1848.0922850486199</v>
      </c>
      <c r="AE46" s="19">
        <v>1215493.8554378501</v>
      </c>
      <c r="AF46" s="19">
        <v>406174.54678361397</v>
      </c>
      <c r="AG46" s="19">
        <v>587224.05550180702</v>
      </c>
      <c r="AH46" s="19">
        <v>11028.5522628691</v>
      </c>
      <c r="AI46" s="19">
        <v>25143.2503734001</v>
      </c>
      <c r="AJ46" s="19">
        <v>276897.04805117298</v>
      </c>
      <c r="AK46" s="19">
        <v>2491.9250806641799</v>
      </c>
      <c r="AL46" s="19">
        <v>6425.4900946637299</v>
      </c>
      <c r="AM46" s="19">
        <v>19498.6720649739</v>
      </c>
      <c r="AN46" s="19">
        <v>42542.071286025603</v>
      </c>
      <c r="AO46" s="19">
        <v>73930.962060457401</v>
      </c>
      <c r="AP46" s="19">
        <v>205486.83568988601</v>
      </c>
      <c r="AQ46" s="19">
        <v>2877366.5264608702</v>
      </c>
      <c r="AR46" s="19">
        <v>50119.284817291198</v>
      </c>
      <c r="AS46" s="19">
        <v>2428769.2972212601</v>
      </c>
      <c r="AT46" s="19">
        <v>12752186.2086873</v>
      </c>
      <c r="AU46" s="19">
        <v>42485967.983507901</v>
      </c>
      <c r="AV46" s="19">
        <v>129168822.75693101</v>
      </c>
      <c r="AW46" s="19">
        <v>171654790.740439</v>
      </c>
      <c r="AX46" s="19">
        <v>316703292.12673497</v>
      </c>
      <c r="AY46" s="19">
        <v>488358082.86717498</v>
      </c>
      <c r="AZ46" s="19">
        <v>0</v>
      </c>
      <c r="BA46" s="19">
        <v>0</v>
      </c>
      <c r="BB46" s="19">
        <v>0</v>
      </c>
      <c r="BC46" s="19">
        <v>156974.417010226</v>
      </c>
      <c r="BD46" s="19">
        <v>488515057.28418499</v>
      </c>
      <c r="BE46" s="19">
        <v>1195045.7535647999</v>
      </c>
      <c r="BF46" s="19">
        <v>500072197.73930699</v>
      </c>
    </row>
    <row r="47" spans="1:58" ht="21.6" x14ac:dyDescent="0.25">
      <c r="A47" s="101"/>
      <c r="B47" s="17" t="s">
        <v>56</v>
      </c>
      <c r="C47" s="18" t="s">
        <v>110</v>
      </c>
      <c r="D47" s="19">
        <v>101045.02514810501</v>
      </c>
      <c r="E47" s="19">
        <v>272786.24574653298</v>
      </c>
      <c r="F47" s="19">
        <v>124921.03606311799</v>
      </c>
      <c r="G47" s="19">
        <v>173463.23050387</v>
      </c>
      <c r="H47" s="19">
        <v>14812.9162275039</v>
      </c>
      <c r="I47" s="19">
        <v>892690.76597648195</v>
      </c>
      <c r="J47" s="19">
        <v>884858.03298067697</v>
      </c>
      <c r="K47" s="19">
        <v>293822.58571970498</v>
      </c>
      <c r="L47" s="19">
        <v>602336.95172100305</v>
      </c>
      <c r="M47" s="19">
        <v>314077.591861205</v>
      </c>
      <c r="N47" s="19">
        <v>651094.05702456005</v>
      </c>
      <c r="O47" s="19">
        <v>589693.41626355704</v>
      </c>
      <c r="P47" s="19">
        <v>512136.73889198498</v>
      </c>
      <c r="Q47" s="19">
        <v>908100.80465258402</v>
      </c>
      <c r="R47" s="19">
        <v>616659.72771512298</v>
      </c>
      <c r="S47" s="19">
        <v>354148.93016056699</v>
      </c>
      <c r="T47" s="19">
        <v>453650.45673186501</v>
      </c>
      <c r="U47" s="19">
        <v>1050252.89346804</v>
      </c>
      <c r="V47" s="19">
        <v>537971.46867107402</v>
      </c>
      <c r="W47" s="19">
        <v>1486140.9349438499</v>
      </c>
      <c r="X47" s="19">
        <v>118962.458864416</v>
      </c>
      <c r="Y47" s="19">
        <v>840454.18709472299</v>
      </c>
      <c r="Z47" s="19">
        <v>1170344.7401956799</v>
      </c>
      <c r="AA47" s="19">
        <v>133269.637445689</v>
      </c>
      <c r="AB47" s="19">
        <v>1003080.19417144</v>
      </c>
      <c r="AC47" s="19">
        <v>100502.293601321</v>
      </c>
      <c r="AD47" s="19">
        <v>133827.511142723</v>
      </c>
      <c r="AE47" s="19">
        <v>2820755.1566284001</v>
      </c>
      <c r="AF47" s="19">
        <v>1726967.78773693</v>
      </c>
      <c r="AG47" s="19">
        <v>2556352.1957594301</v>
      </c>
      <c r="AH47" s="19">
        <v>673854.67137308198</v>
      </c>
      <c r="AI47" s="19">
        <v>3618427.7880632998</v>
      </c>
      <c r="AJ47" s="19">
        <v>10689187.563694401</v>
      </c>
      <c r="AK47" s="19">
        <v>1317653.5526413701</v>
      </c>
      <c r="AL47" s="19">
        <v>3954591.75091724</v>
      </c>
      <c r="AM47" s="19">
        <v>1136981.26714152</v>
      </c>
      <c r="AN47" s="19">
        <v>1310351.5431092801</v>
      </c>
      <c r="AO47" s="19">
        <v>1135591.42365731</v>
      </c>
      <c r="AP47" s="19">
        <v>2393374.7948408402</v>
      </c>
      <c r="AQ47" s="19">
        <v>320154.61876981898</v>
      </c>
      <c r="AR47" s="19">
        <v>9232824.9229271002</v>
      </c>
      <c r="AS47" s="19">
        <v>7009132.01954374</v>
      </c>
      <c r="AT47" s="19">
        <v>63937483.304071501</v>
      </c>
      <c r="AU47" s="19">
        <v>6949619.4697179999</v>
      </c>
      <c r="AV47" s="19">
        <v>46077777.730733201</v>
      </c>
      <c r="AW47" s="19">
        <v>53027397.2004513</v>
      </c>
      <c r="AX47" s="19">
        <v>42038587.777548403</v>
      </c>
      <c r="AY47" s="19">
        <v>95065984.977999702</v>
      </c>
      <c r="AZ47" s="19">
        <v>5234595.2386050001</v>
      </c>
      <c r="BA47" s="19">
        <v>0</v>
      </c>
      <c r="BB47" s="19">
        <v>5234595.2386050001</v>
      </c>
      <c r="BC47" s="19">
        <v>2845384.0510386499</v>
      </c>
      <c r="BD47" s="19">
        <v>103145964.267643</v>
      </c>
      <c r="BE47" s="19">
        <v>11240037.806422999</v>
      </c>
      <c r="BF47" s="19">
        <v>155843409.76529199</v>
      </c>
    </row>
    <row r="48" spans="1:58" ht="64.8" x14ac:dyDescent="0.25">
      <c r="A48" s="101"/>
      <c r="B48" s="21" t="s">
        <v>57</v>
      </c>
      <c r="C48" s="22" t="s">
        <v>111</v>
      </c>
      <c r="D48" s="19">
        <v>2218338.16994897</v>
      </c>
      <c r="E48" s="19">
        <v>170589.800633999</v>
      </c>
      <c r="F48" s="19">
        <v>68564.346294652496</v>
      </c>
      <c r="G48" s="19">
        <v>381286.092953121</v>
      </c>
      <c r="H48" s="19">
        <v>6404.45782702217</v>
      </c>
      <c r="I48" s="19">
        <v>744385.28616053297</v>
      </c>
      <c r="J48" s="19">
        <v>1061636.42096733</v>
      </c>
      <c r="K48" s="19">
        <v>206439.772357999</v>
      </c>
      <c r="L48" s="19">
        <v>1142978.60926435</v>
      </c>
      <c r="M48" s="19">
        <v>311356.10523940402</v>
      </c>
      <c r="N48" s="19">
        <v>791949.19199301605</v>
      </c>
      <c r="O48" s="19">
        <v>435720.76876894699</v>
      </c>
      <c r="P48" s="19">
        <v>309871.61828668701</v>
      </c>
      <c r="Q48" s="19">
        <v>856417.18560591305</v>
      </c>
      <c r="R48" s="19">
        <v>784447.27819461201</v>
      </c>
      <c r="S48" s="19">
        <v>306087.66247642698</v>
      </c>
      <c r="T48" s="19">
        <v>464907.68478573702</v>
      </c>
      <c r="U48" s="19">
        <v>572919.98814629402</v>
      </c>
      <c r="V48" s="19">
        <v>527225.18052168202</v>
      </c>
      <c r="W48" s="19">
        <v>475969.02719961503</v>
      </c>
      <c r="X48" s="19">
        <v>150409.71021635999</v>
      </c>
      <c r="Y48" s="19">
        <v>491132.18928094301</v>
      </c>
      <c r="Z48" s="19">
        <v>693755.09776254999</v>
      </c>
      <c r="AA48" s="19">
        <v>255387.07343101999</v>
      </c>
      <c r="AB48" s="19">
        <v>2290386.2312107701</v>
      </c>
      <c r="AC48" s="19">
        <v>42898.682570969402</v>
      </c>
      <c r="AD48" s="19">
        <v>2249050.71523877</v>
      </c>
      <c r="AE48" s="19">
        <v>1559132.3260945501</v>
      </c>
      <c r="AF48" s="19">
        <v>2371629.7879335298</v>
      </c>
      <c r="AG48" s="19">
        <v>2600955.7611404499</v>
      </c>
      <c r="AH48" s="19">
        <v>438174.50092017598</v>
      </c>
      <c r="AI48" s="19">
        <v>1620394.8104171399</v>
      </c>
      <c r="AJ48" s="19">
        <v>2570161.0492694802</v>
      </c>
      <c r="AK48" s="19">
        <v>1739467.0457202799</v>
      </c>
      <c r="AL48" s="19">
        <v>5069918.3359142998</v>
      </c>
      <c r="AM48" s="19">
        <v>882539.290159881</v>
      </c>
      <c r="AN48" s="19">
        <v>1181929.4120684301</v>
      </c>
      <c r="AO48" s="19">
        <v>698723.42318731395</v>
      </c>
      <c r="AP48" s="19">
        <v>1484594.00087425</v>
      </c>
      <c r="AQ48" s="19">
        <v>564644.29917350505</v>
      </c>
      <c r="AR48" s="19">
        <v>505031.57338165899</v>
      </c>
      <c r="AS48" s="19">
        <v>26343336.572392602</v>
      </c>
      <c r="AT48" s="19">
        <v>67434706.763627201</v>
      </c>
      <c r="AU48" s="19">
        <v>1372114.9414001999</v>
      </c>
      <c r="AV48" s="19">
        <v>10228084.0427323</v>
      </c>
      <c r="AW48" s="19">
        <v>11600198.9841325</v>
      </c>
      <c r="AX48" s="19">
        <v>831789109.69228995</v>
      </c>
      <c r="AY48" s="19">
        <v>843389308.67642295</v>
      </c>
      <c r="AZ48" s="19">
        <v>0</v>
      </c>
      <c r="BA48" s="19">
        <v>0</v>
      </c>
      <c r="BB48" s="19">
        <v>0</v>
      </c>
      <c r="BC48" s="19">
        <v>2027457.97120951</v>
      </c>
      <c r="BD48" s="19">
        <v>845416766.647632</v>
      </c>
      <c r="BE48" s="19">
        <v>5145286.0546714598</v>
      </c>
      <c r="BF48" s="19">
        <v>907706187.35658896</v>
      </c>
    </row>
    <row r="49" spans="1:58" ht="21.6" x14ac:dyDescent="0.25">
      <c r="A49" s="102"/>
      <c r="B49" s="23" t="s">
        <v>125</v>
      </c>
      <c r="C49" s="24" t="s">
        <v>126</v>
      </c>
      <c r="D49" s="19">
        <v>509936007.83290499</v>
      </c>
      <c r="E49" s="25">
        <v>115074114.182427</v>
      </c>
      <c r="F49" s="25">
        <v>39965777.405821703</v>
      </c>
      <c r="G49" s="19">
        <v>89225006.090691999</v>
      </c>
      <c r="H49" s="25">
        <v>11697851.3445873</v>
      </c>
      <c r="I49" s="19">
        <v>944349112.04855895</v>
      </c>
      <c r="J49" s="19">
        <v>612910570.17605805</v>
      </c>
      <c r="K49" s="19">
        <v>209811561.58664599</v>
      </c>
      <c r="L49" s="19">
        <v>532655360.11431199</v>
      </c>
      <c r="M49" s="19">
        <v>308742520.01074702</v>
      </c>
      <c r="N49" s="19">
        <v>657082874.06989598</v>
      </c>
      <c r="O49" s="25">
        <v>214220106.74311599</v>
      </c>
      <c r="P49" s="19">
        <v>271752322.20946503</v>
      </c>
      <c r="Q49" s="19">
        <v>502451885.34110802</v>
      </c>
      <c r="R49" s="19">
        <v>527215627.05245101</v>
      </c>
      <c r="S49" s="19">
        <v>405092577.33342397</v>
      </c>
      <c r="T49" s="25">
        <v>392283911.70928401</v>
      </c>
      <c r="U49" s="19">
        <v>408823033.829274</v>
      </c>
      <c r="V49" s="19">
        <v>289399787.58034599</v>
      </c>
      <c r="W49" s="19">
        <v>560981019.69476998</v>
      </c>
      <c r="X49" s="19">
        <v>123772340.76138601</v>
      </c>
      <c r="Y49" s="19">
        <v>576339416.35805202</v>
      </c>
      <c r="Z49" s="19">
        <v>997209171.28219903</v>
      </c>
      <c r="AA49" s="19">
        <v>67374684.173955798</v>
      </c>
      <c r="AB49" s="25">
        <v>481153559.47209102</v>
      </c>
      <c r="AC49" s="25">
        <v>61699158.676141098</v>
      </c>
      <c r="AD49" s="25">
        <v>20179486.0771177</v>
      </c>
      <c r="AE49" s="19">
        <v>2140212041.6698599</v>
      </c>
      <c r="AF49" s="19">
        <v>544911283.67056894</v>
      </c>
      <c r="AG49" s="19">
        <v>742396331.70950198</v>
      </c>
      <c r="AH49" s="19">
        <v>286469176.51749498</v>
      </c>
      <c r="AI49" s="19">
        <v>517228345.932208</v>
      </c>
      <c r="AJ49" s="19">
        <v>393198764.34313899</v>
      </c>
      <c r="AK49" s="25">
        <v>296965938.19792998</v>
      </c>
      <c r="AL49" s="19">
        <v>644035496.54548001</v>
      </c>
      <c r="AM49" s="25">
        <v>135629401.96656099</v>
      </c>
      <c r="AN49" s="19">
        <v>334643313.50259602</v>
      </c>
      <c r="AO49" s="19">
        <v>143060914.191484</v>
      </c>
      <c r="AP49" s="25">
        <v>159195396.710307</v>
      </c>
      <c r="AQ49" s="19">
        <v>291866517.47499102</v>
      </c>
      <c r="AR49" s="19">
        <v>77833015.035403907</v>
      </c>
      <c r="AS49" s="19">
        <v>396824813.745969</v>
      </c>
      <c r="AT49" s="25">
        <v>16826058032.783701</v>
      </c>
      <c r="AU49" s="25">
        <v>816642871.61719298</v>
      </c>
      <c r="AV49" s="25">
        <v>3023440277.9689298</v>
      </c>
      <c r="AW49" s="25">
        <v>3840083149.5861201</v>
      </c>
      <c r="AX49" s="25">
        <v>1736253794.41957</v>
      </c>
      <c r="AY49" s="25">
        <v>5576336944.0056896</v>
      </c>
      <c r="AZ49" s="25">
        <v>4243704003.37183</v>
      </c>
      <c r="BA49" s="25">
        <v>91509937.677221596</v>
      </c>
      <c r="BB49" s="25">
        <v>4335213941.0490599</v>
      </c>
      <c r="BC49" s="25">
        <v>1879260657.23314</v>
      </c>
      <c r="BD49" s="25">
        <v>11790811542.287901</v>
      </c>
      <c r="BE49" s="25">
        <v>1626591529.6393001</v>
      </c>
      <c r="BF49" s="74">
        <v>26990278045.432301</v>
      </c>
    </row>
    <row r="50" spans="1:58" x14ac:dyDescent="0.25">
      <c r="A50" s="103" t="s">
        <v>127</v>
      </c>
      <c r="B50" s="26" t="s">
        <v>128</v>
      </c>
      <c r="C50" s="27" t="s">
        <v>129</v>
      </c>
      <c r="D50" s="19">
        <v>821109376.63205099</v>
      </c>
      <c r="E50" s="19">
        <v>49156975.956210703</v>
      </c>
      <c r="F50" s="19">
        <v>10684586.807827801</v>
      </c>
      <c r="G50" s="19">
        <v>34146732.260801703</v>
      </c>
      <c r="H50" s="19">
        <v>9070894.7857753504</v>
      </c>
      <c r="I50" s="19">
        <v>92288059.905675799</v>
      </c>
      <c r="J50" s="19">
        <v>78070178.610044703</v>
      </c>
      <c r="K50" s="19">
        <v>25339700.688776899</v>
      </c>
      <c r="L50" s="19">
        <v>70607744.963608101</v>
      </c>
      <c r="M50" s="19">
        <v>12815275.321341099</v>
      </c>
      <c r="N50" s="19">
        <v>47509590.242770404</v>
      </c>
      <c r="O50" s="19">
        <v>30588660.7146926</v>
      </c>
      <c r="P50" s="19">
        <v>35944267.486501202</v>
      </c>
      <c r="Q50" s="19">
        <v>74959951.978375494</v>
      </c>
      <c r="R50" s="19">
        <v>39116758.517672099</v>
      </c>
      <c r="S50" s="19">
        <v>35418933.993041903</v>
      </c>
      <c r="T50" s="19">
        <v>57488356.150157198</v>
      </c>
      <c r="U50" s="19">
        <v>46988959.725912601</v>
      </c>
      <c r="V50" s="19">
        <v>51031136.414665803</v>
      </c>
      <c r="W50" s="19">
        <v>36758514.018456601</v>
      </c>
      <c r="X50" s="19">
        <v>17700419.379848599</v>
      </c>
      <c r="Y50" s="19">
        <v>47111753.584501401</v>
      </c>
      <c r="Z50" s="19">
        <v>100330129.04252701</v>
      </c>
      <c r="AA50" s="19">
        <v>25541967.525668599</v>
      </c>
      <c r="AB50" s="19">
        <v>61395231.162410103</v>
      </c>
      <c r="AC50" s="19">
        <v>7256304.22228311</v>
      </c>
      <c r="AD50" s="19">
        <v>8632889.7918775491</v>
      </c>
      <c r="AE50" s="19">
        <v>469645429.01066202</v>
      </c>
      <c r="AF50" s="19">
        <v>519792503.26379198</v>
      </c>
      <c r="AG50" s="19">
        <v>230523925.74021101</v>
      </c>
      <c r="AH50" s="19">
        <v>85067117.100898802</v>
      </c>
      <c r="AI50" s="19">
        <v>206973736.679317</v>
      </c>
      <c r="AJ50" s="19">
        <v>215281976.520711</v>
      </c>
      <c r="AK50" s="19">
        <v>192733122.55735001</v>
      </c>
      <c r="AL50" s="19">
        <v>252757212.79392499</v>
      </c>
      <c r="AM50" s="19">
        <v>65841576.822612002</v>
      </c>
      <c r="AN50" s="19">
        <v>115418456.21231601</v>
      </c>
      <c r="AO50" s="19">
        <v>127689767.85801201</v>
      </c>
      <c r="AP50" s="19">
        <v>281650493.11452001</v>
      </c>
      <c r="AQ50" s="19">
        <v>171783188.52536699</v>
      </c>
      <c r="AR50" s="19">
        <v>51172539.734950997</v>
      </c>
      <c r="AS50" s="19">
        <v>407600705.01487601</v>
      </c>
      <c r="AT50" s="44">
        <v>5295655400.1442204</v>
      </c>
      <c r="AU50" s="45"/>
      <c r="AV50" s="45"/>
      <c r="AW50" s="62"/>
      <c r="AX50" s="45"/>
      <c r="AY50" s="62"/>
      <c r="AZ50" s="45"/>
      <c r="BA50" s="45"/>
      <c r="BB50" s="62"/>
      <c r="BC50" s="45"/>
      <c r="BD50" s="63"/>
      <c r="BE50" s="45"/>
      <c r="BF50" s="45"/>
    </row>
    <row r="51" spans="1:58" x14ac:dyDescent="0.25">
      <c r="A51" s="104"/>
      <c r="B51" s="26" t="s">
        <v>130</v>
      </c>
      <c r="C51" s="28" t="s">
        <v>131</v>
      </c>
      <c r="D51" s="19">
        <v>-45528240.6524828</v>
      </c>
      <c r="E51" s="19">
        <v>23728883.970035002</v>
      </c>
      <c r="F51" s="19">
        <v>26393586.367127001</v>
      </c>
      <c r="G51" s="19">
        <v>29203561.313999999</v>
      </c>
      <c r="H51" s="19">
        <v>1127941.29772883</v>
      </c>
      <c r="I51" s="19">
        <v>82927929.567150205</v>
      </c>
      <c r="J51" s="19">
        <v>1055456.5261335</v>
      </c>
      <c r="K51" s="19">
        <v>5439494.6023760298</v>
      </c>
      <c r="L51" s="19">
        <v>11735859.5567258</v>
      </c>
      <c r="M51" s="19">
        <v>49155195.521414101</v>
      </c>
      <c r="N51" s="19">
        <v>37768625.129487202</v>
      </c>
      <c r="O51" s="19">
        <v>11543781.6746586</v>
      </c>
      <c r="P51" s="19">
        <v>9432919.72683331</v>
      </c>
      <c r="Q51" s="19">
        <v>23472866.7779206</v>
      </c>
      <c r="R51" s="19">
        <v>16809803.985219501</v>
      </c>
      <c r="S51" s="19">
        <v>20103752.8548938</v>
      </c>
      <c r="T51" s="19">
        <v>11219546.986150701</v>
      </c>
      <c r="U51" s="19">
        <v>16723537.968313601</v>
      </c>
      <c r="V51" s="19">
        <v>14548976.722464001</v>
      </c>
      <c r="W51" s="19">
        <v>41488605.881302997</v>
      </c>
      <c r="X51" s="19">
        <v>2028721.9790923099</v>
      </c>
      <c r="Y51" s="19">
        <v>4541468.4707145998</v>
      </c>
      <c r="Z51" s="19">
        <v>-3678836.27294552</v>
      </c>
      <c r="AA51" s="19">
        <v>13432368.474347601</v>
      </c>
      <c r="AB51" s="19">
        <v>20698377.631525099</v>
      </c>
      <c r="AC51" s="19">
        <v>1010550.4523641299</v>
      </c>
      <c r="AD51" s="19">
        <v>1860447.1837464201</v>
      </c>
      <c r="AE51" s="19">
        <v>98116385.596828699</v>
      </c>
      <c r="AF51" s="19">
        <v>95383190.280476794</v>
      </c>
      <c r="AG51" s="19">
        <v>8513567.4421984609</v>
      </c>
      <c r="AH51" s="19">
        <v>1360038.6625977701</v>
      </c>
      <c r="AI51" s="19">
        <v>13092894.4785477</v>
      </c>
      <c r="AJ51" s="19">
        <v>82718115.887338698</v>
      </c>
      <c r="AK51" s="19">
        <v>123442718.311865</v>
      </c>
      <c r="AL51" s="19">
        <v>27690530.6917165</v>
      </c>
      <c r="AM51" s="19">
        <v>1588413.5683403399</v>
      </c>
      <c r="AN51" s="19">
        <v>11715874.608684899</v>
      </c>
      <c r="AO51" s="19">
        <v>5023484.24607627</v>
      </c>
      <c r="AP51" s="19">
        <v>625840.58906758903</v>
      </c>
      <c r="AQ51" s="19">
        <v>119102.009382813</v>
      </c>
      <c r="AR51" s="19">
        <v>1590021.0493161599</v>
      </c>
      <c r="AS51" s="19">
        <v>2016363.5215086001</v>
      </c>
      <c r="AT51" s="44">
        <v>895802230.037866</v>
      </c>
      <c r="AU51" s="46"/>
      <c r="AV51" s="46"/>
      <c r="AW51" s="64"/>
      <c r="AX51" s="46"/>
      <c r="AY51" s="64"/>
      <c r="AZ51" s="46"/>
      <c r="BA51" s="46"/>
      <c r="BB51" s="64"/>
      <c r="BC51" s="46"/>
      <c r="BD51" s="65"/>
      <c r="BE51" s="46"/>
      <c r="BF51" s="46"/>
    </row>
    <row r="52" spans="1:58" ht="21.6" x14ac:dyDescent="0.25">
      <c r="A52" s="104"/>
      <c r="B52" s="26" t="s">
        <v>132</v>
      </c>
      <c r="C52" s="28" t="s">
        <v>133</v>
      </c>
      <c r="D52" s="19">
        <v>23048579.701509301</v>
      </c>
      <c r="E52" s="19">
        <v>11857466.9359743</v>
      </c>
      <c r="F52" s="19">
        <v>23934531.664067499</v>
      </c>
      <c r="G52" s="19">
        <v>14045534.8444722</v>
      </c>
      <c r="H52" s="19">
        <v>881427.48909159401</v>
      </c>
      <c r="I52" s="19">
        <v>30616039.479662899</v>
      </c>
      <c r="J52" s="19">
        <v>17159912.398409501</v>
      </c>
      <c r="K52" s="19">
        <v>7115541.1852337504</v>
      </c>
      <c r="L52" s="19">
        <v>23476685.1205348</v>
      </c>
      <c r="M52" s="19">
        <v>11540322.9497796</v>
      </c>
      <c r="N52" s="19">
        <v>37261752.784207501</v>
      </c>
      <c r="O52" s="19">
        <v>7442373.4576655598</v>
      </c>
      <c r="P52" s="19">
        <v>13681348.159869701</v>
      </c>
      <c r="Q52" s="19">
        <v>36252424.842486702</v>
      </c>
      <c r="R52" s="19">
        <v>31732255.920472398</v>
      </c>
      <c r="S52" s="19">
        <v>20256127.164829802</v>
      </c>
      <c r="T52" s="19">
        <v>17451919.758611701</v>
      </c>
      <c r="U52" s="19">
        <v>16689439.146307001</v>
      </c>
      <c r="V52" s="19">
        <v>12133972.5831076</v>
      </c>
      <c r="W52" s="19">
        <v>15404029.9075229</v>
      </c>
      <c r="X52" s="19">
        <v>3816835.0280198702</v>
      </c>
      <c r="Y52" s="19">
        <v>15983410.4130126</v>
      </c>
      <c r="Z52" s="19">
        <v>35286959.999098003</v>
      </c>
      <c r="AA52" s="19">
        <v>6722131.4276251802</v>
      </c>
      <c r="AB52" s="19">
        <v>97784316.348265097</v>
      </c>
      <c r="AC52" s="19">
        <v>5463403.9663039697</v>
      </c>
      <c r="AD52" s="19">
        <v>6900167.0847543897</v>
      </c>
      <c r="AE52" s="19">
        <v>27714363.679958399</v>
      </c>
      <c r="AF52" s="19">
        <v>118467134.625324</v>
      </c>
      <c r="AG52" s="19">
        <v>200221941.68550199</v>
      </c>
      <c r="AH52" s="19">
        <v>46183808.013787799</v>
      </c>
      <c r="AI52" s="19">
        <v>126694176.647774</v>
      </c>
      <c r="AJ52" s="19">
        <v>36197643.623248503</v>
      </c>
      <c r="AK52" s="19">
        <v>70284261.245119199</v>
      </c>
      <c r="AL52" s="19">
        <v>35220354.322564296</v>
      </c>
      <c r="AM52" s="19">
        <v>20894697.107667901</v>
      </c>
      <c r="AN52" s="19">
        <v>47257245.823209397</v>
      </c>
      <c r="AO52" s="19">
        <v>18811000.584729899</v>
      </c>
      <c r="AP52" s="19">
        <v>77784703.209432706</v>
      </c>
      <c r="AQ52" s="19">
        <v>31476065.1203941</v>
      </c>
      <c r="AR52" s="19">
        <v>19443051.9030816</v>
      </c>
      <c r="AS52" s="19">
        <v>92345943.103720903</v>
      </c>
      <c r="AT52" s="44">
        <v>1505819759.2711799</v>
      </c>
      <c r="AU52" s="46"/>
      <c r="AV52" s="46"/>
      <c r="AW52" s="64"/>
      <c r="AX52" s="46"/>
      <c r="AY52" s="64"/>
      <c r="AZ52" s="46"/>
      <c r="BA52" s="46"/>
      <c r="BB52" s="64"/>
      <c r="BC52" s="46"/>
      <c r="BD52" s="66"/>
      <c r="BE52" s="46"/>
      <c r="BF52" s="46"/>
    </row>
    <row r="53" spans="1:58" x14ac:dyDescent="0.25">
      <c r="A53" s="104"/>
      <c r="B53" s="26" t="s">
        <v>134</v>
      </c>
      <c r="C53" s="28" t="s">
        <v>135</v>
      </c>
      <c r="D53" s="19">
        <v>23117526.7569887</v>
      </c>
      <c r="E53" s="19">
        <v>35255170.9583124</v>
      </c>
      <c r="F53" s="19">
        <v>6711085.0313259903</v>
      </c>
      <c r="G53" s="19">
        <v>26913764.728313699</v>
      </c>
      <c r="H53" s="19">
        <v>-2541340.4945982499</v>
      </c>
      <c r="I53" s="19">
        <v>101181657.170058</v>
      </c>
      <c r="J53" s="19">
        <v>48190809.103463501</v>
      </c>
      <c r="K53" s="19">
        <v>17706881.846517999</v>
      </c>
      <c r="L53" s="19">
        <v>55330296.5377042</v>
      </c>
      <c r="M53" s="19">
        <v>27079970.671574298</v>
      </c>
      <c r="N53" s="19">
        <v>75473750.700666696</v>
      </c>
      <c r="O53" s="19">
        <v>36261214.213117696</v>
      </c>
      <c r="P53" s="19">
        <v>27380721.776728999</v>
      </c>
      <c r="Q53" s="19">
        <v>95894757.611015007</v>
      </c>
      <c r="R53" s="19">
        <v>68635495.434864804</v>
      </c>
      <c r="S53" s="19">
        <v>43798631.409793504</v>
      </c>
      <c r="T53" s="19">
        <v>41037939.512259103</v>
      </c>
      <c r="U53" s="19">
        <v>43686015.758966699</v>
      </c>
      <c r="V53" s="19">
        <v>20237210.504032802</v>
      </c>
      <c r="W53" s="19">
        <v>51825291.161202297</v>
      </c>
      <c r="X53" s="19">
        <v>8695606.8842817899</v>
      </c>
      <c r="Y53" s="19">
        <v>53690205.760876298</v>
      </c>
      <c r="Z53" s="19">
        <v>59374527.431741104</v>
      </c>
      <c r="AA53" s="19">
        <v>51110402.078424901</v>
      </c>
      <c r="AB53" s="19">
        <v>38471081.088682704</v>
      </c>
      <c r="AC53" s="19">
        <v>5841588.0152542796</v>
      </c>
      <c r="AD53" s="19">
        <v>3105561.8317358401</v>
      </c>
      <c r="AE53" s="19">
        <v>124616761.457381</v>
      </c>
      <c r="AF53" s="19">
        <v>219960586.71941301</v>
      </c>
      <c r="AG53" s="19">
        <v>17515502.057090301</v>
      </c>
      <c r="AH53" s="19">
        <v>12909619.810646201</v>
      </c>
      <c r="AI53" s="19">
        <v>101253636.088194</v>
      </c>
      <c r="AJ53" s="19">
        <v>501973655.09780598</v>
      </c>
      <c r="AK53" s="19">
        <v>383207440.02152199</v>
      </c>
      <c r="AL53" s="19">
        <v>2859006.25501044</v>
      </c>
      <c r="AM53" s="19">
        <v>7602478.6940469798</v>
      </c>
      <c r="AN53" s="19">
        <v>10750979.3816108</v>
      </c>
      <c r="AO53" s="19">
        <v>5752421.8421264105</v>
      </c>
      <c r="AP53" s="19">
        <v>13231125.5114678</v>
      </c>
      <c r="AQ53" s="19">
        <v>4827324.6091729896</v>
      </c>
      <c r="AR53" s="19">
        <v>5804782.0425391896</v>
      </c>
      <c r="AS53" s="19">
        <v>8918361.9705148209</v>
      </c>
      <c r="AT53" s="44">
        <v>2466942623.1953301</v>
      </c>
      <c r="AU53" s="46"/>
      <c r="AV53" s="46"/>
      <c r="AW53" s="64"/>
      <c r="AX53" s="46"/>
      <c r="AY53" s="64"/>
      <c r="AZ53" s="46"/>
      <c r="BA53" s="46"/>
      <c r="BB53" s="64"/>
      <c r="BC53" s="46"/>
      <c r="BD53" s="66"/>
      <c r="BE53" s="46"/>
      <c r="BF53" s="46"/>
    </row>
    <row r="54" spans="1:58" ht="21.6" x14ac:dyDescent="0.25">
      <c r="A54" s="104"/>
      <c r="B54" s="29" t="s">
        <v>136</v>
      </c>
      <c r="C54" s="30" t="s">
        <v>137</v>
      </c>
      <c r="D54" s="19">
        <v>821747242.43806601</v>
      </c>
      <c r="E54" s="31">
        <v>119998497.82053199</v>
      </c>
      <c r="F54" s="31">
        <v>67723789.870348305</v>
      </c>
      <c r="G54" s="19">
        <v>104309593.147588</v>
      </c>
      <c r="H54" s="31">
        <v>8538923.0779975299</v>
      </c>
      <c r="I54" s="19">
        <v>307013686.12254697</v>
      </c>
      <c r="J54" s="19">
        <v>144476356.638051</v>
      </c>
      <c r="K54" s="19">
        <v>55601618.322904602</v>
      </c>
      <c r="L54" s="19">
        <v>161150586.17857301</v>
      </c>
      <c r="M54" s="19">
        <v>100590764.464109</v>
      </c>
      <c r="N54" s="19">
        <v>198013718.85713199</v>
      </c>
      <c r="O54" s="31">
        <v>85836030.0601345</v>
      </c>
      <c r="P54" s="19">
        <v>86439257.149933204</v>
      </c>
      <c r="Q54" s="19">
        <v>230580001.20979801</v>
      </c>
      <c r="R54" s="19">
        <v>156294313.85822901</v>
      </c>
      <c r="S54" s="19">
        <v>119577445.42255899</v>
      </c>
      <c r="T54" s="31">
        <v>127197762.407179</v>
      </c>
      <c r="U54" s="19">
        <v>124087952.5995</v>
      </c>
      <c r="V54" s="19">
        <v>97951296.224270299</v>
      </c>
      <c r="W54" s="19">
        <v>145476440.968485</v>
      </c>
      <c r="X54" s="19">
        <v>32241583.2712426</v>
      </c>
      <c r="Y54" s="19">
        <v>121326838.229105</v>
      </c>
      <c r="Z54" s="19">
        <v>191312780.20041999</v>
      </c>
      <c r="AA54" s="19">
        <v>96806869.506066203</v>
      </c>
      <c r="AB54" s="31">
        <v>218349006.230883</v>
      </c>
      <c r="AC54" s="31">
        <v>19571846.656205501</v>
      </c>
      <c r="AD54" s="31">
        <v>20499065.8921142</v>
      </c>
      <c r="AE54" s="19">
        <v>720092939.74483001</v>
      </c>
      <c r="AF54" s="19">
        <v>953603414.88900602</v>
      </c>
      <c r="AG54" s="19">
        <v>456774936.92500198</v>
      </c>
      <c r="AH54" s="19">
        <v>145520583.58793101</v>
      </c>
      <c r="AI54" s="19">
        <v>448014443.89383298</v>
      </c>
      <c r="AJ54" s="19">
        <v>836171391.12910402</v>
      </c>
      <c r="AK54" s="31">
        <v>769667542.13585603</v>
      </c>
      <c r="AL54" s="19">
        <v>318527104.06321698</v>
      </c>
      <c r="AM54" s="31">
        <v>95927166.192667201</v>
      </c>
      <c r="AN54" s="19">
        <v>185142556.025821</v>
      </c>
      <c r="AO54" s="19">
        <v>157276674.530945</v>
      </c>
      <c r="AP54" s="31">
        <v>373292162.42448801</v>
      </c>
      <c r="AQ54" s="19">
        <v>208205680.26431701</v>
      </c>
      <c r="AR54" s="19">
        <v>78010394.729888007</v>
      </c>
      <c r="AS54" s="19">
        <v>510881373.61062002</v>
      </c>
      <c r="AT54" s="44">
        <v>10164220012.6486</v>
      </c>
      <c r="AU54" s="47"/>
      <c r="AV54" s="46"/>
      <c r="AW54" s="64"/>
      <c r="AX54" s="46"/>
      <c r="AY54" s="64"/>
      <c r="AZ54" s="46"/>
      <c r="BA54" s="46"/>
      <c r="BB54" s="64"/>
      <c r="BC54" s="46"/>
      <c r="BD54" s="66"/>
      <c r="BE54" s="46"/>
      <c r="BF54" s="46"/>
    </row>
    <row r="55" spans="1:58" x14ac:dyDescent="0.25">
      <c r="A55" s="98" t="s">
        <v>138</v>
      </c>
      <c r="B55" s="99"/>
      <c r="C55" s="32" t="s">
        <v>139</v>
      </c>
      <c r="D55" s="19">
        <v>1331683250.2709701</v>
      </c>
      <c r="E55" s="33">
        <v>235072612.00295901</v>
      </c>
      <c r="F55" s="33">
        <v>107689567.27617</v>
      </c>
      <c r="G55" s="19">
        <v>193534599.23827901</v>
      </c>
      <c r="H55" s="33">
        <v>20236774.422584798</v>
      </c>
      <c r="I55" s="19">
        <v>1251362798.1711099</v>
      </c>
      <c r="J55" s="19">
        <v>757386926.81410897</v>
      </c>
      <c r="K55" s="19">
        <v>265413179.90955001</v>
      </c>
      <c r="L55" s="19">
        <v>693805946.29288495</v>
      </c>
      <c r="M55" s="19">
        <v>409333284.47485602</v>
      </c>
      <c r="N55" s="19">
        <v>855096592.92702794</v>
      </c>
      <c r="O55" s="33">
        <v>300056136.80325001</v>
      </c>
      <c r="P55" s="19">
        <v>358191579.35939801</v>
      </c>
      <c r="Q55" s="19">
        <v>733031886.55090594</v>
      </c>
      <c r="R55" s="19">
        <v>683509940.91067898</v>
      </c>
      <c r="S55" s="19">
        <v>524670022.755983</v>
      </c>
      <c r="T55" s="33">
        <v>519481674.11646301</v>
      </c>
      <c r="U55" s="19">
        <v>532910986.428774</v>
      </c>
      <c r="V55" s="19">
        <v>387351083.80461699</v>
      </c>
      <c r="W55" s="19">
        <v>706457460.66325498</v>
      </c>
      <c r="X55" s="19">
        <v>156013924.032628</v>
      </c>
      <c r="Y55" s="19">
        <v>697666254.58715701</v>
      </c>
      <c r="Z55" s="19">
        <v>1188521951.48262</v>
      </c>
      <c r="AA55" s="19">
        <v>164181553.680022</v>
      </c>
      <c r="AB55" s="33">
        <v>699502565.70297396</v>
      </c>
      <c r="AC55" s="33">
        <v>81271005.332346603</v>
      </c>
      <c r="AD55" s="33">
        <v>40678551.969231904</v>
      </c>
      <c r="AE55" s="19">
        <v>2860304981.41469</v>
      </c>
      <c r="AF55" s="19">
        <v>1498514698.5595801</v>
      </c>
      <c r="AG55" s="19">
        <v>1199171268.6345</v>
      </c>
      <c r="AH55" s="19">
        <v>431989760.105425</v>
      </c>
      <c r="AI55" s="19">
        <v>965242789.82604098</v>
      </c>
      <c r="AJ55" s="19">
        <v>1229370155.47224</v>
      </c>
      <c r="AK55" s="33">
        <v>1066633480.3337899</v>
      </c>
      <c r="AL55" s="19">
        <v>962562600.60869706</v>
      </c>
      <c r="AM55" s="33">
        <v>231556568.159228</v>
      </c>
      <c r="AN55" s="19">
        <v>519785869.52841699</v>
      </c>
      <c r="AO55" s="19">
        <v>300337588.72242802</v>
      </c>
      <c r="AP55" s="33">
        <v>532487559.13479602</v>
      </c>
      <c r="AQ55" s="19">
        <v>500072197.73930699</v>
      </c>
      <c r="AR55" s="19">
        <v>155843409.76529199</v>
      </c>
      <c r="AS55" s="19">
        <v>907706187.35658896</v>
      </c>
      <c r="AT55" s="48">
        <v>26990278045.432301</v>
      </c>
      <c r="AU55" s="49"/>
      <c r="AV55" s="49"/>
      <c r="AW55" s="67"/>
      <c r="AX55" s="49"/>
      <c r="AY55" s="67"/>
      <c r="AZ55" s="49"/>
      <c r="BA55" s="49"/>
      <c r="BB55" s="67"/>
      <c r="BC55" s="49"/>
      <c r="BD55" s="68"/>
      <c r="BE55" s="49"/>
      <c r="BF55" s="49"/>
    </row>
  </sheetData>
  <mergeCells count="10">
    <mergeCell ref="A55:B55"/>
    <mergeCell ref="A7:A49"/>
    <mergeCell ref="A50:A54"/>
    <mergeCell ref="C4:C5"/>
    <mergeCell ref="BE4:BE5"/>
    <mergeCell ref="BF4:BF5"/>
    <mergeCell ref="A4:B5"/>
    <mergeCell ref="AU3:BC3"/>
    <mergeCell ref="D4:AT4"/>
    <mergeCell ref="AU4:BD4"/>
  </mergeCells>
  <phoneticPr fontId="7" type="noConversion"/>
  <conditionalFormatting sqref="T8:X9 T11:X11 T18:X18 T23:X23 T31:X33 T40:X40 T42:X42 T45:X45 U49:X55">
    <cfRule type="cellIs" dxfId="1" priority="1"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283"/>
  <sheetViews>
    <sheetView zoomScaleNormal="100" workbookViewId="0">
      <pane xSplit="3" ySplit="6" topLeftCell="D232" activePane="bottomRight" state="frozen"/>
      <selection pane="topRight" activeCell="D1" sqref="D1"/>
      <selection pane="bottomLeft" activeCell="A7" sqref="A7"/>
      <selection pane="bottomRight" activeCell="D242" sqref="D242"/>
    </sheetView>
  </sheetViews>
  <sheetFormatPr defaultColWidth="9" defaultRowHeight="14.4" x14ac:dyDescent="0.25"/>
  <cols>
    <col min="3" max="3" width="12.77734375" customWidth="1"/>
    <col min="4" max="45" width="12.88671875"/>
    <col min="46" max="46" width="13" bestFit="1" customWidth="1"/>
    <col min="47" max="47" width="14.109375" bestFit="1" customWidth="1"/>
    <col min="50" max="50" width="12.88671875" bestFit="1" customWidth="1"/>
    <col min="57" max="57" width="12.88671875" bestFit="1" customWidth="1"/>
    <col min="59" max="59" width="12.88671875" bestFit="1" customWidth="1"/>
    <col min="60" max="60" width="12.88671875"/>
    <col min="62" max="62" width="12.88671875"/>
  </cols>
  <sheetData>
    <row r="1" spans="1:63" x14ac:dyDescent="0.25">
      <c r="A1" s="4" t="s">
        <v>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0"/>
      <c r="AX1" s="5"/>
      <c r="AY1" s="50"/>
      <c r="AZ1" s="5"/>
      <c r="BA1" s="5"/>
      <c r="BB1" s="50"/>
      <c r="BC1" s="5"/>
      <c r="BD1" s="51"/>
      <c r="BE1" s="5"/>
      <c r="BF1" s="5"/>
    </row>
    <row r="2" spans="1:63" x14ac:dyDescent="0.25">
      <c r="A2" s="6" t="s">
        <v>9</v>
      </c>
      <c r="B2" s="5"/>
      <c r="C2" s="5"/>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5"/>
      <c r="AT2" s="5"/>
      <c r="AU2" s="7"/>
      <c r="AV2" s="7"/>
      <c r="AW2" s="52"/>
      <c r="AX2" s="7"/>
      <c r="AY2" s="52"/>
      <c r="AZ2" s="7"/>
      <c r="BA2" s="7"/>
      <c r="BB2" s="52"/>
      <c r="BC2" s="53"/>
      <c r="BD2" s="51"/>
      <c r="BE2" s="53"/>
      <c r="BF2" s="5"/>
    </row>
    <row r="3" spans="1:63" x14ac:dyDescent="0.25">
      <c r="A3" s="8" t="s">
        <v>10</v>
      </c>
      <c r="B3" s="9"/>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5"/>
      <c r="AT3" s="5"/>
      <c r="AU3" s="91"/>
      <c r="AV3" s="91"/>
      <c r="AW3" s="91"/>
      <c r="AX3" s="91"/>
      <c r="AY3" s="91"/>
      <c r="AZ3" s="91"/>
      <c r="BA3" s="91"/>
      <c r="BB3" s="91"/>
      <c r="BC3" s="91"/>
      <c r="BD3" s="54"/>
      <c r="BE3" s="5"/>
      <c r="BF3" s="5"/>
    </row>
    <row r="4" spans="1:63" x14ac:dyDescent="0.25">
      <c r="A4" s="87" t="s">
        <v>11</v>
      </c>
      <c r="B4" s="88"/>
      <c r="C4" s="105" t="s">
        <v>12</v>
      </c>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3"/>
      <c r="AS4" s="93"/>
      <c r="AT4" s="94"/>
      <c r="AU4" s="95" t="s">
        <v>13</v>
      </c>
      <c r="AV4" s="96"/>
      <c r="AW4" s="96"/>
      <c r="AX4" s="96"/>
      <c r="AY4" s="96"/>
      <c r="AZ4" s="96"/>
      <c r="BA4" s="96"/>
      <c r="BB4" s="96"/>
      <c r="BC4" s="96"/>
      <c r="BD4" s="97"/>
      <c r="BE4" s="107" t="s">
        <v>14</v>
      </c>
      <c r="BF4" s="85" t="s">
        <v>15</v>
      </c>
      <c r="BH4" s="69" t="s">
        <v>140</v>
      </c>
      <c r="BI4" s="69" t="s">
        <v>141</v>
      </c>
      <c r="BJ4" s="69"/>
      <c r="BK4" s="70"/>
    </row>
    <row r="5" spans="1:63" ht="43.2" x14ac:dyDescent="0.25">
      <c r="A5" s="89"/>
      <c r="B5" s="90"/>
      <c r="C5" s="106"/>
      <c r="D5" s="12" t="s">
        <v>16</v>
      </c>
      <c r="E5" s="13" t="s">
        <v>17</v>
      </c>
      <c r="F5" s="13" t="s">
        <v>18</v>
      </c>
      <c r="G5" s="13" t="s">
        <v>19</v>
      </c>
      <c r="H5" s="13" t="s">
        <v>20</v>
      </c>
      <c r="I5" s="13" t="s">
        <v>21</v>
      </c>
      <c r="J5" s="13" t="s">
        <v>22</v>
      </c>
      <c r="K5" s="13" t="s">
        <v>23</v>
      </c>
      <c r="L5" s="13" t="s">
        <v>24</v>
      </c>
      <c r="M5" s="13" t="s">
        <v>25</v>
      </c>
      <c r="N5" s="13" t="s">
        <v>26</v>
      </c>
      <c r="O5" s="13" t="s">
        <v>27</v>
      </c>
      <c r="P5" s="13" t="s">
        <v>28</v>
      </c>
      <c r="Q5" s="37" t="s">
        <v>29</v>
      </c>
      <c r="R5" s="37" t="s">
        <v>30</v>
      </c>
      <c r="S5" s="37" t="s">
        <v>31</v>
      </c>
      <c r="T5" s="37" t="s">
        <v>32</v>
      </c>
      <c r="U5" s="38" t="s">
        <v>33</v>
      </c>
      <c r="V5" s="37" t="s">
        <v>34</v>
      </c>
      <c r="W5" s="37" t="s">
        <v>35</v>
      </c>
      <c r="X5" s="37" t="s">
        <v>36</v>
      </c>
      <c r="Y5" s="37" t="s">
        <v>37</v>
      </c>
      <c r="Z5" s="38" t="s">
        <v>38</v>
      </c>
      <c r="AA5" s="38" t="s">
        <v>39</v>
      </c>
      <c r="AB5" s="38" t="s">
        <v>40</v>
      </c>
      <c r="AC5" s="38" t="s">
        <v>41</v>
      </c>
      <c r="AD5" s="37" t="s">
        <v>42</v>
      </c>
      <c r="AE5" s="37" t="s">
        <v>43</v>
      </c>
      <c r="AF5" s="37" t="s">
        <v>44</v>
      </c>
      <c r="AG5" s="37" t="s">
        <v>45</v>
      </c>
      <c r="AH5" s="37" t="s">
        <v>46</v>
      </c>
      <c r="AI5" s="37" t="s">
        <v>47</v>
      </c>
      <c r="AJ5" s="37" t="s">
        <v>48</v>
      </c>
      <c r="AK5" s="37" t="s">
        <v>49</v>
      </c>
      <c r="AL5" s="37" t="s">
        <v>50</v>
      </c>
      <c r="AM5" s="37" t="s">
        <v>51</v>
      </c>
      <c r="AN5" s="37" t="s">
        <v>52</v>
      </c>
      <c r="AO5" s="37" t="s">
        <v>53</v>
      </c>
      <c r="AP5" s="37" t="s">
        <v>54</v>
      </c>
      <c r="AQ5" s="37" t="s">
        <v>55</v>
      </c>
      <c r="AR5" s="37" t="s">
        <v>56</v>
      </c>
      <c r="AS5" s="37" t="s">
        <v>57</v>
      </c>
      <c r="AT5" s="39" t="s">
        <v>58</v>
      </c>
      <c r="AU5" s="40" t="s">
        <v>59</v>
      </c>
      <c r="AV5" s="40" t="s">
        <v>60</v>
      </c>
      <c r="AW5" s="55" t="s">
        <v>61</v>
      </c>
      <c r="AX5" s="40" t="s">
        <v>62</v>
      </c>
      <c r="AY5" s="55" t="s">
        <v>63</v>
      </c>
      <c r="AZ5" s="40" t="s">
        <v>64</v>
      </c>
      <c r="BA5" s="40" t="s">
        <v>65</v>
      </c>
      <c r="BB5" s="55" t="s">
        <v>66</v>
      </c>
      <c r="BC5" s="56" t="s">
        <v>67</v>
      </c>
      <c r="BD5" s="57" t="s">
        <v>68</v>
      </c>
      <c r="BE5" s="108"/>
      <c r="BF5" s="86"/>
      <c r="BH5" s="69" t="s">
        <v>142</v>
      </c>
      <c r="BI5" s="69"/>
      <c r="BJ5" s="71" t="s">
        <v>143</v>
      </c>
      <c r="BK5" s="70"/>
    </row>
    <row r="6" spans="1:63" x14ac:dyDescent="0.25">
      <c r="A6" s="5"/>
      <c r="B6" s="14" t="s">
        <v>12</v>
      </c>
      <c r="C6" s="15" t="s">
        <v>69</v>
      </c>
      <c r="D6" s="16" t="s">
        <v>70</v>
      </c>
      <c r="E6" s="16" t="s">
        <v>71</v>
      </c>
      <c r="F6" s="16" t="s">
        <v>72</v>
      </c>
      <c r="G6" s="16" t="s">
        <v>73</v>
      </c>
      <c r="H6" s="16" t="s">
        <v>74</v>
      </c>
      <c r="I6" s="16" t="s">
        <v>75</v>
      </c>
      <c r="J6" s="16" t="s">
        <v>76</v>
      </c>
      <c r="K6" s="16" t="s">
        <v>77</v>
      </c>
      <c r="L6" s="16" t="s">
        <v>78</v>
      </c>
      <c r="M6" s="16" t="s">
        <v>79</v>
      </c>
      <c r="N6" s="16" t="s">
        <v>80</v>
      </c>
      <c r="O6" s="16" t="s">
        <v>81</v>
      </c>
      <c r="P6" s="16" t="s">
        <v>82</v>
      </c>
      <c r="Q6" s="16" t="s">
        <v>83</v>
      </c>
      <c r="R6" s="16" t="s">
        <v>84</v>
      </c>
      <c r="S6" s="16" t="s">
        <v>85</v>
      </c>
      <c r="T6" s="16" t="s">
        <v>86</v>
      </c>
      <c r="U6" s="16" t="s">
        <v>87</v>
      </c>
      <c r="V6" s="16" t="s">
        <v>88</v>
      </c>
      <c r="W6" s="16" t="s">
        <v>89</v>
      </c>
      <c r="X6" s="16" t="s">
        <v>90</v>
      </c>
      <c r="Y6" s="16" t="s">
        <v>91</v>
      </c>
      <c r="Z6" s="16" t="s">
        <v>92</v>
      </c>
      <c r="AA6" s="16" t="s">
        <v>93</v>
      </c>
      <c r="AB6" s="16" t="s">
        <v>94</v>
      </c>
      <c r="AC6" s="16" t="s">
        <v>95</v>
      </c>
      <c r="AD6" s="16" t="s">
        <v>96</v>
      </c>
      <c r="AE6" s="16" t="s">
        <v>97</v>
      </c>
      <c r="AF6" s="16" t="s">
        <v>98</v>
      </c>
      <c r="AG6" s="16" t="s">
        <v>99</v>
      </c>
      <c r="AH6" s="16" t="s">
        <v>100</v>
      </c>
      <c r="AI6" s="16" t="s">
        <v>101</v>
      </c>
      <c r="AJ6" s="16" t="s">
        <v>102</v>
      </c>
      <c r="AK6" s="16" t="s">
        <v>103</v>
      </c>
      <c r="AL6" s="16" t="s">
        <v>104</v>
      </c>
      <c r="AM6" s="16" t="s">
        <v>105</v>
      </c>
      <c r="AN6" s="16" t="s">
        <v>106</v>
      </c>
      <c r="AO6" s="16" t="s">
        <v>107</v>
      </c>
      <c r="AP6" s="16" t="s">
        <v>108</v>
      </c>
      <c r="AQ6" s="16" t="s">
        <v>109</v>
      </c>
      <c r="AR6" s="16" t="s">
        <v>110</v>
      </c>
      <c r="AS6" s="16" t="s">
        <v>111</v>
      </c>
      <c r="AT6" s="16" t="s">
        <v>112</v>
      </c>
      <c r="AU6" s="41" t="s">
        <v>113</v>
      </c>
      <c r="AV6" s="41" t="s">
        <v>114</v>
      </c>
      <c r="AW6" s="58" t="s">
        <v>115</v>
      </c>
      <c r="AX6" s="41" t="s">
        <v>116</v>
      </c>
      <c r="AY6" s="58" t="s">
        <v>117</v>
      </c>
      <c r="AZ6" s="41" t="s">
        <v>118</v>
      </c>
      <c r="BA6" s="41" t="s">
        <v>119</v>
      </c>
      <c r="BB6" s="58" t="s">
        <v>120</v>
      </c>
      <c r="BC6" s="59" t="s">
        <v>121</v>
      </c>
      <c r="BD6" s="60" t="s">
        <v>122</v>
      </c>
      <c r="BE6" s="72" t="s">
        <v>123</v>
      </c>
      <c r="BF6" s="73" t="s">
        <v>124</v>
      </c>
    </row>
    <row r="7" spans="1:63" ht="21.6" x14ac:dyDescent="0.25">
      <c r="A7" s="100"/>
      <c r="B7" s="17" t="s">
        <v>16</v>
      </c>
      <c r="C7" s="18" t="s">
        <v>70</v>
      </c>
      <c r="D7" s="19">
        <v>183133769.00858301</v>
      </c>
      <c r="E7" s="19">
        <v>203490.68408443301</v>
      </c>
      <c r="F7" s="19">
        <v>2231.1266199760998</v>
      </c>
      <c r="G7" s="19">
        <v>30366.117979029001</v>
      </c>
      <c r="H7" s="19">
        <v>118.548902968788</v>
      </c>
      <c r="I7" s="19">
        <v>467586720.28646201</v>
      </c>
      <c r="J7" s="19">
        <v>82006169.486367702</v>
      </c>
      <c r="K7" s="19">
        <v>31973462.848005898</v>
      </c>
      <c r="L7" s="19">
        <v>53736066.677819602</v>
      </c>
      <c r="M7" s="19">
        <v>15804.3604181711</v>
      </c>
      <c r="N7" s="19">
        <v>11513733.3673205</v>
      </c>
      <c r="O7" s="19">
        <v>44821824.893563502</v>
      </c>
      <c r="P7" s="19">
        <v>7680873.6462266697</v>
      </c>
      <c r="Q7" s="19">
        <v>218881.18769850201</v>
      </c>
      <c r="R7" s="19">
        <v>20627.161501968301</v>
      </c>
      <c r="S7" s="19">
        <v>15998.126294932499</v>
      </c>
      <c r="T7" s="19">
        <v>97311.762035804</v>
      </c>
      <c r="U7" s="19">
        <v>27411.881051118198</v>
      </c>
      <c r="V7" s="19">
        <v>79539.685076425099</v>
      </c>
      <c r="W7" s="19">
        <v>26629.6079430389</v>
      </c>
      <c r="X7" s="19">
        <v>12565.823957512001</v>
      </c>
      <c r="Y7" s="19">
        <v>68073.7608283015</v>
      </c>
      <c r="Z7" s="19">
        <v>2175.5735884985602</v>
      </c>
      <c r="AA7" s="19">
        <v>3451035.1821262799</v>
      </c>
      <c r="AB7" s="19">
        <v>101721.231936442</v>
      </c>
      <c r="AC7" s="19">
        <v>1310.78692957769</v>
      </c>
      <c r="AD7" s="19">
        <v>0</v>
      </c>
      <c r="AE7" s="19">
        <v>18834171.9565458</v>
      </c>
      <c r="AF7" s="19">
        <v>13768.593246832301</v>
      </c>
      <c r="AG7" s="19">
        <v>154389.965643367</v>
      </c>
      <c r="AH7" s="19">
        <v>53857078.585626699</v>
      </c>
      <c r="AI7" s="19">
        <v>509534.91520112101</v>
      </c>
      <c r="AJ7" s="19">
        <v>67279.739160820202</v>
      </c>
      <c r="AK7" s="19">
        <v>336941.12881730997</v>
      </c>
      <c r="AL7" s="19">
        <v>7363183.3790552802</v>
      </c>
      <c r="AM7" s="19">
        <v>4230391.8261997299</v>
      </c>
      <c r="AN7" s="19">
        <v>1149759.56904357</v>
      </c>
      <c r="AO7" s="19">
        <v>2268491.10930721</v>
      </c>
      <c r="AP7" s="19">
        <v>612269.38744812203</v>
      </c>
      <c r="AQ7" s="19">
        <v>605609.60475212894</v>
      </c>
      <c r="AR7" s="19">
        <v>477755.87084350502</v>
      </c>
      <c r="AS7" s="19">
        <v>9519615.66929329</v>
      </c>
      <c r="AT7" s="19">
        <v>954854691.27550101</v>
      </c>
      <c r="AU7" s="19">
        <v>109745451.40185501</v>
      </c>
      <c r="AV7" s="19">
        <v>221055004.42388201</v>
      </c>
      <c r="AW7" s="19">
        <v>330800455.825737</v>
      </c>
      <c r="AX7" s="19">
        <v>19639627.580839101</v>
      </c>
      <c r="AY7" s="19">
        <v>350440083.40657598</v>
      </c>
      <c r="AZ7" s="19">
        <v>17577339.566559002</v>
      </c>
      <c r="BA7" s="19">
        <v>54901501.621725</v>
      </c>
      <c r="BB7" s="19">
        <v>72478841.188283995</v>
      </c>
      <c r="BC7" s="19">
        <v>18171672.030595101</v>
      </c>
      <c r="BD7" s="19">
        <v>441090596.62545598</v>
      </c>
      <c r="BE7" s="19">
        <v>64262037.629985198</v>
      </c>
      <c r="BF7" s="19">
        <v>1331683250.2709701</v>
      </c>
      <c r="BH7">
        <f>AT7+AY7+BB7</f>
        <v>1377773615.8703609</v>
      </c>
      <c r="BJ7">
        <f>BE7/BH7</f>
        <v>4.6641942398780716E-2</v>
      </c>
    </row>
    <row r="8" spans="1:63" ht="21.6" x14ac:dyDescent="0.25">
      <c r="A8" s="100"/>
      <c r="B8" s="17" t="s">
        <v>17</v>
      </c>
      <c r="C8" s="18" t="s">
        <v>71</v>
      </c>
      <c r="D8" s="19">
        <v>601665.538401025</v>
      </c>
      <c r="E8" s="19">
        <v>36204793.6824397</v>
      </c>
      <c r="F8" s="19">
        <v>63785.089784693002</v>
      </c>
      <c r="G8" s="19">
        <v>1725453.8706338899</v>
      </c>
      <c r="H8" s="19">
        <v>60512.7785480819</v>
      </c>
      <c r="I8" s="19">
        <v>2167450.15250292</v>
      </c>
      <c r="J8" s="19">
        <v>1809485.7307809701</v>
      </c>
      <c r="K8" s="19">
        <v>280086.13462574099</v>
      </c>
      <c r="L8" s="19">
        <v>3698845.8920788602</v>
      </c>
      <c r="M8" s="19">
        <v>22001119.828746099</v>
      </c>
      <c r="N8" s="19">
        <v>21794626.064204998</v>
      </c>
      <c r="O8" s="19">
        <v>436019.61784148501</v>
      </c>
      <c r="P8" s="19">
        <v>562146.69443158899</v>
      </c>
      <c r="Q8" s="19">
        <v>34167884.2571337</v>
      </c>
      <c r="R8" s="19">
        <v>21281682.9252996</v>
      </c>
      <c r="S8" s="19">
        <v>3302161.3408503002</v>
      </c>
      <c r="T8" s="19">
        <v>494727.50506545597</v>
      </c>
      <c r="U8" s="19">
        <v>360707.784187513</v>
      </c>
      <c r="V8" s="19">
        <v>252507.67466881199</v>
      </c>
      <c r="W8" s="19">
        <v>48318.134936206698</v>
      </c>
      <c r="X8" s="19">
        <v>49904.045640293603</v>
      </c>
      <c r="Y8" s="19">
        <v>214230.20991276501</v>
      </c>
      <c r="Z8" s="19">
        <v>20070.6192482144</v>
      </c>
      <c r="AA8" s="19">
        <v>178085.13534955701</v>
      </c>
      <c r="AB8" s="19">
        <v>93800322.346398696</v>
      </c>
      <c r="AC8" s="19">
        <v>2360515.4870768199</v>
      </c>
      <c r="AD8" s="19">
        <v>0</v>
      </c>
      <c r="AE8" s="19">
        <v>843243.22422716196</v>
      </c>
      <c r="AF8" s="19">
        <v>45563.861165130103</v>
      </c>
      <c r="AG8" s="19">
        <v>128090.518834844</v>
      </c>
      <c r="AH8" s="19">
        <v>50429.8104455348</v>
      </c>
      <c r="AI8" s="19">
        <v>0</v>
      </c>
      <c r="AJ8" s="19">
        <v>17218.229644303101</v>
      </c>
      <c r="AK8" s="19">
        <v>63307.689676131602</v>
      </c>
      <c r="AL8" s="19">
        <v>64.301927438646302</v>
      </c>
      <c r="AM8" s="19">
        <v>234549.26818834001</v>
      </c>
      <c r="AN8" s="19">
        <v>170081.93752087501</v>
      </c>
      <c r="AO8" s="19">
        <v>326757.72811334702</v>
      </c>
      <c r="AP8" s="19">
        <v>607785.81586245506</v>
      </c>
      <c r="AQ8" s="19">
        <v>360760.39266515698</v>
      </c>
      <c r="AR8" s="19">
        <v>41612.685146271499</v>
      </c>
      <c r="AS8" s="19">
        <v>603682.14532045706</v>
      </c>
      <c r="AT8" s="42">
        <v>251150170.0149</v>
      </c>
      <c r="AU8" s="43">
        <v>753293.48323987797</v>
      </c>
      <c r="AV8" s="43">
        <v>468986.09634170099</v>
      </c>
      <c r="AW8" s="42">
        <v>1222279.5795815799</v>
      </c>
      <c r="AX8" s="43">
        <v>0</v>
      </c>
      <c r="AY8" s="42">
        <v>1222279.5795815799</v>
      </c>
      <c r="AZ8" s="43">
        <v>0</v>
      </c>
      <c r="BA8" s="43">
        <v>-2627614.6415468901</v>
      </c>
      <c r="BB8" s="42">
        <v>-2627614.6415468901</v>
      </c>
      <c r="BC8" s="43">
        <v>260795.53562456899</v>
      </c>
      <c r="BD8" s="61">
        <v>-1144539.52634074</v>
      </c>
      <c r="BE8" s="43">
        <v>14933018.4856</v>
      </c>
      <c r="BF8" s="44">
        <v>235072612.00295901</v>
      </c>
      <c r="BH8">
        <f t="shared" ref="BH8:BH48" si="0">AT8+AY8+BB8</f>
        <v>249744834.95293468</v>
      </c>
      <c r="BJ8">
        <f t="shared" ref="BJ8:BJ48" si="1">BE8/BH8</f>
        <v>5.9793102381533465E-2</v>
      </c>
    </row>
    <row r="9" spans="1:63" ht="21.6" x14ac:dyDescent="0.25">
      <c r="A9" s="100"/>
      <c r="B9" s="17" t="s">
        <v>18</v>
      </c>
      <c r="C9" s="18" t="s">
        <v>72</v>
      </c>
      <c r="D9" s="19">
        <v>0</v>
      </c>
      <c r="E9" s="19">
        <v>44377.409200752503</v>
      </c>
      <c r="F9" s="19">
        <v>535454.38845314702</v>
      </c>
      <c r="G9" s="19">
        <v>31524.5192237171</v>
      </c>
      <c r="H9" s="19">
        <v>15664.728389906701</v>
      </c>
      <c r="I9" s="19">
        <v>0</v>
      </c>
      <c r="J9" s="19">
        <v>0</v>
      </c>
      <c r="K9" s="19">
        <v>0</v>
      </c>
      <c r="L9" s="19">
        <v>59261.942827036197</v>
      </c>
      <c r="M9" s="19">
        <v>187886293.75204399</v>
      </c>
      <c r="N9" s="19">
        <v>16889359.6350297</v>
      </c>
      <c r="O9" s="19">
        <v>26683.811355182301</v>
      </c>
      <c r="P9" s="19">
        <v>822898.05516862404</v>
      </c>
      <c r="Q9" s="19">
        <v>1363725.1848709099</v>
      </c>
      <c r="R9" s="19">
        <v>372310.778593975</v>
      </c>
      <c r="S9" s="19">
        <v>752409.26404975797</v>
      </c>
      <c r="T9" s="19">
        <v>586961.70180362405</v>
      </c>
      <c r="U9" s="19">
        <v>564473.99473040295</v>
      </c>
      <c r="V9" s="19">
        <v>372468.27386265399</v>
      </c>
      <c r="W9" s="19">
        <v>425241.52690250898</v>
      </c>
      <c r="X9" s="19">
        <v>143883.096274343</v>
      </c>
      <c r="Y9" s="19">
        <v>68067.404685126705</v>
      </c>
      <c r="Z9" s="19">
        <v>0</v>
      </c>
      <c r="AA9" s="19">
        <v>0</v>
      </c>
      <c r="AB9" s="19">
        <v>6735286.1471629096</v>
      </c>
      <c r="AC9" s="19">
        <v>33825563.811464399</v>
      </c>
      <c r="AD9" s="19">
        <v>0</v>
      </c>
      <c r="AE9" s="19">
        <v>0</v>
      </c>
      <c r="AF9" s="19">
        <v>0</v>
      </c>
      <c r="AG9" s="19">
        <v>487.91952830347202</v>
      </c>
      <c r="AH9" s="19">
        <v>0</v>
      </c>
      <c r="AI9" s="19">
        <v>0</v>
      </c>
      <c r="AJ9" s="19">
        <v>0</v>
      </c>
      <c r="AK9" s="19">
        <v>0</v>
      </c>
      <c r="AL9" s="19">
        <v>0</v>
      </c>
      <c r="AM9" s="19">
        <v>2507.1571750275598</v>
      </c>
      <c r="AN9" s="19">
        <v>0</v>
      </c>
      <c r="AO9" s="19">
        <v>0</v>
      </c>
      <c r="AP9" s="19">
        <v>0</v>
      </c>
      <c r="AQ9" s="19">
        <v>34579.890377714801</v>
      </c>
      <c r="AR9" s="19">
        <v>1756.02572738146</v>
      </c>
      <c r="AS9" s="19">
        <v>48307.892179915703</v>
      </c>
      <c r="AT9" s="42">
        <v>251609548.31108099</v>
      </c>
      <c r="AU9" s="43">
        <v>0</v>
      </c>
      <c r="AV9" s="43">
        <v>0</v>
      </c>
      <c r="AW9" s="42">
        <v>0</v>
      </c>
      <c r="AX9" s="43">
        <v>0</v>
      </c>
      <c r="AY9" s="42">
        <v>0</v>
      </c>
      <c r="AZ9" s="43">
        <v>0</v>
      </c>
      <c r="BA9" s="43">
        <v>288640.90826580301</v>
      </c>
      <c r="BB9" s="42">
        <v>288640.90826580301</v>
      </c>
      <c r="BC9" s="43">
        <v>1085317.43329964</v>
      </c>
      <c r="BD9" s="61">
        <v>1373958.3415654399</v>
      </c>
      <c r="BE9" s="43">
        <v>145293939.37647599</v>
      </c>
      <c r="BF9" s="44">
        <v>107689567.27617</v>
      </c>
      <c r="BH9">
        <f t="shared" si="0"/>
        <v>251898189.21934679</v>
      </c>
      <c r="BJ9">
        <f t="shared" si="1"/>
        <v>0.57679628355707457</v>
      </c>
    </row>
    <row r="10" spans="1:63" ht="32.4" x14ac:dyDescent="0.25">
      <c r="A10" s="100"/>
      <c r="B10" s="17" t="s">
        <v>19</v>
      </c>
      <c r="C10" s="18" t="s">
        <v>73</v>
      </c>
      <c r="D10" s="19">
        <v>2307.8115185747502</v>
      </c>
      <c r="E10" s="19">
        <v>45270.045796420804</v>
      </c>
      <c r="F10" s="19">
        <v>20550.067837663199</v>
      </c>
      <c r="G10" s="19">
        <v>12059564.9586758</v>
      </c>
      <c r="H10" s="19">
        <v>74468.260627687894</v>
      </c>
      <c r="I10" s="19">
        <v>62486.303967056097</v>
      </c>
      <c r="J10" s="19">
        <v>20915.9223997197</v>
      </c>
      <c r="K10" s="19">
        <v>14130.600939591101</v>
      </c>
      <c r="L10" s="19">
        <v>917816.88813265401</v>
      </c>
      <c r="M10" s="19">
        <v>351666.07211173401</v>
      </c>
      <c r="N10" s="19">
        <v>13663939.405401301</v>
      </c>
      <c r="O10" s="19">
        <v>218560.812755461</v>
      </c>
      <c r="P10" s="19">
        <v>57763.343714702503</v>
      </c>
      <c r="Q10" s="19">
        <v>51091548.573826402</v>
      </c>
      <c r="R10" s="19">
        <v>132438838.939999</v>
      </c>
      <c r="S10" s="19">
        <v>78502942.851173803</v>
      </c>
      <c r="T10" s="19">
        <v>6503772.5155035397</v>
      </c>
      <c r="U10" s="19">
        <v>64839.412482434498</v>
      </c>
      <c r="V10" s="19">
        <v>122513.00041072399</v>
      </c>
      <c r="W10" s="19">
        <v>165447.67931237299</v>
      </c>
      <c r="X10" s="19">
        <v>51425.008783817597</v>
      </c>
      <c r="Y10" s="19">
        <v>614877.85152406897</v>
      </c>
      <c r="Z10" s="19">
        <v>90520.249422050794</v>
      </c>
      <c r="AA10" s="19">
        <v>56747.978985439899</v>
      </c>
      <c r="AB10" s="19">
        <v>106588.815233874</v>
      </c>
      <c r="AC10" s="19">
        <v>0</v>
      </c>
      <c r="AD10" s="19">
        <v>0</v>
      </c>
      <c r="AE10" s="19">
        <v>24113818.501206901</v>
      </c>
      <c r="AF10" s="19">
        <v>60555.457465035601</v>
      </c>
      <c r="AG10" s="19">
        <v>179268.14835334101</v>
      </c>
      <c r="AH10" s="19">
        <v>4016.8528267524398</v>
      </c>
      <c r="AI10" s="19">
        <v>87.113671940353896</v>
      </c>
      <c r="AJ10" s="19">
        <v>747.23882856312105</v>
      </c>
      <c r="AK10" s="19">
        <v>376.87523853913302</v>
      </c>
      <c r="AL10" s="19">
        <v>1678.8513859603499</v>
      </c>
      <c r="AM10" s="19">
        <v>333550.55546202097</v>
      </c>
      <c r="AN10" s="19">
        <v>3880.5923173810202</v>
      </c>
      <c r="AO10" s="19">
        <v>3727.6437269153698</v>
      </c>
      <c r="AP10" s="19">
        <v>2965.11773276757</v>
      </c>
      <c r="AQ10" s="19">
        <v>1023.05544281491</v>
      </c>
      <c r="AR10" s="19">
        <v>5435.0280575937004</v>
      </c>
      <c r="AS10" s="19">
        <v>31541.5542402049</v>
      </c>
      <c r="AT10" s="19">
        <v>322048045.35555297</v>
      </c>
      <c r="AU10" s="19">
        <v>0</v>
      </c>
      <c r="AV10" s="19">
        <v>0</v>
      </c>
      <c r="AW10" s="19">
        <v>0</v>
      </c>
      <c r="AX10" s="19">
        <v>0</v>
      </c>
      <c r="AY10" s="19">
        <v>0</v>
      </c>
      <c r="AZ10" s="19">
        <v>0</v>
      </c>
      <c r="BA10" s="19">
        <v>2801192.3120360398</v>
      </c>
      <c r="BB10" s="19">
        <v>2801192.3120360398</v>
      </c>
      <c r="BC10" s="19">
        <v>3333103.89853743</v>
      </c>
      <c r="BD10" s="19">
        <v>6134296.2105734702</v>
      </c>
      <c r="BE10" s="19">
        <v>134647742.327847</v>
      </c>
      <c r="BF10" s="19">
        <v>193534599.23827901</v>
      </c>
      <c r="BH10">
        <f t="shared" si="0"/>
        <v>324849237.66758901</v>
      </c>
      <c r="BJ10">
        <f t="shared" si="1"/>
        <v>0.41449302234665869</v>
      </c>
    </row>
    <row r="11" spans="1:63" ht="32.4" x14ac:dyDescent="0.25">
      <c r="A11" s="100"/>
      <c r="B11" s="17" t="s">
        <v>20</v>
      </c>
      <c r="C11" s="18" t="s">
        <v>74</v>
      </c>
      <c r="D11" s="19">
        <v>0</v>
      </c>
      <c r="E11" s="19">
        <v>1372272.5958966599</v>
      </c>
      <c r="F11" s="19">
        <v>16942467.356343601</v>
      </c>
      <c r="G11" s="19">
        <v>1047957.68174087</v>
      </c>
      <c r="H11" s="19">
        <v>177012.61799321501</v>
      </c>
      <c r="I11" s="19">
        <v>466046.58840800601</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12.6722374204862</v>
      </c>
      <c r="AA11" s="19">
        <v>0</v>
      </c>
      <c r="AB11" s="19">
        <v>231004.90996498999</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42">
        <v>20236774.422584798</v>
      </c>
      <c r="AU11" s="43">
        <v>0</v>
      </c>
      <c r="AV11" s="43">
        <v>0</v>
      </c>
      <c r="AW11" s="42">
        <v>0</v>
      </c>
      <c r="AX11" s="43">
        <v>0</v>
      </c>
      <c r="AY11" s="42">
        <v>0</v>
      </c>
      <c r="AZ11" s="43">
        <v>0</v>
      </c>
      <c r="BA11" s="43">
        <v>0</v>
      </c>
      <c r="BB11" s="42">
        <v>0</v>
      </c>
      <c r="BC11" s="43">
        <v>0</v>
      </c>
      <c r="BD11" s="61">
        <v>0</v>
      </c>
      <c r="BE11" s="43">
        <v>0</v>
      </c>
      <c r="BF11" s="44">
        <v>20236774.422584798</v>
      </c>
      <c r="BH11">
        <f t="shared" si="0"/>
        <v>20236774.422584798</v>
      </c>
      <c r="BJ11">
        <f>BE11/BH11</f>
        <v>0</v>
      </c>
    </row>
    <row r="12" spans="1:63" x14ac:dyDescent="0.25">
      <c r="A12" s="100"/>
      <c r="B12" s="17" t="s">
        <v>21</v>
      </c>
      <c r="C12" s="18" t="s">
        <v>75</v>
      </c>
      <c r="D12" s="19">
        <v>108184867.522413</v>
      </c>
      <c r="E12" s="19">
        <v>413271.65844336699</v>
      </c>
      <c r="F12" s="19">
        <v>79328.1272889104</v>
      </c>
      <c r="G12" s="19">
        <v>942010.64600477298</v>
      </c>
      <c r="H12" s="19">
        <v>15471.0429285469</v>
      </c>
      <c r="I12" s="19">
        <v>249372493.69703001</v>
      </c>
      <c r="J12" s="19">
        <v>14128691.5738324</v>
      </c>
      <c r="K12" s="19">
        <v>1247437.6388638699</v>
      </c>
      <c r="L12" s="19">
        <v>3016090.1708590901</v>
      </c>
      <c r="M12" s="19">
        <v>3256002.5538341198</v>
      </c>
      <c r="N12" s="19">
        <v>25114335.1987531</v>
      </c>
      <c r="O12" s="19">
        <v>7560676.0969755901</v>
      </c>
      <c r="P12" s="19">
        <v>750764.12286723498</v>
      </c>
      <c r="Q12" s="19">
        <v>1766033.0825439</v>
      </c>
      <c r="R12" s="19">
        <v>3822314.4307082701</v>
      </c>
      <c r="S12" s="19">
        <v>4171930.42313954</v>
      </c>
      <c r="T12" s="19">
        <v>2846827.6921563102</v>
      </c>
      <c r="U12" s="19">
        <v>4402856.8840291603</v>
      </c>
      <c r="V12" s="19">
        <v>2451141.56851923</v>
      </c>
      <c r="W12" s="19">
        <v>2157646.3784742099</v>
      </c>
      <c r="X12" s="19">
        <v>1244965.1723612901</v>
      </c>
      <c r="Y12" s="19">
        <v>4524092.6392990705</v>
      </c>
      <c r="Z12" s="19">
        <v>7303684.2971111601</v>
      </c>
      <c r="AA12" s="19">
        <v>618269.90207279206</v>
      </c>
      <c r="AB12" s="19">
        <v>5006459.0918666804</v>
      </c>
      <c r="AC12" s="19">
        <v>538269.50862606696</v>
      </c>
      <c r="AD12" s="19">
        <v>432454.54748725903</v>
      </c>
      <c r="AE12" s="19">
        <v>5743107.4265601104</v>
      </c>
      <c r="AF12" s="19">
        <v>2301664.0439841002</v>
      </c>
      <c r="AG12" s="19">
        <v>7651112.7979270304</v>
      </c>
      <c r="AH12" s="19">
        <v>127743752.704125</v>
      </c>
      <c r="AI12" s="19">
        <v>5595412.7393014701</v>
      </c>
      <c r="AJ12" s="19">
        <v>2856239.8503461499</v>
      </c>
      <c r="AK12" s="19">
        <v>4673588.7287675804</v>
      </c>
      <c r="AL12" s="19">
        <v>16568941.000821199</v>
      </c>
      <c r="AM12" s="19">
        <v>4782871.6076720497</v>
      </c>
      <c r="AN12" s="19">
        <v>3289851.36364205</v>
      </c>
      <c r="AO12" s="19">
        <v>7513197.7088389201</v>
      </c>
      <c r="AP12" s="19">
        <v>12503170.855266299</v>
      </c>
      <c r="AQ12" s="19">
        <v>7006157.6699213404</v>
      </c>
      <c r="AR12" s="19">
        <v>9671567.5998847503</v>
      </c>
      <c r="AS12" s="19">
        <v>7647553.5130842999</v>
      </c>
      <c r="AT12" s="19">
        <v>679669137.639768</v>
      </c>
      <c r="AU12" s="19">
        <v>156188434.73749101</v>
      </c>
      <c r="AV12" s="19">
        <v>452326731.01745701</v>
      </c>
      <c r="AW12" s="19">
        <v>608515165.75494802</v>
      </c>
      <c r="AX12" s="19">
        <v>0</v>
      </c>
      <c r="AY12" s="19">
        <v>608515165.75494802</v>
      </c>
      <c r="AZ12" s="19">
        <v>0</v>
      </c>
      <c r="BA12" s="19">
        <v>8525640.2327463608</v>
      </c>
      <c r="BB12" s="19">
        <v>8525640.2327463608</v>
      </c>
      <c r="BC12" s="19">
        <v>35833494.4737183</v>
      </c>
      <c r="BD12" s="19">
        <v>652874300.46141303</v>
      </c>
      <c r="BE12" s="19">
        <v>81180639.930074707</v>
      </c>
      <c r="BF12" s="19">
        <v>1251362798.1711099</v>
      </c>
      <c r="BH12">
        <f t="shared" si="0"/>
        <v>1296709943.6274624</v>
      </c>
      <c r="BJ12">
        <f t="shared" si="1"/>
        <v>6.2605087844839924E-2</v>
      </c>
    </row>
    <row r="13" spans="1:63" ht="43.2" x14ac:dyDescent="0.25">
      <c r="A13" s="100"/>
      <c r="B13" s="17" t="s">
        <v>22</v>
      </c>
      <c r="C13" s="18" t="s">
        <v>76</v>
      </c>
      <c r="D13" s="19">
        <v>255022.543439289</v>
      </c>
      <c r="E13" s="19">
        <v>1536716.4615694401</v>
      </c>
      <c r="F13" s="19">
        <v>172891.147199542</v>
      </c>
      <c r="G13" s="19">
        <v>431377.15059935598</v>
      </c>
      <c r="H13" s="19">
        <v>299060.72832192999</v>
      </c>
      <c r="I13" s="19">
        <v>3696564.1752409101</v>
      </c>
      <c r="J13" s="19">
        <v>314846172.317828</v>
      </c>
      <c r="K13" s="19">
        <v>8109575.9068406802</v>
      </c>
      <c r="L13" s="19">
        <v>21141410.3650942</v>
      </c>
      <c r="M13" s="19">
        <v>892568.29669920204</v>
      </c>
      <c r="N13" s="19">
        <v>3692227.01976529</v>
      </c>
      <c r="O13" s="19">
        <v>4066224.9370025401</v>
      </c>
      <c r="P13" s="19">
        <v>3366898.14673525</v>
      </c>
      <c r="Q13" s="19">
        <v>4050298.8980250498</v>
      </c>
      <c r="R13" s="19">
        <v>649060.66057088599</v>
      </c>
      <c r="S13" s="19">
        <v>445858.5484269</v>
      </c>
      <c r="T13" s="19">
        <v>2025532.94802317</v>
      </c>
      <c r="U13" s="19">
        <v>1951908.6158987</v>
      </c>
      <c r="V13" s="19">
        <v>1960493.2319757999</v>
      </c>
      <c r="W13" s="19">
        <v>5639280.4127312796</v>
      </c>
      <c r="X13" s="19">
        <v>1374959.5139363799</v>
      </c>
      <c r="Y13" s="19">
        <v>3039653.0402595601</v>
      </c>
      <c r="Z13" s="19">
        <v>3035965.5310010798</v>
      </c>
      <c r="AA13" s="19">
        <v>4187381.8069357099</v>
      </c>
      <c r="AB13" s="19">
        <v>864761.16908143205</v>
      </c>
      <c r="AC13" s="19">
        <v>343622.08607446298</v>
      </c>
      <c r="AD13" s="19">
        <v>391871.28241978498</v>
      </c>
      <c r="AE13" s="19">
        <v>4541077.5001725396</v>
      </c>
      <c r="AF13" s="19">
        <v>3219495.2731076898</v>
      </c>
      <c r="AG13" s="19">
        <v>5114728.6137928003</v>
      </c>
      <c r="AH13" s="19">
        <v>3509705.2336370898</v>
      </c>
      <c r="AI13" s="19">
        <v>999494.98799007002</v>
      </c>
      <c r="AJ13" s="19">
        <v>4708210.3710430805</v>
      </c>
      <c r="AK13" s="19">
        <v>2106065.8379452401</v>
      </c>
      <c r="AL13" s="19">
        <v>16680634.6777205</v>
      </c>
      <c r="AM13" s="19">
        <v>2606793.12976341</v>
      </c>
      <c r="AN13" s="19">
        <v>1524598.30164377</v>
      </c>
      <c r="AO13" s="19">
        <v>2503390.6033801599</v>
      </c>
      <c r="AP13" s="19">
        <v>1549810.36722802</v>
      </c>
      <c r="AQ13" s="19">
        <v>9533818.8441091105</v>
      </c>
      <c r="AR13" s="19">
        <v>4734179.2707703104</v>
      </c>
      <c r="AS13" s="19">
        <v>25315084.364078</v>
      </c>
      <c r="AT13" s="19">
        <v>473004868.411237</v>
      </c>
      <c r="AU13" s="19">
        <v>23013748.4379359</v>
      </c>
      <c r="AV13" s="19">
        <v>108193778.35794599</v>
      </c>
      <c r="AW13" s="19">
        <v>131207526.795881</v>
      </c>
      <c r="AX13" s="19">
        <v>0</v>
      </c>
      <c r="AY13" s="19">
        <v>131207526.795881</v>
      </c>
      <c r="AZ13" s="19">
        <v>0</v>
      </c>
      <c r="BA13" s="19">
        <v>-3571111.1821360299</v>
      </c>
      <c r="BB13" s="19">
        <v>-3571111.1821360299</v>
      </c>
      <c r="BC13" s="19">
        <v>186801140.367055</v>
      </c>
      <c r="BD13" s="19">
        <v>314437555.98079997</v>
      </c>
      <c r="BE13" s="19">
        <v>30055497.577927399</v>
      </c>
      <c r="BF13" s="19">
        <v>757386926.81410897</v>
      </c>
      <c r="BH13">
        <f t="shared" si="0"/>
        <v>600641284.02498198</v>
      </c>
      <c r="BJ13">
        <f t="shared" si="1"/>
        <v>5.0039013929447658E-2</v>
      </c>
    </row>
    <row r="14" spans="1:63" ht="21.6" x14ac:dyDescent="0.25">
      <c r="A14" s="100"/>
      <c r="B14" s="17" t="s">
        <v>23</v>
      </c>
      <c r="C14" s="18" t="s">
        <v>77</v>
      </c>
      <c r="D14" s="19">
        <v>336188.94851517997</v>
      </c>
      <c r="E14" s="19">
        <v>3559037.46550998</v>
      </c>
      <c r="F14" s="19">
        <v>156891.29500928399</v>
      </c>
      <c r="G14" s="19">
        <v>254624.37089377199</v>
      </c>
      <c r="H14" s="19">
        <v>6327.7150673874103</v>
      </c>
      <c r="I14" s="19">
        <v>845240.03818156605</v>
      </c>
      <c r="J14" s="19">
        <v>918481.02107663197</v>
      </c>
      <c r="K14" s="19">
        <v>81780666.7864068</v>
      </c>
      <c r="L14" s="19">
        <v>90084970.052630693</v>
      </c>
      <c r="M14" s="19">
        <v>186690.20276233001</v>
      </c>
      <c r="N14" s="19">
        <v>1302287.31358054</v>
      </c>
      <c r="O14" s="19">
        <v>114696.06316618199</v>
      </c>
      <c r="P14" s="19">
        <v>708459.64329744095</v>
      </c>
      <c r="Q14" s="19">
        <v>1957227.2128331601</v>
      </c>
      <c r="R14" s="19">
        <v>49068.255669272301</v>
      </c>
      <c r="S14" s="19">
        <v>185262.26386720801</v>
      </c>
      <c r="T14" s="19">
        <v>4792477.8358831797</v>
      </c>
      <c r="U14" s="19">
        <v>931517.23040675104</v>
      </c>
      <c r="V14" s="19">
        <v>637156.81387395598</v>
      </c>
      <c r="W14" s="19">
        <v>5926683.1802302804</v>
      </c>
      <c r="X14" s="19">
        <v>652732.72847238998</v>
      </c>
      <c r="Y14" s="19">
        <v>1177748.8394233999</v>
      </c>
      <c r="Z14" s="19">
        <v>1019650.00693627</v>
      </c>
      <c r="AA14" s="19">
        <v>1295524.2485475501</v>
      </c>
      <c r="AB14" s="19">
        <v>201717.80041153601</v>
      </c>
      <c r="AC14" s="19">
        <v>4011.85983524315</v>
      </c>
      <c r="AD14" s="19">
        <v>3316.5084622772201</v>
      </c>
      <c r="AE14" s="19">
        <v>57246609.186167397</v>
      </c>
      <c r="AF14" s="19">
        <v>423651.48303005402</v>
      </c>
      <c r="AG14" s="19">
        <v>934919.87192588102</v>
      </c>
      <c r="AH14" s="19">
        <v>196032.426933949</v>
      </c>
      <c r="AI14" s="19">
        <v>922455.744975699</v>
      </c>
      <c r="AJ14" s="19">
        <v>474744.03877929098</v>
      </c>
      <c r="AK14" s="19">
        <v>546486.36108233605</v>
      </c>
      <c r="AL14" s="19">
        <v>599781.95068565605</v>
      </c>
      <c r="AM14" s="19">
        <v>50562.203571571401</v>
      </c>
      <c r="AN14" s="19">
        <v>401102.14532939898</v>
      </c>
      <c r="AO14" s="19">
        <v>635895.59428515099</v>
      </c>
      <c r="AP14" s="19">
        <v>342879.71965333901</v>
      </c>
      <c r="AQ14" s="19">
        <v>75136.026260805404</v>
      </c>
      <c r="AR14" s="19">
        <v>319747.384311979</v>
      </c>
      <c r="AS14" s="19">
        <v>3983063.1081222198</v>
      </c>
      <c r="AT14" s="19">
        <v>184461056.15965801</v>
      </c>
      <c r="AU14" s="19">
        <v>5007508.0162722301</v>
      </c>
      <c r="AV14" s="19">
        <v>17646337.097442199</v>
      </c>
      <c r="AW14" s="19">
        <v>22653845.113714501</v>
      </c>
      <c r="AX14" s="19">
        <v>0</v>
      </c>
      <c r="AY14" s="19">
        <v>22653845.113714501</v>
      </c>
      <c r="AZ14" s="19">
        <v>21595789.2652824</v>
      </c>
      <c r="BA14" s="19">
        <v>1674063.132307</v>
      </c>
      <c r="BB14" s="19">
        <v>23269852.3975894</v>
      </c>
      <c r="BC14" s="19">
        <v>44765296.899224401</v>
      </c>
      <c r="BD14" s="19">
        <v>90688994.410528198</v>
      </c>
      <c r="BE14" s="19">
        <v>9736870.6606359407</v>
      </c>
      <c r="BF14" s="19">
        <v>265413179.90955001</v>
      </c>
      <c r="BH14">
        <f t="shared" si="0"/>
        <v>230384753.67096192</v>
      </c>
      <c r="BJ14">
        <f t="shared" si="1"/>
        <v>4.2263520070178986E-2</v>
      </c>
    </row>
    <row r="15" spans="1:63" ht="32.4" x14ac:dyDescent="0.25">
      <c r="A15" s="100"/>
      <c r="B15" s="17" t="s">
        <v>24</v>
      </c>
      <c r="C15" s="18" t="s">
        <v>78</v>
      </c>
      <c r="D15" s="19">
        <v>1025682.30896579</v>
      </c>
      <c r="E15" s="19">
        <v>31068.881795914898</v>
      </c>
      <c r="F15" s="19">
        <v>9688.6353693274705</v>
      </c>
      <c r="G15" s="19">
        <v>315134.03242535098</v>
      </c>
      <c r="H15" s="19">
        <v>18042.4084069333</v>
      </c>
      <c r="I15" s="19">
        <v>13214439.554017199</v>
      </c>
      <c r="J15" s="19">
        <v>3599305.40965772</v>
      </c>
      <c r="K15" s="19">
        <v>2513515.6980929798</v>
      </c>
      <c r="L15" s="19">
        <v>105171872.237609</v>
      </c>
      <c r="M15" s="19">
        <v>357515.62733863801</v>
      </c>
      <c r="N15" s="19">
        <v>4061404.6097377101</v>
      </c>
      <c r="O15" s="19">
        <v>4907967.41960839</v>
      </c>
      <c r="P15" s="19">
        <v>1782237.4405934401</v>
      </c>
      <c r="Q15" s="19">
        <v>8915729.5225193892</v>
      </c>
      <c r="R15" s="19">
        <v>89427.250295816906</v>
      </c>
      <c r="S15" s="19">
        <v>336660.36558656598</v>
      </c>
      <c r="T15" s="19">
        <v>1916810.8290677101</v>
      </c>
      <c r="U15" s="19">
        <v>1926288.9358832799</v>
      </c>
      <c r="V15" s="19">
        <v>1841924.1243241299</v>
      </c>
      <c r="W15" s="19">
        <v>1597372.4923795001</v>
      </c>
      <c r="X15" s="19">
        <v>344645.46248240297</v>
      </c>
      <c r="Y15" s="19">
        <v>5512884.4773892304</v>
      </c>
      <c r="Z15" s="19">
        <v>5349964.5754080201</v>
      </c>
      <c r="AA15" s="19">
        <v>807927.26260598504</v>
      </c>
      <c r="AB15" s="19">
        <v>458088.56563187699</v>
      </c>
      <c r="AC15" s="19">
        <v>13078.612930485901</v>
      </c>
      <c r="AD15" s="19">
        <v>21179.986195194899</v>
      </c>
      <c r="AE15" s="19">
        <v>5313846.9508039998</v>
      </c>
      <c r="AF15" s="19">
        <v>8789370.7770565208</v>
      </c>
      <c r="AG15" s="19">
        <v>4327923.8509802902</v>
      </c>
      <c r="AH15" s="19">
        <v>1732626.8138709399</v>
      </c>
      <c r="AI15" s="19">
        <v>27520721.374125499</v>
      </c>
      <c r="AJ15" s="19">
        <v>20038604.196891099</v>
      </c>
      <c r="AK15" s="19">
        <v>5345538.7782828296</v>
      </c>
      <c r="AL15" s="19">
        <v>69510375.7570052</v>
      </c>
      <c r="AM15" s="19">
        <v>2605460.1047098902</v>
      </c>
      <c r="AN15" s="19">
        <v>5513422.1732468205</v>
      </c>
      <c r="AO15" s="19">
        <v>1759661.66398027</v>
      </c>
      <c r="AP15" s="19">
        <v>12646200.961506501</v>
      </c>
      <c r="AQ15" s="19">
        <v>288424.63390770002</v>
      </c>
      <c r="AR15" s="19">
        <v>7453946.5892663701</v>
      </c>
      <c r="AS15" s="19">
        <v>20046564.543822698</v>
      </c>
      <c r="AT15" s="19">
        <v>356519030.19768202</v>
      </c>
      <c r="AU15" s="19">
        <v>6120942.0135803903</v>
      </c>
      <c r="AV15" s="19">
        <v>29346781.884146001</v>
      </c>
      <c r="AW15" s="19">
        <v>35467723.897726402</v>
      </c>
      <c r="AX15" s="19">
        <v>0</v>
      </c>
      <c r="AY15" s="19">
        <v>35467723.897726402</v>
      </c>
      <c r="AZ15" s="19">
        <v>4281134.5776765598</v>
      </c>
      <c r="BA15" s="19">
        <v>-8038986.6264104899</v>
      </c>
      <c r="BB15" s="19">
        <v>-3757852.0487339301</v>
      </c>
      <c r="BC15" s="19">
        <v>66074535.271569103</v>
      </c>
      <c r="BD15" s="19">
        <v>97784407.1205616</v>
      </c>
      <c r="BE15" s="19">
        <v>25910670.934909102</v>
      </c>
      <c r="BF15" s="19">
        <v>428392766.38333398</v>
      </c>
      <c r="BH15">
        <f t="shared" si="0"/>
        <v>388228902.04667449</v>
      </c>
      <c r="BJ15">
        <f t="shared" si="1"/>
        <v>6.674070580091436E-2</v>
      </c>
    </row>
    <row r="16" spans="1:63" ht="32.4" x14ac:dyDescent="0.25">
      <c r="A16" s="100"/>
      <c r="B16" s="17" t="s">
        <v>25</v>
      </c>
      <c r="C16" s="18" t="s">
        <v>79</v>
      </c>
      <c r="D16" s="19">
        <v>4991926.8170677004</v>
      </c>
      <c r="E16" s="19">
        <v>700362.54839890404</v>
      </c>
      <c r="F16" s="19">
        <v>395976.19321763498</v>
      </c>
      <c r="G16" s="19">
        <v>7776692.2608783804</v>
      </c>
      <c r="H16" s="19">
        <v>799185.804049714</v>
      </c>
      <c r="I16" s="19">
        <v>1015050.64892136</v>
      </c>
      <c r="J16" s="19">
        <v>1120310.30955065</v>
      </c>
      <c r="K16" s="19">
        <v>1004346.25642645</v>
      </c>
      <c r="L16" s="19">
        <v>1858172.82265521</v>
      </c>
      <c r="M16" s="19">
        <v>22688075.962093201</v>
      </c>
      <c r="N16" s="19">
        <v>63847204.8147908</v>
      </c>
      <c r="O16" s="19">
        <v>474305.05805845698</v>
      </c>
      <c r="P16" s="19">
        <v>2190479.2634456502</v>
      </c>
      <c r="Q16" s="19">
        <v>19987603.867374402</v>
      </c>
      <c r="R16" s="19">
        <v>42144146.633987799</v>
      </c>
      <c r="S16" s="19">
        <v>7221065.2469647899</v>
      </c>
      <c r="T16" s="19">
        <v>3078282.7603366501</v>
      </c>
      <c r="U16" s="19">
        <v>2035296.8308451199</v>
      </c>
      <c r="V16" s="19">
        <v>1035075.19329482</v>
      </c>
      <c r="W16" s="19">
        <v>1106854.0149806901</v>
      </c>
      <c r="X16" s="19">
        <v>444478.81957636902</v>
      </c>
      <c r="Y16" s="19">
        <v>1121539.9099812401</v>
      </c>
      <c r="Z16" s="19">
        <v>1058861.3070405801</v>
      </c>
      <c r="AA16" s="19">
        <v>836932.65424876998</v>
      </c>
      <c r="AB16" s="19">
        <v>10310485.4882796</v>
      </c>
      <c r="AC16" s="19">
        <v>1882494.50116738</v>
      </c>
      <c r="AD16" s="19">
        <v>38463.431520377097</v>
      </c>
      <c r="AE16" s="19">
        <v>37120733.080253102</v>
      </c>
      <c r="AF16" s="19">
        <v>3295901.7849033498</v>
      </c>
      <c r="AG16" s="19">
        <v>96331786.3585812</v>
      </c>
      <c r="AH16" s="19">
        <v>1029117.57201222</v>
      </c>
      <c r="AI16" s="19">
        <v>1116149.5638975999</v>
      </c>
      <c r="AJ16" s="19">
        <v>3729490.5709153502</v>
      </c>
      <c r="AK16" s="19">
        <v>1528256.1230027401</v>
      </c>
      <c r="AL16" s="19">
        <v>19256951.1198758</v>
      </c>
      <c r="AM16" s="19">
        <v>1475382.56939414</v>
      </c>
      <c r="AN16" s="19">
        <v>12374899.301728999</v>
      </c>
      <c r="AO16" s="19">
        <v>1218116.7765680801</v>
      </c>
      <c r="AP16" s="19">
        <v>2786127.9066548198</v>
      </c>
      <c r="AQ16" s="19">
        <v>239725.60842664001</v>
      </c>
      <c r="AR16" s="19">
        <v>469119.17965067498</v>
      </c>
      <c r="AS16" s="19">
        <v>5767313.9905040897</v>
      </c>
      <c r="AT16" s="19">
        <v>387898394.66909498</v>
      </c>
      <c r="AU16" s="19">
        <v>5745628.19309087</v>
      </c>
      <c r="AV16" s="19">
        <v>28313584.6405669</v>
      </c>
      <c r="AW16" s="19">
        <v>34059212.833657697</v>
      </c>
      <c r="AX16" s="19">
        <v>0</v>
      </c>
      <c r="AY16" s="19">
        <v>34059212.833657697</v>
      </c>
      <c r="AZ16" s="19">
        <v>0</v>
      </c>
      <c r="BA16" s="19">
        <v>-5955399.24897708</v>
      </c>
      <c r="BB16" s="19">
        <v>-5955399.24897708</v>
      </c>
      <c r="BC16" s="19">
        <v>15981224.401177</v>
      </c>
      <c r="BD16" s="19">
        <v>44085037.985857598</v>
      </c>
      <c r="BE16" s="19">
        <v>22650148.1800972</v>
      </c>
      <c r="BF16" s="19">
        <v>409333284.47485602</v>
      </c>
      <c r="BH16">
        <f t="shared" si="0"/>
        <v>416002208.2537756</v>
      </c>
      <c r="BJ16">
        <f t="shared" si="1"/>
        <v>5.4447182564665221E-2</v>
      </c>
    </row>
    <row r="17" spans="1:62" ht="43.2" x14ac:dyDescent="0.25">
      <c r="A17" s="100"/>
      <c r="B17" s="17" t="s">
        <v>26</v>
      </c>
      <c r="C17" s="18" t="s">
        <v>80</v>
      </c>
      <c r="D17" s="19">
        <v>75932742.213260502</v>
      </c>
      <c r="E17" s="19">
        <v>2724058.15268707</v>
      </c>
      <c r="F17" s="19">
        <v>3946860.51405884</v>
      </c>
      <c r="G17" s="19">
        <v>9732267.0914701205</v>
      </c>
      <c r="H17" s="19">
        <v>1246400.0556822801</v>
      </c>
      <c r="I17" s="19">
        <v>5072727.7006933503</v>
      </c>
      <c r="J17" s="19">
        <v>54593583.318500802</v>
      </c>
      <c r="K17" s="19">
        <v>16223099.5250488</v>
      </c>
      <c r="L17" s="19">
        <v>51348512.5649212</v>
      </c>
      <c r="M17" s="19">
        <v>14670765.357755</v>
      </c>
      <c r="N17" s="19">
        <v>292965053.664608</v>
      </c>
      <c r="O17" s="19">
        <v>11936419.056146599</v>
      </c>
      <c r="P17" s="19">
        <v>110271806.29350699</v>
      </c>
      <c r="Q17" s="19">
        <v>31280002.3053056</v>
      </c>
      <c r="R17" s="19">
        <v>3761258.98916111</v>
      </c>
      <c r="S17" s="19">
        <v>9341339.8389430195</v>
      </c>
      <c r="T17" s="19">
        <v>10641343.791129</v>
      </c>
      <c r="U17" s="19">
        <v>4653059.1683464795</v>
      </c>
      <c r="V17" s="19">
        <v>2243331.55982255</v>
      </c>
      <c r="W17" s="19">
        <v>6970340.16868803</v>
      </c>
      <c r="X17" s="19">
        <v>2118210.80846642</v>
      </c>
      <c r="Y17" s="19">
        <v>26478745.382496499</v>
      </c>
      <c r="Z17" s="19">
        <v>15451768.3835839</v>
      </c>
      <c r="AA17" s="19">
        <v>5086887.5907676704</v>
      </c>
      <c r="AB17" s="19">
        <v>221438.66653513399</v>
      </c>
      <c r="AC17" s="19">
        <v>31293.1657941251</v>
      </c>
      <c r="AD17" s="19">
        <v>2463333.3016807502</v>
      </c>
      <c r="AE17" s="19">
        <v>75178170.055959806</v>
      </c>
      <c r="AF17" s="19">
        <v>101065.70409229099</v>
      </c>
      <c r="AG17" s="19">
        <v>988410.01262835099</v>
      </c>
      <c r="AH17" s="19">
        <v>2502380.8395175301</v>
      </c>
      <c r="AI17" s="19">
        <v>1218070.2521790899</v>
      </c>
      <c r="AJ17" s="19">
        <v>301378.83771868399</v>
      </c>
      <c r="AK17" s="19">
        <v>339047.63523125602</v>
      </c>
      <c r="AL17" s="19">
        <v>4302489.10772241</v>
      </c>
      <c r="AM17" s="19">
        <v>14442888.994406501</v>
      </c>
      <c r="AN17" s="19">
        <v>20348720.0274329</v>
      </c>
      <c r="AO17" s="19">
        <v>13522935.637700999</v>
      </c>
      <c r="AP17" s="19">
        <v>7517280.0777033204</v>
      </c>
      <c r="AQ17" s="19">
        <v>538883.132006158</v>
      </c>
      <c r="AR17" s="19">
        <v>1609725.58352926</v>
      </c>
      <c r="AS17" s="19">
        <v>8727065.8294576202</v>
      </c>
      <c r="AT17" s="19">
        <v>906822060.83129597</v>
      </c>
      <c r="AU17" s="19">
        <v>2773014.2064051102</v>
      </c>
      <c r="AV17" s="19">
        <v>19771296.6729743</v>
      </c>
      <c r="AW17" s="19">
        <v>22544310.879379399</v>
      </c>
      <c r="AX17" s="19">
        <v>0</v>
      </c>
      <c r="AY17" s="19">
        <v>22544310.879379399</v>
      </c>
      <c r="AZ17" s="19">
        <v>0</v>
      </c>
      <c r="BA17" s="19">
        <v>-17407692.4580363</v>
      </c>
      <c r="BB17" s="19">
        <v>-17407692.4580363</v>
      </c>
      <c r="BC17" s="19">
        <v>66207877.6200248</v>
      </c>
      <c r="BD17" s="19">
        <v>71344496.041367993</v>
      </c>
      <c r="BE17" s="19">
        <v>123069963.945637</v>
      </c>
      <c r="BF17" s="19">
        <v>855096592.92702794</v>
      </c>
      <c r="BH17">
        <f t="shared" si="0"/>
        <v>911958679.25263906</v>
      </c>
      <c r="BJ17">
        <f t="shared" si="1"/>
        <v>0.1349512502545557</v>
      </c>
    </row>
    <row r="18" spans="1:62" x14ac:dyDescent="0.25">
      <c r="A18" s="100"/>
      <c r="B18" s="17" t="s">
        <v>27</v>
      </c>
      <c r="C18" s="18" t="s">
        <v>81</v>
      </c>
      <c r="D18" s="19">
        <v>6070961.4374369001</v>
      </c>
      <c r="E18" s="19">
        <v>41905.1238799485</v>
      </c>
      <c r="F18" s="19">
        <v>18810.368854661101</v>
      </c>
      <c r="G18" s="19">
        <v>6112.2849642644696</v>
      </c>
      <c r="H18" s="19">
        <v>670.13327881885402</v>
      </c>
      <c r="I18" s="19">
        <v>812022.34228900995</v>
      </c>
      <c r="J18" s="19">
        <v>88147.314917836804</v>
      </c>
      <c r="K18" s="19">
        <v>2763.5261905479001</v>
      </c>
      <c r="L18" s="19">
        <v>656674.06808880798</v>
      </c>
      <c r="M18" s="19">
        <v>14976.675812205</v>
      </c>
      <c r="N18" s="19">
        <v>1196870.9554063</v>
      </c>
      <c r="O18" s="19">
        <v>61912202.1611742</v>
      </c>
      <c r="P18" s="19">
        <v>81220.678649797701</v>
      </c>
      <c r="Q18" s="19">
        <v>569294.79213128798</v>
      </c>
      <c r="R18" s="19">
        <v>104789.230336209</v>
      </c>
      <c r="S18" s="19">
        <v>14108.632184689</v>
      </c>
      <c r="T18" s="19">
        <v>174018.26597316301</v>
      </c>
      <c r="U18" s="19">
        <v>7811.9409713792102</v>
      </c>
      <c r="V18" s="19">
        <v>424487.47467669699</v>
      </c>
      <c r="W18" s="19">
        <v>10204.6638427004</v>
      </c>
      <c r="X18" s="19">
        <v>10869.3228811845</v>
      </c>
      <c r="Y18" s="19">
        <v>124300.882651088</v>
      </c>
      <c r="Z18" s="19">
        <v>501241.91274992801</v>
      </c>
      <c r="AA18" s="19">
        <v>124963.88315405</v>
      </c>
      <c r="AB18" s="19">
        <v>16580.568116655599</v>
      </c>
      <c r="AC18" s="19">
        <v>375.41192867780302</v>
      </c>
      <c r="AD18" s="19">
        <v>16573.3630853305</v>
      </c>
      <c r="AE18" s="19">
        <v>2238386.65971391</v>
      </c>
      <c r="AF18" s="19">
        <v>10825.856603877201</v>
      </c>
      <c r="AG18" s="19">
        <v>152802.03973739099</v>
      </c>
      <c r="AH18" s="19">
        <v>814.26545664270998</v>
      </c>
      <c r="AI18" s="19">
        <v>302859.26629002002</v>
      </c>
      <c r="AJ18" s="19">
        <v>71563.524587609994</v>
      </c>
      <c r="AK18" s="19">
        <v>15249.378604661501</v>
      </c>
      <c r="AL18" s="19">
        <v>178518.27735863501</v>
      </c>
      <c r="AM18" s="19">
        <v>1060731.91296312</v>
      </c>
      <c r="AN18" s="19">
        <v>2592341.7705153902</v>
      </c>
      <c r="AO18" s="19">
        <v>184325.82636609601</v>
      </c>
      <c r="AP18" s="19">
        <v>710406.21710605698</v>
      </c>
      <c r="AQ18" s="19">
        <v>163829848.56430799</v>
      </c>
      <c r="AR18" s="19">
        <v>24625.036891759799</v>
      </c>
      <c r="AS18" s="19">
        <v>264315.06789918197</v>
      </c>
      <c r="AT18" s="42">
        <v>244637807.55383801</v>
      </c>
      <c r="AU18" s="43">
        <v>16266750.555721899</v>
      </c>
      <c r="AV18" s="43">
        <v>47595953.712028898</v>
      </c>
      <c r="AW18" s="42">
        <v>63862704.267750703</v>
      </c>
      <c r="AX18" s="43">
        <v>0</v>
      </c>
      <c r="AY18" s="42">
        <v>63862704.267750703</v>
      </c>
      <c r="AZ18" s="43">
        <v>0</v>
      </c>
      <c r="BA18" s="43">
        <v>-336221.76102223003</v>
      </c>
      <c r="BB18" s="42">
        <v>-336221.76102223003</v>
      </c>
      <c r="BC18" s="43">
        <v>22931108.4346494</v>
      </c>
      <c r="BD18" s="61">
        <v>86457590.941377893</v>
      </c>
      <c r="BE18" s="43">
        <v>31039261.6919652</v>
      </c>
      <c r="BF18" s="44">
        <v>300056136.80325001</v>
      </c>
      <c r="BH18">
        <f t="shared" si="0"/>
        <v>308164290.06056648</v>
      </c>
      <c r="BJ18">
        <f t="shared" si="1"/>
        <v>0.10072309703977951</v>
      </c>
    </row>
    <row r="19" spans="1:62" ht="21.6" x14ac:dyDescent="0.25">
      <c r="A19" s="100"/>
      <c r="B19" s="17" t="s">
        <v>28</v>
      </c>
      <c r="C19" s="18" t="s">
        <v>82</v>
      </c>
      <c r="D19" s="19">
        <v>8674566.8560292199</v>
      </c>
      <c r="E19" s="19">
        <v>554790.31351451494</v>
      </c>
      <c r="F19" s="19">
        <v>68528.8864528181</v>
      </c>
      <c r="G19" s="19">
        <v>994753.47934881004</v>
      </c>
      <c r="H19" s="19">
        <v>744309.45223715203</v>
      </c>
      <c r="I19" s="19">
        <v>11841214.9098398</v>
      </c>
      <c r="J19" s="19">
        <v>10980215.0053935</v>
      </c>
      <c r="K19" s="19">
        <v>3914342.38141541</v>
      </c>
      <c r="L19" s="19">
        <v>18647978.8345959</v>
      </c>
      <c r="M19" s="19">
        <v>1430383.3507345901</v>
      </c>
      <c r="N19" s="19">
        <v>17479775.9892103</v>
      </c>
      <c r="O19" s="19">
        <v>1643105.08134056</v>
      </c>
      <c r="P19" s="19">
        <v>66951058.3381522</v>
      </c>
      <c r="Q19" s="19">
        <v>6557029.9445980303</v>
      </c>
      <c r="R19" s="19">
        <v>203901.473861746</v>
      </c>
      <c r="S19" s="19">
        <v>669836.43049463094</v>
      </c>
      <c r="T19" s="19">
        <v>5295045.1467806203</v>
      </c>
      <c r="U19" s="19">
        <v>7971170.3617942696</v>
      </c>
      <c r="V19" s="19">
        <v>9663695.9011367802</v>
      </c>
      <c r="W19" s="19">
        <v>23623523.381000299</v>
      </c>
      <c r="X19" s="19">
        <v>5314520.9821037799</v>
      </c>
      <c r="Y19" s="19">
        <v>26318074.354584899</v>
      </c>
      <c r="Z19" s="19">
        <v>20386766.106557</v>
      </c>
      <c r="AA19" s="19">
        <v>3231171.4593421798</v>
      </c>
      <c r="AB19" s="19">
        <v>33464.580271121398</v>
      </c>
      <c r="AC19" s="19">
        <v>49605.9371683766</v>
      </c>
      <c r="AD19" s="19">
        <v>698996.62604487</v>
      </c>
      <c r="AE19" s="19">
        <v>34699536.488755003</v>
      </c>
      <c r="AF19" s="19">
        <v>2792063.86942768</v>
      </c>
      <c r="AG19" s="19">
        <v>11281845.091144601</v>
      </c>
      <c r="AH19" s="19">
        <v>1105133.7167942501</v>
      </c>
      <c r="AI19" s="19">
        <v>1435216.1186581</v>
      </c>
      <c r="AJ19" s="19">
        <v>84412.141204118801</v>
      </c>
      <c r="AK19" s="19">
        <v>381127.87814054202</v>
      </c>
      <c r="AL19" s="19">
        <v>3235527.5466587399</v>
      </c>
      <c r="AM19" s="19">
        <v>1079352.1002815899</v>
      </c>
      <c r="AN19" s="19">
        <v>1638385.26975062</v>
      </c>
      <c r="AO19" s="19">
        <v>2721409.7469974798</v>
      </c>
      <c r="AP19" s="19">
        <v>56410.504601542401</v>
      </c>
      <c r="AQ19" s="19">
        <v>542008.48610851797</v>
      </c>
      <c r="AR19" s="19">
        <v>259882.12780501699</v>
      </c>
      <c r="AS19" s="19">
        <v>2071130.0449797099</v>
      </c>
      <c r="AT19" s="19">
        <v>313410924.31389499</v>
      </c>
      <c r="AU19" s="19">
        <v>1618615.7769835501</v>
      </c>
      <c r="AV19" s="19">
        <v>4802149.2593036797</v>
      </c>
      <c r="AW19" s="19">
        <v>6420765.0362872304</v>
      </c>
      <c r="AX19" s="19">
        <v>0</v>
      </c>
      <c r="AY19" s="19">
        <v>6420765.0362872304</v>
      </c>
      <c r="AZ19" s="19">
        <v>0</v>
      </c>
      <c r="BA19" s="19">
        <v>-1905835.73546151</v>
      </c>
      <c r="BB19" s="19">
        <v>-1905835.73546151</v>
      </c>
      <c r="BC19" s="19">
        <v>57120608.633020498</v>
      </c>
      <c r="BD19" s="19">
        <v>61635537.933846198</v>
      </c>
      <c r="BE19" s="19">
        <v>16854882.888343401</v>
      </c>
      <c r="BF19" s="19">
        <v>358191579.35939801</v>
      </c>
      <c r="BH19">
        <f t="shared" si="0"/>
        <v>317925853.6147207</v>
      </c>
      <c r="BJ19">
        <f t="shared" si="1"/>
        <v>5.3015137638881792E-2</v>
      </c>
    </row>
    <row r="20" spans="1:62" ht="21.6" x14ac:dyDescent="0.25">
      <c r="A20" s="100"/>
      <c r="B20" s="17" t="s">
        <v>29</v>
      </c>
      <c r="C20" s="18" t="s">
        <v>83</v>
      </c>
      <c r="D20" s="19">
        <v>527672.17759183003</v>
      </c>
      <c r="E20" s="19">
        <v>651313.19079708494</v>
      </c>
      <c r="F20" s="19">
        <v>44591.483799540998</v>
      </c>
      <c r="G20" s="19">
        <v>1669898.4257018401</v>
      </c>
      <c r="H20" s="19">
        <v>621832.46480163594</v>
      </c>
      <c r="I20" s="19">
        <v>4888099.9351435602</v>
      </c>
      <c r="J20" s="19">
        <v>571224.96578001301</v>
      </c>
      <c r="K20" s="19">
        <v>1921176.1345617401</v>
      </c>
      <c r="L20" s="19">
        <v>2831024.8289935598</v>
      </c>
      <c r="M20" s="19">
        <v>2724987.2257891898</v>
      </c>
      <c r="N20" s="19">
        <v>4189217.0565114799</v>
      </c>
      <c r="O20" s="19">
        <v>2706366.3491932498</v>
      </c>
      <c r="P20" s="19">
        <v>1610249.5580941399</v>
      </c>
      <c r="Q20" s="19">
        <v>139143632.92928699</v>
      </c>
      <c r="R20" s="19">
        <v>9435905.6832035594</v>
      </c>
      <c r="S20" s="19">
        <v>5914732.9799443996</v>
      </c>
      <c r="T20" s="19">
        <v>6783958.8157480899</v>
      </c>
      <c r="U20" s="19">
        <v>2873744.3313156501</v>
      </c>
      <c r="V20" s="19">
        <v>4066510.9793166602</v>
      </c>
      <c r="W20" s="19">
        <v>9953436.8281746097</v>
      </c>
      <c r="X20" s="19">
        <v>671083.25344635604</v>
      </c>
      <c r="Y20" s="19">
        <v>19235014.3764924</v>
      </c>
      <c r="Z20" s="19">
        <v>18711839.314458799</v>
      </c>
      <c r="AA20" s="19">
        <v>485772.81758116197</v>
      </c>
      <c r="AB20" s="19">
        <v>1991624.45078551</v>
      </c>
      <c r="AC20" s="19">
        <v>7340.5128802151503</v>
      </c>
      <c r="AD20" s="19">
        <v>22846.396904826601</v>
      </c>
      <c r="AE20" s="19">
        <v>454627661.34888202</v>
      </c>
      <c r="AF20" s="19">
        <v>241247.96405304101</v>
      </c>
      <c r="AG20" s="19">
        <v>461491.74080067402</v>
      </c>
      <c r="AH20" s="19">
        <v>358067.29957438703</v>
      </c>
      <c r="AI20" s="19">
        <v>91296.394104551306</v>
      </c>
      <c r="AJ20" s="19">
        <v>23697.817957801999</v>
      </c>
      <c r="AK20" s="19">
        <v>32694.029898242399</v>
      </c>
      <c r="AL20" s="19">
        <v>260519.45747035</v>
      </c>
      <c r="AM20" s="19">
        <v>2268609.7974372599</v>
      </c>
      <c r="AN20" s="19">
        <v>198547.940541488</v>
      </c>
      <c r="AO20" s="19">
        <v>95799.755972606697</v>
      </c>
      <c r="AP20" s="19">
        <v>1130620.33187729</v>
      </c>
      <c r="AQ20" s="19">
        <v>325720.01134953898</v>
      </c>
      <c r="AR20" s="19">
        <v>4789.9804853633796</v>
      </c>
      <c r="AS20" s="19">
        <v>832366.780787269</v>
      </c>
      <c r="AT20" s="19">
        <v>703287051.98292804</v>
      </c>
      <c r="AU20" s="19">
        <v>1560823.70183441</v>
      </c>
      <c r="AV20" s="19">
        <v>3925831.46539935</v>
      </c>
      <c r="AW20" s="19">
        <v>5486655.1672337595</v>
      </c>
      <c r="AX20" s="19">
        <v>0</v>
      </c>
      <c r="AY20" s="19">
        <v>5486655.1672337595</v>
      </c>
      <c r="AZ20" s="19">
        <v>0</v>
      </c>
      <c r="BA20" s="19">
        <v>2140696.2500745901</v>
      </c>
      <c r="BB20" s="19">
        <v>2140696.2500745901</v>
      </c>
      <c r="BC20" s="19">
        <v>34554204.179467797</v>
      </c>
      <c r="BD20" s="19">
        <v>42181555.596776202</v>
      </c>
      <c r="BE20" s="19">
        <v>12436721.0287978</v>
      </c>
      <c r="BF20" s="19">
        <v>733031886.55090594</v>
      </c>
      <c r="BH20">
        <f t="shared" si="0"/>
        <v>710914403.40023637</v>
      </c>
      <c r="BJ20">
        <f t="shared" si="1"/>
        <v>1.7493978134799547E-2</v>
      </c>
    </row>
    <row r="21" spans="1:62" ht="32.4" x14ac:dyDescent="0.25">
      <c r="A21" s="100"/>
      <c r="B21" s="17" t="s">
        <v>30</v>
      </c>
      <c r="C21" s="18" t="s">
        <v>84</v>
      </c>
      <c r="D21" s="19">
        <v>231511.56821559201</v>
      </c>
      <c r="E21" s="19">
        <v>5985486.0851936499</v>
      </c>
      <c r="F21" s="19">
        <v>1118312.4937215501</v>
      </c>
      <c r="G21" s="19">
        <v>720856.19657338597</v>
      </c>
      <c r="H21" s="19">
        <v>1121508.83883353</v>
      </c>
      <c r="I21" s="19">
        <v>272337.82113822002</v>
      </c>
      <c r="J21" s="19">
        <v>382742.21567873697</v>
      </c>
      <c r="K21" s="19">
        <v>2368084.2043395499</v>
      </c>
      <c r="L21" s="19">
        <v>4485716.3425042396</v>
      </c>
      <c r="M21" s="19">
        <v>198223.33922962699</v>
      </c>
      <c r="N21" s="19">
        <v>718206.53295077302</v>
      </c>
      <c r="O21" s="19">
        <v>44680.393718689003</v>
      </c>
      <c r="P21" s="19">
        <v>1465016.6010706199</v>
      </c>
      <c r="Q21" s="19">
        <v>13933004.787727</v>
      </c>
      <c r="R21" s="19">
        <v>128395223.97115999</v>
      </c>
      <c r="S21" s="19">
        <v>2760821.3172431001</v>
      </c>
      <c r="T21" s="19">
        <v>109844585.75668301</v>
      </c>
      <c r="U21" s="19">
        <v>45037806.531296797</v>
      </c>
      <c r="V21" s="19">
        <v>24422112.739553999</v>
      </c>
      <c r="W21" s="19">
        <v>24330508.557217401</v>
      </c>
      <c r="X21" s="19">
        <v>7720732.1174316201</v>
      </c>
      <c r="Y21" s="19">
        <v>18090718.1437351</v>
      </c>
      <c r="Z21" s="19">
        <v>4833386.6625495004</v>
      </c>
      <c r="AA21" s="19">
        <v>1307683.8663037501</v>
      </c>
      <c r="AB21" s="19">
        <v>256746.456367951</v>
      </c>
      <c r="AC21" s="19">
        <v>114830.235785861</v>
      </c>
      <c r="AD21" s="19">
        <v>71861.890675810195</v>
      </c>
      <c r="AE21" s="19">
        <v>278702659.949081</v>
      </c>
      <c r="AF21" s="19">
        <v>8351.0433915085505</v>
      </c>
      <c r="AG21" s="19">
        <v>604608.95717440697</v>
      </c>
      <c r="AH21" s="19">
        <v>1823.5000182725</v>
      </c>
      <c r="AI21" s="19">
        <v>6206.6617905018202</v>
      </c>
      <c r="AJ21" s="19">
        <v>11.358825536026099</v>
      </c>
      <c r="AK21" s="19">
        <v>1871.3278520020799</v>
      </c>
      <c r="AL21" s="19">
        <v>1198.28643644775</v>
      </c>
      <c r="AM21" s="19">
        <v>177423.31501094499</v>
      </c>
      <c r="AN21" s="19">
        <v>331864.869519912</v>
      </c>
      <c r="AO21" s="19">
        <v>8411.9484486656202</v>
      </c>
      <c r="AP21" s="19">
        <v>26880.872074540701</v>
      </c>
      <c r="AQ21" s="19">
        <v>329.00023493489903</v>
      </c>
      <c r="AR21" s="19">
        <v>828.99301499868795</v>
      </c>
      <c r="AS21" s="19">
        <v>140681.94973206901</v>
      </c>
      <c r="AT21" s="19">
        <v>677877773.49516499</v>
      </c>
      <c r="AU21" s="19">
        <v>0</v>
      </c>
      <c r="AV21" s="19">
        <v>0</v>
      </c>
      <c r="AW21" s="19">
        <v>0</v>
      </c>
      <c r="AX21" s="19">
        <v>0</v>
      </c>
      <c r="AY21" s="19">
        <v>0</v>
      </c>
      <c r="AZ21" s="19">
        <v>0</v>
      </c>
      <c r="BA21" s="19">
        <v>4405504.3332162499</v>
      </c>
      <c r="BB21" s="19">
        <v>4405504.3332162499</v>
      </c>
      <c r="BC21" s="19">
        <v>27767871.756153099</v>
      </c>
      <c r="BD21" s="19">
        <v>32173376.089369401</v>
      </c>
      <c r="BE21" s="19">
        <v>26541208.673854899</v>
      </c>
      <c r="BF21" s="19">
        <v>683509940.91067898</v>
      </c>
      <c r="BH21">
        <f t="shared" si="0"/>
        <v>682283277.8283813</v>
      </c>
      <c r="BJ21">
        <f t="shared" si="1"/>
        <v>3.8900570388200197E-2</v>
      </c>
    </row>
    <row r="22" spans="1:62" ht="32.4" x14ac:dyDescent="0.25">
      <c r="A22" s="100"/>
      <c r="B22" s="17" t="s">
        <v>31</v>
      </c>
      <c r="C22" s="18" t="s">
        <v>85</v>
      </c>
      <c r="D22" s="19">
        <v>8900.6755486550392</v>
      </c>
      <c r="E22" s="19">
        <v>15416.107396695001</v>
      </c>
      <c r="F22" s="19">
        <v>227.82763401391099</v>
      </c>
      <c r="G22" s="19">
        <v>443804.90291369101</v>
      </c>
      <c r="H22" s="19">
        <v>166228.30901152801</v>
      </c>
      <c r="I22" s="19">
        <v>109160.627027975</v>
      </c>
      <c r="J22" s="19">
        <v>220462.383442483</v>
      </c>
      <c r="K22" s="19">
        <v>906287.23217680596</v>
      </c>
      <c r="L22" s="19">
        <v>19977459.015090998</v>
      </c>
      <c r="M22" s="19">
        <v>15125.422401429299</v>
      </c>
      <c r="N22" s="19">
        <v>8623449.7674129307</v>
      </c>
      <c r="O22" s="19">
        <v>119933.47570344299</v>
      </c>
      <c r="P22" s="19">
        <v>2202103.6067858599</v>
      </c>
      <c r="Q22" s="19">
        <v>7233885.0167974196</v>
      </c>
      <c r="R22" s="19">
        <v>8479844.5970187299</v>
      </c>
      <c r="S22" s="19">
        <v>196601311.08714399</v>
      </c>
      <c r="T22" s="19">
        <v>48942799.232145399</v>
      </c>
      <c r="U22" s="19">
        <v>37701392.028613701</v>
      </c>
      <c r="V22" s="19">
        <v>12717404.924781101</v>
      </c>
      <c r="W22" s="19">
        <v>34619046.993302003</v>
      </c>
      <c r="X22" s="19">
        <v>7591588.5535006896</v>
      </c>
      <c r="Y22" s="19">
        <v>128393623.886509</v>
      </c>
      <c r="Z22" s="19">
        <v>31542514.349654399</v>
      </c>
      <c r="AA22" s="19">
        <v>5247794.0737348702</v>
      </c>
      <c r="AB22" s="19">
        <v>82372.637321982795</v>
      </c>
      <c r="AC22" s="19">
        <v>775.80563588545499</v>
      </c>
      <c r="AD22" s="19">
        <v>5801.6448365556298</v>
      </c>
      <c r="AE22" s="19">
        <v>10715656.0886856</v>
      </c>
      <c r="AF22" s="19">
        <v>23345.672744347001</v>
      </c>
      <c r="AG22" s="19">
        <v>69400.541344120502</v>
      </c>
      <c r="AH22" s="19">
        <v>3687.67374083509</v>
      </c>
      <c r="AI22" s="19">
        <v>0</v>
      </c>
      <c r="AJ22" s="19">
        <v>0</v>
      </c>
      <c r="AK22" s="19">
        <v>0</v>
      </c>
      <c r="AL22" s="19">
        <v>1660.03780915729</v>
      </c>
      <c r="AM22" s="19">
        <v>173035.62437909801</v>
      </c>
      <c r="AN22" s="19">
        <v>92358.918739074899</v>
      </c>
      <c r="AO22" s="19">
        <v>146370.74051122699</v>
      </c>
      <c r="AP22" s="19">
        <v>45405.512128530303</v>
      </c>
      <c r="AQ22" s="19">
        <v>1123.5706396457699</v>
      </c>
      <c r="AR22" s="19">
        <v>334.00906927717398</v>
      </c>
      <c r="AS22" s="19">
        <v>5.3244188152449801E-3</v>
      </c>
      <c r="AT22" s="19">
        <v>562334805.34648097</v>
      </c>
      <c r="AU22" s="19">
        <v>0</v>
      </c>
      <c r="AV22" s="19">
        <v>0</v>
      </c>
      <c r="AW22" s="19">
        <v>0</v>
      </c>
      <c r="AX22" s="19">
        <v>0</v>
      </c>
      <c r="AY22" s="19">
        <v>0</v>
      </c>
      <c r="AZ22" s="19">
        <v>0</v>
      </c>
      <c r="BA22" s="19">
        <v>-957892.18613737996</v>
      </c>
      <c r="BB22" s="19">
        <v>-957892.18613737996</v>
      </c>
      <c r="BC22" s="19">
        <v>17965733.8081997</v>
      </c>
      <c r="BD22" s="19">
        <v>17007841.6220624</v>
      </c>
      <c r="BE22" s="19">
        <v>54672624.212560698</v>
      </c>
      <c r="BF22" s="19">
        <v>524670022.755983</v>
      </c>
      <c r="BH22">
        <f t="shared" si="0"/>
        <v>561376913.16034353</v>
      </c>
      <c r="BJ22">
        <f t="shared" si="1"/>
        <v>9.7390225587963938E-2</v>
      </c>
    </row>
    <row r="23" spans="1:62" x14ac:dyDescent="0.25">
      <c r="A23" s="100"/>
      <c r="B23" s="17" t="s">
        <v>32</v>
      </c>
      <c r="C23" s="18" t="s">
        <v>86</v>
      </c>
      <c r="D23" s="19">
        <v>823239.11904421495</v>
      </c>
      <c r="E23" s="19">
        <v>6843894.5905335899</v>
      </c>
      <c r="F23" s="19">
        <v>47481.494058685901</v>
      </c>
      <c r="G23" s="19">
        <v>4175081.2072523101</v>
      </c>
      <c r="H23" s="19">
        <v>587075.01477385801</v>
      </c>
      <c r="I23" s="19">
        <v>3523907.1059125401</v>
      </c>
      <c r="J23" s="19">
        <v>2164374.0390686402</v>
      </c>
      <c r="K23" s="19">
        <v>6160907.4104285799</v>
      </c>
      <c r="L23" s="19">
        <v>9762688.7829015497</v>
      </c>
      <c r="M23" s="19">
        <v>367056.84101174597</v>
      </c>
      <c r="N23" s="19">
        <v>3226326.0254301601</v>
      </c>
      <c r="O23" s="19">
        <v>1210054.81549578</v>
      </c>
      <c r="P23" s="19">
        <v>4964060.1108945403</v>
      </c>
      <c r="Q23" s="19">
        <v>16927420.3252392</v>
      </c>
      <c r="R23" s="19">
        <v>1218101.9140089599</v>
      </c>
      <c r="S23" s="19">
        <v>1056789.4499055899</v>
      </c>
      <c r="T23" s="19">
        <v>69726613.019667506</v>
      </c>
      <c r="U23" s="19">
        <v>27665192.2268015</v>
      </c>
      <c r="V23" s="19">
        <v>16436651.429209201</v>
      </c>
      <c r="W23" s="19">
        <v>14866905.531682801</v>
      </c>
      <c r="X23" s="19">
        <v>5355333.5250885896</v>
      </c>
      <c r="Y23" s="19">
        <v>25722146.776101898</v>
      </c>
      <c r="Z23" s="19">
        <v>16994492.5820494</v>
      </c>
      <c r="AA23" s="19">
        <v>2549699.0505310101</v>
      </c>
      <c r="AB23" s="19">
        <v>275728.82485353999</v>
      </c>
      <c r="AC23" s="19">
        <v>36839.2092825543</v>
      </c>
      <c r="AD23" s="19">
        <v>843476.84553949302</v>
      </c>
      <c r="AE23" s="19">
        <v>132161439.87616301</v>
      </c>
      <c r="AF23" s="19">
        <v>290667.52798172802</v>
      </c>
      <c r="AG23" s="19">
        <v>3135118.8234383902</v>
      </c>
      <c r="AH23" s="19">
        <v>384818.74600209598</v>
      </c>
      <c r="AI23" s="19">
        <v>599301.04505910794</v>
      </c>
      <c r="AJ23" s="19">
        <v>86808.766644974094</v>
      </c>
      <c r="AK23" s="19">
        <v>1196639.3719067799</v>
      </c>
      <c r="AL23" s="19">
        <v>25113883.567990702</v>
      </c>
      <c r="AM23" s="19">
        <v>5682565.0823589396</v>
      </c>
      <c r="AN23" s="19">
        <v>13354998.645677401</v>
      </c>
      <c r="AO23" s="19">
        <v>3302520.2984277802</v>
      </c>
      <c r="AP23" s="19">
        <v>758921.69106769597</v>
      </c>
      <c r="AQ23" s="19">
        <v>53758.700924684599</v>
      </c>
      <c r="AR23" s="19">
        <v>152670.465164302</v>
      </c>
      <c r="AS23" s="19">
        <v>2122995.8596761199</v>
      </c>
      <c r="AT23" s="42">
        <v>425767738.32482201</v>
      </c>
      <c r="AU23" s="43">
        <v>665462.94812565099</v>
      </c>
      <c r="AV23" s="43">
        <v>4215024.1264948603</v>
      </c>
      <c r="AW23" s="42">
        <v>4880487.0746205105</v>
      </c>
      <c r="AX23" s="43">
        <v>0</v>
      </c>
      <c r="AY23" s="42">
        <v>4880487.0746205105</v>
      </c>
      <c r="AZ23" s="43">
        <v>25162931.8981722</v>
      </c>
      <c r="BA23" s="43">
        <v>9509406.9148277901</v>
      </c>
      <c r="BB23" s="42">
        <v>34672338.813000001</v>
      </c>
      <c r="BC23" s="43">
        <v>62348551.232276402</v>
      </c>
      <c r="BD23" s="61">
        <v>101901377.11989699</v>
      </c>
      <c r="BE23" s="43">
        <v>8187441.3282561703</v>
      </c>
      <c r="BF23" s="44">
        <v>519481674.11646301</v>
      </c>
      <c r="BH23">
        <f t="shared" si="0"/>
        <v>465320564.21244252</v>
      </c>
      <c r="BJ23">
        <f t="shared" si="1"/>
        <v>1.7595270783085759E-2</v>
      </c>
    </row>
    <row r="24" spans="1:62" x14ac:dyDescent="0.25">
      <c r="A24" s="100"/>
      <c r="B24" s="17" t="s">
        <v>33</v>
      </c>
      <c r="C24" s="18" t="s">
        <v>87</v>
      </c>
      <c r="D24" s="19">
        <v>806226.18427011406</v>
      </c>
      <c r="E24" s="19">
        <v>2843363.00046338</v>
      </c>
      <c r="F24" s="19">
        <v>696909.96340312297</v>
      </c>
      <c r="G24" s="19">
        <v>2538535.2640932701</v>
      </c>
      <c r="H24" s="19">
        <v>114281.127685603</v>
      </c>
      <c r="I24" s="19">
        <v>1454621.35317593</v>
      </c>
      <c r="J24" s="19">
        <v>1829431.6301696899</v>
      </c>
      <c r="K24" s="19">
        <v>1278520.9770092999</v>
      </c>
      <c r="L24" s="19">
        <v>2428023.7047939198</v>
      </c>
      <c r="M24" s="19">
        <v>2442105.7796665598</v>
      </c>
      <c r="N24" s="19">
        <v>4521088.9240815099</v>
      </c>
      <c r="O24" s="19">
        <v>549583.609396482</v>
      </c>
      <c r="P24" s="19">
        <v>1114986.9222331999</v>
      </c>
      <c r="Q24" s="19">
        <v>11173708.1146356</v>
      </c>
      <c r="R24" s="19">
        <v>7711312.9210711699</v>
      </c>
      <c r="S24" s="19">
        <v>949139.59365227295</v>
      </c>
      <c r="T24" s="19">
        <v>13379131.6650398</v>
      </c>
      <c r="U24" s="19">
        <v>113487863.806767</v>
      </c>
      <c r="V24" s="19">
        <v>35452640.1347683</v>
      </c>
      <c r="W24" s="19">
        <v>25719680.581695199</v>
      </c>
      <c r="X24" s="19">
        <v>11260438.380139099</v>
      </c>
      <c r="Y24" s="19">
        <v>24040251.918908302</v>
      </c>
      <c r="Z24" s="19">
        <v>9038625.3852601498</v>
      </c>
      <c r="AA24" s="19">
        <v>2159487.8262955402</v>
      </c>
      <c r="AB24" s="19">
        <v>2748010.6879523299</v>
      </c>
      <c r="AC24" s="19">
        <v>160562.279466362</v>
      </c>
      <c r="AD24" s="19">
        <v>150061.209496772</v>
      </c>
      <c r="AE24" s="19">
        <v>21074962.820468999</v>
      </c>
      <c r="AF24" s="19">
        <v>243034.79239735601</v>
      </c>
      <c r="AG24" s="19">
        <v>10091175.5281896</v>
      </c>
      <c r="AH24" s="19">
        <v>297627.994707292</v>
      </c>
      <c r="AI24" s="19">
        <v>403328.36474002502</v>
      </c>
      <c r="AJ24" s="19">
        <v>644747.67425622803</v>
      </c>
      <c r="AK24" s="19">
        <v>308267.21312674601</v>
      </c>
      <c r="AL24" s="19">
        <v>296883.48786970699</v>
      </c>
      <c r="AM24" s="19">
        <v>216508.4433095</v>
      </c>
      <c r="AN24" s="19">
        <v>721127.50449931505</v>
      </c>
      <c r="AO24" s="19">
        <v>131078.39591309801</v>
      </c>
      <c r="AP24" s="19">
        <v>649463.41106906906</v>
      </c>
      <c r="AQ24" s="19">
        <v>107743.552579729</v>
      </c>
      <c r="AR24" s="19">
        <v>51761.111660537899</v>
      </c>
      <c r="AS24" s="19">
        <v>375857.54939213098</v>
      </c>
      <c r="AT24" s="19">
        <v>314383639.81276</v>
      </c>
      <c r="AU24" s="19">
        <v>376403.35212190199</v>
      </c>
      <c r="AV24" s="19">
        <v>1228363.5907578301</v>
      </c>
      <c r="AW24" s="19">
        <v>1604766.9428797399</v>
      </c>
      <c r="AX24" s="19">
        <v>0</v>
      </c>
      <c r="AY24" s="19">
        <v>1604766.9428797399</v>
      </c>
      <c r="AZ24" s="19">
        <v>170362145.94569999</v>
      </c>
      <c r="BA24" s="19">
        <v>9413554.5502387397</v>
      </c>
      <c r="BB24" s="19">
        <v>179775700.495938</v>
      </c>
      <c r="BC24" s="19">
        <v>92569318.362554893</v>
      </c>
      <c r="BD24" s="19">
        <v>273949785.801373</v>
      </c>
      <c r="BE24" s="19">
        <v>55422439.185358502</v>
      </c>
      <c r="BF24" s="19">
        <v>532910986.428774</v>
      </c>
      <c r="BH24">
        <f t="shared" si="0"/>
        <v>495764107.25157773</v>
      </c>
      <c r="BJ24">
        <f t="shared" si="1"/>
        <v>0.11179195584087361</v>
      </c>
    </row>
    <row r="25" spans="1:62" x14ac:dyDescent="0.25">
      <c r="A25" s="100"/>
      <c r="B25" s="17" t="s">
        <v>34</v>
      </c>
      <c r="C25" s="18" t="s">
        <v>88</v>
      </c>
      <c r="D25" s="19">
        <v>9442062.9280193709</v>
      </c>
      <c r="E25" s="19">
        <v>4363149.3368060002</v>
      </c>
      <c r="F25" s="19">
        <v>2865981.2518185498</v>
      </c>
      <c r="G25" s="19">
        <v>5453583.9108511005</v>
      </c>
      <c r="H25" s="19">
        <v>1809891.30244196</v>
      </c>
      <c r="I25" s="19">
        <v>571460.14655284001</v>
      </c>
      <c r="J25" s="19">
        <v>1222125.93598965</v>
      </c>
      <c r="K25" s="19">
        <v>807146.352519896</v>
      </c>
      <c r="L25" s="19">
        <v>2812881.9783396502</v>
      </c>
      <c r="M25" s="19">
        <v>833887.88345839898</v>
      </c>
      <c r="N25" s="19">
        <v>3285331.7057016301</v>
      </c>
      <c r="O25" s="19">
        <v>235061.27541503901</v>
      </c>
      <c r="P25" s="19">
        <v>1275752.54841213</v>
      </c>
      <c r="Q25" s="19">
        <v>3308438.8618798601</v>
      </c>
      <c r="R25" s="19">
        <v>5251960.0150080603</v>
      </c>
      <c r="S25" s="19">
        <v>3482298.16140767</v>
      </c>
      <c r="T25" s="19">
        <v>3764377.5885242298</v>
      </c>
      <c r="U25" s="19">
        <v>4434748.5168989599</v>
      </c>
      <c r="V25" s="19">
        <v>48823626.045814</v>
      </c>
      <c r="W25" s="19">
        <v>4354380.2918230398</v>
      </c>
      <c r="X25" s="19">
        <v>1023610.76363881</v>
      </c>
      <c r="Y25" s="19">
        <v>4191944.0242041</v>
      </c>
      <c r="Z25" s="19">
        <v>21202968.585347101</v>
      </c>
      <c r="AA25" s="19">
        <v>693670.45465858595</v>
      </c>
      <c r="AB25" s="19">
        <v>179779.53739239901</v>
      </c>
      <c r="AC25" s="19">
        <v>8470.1489079702405</v>
      </c>
      <c r="AD25" s="19">
        <v>108797.71737827901</v>
      </c>
      <c r="AE25" s="19">
        <v>17847619.676196799</v>
      </c>
      <c r="AF25" s="19">
        <v>34879.999182738698</v>
      </c>
      <c r="AG25" s="19">
        <v>1382805.2328975999</v>
      </c>
      <c r="AH25" s="19">
        <v>142728.16216783799</v>
      </c>
      <c r="AI25" s="19">
        <v>102271.22397752901</v>
      </c>
      <c r="AJ25" s="19">
        <v>923602.28535310796</v>
      </c>
      <c r="AK25" s="19">
        <v>8292.9333309210906</v>
      </c>
      <c r="AL25" s="19">
        <v>523390.39074432303</v>
      </c>
      <c r="AM25" s="19">
        <v>39920.178304627298</v>
      </c>
      <c r="AN25" s="19">
        <v>160663.045571544</v>
      </c>
      <c r="AO25" s="19">
        <v>160146.609952256</v>
      </c>
      <c r="AP25" s="19">
        <v>133533.26709046101</v>
      </c>
      <c r="AQ25" s="19">
        <v>16681231.4471724</v>
      </c>
      <c r="AR25" s="19">
        <v>11275.3032369504</v>
      </c>
      <c r="AS25" s="19">
        <v>264818.82299359998</v>
      </c>
      <c r="AT25" s="19">
        <v>173417419.49486199</v>
      </c>
      <c r="AU25" s="19">
        <v>595579.78670823295</v>
      </c>
      <c r="AV25" s="19">
        <v>3720729.2812877698</v>
      </c>
      <c r="AW25" s="19">
        <v>4316309.0679959999</v>
      </c>
      <c r="AX25" s="19">
        <v>0</v>
      </c>
      <c r="AY25" s="19">
        <v>4316309.0679959999</v>
      </c>
      <c r="AZ25" s="19">
        <v>204929596.99676499</v>
      </c>
      <c r="BA25" s="19">
        <v>4556075.6479765102</v>
      </c>
      <c r="BB25" s="19">
        <v>209485672.644741</v>
      </c>
      <c r="BC25" s="19">
        <v>59350299.402435601</v>
      </c>
      <c r="BD25" s="19">
        <v>273152281.11517298</v>
      </c>
      <c r="BE25" s="19">
        <v>59218616.805418603</v>
      </c>
      <c r="BF25" s="19">
        <v>387351083.80461699</v>
      </c>
      <c r="BH25">
        <f t="shared" si="0"/>
        <v>387219401.20759898</v>
      </c>
      <c r="BJ25">
        <f t="shared" si="1"/>
        <v>0.15293297965116648</v>
      </c>
    </row>
    <row r="26" spans="1:62" x14ac:dyDescent="0.25">
      <c r="A26" s="100"/>
      <c r="B26" s="17" t="s">
        <v>35</v>
      </c>
      <c r="C26" s="18" t="s">
        <v>89</v>
      </c>
      <c r="D26" s="19">
        <v>1408919.4717485199</v>
      </c>
      <c r="E26" s="19">
        <v>198746.70320897701</v>
      </c>
      <c r="F26" s="19">
        <v>17829.499566618098</v>
      </c>
      <c r="G26" s="19">
        <v>1022626.22236667</v>
      </c>
      <c r="H26" s="19">
        <v>150879.72892678401</v>
      </c>
      <c r="I26" s="19">
        <v>174622.0626038</v>
      </c>
      <c r="J26" s="19">
        <v>253639.82760961601</v>
      </c>
      <c r="K26" s="19">
        <v>118989.438174631</v>
      </c>
      <c r="L26" s="19">
        <v>309975.01103406999</v>
      </c>
      <c r="M26" s="19">
        <v>11160.7151198479</v>
      </c>
      <c r="N26" s="19">
        <v>366530.84219789697</v>
      </c>
      <c r="O26" s="19">
        <v>35280.411469775303</v>
      </c>
      <c r="P26" s="19">
        <v>161696.96047242501</v>
      </c>
      <c r="Q26" s="19">
        <v>2370746.5846731002</v>
      </c>
      <c r="R26" s="19">
        <v>187208.86335535001</v>
      </c>
      <c r="S26" s="19">
        <v>60658.885042088303</v>
      </c>
      <c r="T26" s="19">
        <v>593836.08689967403</v>
      </c>
      <c r="U26" s="19">
        <v>7563616.9372198097</v>
      </c>
      <c r="V26" s="19">
        <v>8848095.2821246609</v>
      </c>
      <c r="W26" s="19">
        <v>237540166.84993601</v>
      </c>
      <c r="X26" s="19">
        <v>988820.12635228306</v>
      </c>
      <c r="Y26" s="19">
        <v>1344462.3825576301</v>
      </c>
      <c r="Z26" s="19">
        <v>694918.87258071196</v>
      </c>
      <c r="AA26" s="19">
        <v>291795.62766576197</v>
      </c>
      <c r="AB26" s="19">
        <v>58968.430252993501</v>
      </c>
      <c r="AC26" s="19">
        <v>10597.370534223301</v>
      </c>
      <c r="AD26" s="19">
        <v>10282.349596240199</v>
      </c>
      <c r="AE26" s="19">
        <v>1111563.2263322801</v>
      </c>
      <c r="AF26" s="19">
        <v>118840.414417673</v>
      </c>
      <c r="AG26" s="19">
        <v>70012316.491765201</v>
      </c>
      <c r="AH26" s="19">
        <v>471817.61011926399</v>
      </c>
      <c r="AI26" s="19">
        <v>259987.74788360999</v>
      </c>
      <c r="AJ26" s="19">
        <v>289071.47100823099</v>
      </c>
      <c r="AK26" s="19">
        <v>28341.215566360999</v>
      </c>
      <c r="AL26" s="19">
        <v>32334152.313072499</v>
      </c>
      <c r="AM26" s="19">
        <v>356407.83469469397</v>
      </c>
      <c r="AN26" s="19">
        <v>3427487.6863864302</v>
      </c>
      <c r="AO26" s="19">
        <v>8061811.8950887304</v>
      </c>
      <c r="AP26" s="19">
        <v>115094.30247296199</v>
      </c>
      <c r="AQ26" s="19">
        <v>44551.655223810303</v>
      </c>
      <c r="AR26" s="19">
        <v>91094.949710739296</v>
      </c>
      <c r="AS26" s="19">
        <v>4080096.6803558799</v>
      </c>
      <c r="AT26" s="19">
        <v>385478717.59921402</v>
      </c>
      <c r="AU26" s="19">
        <v>21454358.9824</v>
      </c>
      <c r="AV26" s="19">
        <v>126837276.97145499</v>
      </c>
      <c r="AW26" s="19">
        <v>148291635.95385399</v>
      </c>
      <c r="AX26" s="19">
        <v>0</v>
      </c>
      <c r="AY26" s="19">
        <v>148291635.95385399</v>
      </c>
      <c r="AZ26" s="19">
        <v>176416405.60986</v>
      </c>
      <c r="BA26" s="19">
        <v>16277173.520149</v>
      </c>
      <c r="BB26" s="19">
        <v>192693579.130009</v>
      </c>
      <c r="BC26" s="19">
        <v>31524411.8740067</v>
      </c>
      <c r="BD26" s="19">
        <v>372509626.95787001</v>
      </c>
      <c r="BE26" s="19">
        <v>51530883.893830098</v>
      </c>
      <c r="BF26" s="19">
        <v>706457460.66325498</v>
      </c>
      <c r="BH26">
        <f t="shared" si="0"/>
        <v>726463932.6830771</v>
      </c>
      <c r="BJ26">
        <f t="shared" si="1"/>
        <v>7.0933850361309905E-2</v>
      </c>
    </row>
    <row r="27" spans="1:62" ht="43.2" x14ac:dyDescent="0.25">
      <c r="A27" s="100"/>
      <c r="B27" s="17" t="s">
        <v>36</v>
      </c>
      <c r="C27" s="18" t="s">
        <v>90</v>
      </c>
      <c r="D27" s="19">
        <v>1633653.65806691</v>
      </c>
      <c r="E27" s="19">
        <v>137377.205097078</v>
      </c>
      <c r="F27" s="19">
        <v>3299.56189290866</v>
      </c>
      <c r="G27" s="19">
        <v>67835.345997617202</v>
      </c>
      <c r="H27" s="19">
        <v>4779.0758828880298</v>
      </c>
      <c r="I27" s="19">
        <v>63498.750357734301</v>
      </c>
      <c r="J27" s="19">
        <v>69505.485293589401</v>
      </c>
      <c r="K27" s="19">
        <v>69778.941010616894</v>
      </c>
      <c r="L27" s="19">
        <v>108012.372758994</v>
      </c>
      <c r="M27" s="19">
        <v>42843.272878725897</v>
      </c>
      <c r="N27" s="19">
        <v>152643.88033177101</v>
      </c>
      <c r="O27" s="19">
        <v>41875.393603671699</v>
      </c>
      <c r="P27" s="19">
        <v>24313.253380856</v>
      </c>
      <c r="Q27" s="19">
        <v>62621.1042461217</v>
      </c>
      <c r="R27" s="19">
        <v>37696.937032711998</v>
      </c>
      <c r="S27" s="19">
        <v>1730.54803290979</v>
      </c>
      <c r="T27" s="19">
        <v>65866.299807706106</v>
      </c>
      <c r="U27" s="19">
        <v>2010934.9536918199</v>
      </c>
      <c r="V27" s="19">
        <v>1579977.0574509599</v>
      </c>
      <c r="W27" s="19">
        <v>566701.38138896006</v>
      </c>
      <c r="X27" s="19">
        <v>26429459.433544502</v>
      </c>
      <c r="Y27" s="19">
        <v>415016.33223081799</v>
      </c>
      <c r="Z27" s="19">
        <v>293311.21236644202</v>
      </c>
      <c r="AA27" s="19">
        <v>2270996.1002662899</v>
      </c>
      <c r="AB27" s="19">
        <v>2147.5666799442502</v>
      </c>
      <c r="AC27" s="19">
        <v>2909.1458383651898</v>
      </c>
      <c r="AD27" s="19">
        <v>3349.1709272210301</v>
      </c>
      <c r="AE27" s="19">
        <v>1342301.0627207099</v>
      </c>
      <c r="AF27" s="19">
        <v>33836.107716070197</v>
      </c>
      <c r="AG27" s="19">
        <v>17589480.278308801</v>
      </c>
      <c r="AH27" s="19">
        <v>5954.9325288047003</v>
      </c>
      <c r="AI27" s="19">
        <v>9733.5713622886906</v>
      </c>
      <c r="AJ27" s="19">
        <v>37918.7506338776</v>
      </c>
      <c r="AK27" s="19">
        <v>2136.2818403119099</v>
      </c>
      <c r="AL27" s="19">
        <v>30801.702328791798</v>
      </c>
      <c r="AM27" s="19">
        <v>97615.365861826198</v>
      </c>
      <c r="AN27" s="19">
        <v>159496.18997423799</v>
      </c>
      <c r="AO27" s="19">
        <v>4542218.6420078604</v>
      </c>
      <c r="AP27" s="19">
        <v>18162.665249341801</v>
      </c>
      <c r="AQ27" s="19">
        <v>211712.63319013201</v>
      </c>
      <c r="AR27" s="19">
        <v>18823.8901585928</v>
      </c>
      <c r="AS27" s="19">
        <v>630868.85632389295</v>
      </c>
      <c r="AT27" s="19">
        <v>60823415.429253101</v>
      </c>
      <c r="AU27" s="19">
        <v>5697629.1082278304</v>
      </c>
      <c r="AV27" s="19">
        <v>9025381.5833560508</v>
      </c>
      <c r="AW27" s="19">
        <v>14723010.6915839</v>
      </c>
      <c r="AX27" s="19">
        <v>0</v>
      </c>
      <c r="AY27" s="19">
        <v>14723010.6915839</v>
      </c>
      <c r="AZ27" s="19">
        <v>60601018.913020499</v>
      </c>
      <c r="BA27" s="19">
        <v>109528.026406031</v>
      </c>
      <c r="BB27" s="19">
        <v>60710546.939426497</v>
      </c>
      <c r="BC27" s="19">
        <v>28964418.0481885</v>
      </c>
      <c r="BD27" s="19">
        <v>104397975.679199</v>
      </c>
      <c r="BE27" s="19">
        <v>9207467.0758240409</v>
      </c>
      <c r="BF27" s="19">
        <v>156013924.032628</v>
      </c>
      <c r="BH27">
        <f t="shared" si="0"/>
        <v>136256973.06026351</v>
      </c>
      <c r="BJ27">
        <f t="shared" si="1"/>
        <v>6.757428166081289E-2</v>
      </c>
    </row>
    <row r="28" spans="1:62" ht="21.6" x14ac:dyDescent="0.25">
      <c r="A28" s="100"/>
      <c r="B28" s="17" t="s">
        <v>37</v>
      </c>
      <c r="C28" s="18" t="s">
        <v>91</v>
      </c>
      <c r="D28" s="19">
        <v>197717.41518768799</v>
      </c>
      <c r="E28" s="19">
        <v>881627.77806250704</v>
      </c>
      <c r="F28" s="19">
        <v>103121.478636574</v>
      </c>
      <c r="G28" s="19">
        <v>981292.41104552196</v>
      </c>
      <c r="H28" s="19">
        <v>106644.456891027</v>
      </c>
      <c r="I28" s="19">
        <v>653308.46934062603</v>
      </c>
      <c r="J28" s="19">
        <v>495172.500311499</v>
      </c>
      <c r="K28" s="19">
        <v>286554.20689321798</v>
      </c>
      <c r="L28" s="19">
        <v>1752872.2545674001</v>
      </c>
      <c r="M28" s="19">
        <v>180840.089195095</v>
      </c>
      <c r="N28" s="19">
        <v>822089.17390728102</v>
      </c>
      <c r="O28" s="19">
        <v>125439.831913432</v>
      </c>
      <c r="P28" s="19">
        <v>1149003.59757298</v>
      </c>
      <c r="Q28" s="19">
        <v>1447646.24429034</v>
      </c>
      <c r="R28" s="19">
        <v>565778.76574593596</v>
      </c>
      <c r="S28" s="19">
        <v>269475.60754760302</v>
      </c>
      <c r="T28" s="19">
        <v>1218352.28813117</v>
      </c>
      <c r="U28" s="19">
        <v>30663801.736531898</v>
      </c>
      <c r="V28" s="19">
        <v>17420251.047840498</v>
      </c>
      <c r="W28" s="19">
        <v>16970910.7034714</v>
      </c>
      <c r="X28" s="19">
        <v>16325888.3708768</v>
      </c>
      <c r="Y28" s="19">
        <v>117461126.23187301</v>
      </c>
      <c r="Z28" s="19">
        <v>56751423.251501299</v>
      </c>
      <c r="AA28" s="19">
        <v>2060373.1156653999</v>
      </c>
      <c r="AB28" s="19">
        <v>42504095.549183898</v>
      </c>
      <c r="AC28" s="19">
        <v>79167.884545307403</v>
      </c>
      <c r="AD28" s="19">
        <v>81672.392538750602</v>
      </c>
      <c r="AE28" s="19">
        <v>93400845.831815302</v>
      </c>
      <c r="AF28" s="19">
        <v>14542910.593776001</v>
      </c>
      <c r="AG28" s="19">
        <v>5206775.2229577499</v>
      </c>
      <c r="AH28" s="19">
        <v>522242.572353372</v>
      </c>
      <c r="AI28" s="19">
        <v>10616440.492946099</v>
      </c>
      <c r="AJ28" s="19">
        <v>110440.953008636</v>
      </c>
      <c r="AK28" s="19">
        <v>58084.791495129102</v>
      </c>
      <c r="AL28" s="19">
        <v>12746420.9702527</v>
      </c>
      <c r="AM28" s="19">
        <v>7320572.0469589699</v>
      </c>
      <c r="AN28" s="19">
        <v>9868972.9432907794</v>
      </c>
      <c r="AO28" s="19">
        <v>3254772.8784903199</v>
      </c>
      <c r="AP28" s="19">
        <v>94102.024412990198</v>
      </c>
      <c r="AQ28" s="19">
        <v>481029.797254609</v>
      </c>
      <c r="AR28" s="19">
        <v>104873.43936141999</v>
      </c>
      <c r="AS28" s="19">
        <v>3268322.84521895</v>
      </c>
      <c r="AT28" s="19">
        <v>472865900.04996902</v>
      </c>
      <c r="AU28" s="19">
        <v>10878967.9395498</v>
      </c>
      <c r="AV28" s="19">
        <v>29242602.743562698</v>
      </c>
      <c r="AW28" s="19">
        <v>40121570.683112599</v>
      </c>
      <c r="AX28" s="19">
        <v>0</v>
      </c>
      <c r="AY28" s="19">
        <v>40121570.683112599</v>
      </c>
      <c r="AZ28" s="19">
        <v>63813745.932882003</v>
      </c>
      <c r="BA28" s="19">
        <v>752723.18437021005</v>
      </c>
      <c r="BB28" s="19">
        <v>64566469.117252298</v>
      </c>
      <c r="BC28" s="19">
        <v>170548525.74938399</v>
      </c>
      <c r="BD28" s="19">
        <v>275236565.549748</v>
      </c>
      <c r="BE28" s="19">
        <v>50436211.012560003</v>
      </c>
      <c r="BF28" s="19">
        <v>697666254.58715796</v>
      </c>
      <c r="BH28">
        <f t="shared" si="0"/>
        <v>577553939.85033393</v>
      </c>
      <c r="BJ28">
        <f t="shared" si="1"/>
        <v>8.7327273753218498E-2</v>
      </c>
    </row>
    <row r="29" spans="1:62" ht="43.2" x14ac:dyDescent="0.25">
      <c r="A29" s="100"/>
      <c r="B29" s="17" t="s">
        <v>38</v>
      </c>
      <c r="C29" s="18" t="s">
        <v>92</v>
      </c>
      <c r="D29" s="19">
        <v>331571.92327286699</v>
      </c>
      <c r="E29" s="19">
        <v>360777.60004878597</v>
      </c>
      <c r="F29" s="19">
        <v>869124.76538268302</v>
      </c>
      <c r="G29" s="19">
        <v>145408.002156292</v>
      </c>
      <c r="H29" s="19">
        <v>375468.67917023</v>
      </c>
      <c r="I29" s="19">
        <v>747037.24195235805</v>
      </c>
      <c r="J29" s="19">
        <v>409009.19244003698</v>
      </c>
      <c r="K29" s="19">
        <v>114685.419699634</v>
      </c>
      <c r="L29" s="19">
        <v>3374013.3855403601</v>
      </c>
      <c r="M29" s="19">
        <v>1119303.6177410099</v>
      </c>
      <c r="N29" s="19">
        <v>1074059.68590883</v>
      </c>
      <c r="O29" s="19">
        <v>481071.44129976898</v>
      </c>
      <c r="P29" s="19">
        <v>1201955.6937511</v>
      </c>
      <c r="Q29" s="19">
        <v>1208113.1755727599</v>
      </c>
      <c r="R29" s="19">
        <v>932509.34751355695</v>
      </c>
      <c r="S29" s="19">
        <v>157946.37516031301</v>
      </c>
      <c r="T29" s="19">
        <v>965077.73084339395</v>
      </c>
      <c r="U29" s="19">
        <v>25381587.3322048</v>
      </c>
      <c r="V29" s="19">
        <v>27022920.555623099</v>
      </c>
      <c r="W29" s="19">
        <v>16792407.243783802</v>
      </c>
      <c r="X29" s="19">
        <v>8374607.9499963196</v>
      </c>
      <c r="Y29" s="19">
        <v>53832828.6339688</v>
      </c>
      <c r="Z29" s="19">
        <v>603819523.000826</v>
      </c>
      <c r="AA29" s="19">
        <v>2302751.1303630099</v>
      </c>
      <c r="AB29" s="19">
        <v>17376246.384032998</v>
      </c>
      <c r="AC29" s="19">
        <v>181125.68877307299</v>
      </c>
      <c r="AD29" s="19">
        <v>131744.26850608201</v>
      </c>
      <c r="AE29" s="19">
        <v>13384228.346578401</v>
      </c>
      <c r="AF29" s="19">
        <v>8333877.7981027002</v>
      </c>
      <c r="AG29" s="19">
        <v>6813502.5938912099</v>
      </c>
      <c r="AH29" s="19">
        <v>1176063.9398599199</v>
      </c>
      <c r="AI29" s="19">
        <v>56611169.591117397</v>
      </c>
      <c r="AJ29" s="19">
        <v>1165549.52734219</v>
      </c>
      <c r="AK29" s="19">
        <v>447000.472689652</v>
      </c>
      <c r="AL29" s="19">
        <v>22296948.636496801</v>
      </c>
      <c r="AM29" s="19">
        <v>16278535.2568956</v>
      </c>
      <c r="AN29" s="19">
        <v>48000174.052217603</v>
      </c>
      <c r="AO29" s="19">
        <v>12802603.0218603</v>
      </c>
      <c r="AP29" s="19">
        <v>5849192.9874777598</v>
      </c>
      <c r="AQ29" s="19">
        <v>1202627.02425139</v>
      </c>
      <c r="AR29" s="19">
        <v>1117205.07324635</v>
      </c>
      <c r="AS29" s="19">
        <v>6557094.8933862802</v>
      </c>
      <c r="AT29" s="19">
        <v>971003963.26124597</v>
      </c>
      <c r="AU29" s="19">
        <v>15240055.9404142</v>
      </c>
      <c r="AV29" s="19">
        <v>51826486.888728797</v>
      </c>
      <c r="AW29" s="19">
        <v>67066542.829143099</v>
      </c>
      <c r="AX29" s="19">
        <v>0</v>
      </c>
      <c r="AY29" s="19">
        <v>67066542.829143099</v>
      </c>
      <c r="AZ29" s="19">
        <v>107099836.458124</v>
      </c>
      <c r="BA29" s="19">
        <v>6140154.9455792503</v>
      </c>
      <c r="BB29" s="19">
        <v>113239991.403703</v>
      </c>
      <c r="BC29" s="19">
        <v>439367334.97759402</v>
      </c>
      <c r="BD29" s="19">
        <v>619673869.21044004</v>
      </c>
      <c r="BE29" s="19">
        <v>402155880.98906702</v>
      </c>
      <c r="BF29" s="19">
        <v>1188521951.48262</v>
      </c>
      <c r="BH29">
        <f t="shared" si="0"/>
        <v>1151310497.494092</v>
      </c>
      <c r="BJ29">
        <f t="shared" si="1"/>
        <v>0.34930271361582083</v>
      </c>
    </row>
    <row r="30" spans="1:62" ht="64.8" x14ac:dyDescent="0.25">
      <c r="A30" s="100"/>
      <c r="B30" s="17" t="s">
        <v>39</v>
      </c>
      <c r="C30" s="18" t="s">
        <v>93</v>
      </c>
      <c r="D30" s="19">
        <v>164747.47787442</v>
      </c>
      <c r="E30" s="19">
        <v>405514.02869687701</v>
      </c>
      <c r="F30" s="19">
        <v>146894.390608488</v>
      </c>
      <c r="G30" s="19">
        <v>199118.318682827</v>
      </c>
      <c r="H30" s="19">
        <v>133740.27413289601</v>
      </c>
      <c r="I30" s="19">
        <v>651164.66223560495</v>
      </c>
      <c r="J30" s="19">
        <v>1365889.2419316201</v>
      </c>
      <c r="K30" s="19">
        <v>242435.44420260299</v>
      </c>
      <c r="L30" s="19">
        <v>13403852.7991249</v>
      </c>
      <c r="M30" s="19">
        <v>563622.57549381198</v>
      </c>
      <c r="N30" s="19">
        <v>2080644.8010068401</v>
      </c>
      <c r="O30" s="19">
        <v>113887.729667525</v>
      </c>
      <c r="P30" s="19">
        <v>2943239.5497239898</v>
      </c>
      <c r="Q30" s="19">
        <v>3630070.67910031</v>
      </c>
      <c r="R30" s="19">
        <v>53093165.586032197</v>
      </c>
      <c r="S30" s="19">
        <v>13891355.113508901</v>
      </c>
      <c r="T30" s="19">
        <v>8634157.3163604196</v>
      </c>
      <c r="U30" s="19">
        <v>880502.95925384597</v>
      </c>
      <c r="V30" s="19">
        <v>861292.65728146199</v>
      </c>
      <c r="W30" s="19">
        <v>847818.19447725499</v>
      </c>
      <c r="X30" s="19">
        <v>612599.36564607301</v>
      </c>
      <c r="Y30" s="19">
        <v>953658.57623559504</v>
      </c>
      <c r="Z30" s="19">
        <v>1492023.5335540599</v>
      </c>
      <c r="AA30" s="19">
        <v>13185015.9538418</v>
      </c>
      <c r="AB30" s="19">
        <v>3665815.02354141</v>
      </c>
      <c r="AC30" s="19">
        <v>154857.195317682</v>
      </c>
      <c r="AD30" s="19">
        <v>89102.353197733595</v>
      </c>
      <c r="AE30" s="19">
        <v>3882686.3362354101</v>
      </c>
      <c r="AF30" s="19">
        <v>133738.98332051601</v>
      </c>
      <c r="AG30" s="19">
        <v>1407910.2921991199</v>
      </c>
      <c r="AH30" s="19">
        <v>205188.88588644299</v>
      </c>
      <c r="AI30" s="19">
        <v>462987.37195750099</v>
      </c>
      <c r="AJ30" s="19">
        <v>72347.132271356299</v>
      </c>
      <c r="AK30" s="19">
        <v>1286923.14998262</v>
      </c>
      <c r="AL30" s="19">
        <v>8954361.7373353001</v>
      </c>
      <c r="AM30" s="19">
        <v>1783852.69528289</v>
      </c>
      <c r="AN30" s="19">
        <v>5440678.9545661397</v>
      </c>
      <c r="AO30" s="19">
        <v>2143669.9012925201</v>
      </c>
      <c r="AP30" s="19">
        <v>265892.83775368001</v>
      </c>
      <c r="AQ30" s="19">
        <v>216482.433895731</v>
      </c>
      <c r="AR30" s="19">
        <v>626246.26319446799</v>
      </c>
      <c r="AS30" s="19">
        <v>1384717.8866036299</v>
      </c>
      <c r="AT30" s="19">
        <v>152431435.21830601</v>
      </c>
      <c r="AU30" s="19">
        <v>1188015.9589508199</v>
      </c>
      <c r="AV30" s="19">
        <v>3366560.1635568701</v>
      </c>
      <c r="AW30" s="19">
        <v>4554576.1225076802</v>
      </c>
      <c r="AX30" s="19">
        <v>0</v>
      </c>
      <c r="AY30" s="19">
        <v>0</v>
      </c>
      <c r="AZ30" s="19">
        <v>1945824.4473167399</v>
      </c>
      <c r="BA30" s="19">
        <v>0</v>
      </c>
      <c r="BB30" s="19">
        <v>1945824.4473167399</v>
      </c>
      <c r="BC30" s="19">
        <v>5279719.0121863401</v>
      </c>
      <c r="BD30" s="19">
        <v>7225543.4595030798</v>
      </c>
      <c r="BE30" s="19">
        <v>2317558.0961611802</v>
      </c>
      <c r="BF30" s="19">
        <v>20697060.147269402</v>
      </c>
      <c r="BH30">
        <f t="shared" si="0"/>
        <v>154377259.66562274</v>
      </c>
      <c r="BJ30">
        <f t="shared" si="1"/>
        <v>1.5012302337669115E-2</v>
      </c>
    </row>
    <row r="31" spans="1:62" ht="21.6" x14ac:dyDescent="0.25">
      <c r="A31" s="100"/>
      <c r="B31" s="17" t="s">
        <v>40</v>
      </c>
      <c r="C31" s="18" t="s">
        <v>94</v>
      </c>
      <c r="D31" s="19">
        <v>10632509.685994901</v>
      </c>
      <c r="E31" s="19">
        <v>8492039.3265241291</v>
      </c>
      <c r="F31" s="19">
        <v>3827929.6782418001</v>
      </c>
      <c r="G31" s="19">
        <v>14593431.6584963</v>
      </c>
      <c r="H31" s="19">
        <v>481039.22682557401</v>
      </c>
      <c r="I31" s="19">
        <v>8337210.0737607097</v>
      </c>
      <c r="J31" s="19">
        <v>9271306.1659300793</v>
      </c>
      <c r="K31" s="19">
        <v>5198622.9815821303</v>
      </c>
      <c r="L31" s="19">
        <v>12650200.924738299</v>
      </c>
      <c r="M31" s="19">
        <v>8918733.7900041603</v>
      </c>
      <c r="N31" s="19">
        <v>41485169.034775697</v>
      </c>
      <c r="O31" s="19">
        <v>4492909.9962751605</v>
      </c>
      <c r="P31" s="19">
        <v>6429846.75502072</v>
      </c>
      <c r="Q31" s="19">
        <v>36511483.283643097</v>
      </c>
      <c r="R31" s="19">
        <v>34770410.734096497</v>
      </c>
      <c r="S31" s="19">
        <v>28693763.723575801</v>
      </c>
      <c r="T31" s="19">
        <v>23642420.6271042</v>
      </c>
      <c r="U31" s="19">
        <v>9037398.2731788196</v>
      </c>
      <c r="V31" s="19">
        <v>5826705.6488526901</v>
      </c>
      <c r="W31" s="19">
        <v>5789468.1708769798</v>
      </c>
      <c r="X31" s="19">
        <v>1608516.3967347201</v>
      </c>
      <c r="Y31" s="19">
        <v>8301003.1445472101</v>
      </c>
      <c r="Z31" s="19">
        <v>11503234.3090018</v>
      </c>
      <c r="AA31" s="19">
        <v>2024340.4440145099</v>
      </c>
      <c r="AB31" s="19">
        <v>207763089.590819</v>
      </c>
      <c r="AC31" s="19">
        <v>1989258.6932657999</v>
      </c>
      <c r="AD31" s="19">
        <v>5177395.5040959297</v>
      </c>
      <c r="AE31" s="19">
        <v>41785891.453726701</v>
      </c>
      <c r="AF31" s="19">
        <v>12653101.4524859</v>
      </c>
      <c r="AG31" s="19">
        <v>16559627.487119701</v>
      </c>
      <c r="AH31" s="19">
        <v>4171232.3615359901</v>
      </c>
      <c r="AI31" s="19">
        <v>9487206.2947387099</v>
      </c>
      <c r="AJ31" s="19">
        <v>4342106.1335527599</v>
      </c>
      <c r="AK31" s="19">
        <v>4550954.1046263101</v>
      </c>
      <c r="AL31" s="19">
        <v>3785533.7397023598</v>
      </c>
      <c r="AM31" s="19">
        <v>3096348.0609721499</v>
      </c>
      <c r="AN31" s="19">
        <v>2489328.2551162899</v>
      </c>
      <c r="AO31" s="19">
        <v>3425610.48251737</v>
      </c>
      <c r="AP31" s="19">
        <v>3442352.6814395399</v>
      </c>
      <c r="AQ31" s="19">
        <v>3190635.0215070802</v>
      </c>
      <c r="AR31" s="19">
        <v>1566849.4882740499</v>
      </c>
      <c r="AS31" s="19">
        <v>10257739.6612089</v>
      </c>
      <c r="AT31" s="42">
        <v>637055331.53891802</v>
      </c>
      <c r="AU31" s="43">
        <v>12007734.9831194</v>
      </c>
      <c r="AV31" s="43">
        <v>49517677.873736903</v>
      </c>
      <c r="AW31" s="42">
        <v>61525412.856856301</v>
      </c>
      <c r="AX31" s="43">
        <v>0</v>
      </c>
      <c r="AY31" s="42">
        <v>61525412.856856301</v>
      </c>
      <c r="AZ31" s="43">
        <v>0</v>
      </c>
      <c r="BA31" s="43">
        <v>0</v>
      </c>
      <c r="BB31" s="42">
        <v>0</v>
      </c>
      <c r="BC31" s="43">
        <v>1045039.7484</v>
      </c>
      <c r="BD31" s="61">
        <v>62570452.605256297</v>
      </c>
      <c r="BE31" s="43">
        <v>123218.4412</v>
      </c>
      <c r="BF31" s="44">
        <v>699502565.70297396</v>
      </c>
      <c r="BH31">
        <f t="shared" si="0"/>
        <v>698580744.39577436</v>
      </c>
      <c r="BJ31">
        <f t="shared" si="1"/>
        <v>1.7638396447153108E-4</v>
      </c>
    </row>
    <row r="32" spans="1:62" ht="21.6" x14ac:dyDescent="0.25">
      <c r="A32" s="100"/>
      <c r="B32" s="17" t="s">
        <v>41</v>
      </c>
      <c r="C32" s="20" t="s">
        <v>95</v>
      </c>
      <c r="D32" s="19">
        <v>158734.702636481</v>
      </c>
      <c r="E32" s="19">
        <v>28901.4549832347</v>
      </c>
      <c r="F32" s="19">
        <v>21479.904192603601</v>
      </c>
      <c r="G32" s="19">
        <v>23210.4423339237</v>
      </c>
      <c r="H32" s="19">
        <v>66417.539930823696</v>
      </c>
      <c r="I32" s="19">
        <v>443352.99437906401</v>
      </c>
      <c r="J32" s="19">
        <v>187804.34269080599</v>
      </c>
      <c r="K32" s="19">
        <v>26205.230886828998</v>
      </c>
      <c r="L32" s="19">
        <v>455864.76763070998</v>
      </c>
      <c r="M32" s="19">
        <v>817644.24839578895</v>
      </c>
      <c r="N32" s="19">
        <v>2010632.1788910399</v>
      </c>
      <c r="O32" s="19">
        <v>3228.6624178986499</v>
      </c>
      <c r="P32" s="19">
        <v>5038.3119184469597</v>
      </c>
      <c r="Q32" s="19">
        <v>240915.818847029</v>
      </c>
      <c r="R32" s="19">
        <v>233825.70539204401</v>
      </c>
      <c r="S32" s="19">
        <v>69857.983572238896</v>
      </c>
      <c r="T32" s="19">
        <v>440098.52054863202</v>
      </c>
      <c r="U32" s="19">
        <v>183042.98405176101</v>
      </c>
      <c r="V32" s="19">
        <v>306402.22007457301</v>
      </c>
      <c r="W32" s="19">
        <v>104306.632854689</v>
      </c>
      <c r="X32" s="19">
        <v>136222.61171656</v>
      </c>
      <c r="Y32" s="19">
        <v>250330.61046927501</v>
      </c>
      <c r="Z32" s="19">
        <v>139669.20555458</v>
      </c>
      <c r="AA32" s="19">
        <v>421341.49805195199</v>
      </c>
      <c r="AB32" s="19">
        <v>1999455.2125124999</v>
      </c>
      <c r="AC32" s="19">
        <v>9988214.6152514108</v>
      </c>
      <c r="AD32" s="19">
        <v>577.10973224771101</v>
      </c>
      <c r="AE32" s="19">
        <v>43646.7161920363</v>
      </c>
      <c r="AF32" s="19">
        <v>108729.406380966</v>
      </c>
      <c r="AG32" s="19">
        <v>19661653.7984179</v>
      </c>
      <c r="AH32" s="19">
        <v>2563138.31292585</v>
      </c>
      <c r="AI32" s="19">
        <v>79885.205672357595</v>
      </c>
      <c r="AJ32" s="19">
        <v>29927.4073905187</v>
      </c>
      <c r="AK32" s="19">
        <v>2003956.33127242</v>
      </c>
      <c r="AL32" s="19">
        <v>461291.884655495</v>
      </c>
      <c r="AM32" s="19">
        <v>181897.00048366399</v>
      </c>
      <c r="AN32" s="19">
        <v>211884.969231725</v>
      </c>
      <c r="AO32" s="19">
        <v>1107430.7801409401</v>
      </c>
      <c r="AP32" s="19">
        <v>533949.62356846302</v>
      </c>
      <c r="AQ32" s="19">
        <v>253896.226234584</v>
      </c>
      <c r="AR32" s="19">
        <v>279996.55674751702</v>
      </c>
      <c r="AS32" s="19">
        <v>347185.736217506</v>
      </c>
      <c r="AT32" s="42">
        <v>46605040.234562203</v>
      </c>
      <c r="AU32" s="43">
        <v>1394219.1029457999</v>
      </c>
      <c r="AV32" s="43">
        <v>32378337.354393002</v>
      </c>
      <c r="AW32" s="42">
        <v>33772556.457338803</v>
      </c>
      <c r="AX32" s="43">
        <v>0</v>
      </c>
      <c r="AY32" s="42">
        <v>33772556.457338803</v>
      </c>
      <c r="AZ32" s="43">
        <v>0</v>
      </c>
      <c r="BA32" s="43">
        <v>893408.64044541295</v>
      </c>
      <c r="BB32" s="42">
        <v>893408.64044541295</v>
      </c>
      <c r="BC32" s="43">
        <v>0</v>
      </c>
      <c r="BD32" s="61">
        <v>34665965.097784303</v>
      </c>
      <c r="BE32" s="43">
        <v>0</v>
      </c>
      <c r="BF32" s="44">
        <v>81271005.332346603</v>
      </c>
      <c r="BH32">
        <f t="shared" si="0"/>
        <v>81271005.33234641</v>
      </c>
      <c r="BJ32">
        <f t="shared" si="1"/>
        <v>0</v>
      </c>
    </row>
    <row r="33" spans="1:62" ht="21.6" x14ac:dyDescent="0.25">
      <c r="A33" s="100"/>
      <c r="B33" s="17" t="s">
        <v>42</v>
      </c>
      <c r="C33" s="20" t="s">
        <v>96</v>
      </c>
      <c r="D33" s="19">
        <v>41316.588252533198</v>
      </c>
      <c r="E33" s="19">
        <v>56861.257707942998</v>
      </c>
      <c r="F33" s="19">
        <v>66724.691130288003</v>
      </c>
      <c r="G33" s="19">
        <v>75500.916232385003</v>
      </c>
      <c r="H33" s="19">
        <v>15289.876303716201</v>
      </c>
      <c r="I33" s="19">
        <v>1176862.5578435501</v>
      </c>
      <c r="J33" s="19">
        <v>280582.66604564601</v>
      </c>
      <c r="K33" s="19">
        <v>118367.57321422199</v>
      </c>
      <c r="L33" s="19">
        <v>442167.91749623301</v>
      </c>
      <c r="M33" s="19">
        <v>149328.75506023099</v>
      </c>
      <c r="N33" s="19">
        <v>481011.19009596203</v>
      </c>
      <c r="O33" s="19">
        <v>235131.24611225101</v>
      </c>
      <c r="P33" s="19">
        <v>150793.20284570201</v>
      </c>
      <c r="Q33" s="19">
        <v>532732.64514070202</v>
      </c>
      <c r="R33" s="19">
        <v>313577.763558793</v>
      </c>
      <c r="S33" s="19">
        <v>110786.029679926</v>
      </c>
      <c r="T33" s="19">
        <v>157179.32835927201</v>
      </c>
      <c r="U33" s="19">
        <v>340480.59486597299</v>
      </c>
      <c r="V33" s="19">
        <v>185550.30952927901</v>
      </c>
      <c r="W33" s="19">
        <v>167372.94243364499</v>
      </c>
      <c r="X33" s="19">
        <v>121137.104951136</v>
      </c>
      <c r="Y33" s="19">
        <v>405654.938503351</v>
      </c>
      <c r="Z33" s="19">
        <v>532648.03583173396</v>
      </c>
      <c r="AA33" s="19">
        <v>182154.691878221</v>
      </c>
      <c r="AB33" s="19">
        <v>1234128.68752964</v>
      </c>
      <c r="AC33" s="19">
        <v>36613.344005373401</v>
      </c>
      <c r="AD33" s="19">
        <v>2092918.6371561601</v>
      </c>
      <c r="AE33" s="19">
        <v>2894162.0483027301</v>
      </c>
      <c r="AF33" s="19">
        <v>552057.35316751699</v>
      </c>
      <c r="AG33" s="19">
        <v>496240.20191985503</v>
      </c>
      <c r="AH33" s="19">
        <v>1161758.0917028401</v>
      </c>
      <c r="AI33" s="19">
        <v>269693.69170390099</v>
      </c>
      <c r="AJ33" s="19">
        <v>367635.55861132202</v>
      </c>
      <c r="AK33" s="19">
        <v>556423.34696311899</v>
      </c>
      <c r="AL33" s="19">
        <v>119223.28508387999</v>
      </c>
      <c r="AM33" s="19">
        <v>505701.343195469</v>
      </c>
      <c r="AN33" s="19">
        <v>125838.583104519</v>
      </c>
      <c r="AO33" s="19">
        <v>426824.19165027101</v>
      </c>
      <c r="AP33" s="19">
        <v>435482.55695067899</v>
      </c>
      <c r="AQ33" s="19">
        <v>316913.101361849</v>
      </c>
      <c r="AR33" s="19">
        <v>273234.61167785601</v>
      </c>
      <c r="AS33" s="19">
        <v>903821.15177748597</v>
      </c>
      <c r="AT33" s="42">
        <v>18989515.0357229</v>
      </c>
      <c r="AU33" s="43">
        <v>2708952.0732222698</v>
      </c>
      <c r="AV33" s="43">
        <v>18088343.402777299</v>
      </c>
      <c r="AW33" s="42">
        <v>20797295.475999601</v>
      </c>
      <c r="AX33" s="43">
        <v>0</v>
      </c>
      <c r="AY33" s="42">
        <v>20797295.475999601</v>
      </c>
      <c r="AZ33" s="43">
        <v>0</v>
      </c>
      <c r="BA33" s="43">
        <v>891741.45750941802</v>
      </c>
      <c r="BB33" s="42">
        <v>891741.45750941802</v>
      </c>
      <c r="BC33" s="43">
        <v>0</v>
      </c>
      <c r="BD33" s="61">
        <v>21689036.933509</v>
      </c>
      <c r="BE33" s="43">
        <v>0</v>
      </c>
      <c r="BF33" s="44">
        <v>40678551.969231904</v>
      </c>
      <c r="BH33">
        <f t="shared" si="0"/>
        <v>40678551.969231926</v>
      </c>
      <c r="BJ33">
        <f t="shared" si="1"/>
        <v>0</v>
      </c>
    </row>
    <row r="34" spans="1:62" x14ac:dyDescent="0.25">
      <c r="A34" s="100"/>
      <c r="B34" s="17" t="s">
        <v>43</v>
      </c>
      <c r="C34" s="20" t="s">
        <v>97</v>
      </c>
      <c r="D34" s="19">
        <v>767866.27291258995</v>
      </c>
      <c r="E34" s="19">
        <v>136712.76462960101</v>
      </c>
      <c r="F34" s="19">
        <v>28483.4786058051</v>
      </c>
      <c r="G34" s="19">
        <v>39555.2327590926</v>
      </c>
      <c r="H34" s="19">
        <v>5924.7935314633096</v>
      </c>
      <c r="I34" s="19">
        <v>215253.65315689999</v>
      </c>
      <c r="J34" s="19">
        <v>226716.426076526</v>
      </c>
      <c r="K34" s="19">
        <v>132624.129456814</v>
      </c>
      <c r="L34" s="19">
        <v>238488.81530050599</v>
      </c>
      <c r="M34" s="19">
        <v>50165.433194638303</v>
      </c>
      <c r="N34" s="19">
        <v>339457.69367522199</v>
      </c>
      <c r="O34" s="19">
        <v>62322.093986348002</v>
      </c>
      <c r="P34" s="19">
        <v>93738.603114202997</v>
      </c>
      <c r="Q34" s="19">
        <v>162675.607305991</v>
      </c>
      <c r="R34" s="19">
        <v>95544.614739968194</v>
      </c>
      <c r="S34" s="19">
        <v>78767.820339656595</v>
      </c>
      <c r="T34" s="19">
        <v>112818.398974717</v>
      </c>
      <c r="U34" s="19">
        <v>310533.93412080401</v>
      </c>
      <c r="V34" s="19">
        <v>124690.040871795</v>
      </c>
      <c r="W34" s="19">
        <v>139887.315349785</v>
      </c>
      <c r="X34" s="19">
        <v>47393.878590150103</v>
      </c>
      <c r="Y34" s="19">
        <v>180123.420648795</v>
      </c>
      <c r="Z34" s="19">
        <v>667409.93998919497</v>
      </c>
      <c r="AA34" s="19">
        <v>89637.304741633401</v>
      </c>
      <c r="AB34" s="19">
        <v>2679712.7946501598</v>
      </c>
      <c r="AC34" s="19">
        <v>28595.2440077961</v>
      </c>
      <c r="AD34" s="19">
        <v>75522.733505083699</v>
      </c>
      <c r="AE34" s="19">
        <v>102777626.861809</v>
      </c>
      <c r="AF34" s="19">
        <v>1487150.4145561899</v>
      </c>
      <c r="AG34" s="19">
        <v>2015285.3911783299</v>
      </c>
      <c r="AH34" s="19">
        <v>901665.81305564696</v>
      </c>
      <c r="AI34" s="19">
        <v>954151.50461212103</v>
      </c>
      <c r="AJ34" s="19">
        <v>2489999.29194621</v>
      </c>
      <c r="AK34" s="19">
        <v>14193938.3943872</v>
      </c>
      <c r="AL34" s="19">
        <v>445793.24860177102</v>
      </c>
      <c r="AM34" s="19">
        <v>424334.51161238598</v>
      </c>
      <c r="AN34" s="19">
        <v>514616.38248372899</v>
      </c>
      <c r="AO34" s="19">
        <v>528902.69084494305</v>
      </c>
      <c r="AP34" s="19">
        <v>3319541.48031619</v>
      </c>
      <c r="AQ34" s="19">
        <v>1071607.6873737201</v>
      </c>
      <c r="AR34" s="19">
        <v>993565.57971969096</v>
      </c>
      <c r="AS34" s="19">
        <v>10876464.686654501</v>
      </c>
      <c r="AT34" s="19">
        <v>149992642.24792999</v>
      </c>
      <c r="AU34" s="19">
        <v>0</v>
      </c>
      <c r="AV34" s="19">
        <v>0</v>
      </c>
      <c r="AW34" s="19">
        <v>0</v>
      </c>
      <c r="AX34" s="19">
        <v>0</v>
      </c>
      <c r="AY34" s="19">
        <v>0</v>
      </c>
      <c r="AZ34" s="19">
        <v>2707176325.74966</v>
      </c>
      <c r="BA34" s="19">
        <v>0</v>
      </c>
      <c r="BB34" s="19">
        <v>2707176325.74966</v>
      </c>
      <c r="BC34" s="19">
        <v>8681061.2808516994</v>
      </c>
      <c r="BD34" s="19">
        <v>2715857387.03052</v>
      </c>
      <c r="BE34" s="19">
        <v>5545047.8637640001</v>
      </c>
      <c r="BF34" s="19">
        <v>2860304981.41468</v>
      </c>
      <c r="BH34">
        <f t="shared" si="0"/>
        <v>2857168967.9975901</v>
      </c>
      <c r="BJ34">
        <f t="shared" si="1"/>
        <v>1.9407490162019277E-3</v>
      </c>
    </row>
    <row r="35" spans="1:62" x14ac:dyDescent="0.25">
      <c r="A35" s="100"/>
      <c r="B35" s="17" t="s">
        <v>44</v>
      </c>
      <c r="C35" s="20" t="s">
        <v>98</v>
      </c>
      <c r="D35" s="19">
        <v>32445341.8210967</v>
      </c>
      <c r="E35" s="19">
        <v>6037786.7320662104</v>
      </c>
      <c r="F35" s="19">
        <v>775392.27401589404</v>
      </c>
      <c r="G35" s="19">
        <v>4137179.2881825902</v>
      </c>
      <c r="H35" s="19">
        <v>811001.70867601898</v>
      </c>
      <c r="I35" s="19">
        <v>81687886.060643494</v>
      </c>
      <c r="J35" s="19">
        <v>49418319.526525803</v>
      </c>
      <c r="K35" s="19">
        <v>23952570.404968601</v>
      </c>
      <c r="L35" s="19">
        <v>51727062.722152598</v>
      </c>
      <c r="M35" s="19">
        <v>10885899.5352103</v>
      </c>
      <c r="N35" s="19">
        <v>35967199.2637394</v>
      </c>
      <c r="O35" s="19">
        <v>19903155.950842701</v>
      </c>
      <c r="P35" s="19">
        <v>19717113.371896099</v>
      </c>
      <c r="Q35" s="19">
        <v>37090632.127917603</v>
      </c>
      <c r="R35" s="19">
        <v>18088633.433522701</v>
      </c>
      <c r="S35" s="19">
        <v>13482091.1086585</v>
      </c>
      <c r="T35" s="19">
        <v>22175914.737617198</v>
      </c>
      <c r="U35" s="19">
        <v>27687169.007828999</v>
      </c>
      <c r="V35" s="19">
        <v>19596217.765617799</v>
      </c>
      <c r="W35" s="19">
        <v>54110905.513489</v>
      </c>
      <c r="X35" s="19">
        <v>10569374.970818</v>
      </c>
      <c r="Y35" s="19">
        <v>42723961.570809498</v>
      </c>
      <c r="Z35" s="19">
        <v>59473321.116125599</v>
      </c>
      <c r="AA35" s="19">
        <v>4006169.6424203599</v>
      </c>
      <c r="AB35" s="19">
        <v>15451656.157005301</v>
      </c>
      <c r="AC35" s="19">
        <v>2301900.8425521599</v>
      </c>
      <c r="AD35" s="19">
        <v>565625.06653206202</v>
      </c>
      <c r="AE35" s="19">
        <v>143079872.33824301</v>
      </c>
      <c r="AF35" s="19">
        <v>11226156.781745801</v>
      </c>
      <c r="AG35" s="19">
        <v>35456523.308043502</v>
      </c>
      <c r="AH35" s="19">
        <v>28035741.060201</v>
      </c>
      <c r="AI35" s="19">
        <v>15872913.5323215</v>
      </c>
      <c r="AJ35" s="19">
        <v>5735570.8359558098</v>
      </c>
      <c r="AK35" s="19">
        <v>3311533.5759604299</v>
      </c>
      <c r="AL35" s="19">
        <v>34868107.184738502</v>
      </c>
      <c r="AM35" s="19">
        <v>7310894.07936115</v>
      </c>
      <c r="AN35" s="19">
        <v>13897489.3645106</v>
      </c>
      <c r="AO35" s="19">
        <v>8483107.7031672597</v>
      </c>
      <c r="AP35" s="19">
        <v>6371391.4748348603</v>
      </c>
      <c r="AQ35" s="19">
        <v>34246220.181799702</v>
      </c>
      <c r="AR35" s="19">
        <v>4838226.8271174803</v>
      </c>
      <c r="AS35" s="19">
        <v>15105573.595953301</v>
      </c>
      <c r="AT35" s="19">
        <v>1008676233.15992</v>
      </c>
      <c r="AU35" s="19">
        <v>51457511.092132501</v>
      </c>
      <c r="AV35" s="19">
        <v>166522713.313402</v>
      </c>
      <c r="AW35" s="19">
        <v>217980224.405534</v>
      </c>
      <c r="AX35" s="19">
        <v>0</v>
      </c>
      <c r="AY35" s="19">
        <v>217980224.405534</v>
      </c>
      <c r="AZ35" s="19">
        <v>84921149.455762297</v>
      </c>
      <c r="BA35" s="19">
        <v>8345553.6658840599</v>
      </c>
      <c r="BB35" s="19">
        <v>93266703.121646494</v>
      </c>
      <c r="BC35" s="19">
        <v>178591537.87247801</v>
      </c>
      <c r="BD35" s="19">
        <v>489838465.39965898</v>
      </c>
      <c r="BE35" s="19">
        <v>0</v>
      </c>
      <c r="BF35" s="19">
        <v>1498514698.5595801</v>
      </c>
      <c r="BH35">
        <f t="shared" si="0"/>
        <v>1319923160.6871004</v>
      </c>
      <c r="BJ35">
        <f t="shared" si="1"/>
        <v>0</v>
      </c>
    </row>
    <row r="36" spans="1:62" ht="21.6" x14ac:dyDescent="0.25">
      <c r="A36" s="100"/>
      <c r="B36" s="17" t="s">
        <v>45</v>
      </c>
      <c r="C36" s="20" t="s">
        <v>99</v>
      </c>
      <c r="D36" s="19">
        <v>25502816.8995248</v>
      </c>
      <c r="E36" s="19">
        <v>5466615.4697256703</v>
      </c>
      <c r="F36" s="19">
        <v>662325.93177021295</v>
      </c>
      <c r="G36" s="19">
        <v>3705387.6243679901</v>
      </c>
      <c r="H36" s="19">
        <v>459922.389176214</v>
      </c>
      <c r="I36" s="19">
        <v>33568250.7764825</v>
      </c>
      <c r="J36" s="19">
        <v>30654371.8358142</v>
      </c>
      <c r="K36" s="19">
        <v>8982067.3529972397</v>
      </c>
      <c r="L36" s="19">
        <v>20843806.401541501</v>
      </c>
      <c r="M36" s="19">
        <v>11193285.5741792</v>
      </c>
      <c r="N36" s="19">
        <v>31172179.9123803</v>
      </c>
      <c r="O36" s="19">
        <v>11209228.5782545</v>
      </c>
      <c r="P36" s="19">
        <v>13733058.033603299</v>
      </c>
      <c r="Q36" s="19">
        <v>25345785.753468301</v>
      </c>
      <c r="R36" s="19">
        <v>19869246.551746801</v>
      </c>
      <c r="S36" s="19">
        <v>13197425.411509201</v>
      </c>
      <c r="T36" s="19">
        <v>15073279.3625574</v>
      </c>
      <c r="U36" s="19">
        <v>16500075.924443601</v>
      </c>
      <c r="V36" s="19">
        <v>14118443.387983499</v>
      </c>
      <c r="W36" s="19">
        <v>24769356.2474804</v>
      </c>
      <c r="X36" s="19">
        <v>4521511.0037380997</v>
      </c>
      <c r="Y36" s="19">
        <v>22153380.483358599</v>
      </c>
      <c r="Z36" s="19">
        <v>18528288.710067999</v>
      </c>
      <c r="AA36" s="19">
        <v>2444020.0275438898</v>
      </c>
      <c r="AB36" s="19">
        <v>12897844.057169201</v>
      </c>
      <c r="AC36" s="19">
        <v>1690453.88206179</v>
      </c>
      <c r="AD36" s="19">
        <v>399060.12304012902</v>
      </c>
      <c r="AE36" s="19">
        <v>77457881.624707803</v>
      </c>
      <c r="AF36" s="19">
        <v>90975726.641584098</v>
      </c>
      <c r="AG36" s="19">
        <v>173252511.26195401</v>
      </c>
      <c r="AH36" s="19">
        <v>15280892.5786233</v>
      </c>
      <c r="AI36" s="19">
        <v>13780271.547948699</v>
      </c>
      <c r="AJ36" s="19">
        <v>13542347.8239497</v>
      </c>
      <c r="AK36" s="19">
        <v>4279025.9934587199</v>
      </c>
      <c r="AL36" s="19">
        <v>57539641.480696499</v>
      </c>
      <c r="AM36" s="19">
        <v>9247844.2679492496</v>
      </c>
      <c r="AN36" s="19">
        <v>18900788.576480001</v>
      </c>
      <c r="AO36" s="19">
        <v>7465876.5164753599</v>
      </c>
      <c r="AP36" s="19">
        <v>12170731.8832801</v>
      </c>
      <c r="AQ36" s="19">
        <v>15774297.659290999</v>
      </c>
      <c r="AR36" s="19">
        <v>5216650.8288543904</v>
      </c>
      <c r="AS36" s="19">
        <v>30875236.414519198</v>
      </c>
      <c r="AT36" s="19">
        <v>925439145.45276201</v>
      </c>
      <c r="AU36" s="19">
        <v>30607379.101441901</v>
      </c>
      <c r="AV36" s="19">
        <v>107378578.754783</v>
      </c>
      <c r="AW36" s="19">
        <v>137985957.85622501</v>
      </c>
      <c r="AX36" s="19">
        <v>42787710.951599598</v>
      </c>
      <c r="AY36" s="19">
        <v>180773668.807825</v>
      </c>
      <c r="AZ36" s="19">
        <v>34380961.708352</v>
      </c>
      <c r="BA36" s="19">
        <v>2787948.9429763998</v>
      </c>
      <c r="BB36" s="19">
        <v>37168910.651328497</v>
      </c>
      <c r="BC36" s="19">
        <v>95111712.935939193</v>
      </c>
      <c r="BD36" s="19">
        <v>313054292.39509201</v>
      </c>
      <c r="BE36" s="19">
        <v>39322169.213351302</v>
      </c>
      <c r="BF36" s="19">
        <v>1199171268.6345</v>
      </c>
      <c r="BH36">
        <f t="shared" si="0"/>
        <v>1143381724.9119155</v>
      </c>
      <c r="BJ36">
        <f t="shared" si="1"/>
        <v>3.4391112221406742E-2</v>
      </c>
    </row>
    <row r="37" spans="1:62" x14ac:dyDescent="0.25">
      <c r="A37" s="100"/>
      <c r="B37" s="17" t="s">
        <v>46</v>
      </c>
      <c r="C37" s="20" t="s">
        <v>100</v>
      </c>
      <c r="D37" s="19">
        <v>2365578.9880881701</v>
      </c>
      <c r="E37" s="19">
        <v>762175.49667994701</v>
      </c>
      <c r="F37" s="19">
        <v>199599.92691240201</v>
      </c>
      <c r="G37" s="19">
        <v>842149.98613457906</v>
      </c>
      <c r="H37" s="19">
        <v>109283.546670268</v>
      </c>
      <c r="I37" s="19">
        <v>5081633.5890060896</v>
      </c>
      <c r="J37" s="19">
        <v>2389261.74244902</v>
      </c>
      <c r="K37" s="19">
        <v>1133676.64022426</v>
      </c>
      <c r="L37" s="19">
        <v>3087924.9706234699</v>
      </c>
      <c r="M37" s="19">
        <v>858498.177586523</v>
      </c>
      <c r="N37" s="19">
        <v>3499576.9477412901</v>
      </c>
      <c r="O37" s="19">
        <v>3967101.9921749802</v>
      </c>
      <c r="P37" s="19">
        <v>1394763.17711906</v>
      </c>
      <c r="Q37" s="19">
        <v>4067231.6033907202</v>
      </c>
      <c r="R37" s="19">
        <v>2414344.96716937</v>
      </c>
      <c r="S37" s="19">
        <v>1033268.47012779</v>
      </c>
      <c r="T37" s="19">
        <v>2894258.5718172202</v>
      </c>
      <c r="U37" s="19">
        <v>2733036.73885831</v>
      </c>
      <c r="V37" s="19">
        <v>3475131.3451918298</v>
      </c>
      <c r="W37" s="19">
        <v>2884251.2143198401</v>
      </c>
      <c r="X37" s="19">
        <v>837981.49521439301</v>
      </c>
      <c r="Y37" s="19">
        <v>3803760.4041102901</v>
      </c>
      <c r="Z37" s="19">
        <v>4571761.3817649903</v>
      </c>
      <c r="AA37" s="19">
        <v>553103.52908509702</v>
      </c>
      <c r="AB37" s="19">
        <v>2051215.08631479</v>
      </c>
      <c r="AC37" s="19">
        <v>224739.51470622499</v>
      </c>
      <c r="AD37" s="19">
        <v>196672.810478203</v>
      </c>
      <c r="AE37" s="19">
        <v>14884407.391132699</v>
      </c>
      <c r="AF37" s="19">
        <v>7190141.5956000304</v>
      </c>
      <c r="AG37" s="19">
        <v>21824752.656176601</v>
      </c>
      <c r="AH37" s="19">
        <v>939543.14637547301</v>
      </c>
      <c r="AI37" s="19">
        <v>5890208.15955415</v>
      </c>
      <c r="AJ37" s="19">
        <v>28451801.880011</v>
      </c>
      <c r="AK37" s="19">
        <v>4188796.83246565</v>
      </c>
      <c r="AL37" s="19">
        <v>46050709.454658702</v>
      </c>
      <c r="AM37" s="19">
        <v>9505464.4839702006</v>
      </c>
      <c r="AN37" s="19">
        <v>17842364.908427902</v>
      </c>
      <c r="AO37" s="19">
        <v>3362199.60532963</v>
      </c>
      <c r="AP37" s="19">
        <v>12682565.3168176</v>
      </c>
      <c r="AQ37" s="19">
        <v>1987214.01266115</v>
      </c>
      <c r="AR37" s="19">
        <v>5104499.0634741597</v>
      </c>
      <c r="AS37" s="19">
        <v>38154941.923845701</v>
      </c>
      <c r="AT37" s="19">
        <v>274357916.10423601</v>
      </c>
      <c r="AU37" s="19">
        <v>26632162.7816424</v>
      </c>
      <c r="AV37" s="19">
        <v>156061116.80866599</v>
      </c>
      <c r="AW37" s="19">
        <v>182693279.59030801</v>
      </c>
      <c r="AX37" s="19">
        <v>0</v>
      </c>
      <c r="AY37" s="19">
        <v>182693279.59030801</v>
      </c>
      <c r="AZ37" s="19">
        <v>0</v>
      </c>
      <c r="BA37" s="19">
        <v>0</v>
      </c>
      <c r="BB37" s="19">
        <v>0</v>
      </c>
      <c r="BC37" s="19">
        <v>2705954.49598409</v>
      </c>
      <c r="BD37" s="19">
        <v>185399234.08629301</v>
      </c>
      <c r="BE37" s="19">
        <v>27767390.085102599</v>
      </c>
      <c r="BF37" s="19">
        <v>431989760.105425</v>
      </c>
      <c r="BH37">
        <f t="shared" si="0"/>
        <v>457051195.69454402</v>
      </c>
      <c r="BJ37">
        <f t="shared" si="1"/>
        <v>6.0753347429507817E-2</v>
      </c>
    </row>
    <row r="38" spans="1:62" ht="32.4" x14ac:dyDescent="0.25">
      <c r="A38" s="100"/>
      <c r="B38" s="17" t="s">
        <v>47</v>
      </c>
      <c r="C38" s="20" t="s">
        <v>101</v>
      </c>
      <c r="D38" s="19">
        <v>2380372.7882407499</v>
      </c>
      <c r="E38" s="19">
        <v>321232.86135543702</v>
      </c>
      <c r="F38" s="19">
        <v>130830.941198361</v>
      </c>
      <c r="G38" s="19">
        <v>660885.16421326098</v>
      </c>
      <c r="H38" s="19">
        <v>51314.843354326003</v>
      </c>
      <c r="I38" s="19">
        <v>2985457.2071557702</v>
      </c>
      <c r="J38" s="19">
        <v>2795304.3033230598</v>
      </c>
      <c r="K38" s="19">
        <v>702160.28093722498</v>
      </c>
      <c r="L38" s="19">
        <v>2870632.0237698499</v>
      </c>
      <c r="M38" s="19">
        <v>297324.707152127</v>
      </c>
      <c r="N38" s="19">
        <v>2928437.6155691799</v>
      </c>
      <c r="O38" s="19">
        <v>1802778.23692655</v>
      </c>
      <c r="P38" s="19">
        <v>1073247.9677768799</v>
      </c>
      <c r="Q38" s="19">
        <v>1879832.34809695</v>
      </c>
      <c r="R38" s="19">
        <v>758487.52028575598</v>
      </c>
      <c r="S38" s="19">
        <v>759639.70492993901</v>
      </c>
      <c r="T38" s="19">
        <v>1666606.6070314299</v>
      </c>
      <c r="U38" s="19">
        <v>3216940.16125764</v>
      </c>
      <c r="V38" s="19">
        <v>2097447.4664449599</v>
      </c>
      <c r="W38" s="19">
        <v>2312784.1849024901</v>
      </c>
      <c r="X38" s="19">
        <v>739434.71481951897</v>
      </c>
      <c r="Y38" s="19">
        <v>3891181.9173671198</v>
      </c>
      <c r="Z38" s="19">
        <v>26849254.1742833</v>
      </c>
      <c r="AA38" s="19">
        <v>290368.47980838799</v>
      </c>
      <c r="AB38" s="19">
        <v>4714676.0832067998</v>
      </c>
      <c r="AC38" s="19">
        <v>378597.82045240502</v>
      </c>
      <c r="AD38" s="19">
        <v>364023.25841085502</v>
      </c>
      <c r="AE38" s="19">
        <v>39431330.986085199</v>
      </c>
      <c r="AF38" s="19">
        <v>11266280.2419986</v>
      </c>
      <c r="AG38" s="19">
        <v>36361881.152962402</v>
      </c>
      <c r="AH38" s="19">
        <v>3189231.6805301402</v>
      </c>
      <c r="AI38" s="19">
        <v>194104989.05070299</v>
      </c>
      <c r="AJ38" s="19">
        <v>41502192.8395724</v>
      </c>
      <c r="AK38" s="19">
        <v>8707730.9318200592</v>
      </c>
      <c r="AL38" s="19">
        <v>14421754.3457487</v>
      </c>
      <c r="AM38" s="19">
        <v>3120866.5165921198</v>
      </c>
      <c r="AN38" s="19">
        <v>11332785.543717699</v>
      </c>
      <c r="AO38" s="19">
        <v>1805080.1013281799</v>
      </c>
      <c r="AP38" s="19">
        <v>10760607.881895101</v>
      </c>
      <c r="AQ38" s="19">
        <v>10365566.128374999</v>
      </c>
      <c r="AR38" s="19">
        <v>2895577.2704651402</v>
      </c>
      <c r="AS38" s="19">
        <v>51257794.8407465</v>
      </c>
      <c r="AT38" s="19">
        <v>508740762.61387402</v>
      </c>
      <c r="AU38" s="19">
        <v>27729871.4639141</v>
      </c>
      <c r="AV38" s="19">
        <v>96992063.336868405</v>
      </c>
      <c r="AW38" s="19">
        <v>124721934.80078299</v>
      </c>
      <c r="AX38" s="19">
        <v>0</v>
      </c>
      <c r="AY38" s="19">
        <v>124721934.80078299</v>
      </c>
      <c r="AZ38" s="19">
        <v>328686630.65903503</v>
      </c>
      <c r="BA38" s="19">
        <v>0</v>
      </c>
      <c r="BB38" s="19">
        <v>328686630.65903503</v>
      </c>
      <c r="BC38" s="19">
        <v>30745009.333072402</v>
      </c>
      <c r="BD38" s="19">
        <v>484153574.79289001</v>
      </c>
      <c r="BE38" s="19">
        <v>27651547.580722298</v>
      </c>
      <c r="BF38" s="19">
        <v>965242789.82604098</v>
      </c>
      <c r="BH38">
        <f t="shared" si="0"/>
        <v>962149328.07369208</v>
      </c>
      <c r="BJ38">
        <f t="shared" si="1"/>
        <v>2.8739351339654457E-2</v>
      </c>
    </row>
    <row r="39" spans="1:62" x14ac:dyDescent="0.25">
      <c r="A39" s="100"/>
      <c r="B39" s="17" t="s">
        <v>48</v>
      </c>
      <c r="C39" s="20" t="s">
        <v>102</v>
      </c>
      <c r="D39" s="19">
        <v>15766818.180193</v>
      </c>
      <c r="E39" s="19">
        <v>11355297.9950202</v>
      </c>
      <c r="F39" s="19">
        <v>3523955.0546134901</v>
      </c>
      <c r="G39" s="19">
        <v>5093818.7846388901</v>
      </c>
      <c r="H39" s="19">
        <v>364840.56967419299</v>
      </c>
      <c r="I39" s="19">
        <v>6436987.4079373898</v>
      </c>
      <c r="J39" s="19">
        <v>6249925.8013545396</v>
      </c>
      <c r="K39" s="19">
        <v>2488537.4583907099</v>
      </c>
      <c r="L39" s="19">
        <v>8811327.1266631093</v>
      </c>
      <c r="M39" s="19">
        <v>5416578.4359622402</v>
      </c>
      <c r="N39" s="19">
        <v>13092551.2328758</v>
      </c>
      <c r="O39" s="19">
        <v>6602747.3756686496</v>
      </c>
      <c r="P39" s="19">
        <v>4242624.0443470702</v>
      </c>
      <c r="Q39" s="19">
        <v>14297153.9563694</v>
      </c>
      <c r="R39" s="19">
        <v>20570210.4352994</v>
      </c>
      <c r="S39" s="19">
        <v>12597606.312720601</v>
      </c>
      <c r="T39" s="19">
        <v>9590467.50565698</v>
      </c>
      <c r="U39" s="19">
        <v>7295027.1000640998</v>
      </c>
      <c r="V39" s="19">
        <v>7663645.7644708296</v>
      </c>
      <c r="W39" s="19">
        <v>5381052.8415667396</v>
      </c>
      <c r="X39" s="19">
        <v>1960594.08092552</v>
      </c>
      <c r="Y39" s="19">
        <v>9787171.45932322</v>
      </c>
      <c r="Z39" s="19">
        <v>19032060.787423901</v>
      </c>
      <c r="AA39" s="19">
        <v>1872017.3346531701</v>
      </c>
      <c r="AB39" s="19">
        <v>30701715.880519599</v>
      </c>
      <c r="AC39" s="19">
        <v>2949098.61340047</v>
      </c>
      <c r="AD39" s="19">
        <v>2337898.0729335099</v>
      </c>
      <c r="AE39" s="19">
        <v>104688408.690953</v>
      </c>
      <c r="AF39" s="19">
        <v>66615980.037014998</v>
      </c>
      <c r="AG39" s="19">
        <v>112449320.143672</v>
      </c>
      <c r="AH39" s="19">
        <v>4074223.4112146799</v>
      </c>
      <c r="AI39" s="19">
        <v>19132082.7698179</v>
      </c>
      <c r="AJ39" s="19">
        <v>88119497.319638893</v>
      </c>
      <c r="AK39" s="19">
        <v>120667640.234183</v>
      </c>
      <c r="AL39" s="19">
        <v>66178193.697203703</v>
      </c>
      <c r="AM39" s="19">
        <v>2215790.5328792399</v>
      </c>
      <c r="AN39" s="19">
        <v>20409284.7257853</v>
      </c>
      <c r="AO39" s="19">
        <v>3820089.7894017198</v>
      </c>
      <c r="AP39" s="19">
        <v>14202032.2973217</v>
      </c>
      <c r="AQ39" s="19">
        <v>3588207.51262978</v>
      </c>
      <c r="AR39" s="19">
        <v>3870128.1601535399</v>
      </c>
      <c r="AS39" s="19">
        <v>24922671.979609702</v>
      </c>
      <c r="AT39" s="19">
        <v>887946743.45575595</v>
      </c>
      <c r="AU39" s="19">
        <v>42322847.945521198</v>
      </c>
      <c r="AV39" s="19">
        <v>257666069.66063899</v>
      </c>
      <c r="AW39" s="19">
        <v>299988917.606161</v>
      </c>
      <c r="AX39" s="19">
        <v>45102452.991895698</v>
      </c>
      <c r="AY39" s="19">
        <v>345091370.59805697</v>
      </c>
      <c r="AZ39" s="19">
        <v>0</v>
      </c>
      <c r="BA39" s="19">
        <v>0</v>
      </c>
      <c r="BB39" s="19">
        <v>0</v>
      </c>
      <c r="BC39" s="19">
        <v>6895161.3437699499</v>
      </c>
      <c r="BD39" s="19">
        <v>351986531.94182599</v>
      </c>
      <c r="BE39" s="19">
        <v>10563119.925339</v>
      </c>
      <c r="BF39" s="19">
        <v>1229370155.47224</v>
      </c>
      <c r="BH39">
        <f t="shared" si="0"/>
        <v>1233038114.053813</v>
      </c>
      <c r="BJ39">
        <f t="shared" si="1"/>
        <v>8.5667424266481339E-3</v>
      </c>
    </row>
    <row r="40" spans="1:62" x14ac:dyDescent="0.25">
      <c r="A40" s="100"/>
      <c r="B40" s="17" t="s">
        <v>49</v>
      </c>
      <c r="C40" s="20" t="s">
        <v>103</v>
      </c>
      <c r="D40" s="19">
        <v>20082.659692497</v>
      </c>
      <c r="E40" s="19">
        <v>154368.02123161001</v>
      </c>
      <c r="F40" s="19">
        <v>30567.8260411511</v>
      </c>
      <c r="G40" s="19">
        <v>19898.1266009709</v>
      </c>
      <c r="H40" s="19">
        <v>23226.7155544534</v>
      </c>
      <c r="I40" s="19">
        <v>368861.65740346297</v>
      </c>
      <c r="J40" s="19">
        <v>288885.35468097398</v>
      </c>
      <c r="K40" s="19">
        <v>231530.11877910901</v>
      </c>
      <c r="L40" s="19">
        <v>416231.79099395499</v>
      </c>
      <c r="M40" s="19">
        <v>11998.50796184</v>
      </c>
      <c r="N40" s="19">
        <v>162231.238773794</v>
      </c>
      <c r="O40" s="19">
        <v>83152.339185095101</v>
      </c>
      <c r="P40" s="19">
        <v>382335.98193726502</v>
      </c>
      <c r="Q40" s="19">
        <v>308749.03082849999</v>
      </c>
      <c r="R40" s="19">
        <v>13759.602691317399</v>
      </c>
      <c r="S40" s="19">
        <v>26366.781774939202</v>
      </c>
      <c r="T40" s="19">
        <v>274687.64752175601</v>
      </c>
      <c r="U40" s="19">
        <v>363253.37029321102</v>
      </c>
      <c r="V40" s="19">
        <v>219130.96665667699</v>
      </c>
      <c r="W40" s="19">
        <v>250810.52486964199</v>
      </c>
      <c r="X40" s="19">
        <v>146868.164765758</v>
      </c>
      <c r="Y40" s="19">
        <v>470907.96131708898</v>
      </c>
      <c r="Z40" s="19">
        <v>699524.37305979105</v>
      </c>
      <c r="AA40" s="19">
        <v>307943.65353746398</v>
      </c>
      <c r="AB40" s="19">
        <v>142396.25576479899</v>
      </c>
      <c r="AC40" s="19">
        <v>67003.995144613596</v>
      </c>
      <c r="AD40" s="19">
        <v>57196.021567538002</v>
      </c>
      <c r="AE40" s="19">
        <v>529996.06552817405</v>
      </c>
      <c r="AF40" s="19">
        <v>109562548.179287</v>
      </c>
      <c r="AG40" s="19">
        <v>15294260.5489939</v>
      </c>
      <c r="AH40" s="19">
        <v>18203225.337623</v>
      </c>
      <c r="AI40" s="19">
        <v>63369467.412171103</v>
      </c>
      <c r="AJ40" s="19">
        <v>74704849.541175306</v>
      </c>
      <c r="AK40" s="19">
        <v>44133548.918102302</v>
      </c>
      <c r="AL40" s="19">
        <v>58013520.616728298</v>
      </c>
      <c r="AM40" s="19">
        <v>3738744.5800551898</v>
      </c>
      <c r="AN40" s="19">
        <v>8758746.6943565309</v>
      </c>
      <c r="AO40" s="19">
        <v>30523399.633694999</v>
      </c>
      <c r="AP40" s="19">
        <v>21605085.831631999</v>
      </c>
      <c r="AQ40" s="19">
        <v>7425864.63189016</v>
      </c>
      <c r="AR40" s="19">
        <v>6106378.2433424303</v>
      </c>
      <c r="AS40" s="19">
        <v>16933128.687311999</v>
      </c>
      <c r="AT40" s="42">
        <v>484213203.49174303</v>
      </c>
      <c r="AU40" s="43">
        <v>106799901.48438001</v>
      </c>
      <c r="AV40" s="43">
        <v>442660375.35766399</v>
      </c>
      <c r="AW40" s="42">
        <v>549460276.842044</v>
      </c>
      <c r="AX40" s="43">
        <v>0</v>
      </c>
      <c r="AY40" s="42">
        <v>549460276.842044</v>
      </c>
      <c r="AZ40" s="43">
        <v>32960000</v>
      </c>
      <c r="BA40" s="43">
        <v>0</v>
      </c>
      <c r="BB40" s="42">
        <v>32960000</v>
      </c>
      <c r="BC40" s="43">
        <v>0</v>
      </c>
      <c r="BD40" s="61">
        <v>582420276.842044</v>
      </c>
      <c r="BE40" s="43">
        <v>0</v>
      </c>
      <c r="BF40" s="44">
        <v>1066633480.3337899</v>
      </c>
      <c r="BH40">
        <f t="shared" si="0"/>
        <v>1066633480.333787</v>
      </c>
      <c r="BJ40">
        <f t="shared" si="1"/>
        <v>0</v>
      </c>
    </row>
    <row r="41" spans="1:62" ht="21.6" x14ac:dyDescent="0.25">
      <c r="A41" s="100"/>
      <c r="B41" s="17" t="s">
        <v>50</v>
      </c>
      <c r="C41" s="20" t="s">
        <v>104</v>
      </c>
      <c r="D41" s="19">
        <v>3129882.2488734</v>
      </c>
      <c r="E41" s="19">
        <v>7849725.1383739896</v>
      </c>
      <c r="F41" s="19">
        <v>1555028.2144507901</v>
      </c>
      <c r="G41" s="19">
        <v>4119545.5737890298</v>
      </c>
      <c r="H41" s="19">
        <v>372693.72858292999</v>
      </c>
      <c r="I41" s="19">
        <v>29453725.832132298</v>
      </c>
      <c r="J41" s="19">
        <v>13137051.9205012</v>
      </c>
      <c r="K41" s="19">
        <v>3192072.9113833299</v>
      </c>
      <c r="L41" s="19">
        <v>13280152.6862859</v>
      </c>
      <c r="M41" s="19">
        <v>5462401.4564253297</v>
      </c>
      <c r="N41" s="19">
        <v>12564972.5615984</v>
      </c>
      <c r="O41" s="19">
        <v>17577354.936966401</v>
      </c>
      <c r="P41" s="19">
        <v>7884997.0104298303</v>
      </c>
      <c r="Q41" s="19">
        <v>12561166.321784901</v>
      </c>
      <c r="R41" s="19">
        <v>4776147.5989378104</v>
      </c>
      <c r="S41" s="19">
        <v>2689490.4995318698</v>
      </c>
      <c r="T41" s="19">
        <v>8356979.5537029998</v>
      </c>
      <c r="U41" s="19">
        <v>11688945.121528801</v>
      </c>
      <c r="V41" s="19">
        <v>10242614.5158324</v>
      </c>
      <c r="W41" s="19">
        <v>17330624.9111703</v>
      </c>
      <c r="X41" s="19">
        <v>2164350.08201198</v>
      </c>
      <c r="Y41" s="19">
        <v>13481919.167808199</v>
      </c>
      <c r="Z41" s="19">
        <v>20098279.286866501</v>
      </c>
      <c r="AA41" s="19">
        <v>1727034.3058073199</v>
      </c>
      <c r="AB41" s="19">
        <v>4572205.4078474399</v>
      </c>
      <c r="AC41" s="19">
        <v>1778231.98856279</v>
      </c>
      <c r="AD41" s="19">
        <v>496311.83405932301</v>
      </c>
      <c r="AE41" s="19">
        <v>52549966.346371099</v>
      </c>
      <c r="AF41" s="19">
        <v>159935089.74753299</v>
      </c>
      <c r="AG41" s="19">
        <v>36186483.1966158</v>
      </c>
      <c r="AH41" s="19">
        <v>8687960.0839802604</v>
      </c>
      <c r="AI41" s="19">
        <v>74215811.333413094</v>
      </c>
      <c r="AJ41" s="19">
        <v>77042668.512262002</v>
      </c>
      <c r="AK41" s="19">
        <v>65627876.7691359</v>
      </c>
      <c r="AL41" s="19">
        <v>104609027.14887901</v>
      </c>
      <c r="AM41" s="19">
        <v>8846749.5698839799</v>
      </c>
      <c r="AN41" s="19">
        <v>27453542.088415399</v>
      </c>
      <c r="AO41" s="19">
        <v>7215213.4638893995</v>
      </c>
      <c r="AP41" s="19">
        <v>5708290.1259355703</v>
      </c>
      <c r="AQ41" s="19">
        <v>2729915.7078018002</v>
      </c>
      <c r="AR41" s="19">
        <v>7213133.8737245798</v>
      </c>
      <c r="AS41" s="19">
        <v>28124552.034899201</v>
      </c>
      <c r="AT41" s="19">
        <v>894498111.90660298</v>
      </c>
      <c r="AU41" s="19">
        <v>1757638.98538596</v>
      </c>
      <c r="AV41" s="19">
        <v>34063051.8751361</v>
      </c>
      <c r="AW41" s="19">
        <v>35820690.860522099</v>
      </c>
      <c r="AX41" s="19">
        <v>22155634.737713002</v>
      </c>
      <c r="AY41" s="19">
        <v>57976325.598235101</v>
      </c>
      <c r="AZ41" s="19">
        <v>0</v>
      </c>
      <c r="BA41" s="19">
        <v>0</v>
      </c>
      <c r="BB41" s="19">
        <v>0</v>
      </c>
      <c r="BC41" s="19">
        <v>40525349.164613903</v>
      </c>
      <c r="BD41" s="19">
        <v>98501674.762849003</v>
      </c>
      <c r="BE41" s="19">
        <v>30437186.0607545</v>
      </c>
      <c r="BF41" s="19">
        <v>962562600.60869706</v>
      </c>
      <c r="BH41">
        <f t="shared" si="0"/>
        <v>952474437.50483811</v>
      </c>
      <c r="BJ41">
        <f t="shared" si="1"/>
        <v>3.1955908591614977E-2</v>
      </c>
    </row>
    <row r="42" spans="1:62" ht="21.6" x14ac:dyDescent="0.25">
      <c r="A42" s="100"/>
      <c r="B42" s="17" t="s">
        <v>51</v>
      </c>
      <c r="C42" s="20" t="s">
        <v>105</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860250.38824139803</v>
      </c>
      <c r="AN42" s="19">
        <v>0</v>
      </c>
      <c r="AO42" s="19">
        <v>0</v>
      </c>
      <c r="AP42" s="19">
        <v>0</v>
      </c>
      <c r="AQ42" s="19">
        <v>0</v>
      </c>
      <c r="AR42" s="19">
        <v>0</v>
      </c>
      <c r="AS42" s="19">
        <v>0</v>
      </c>
      <c r="AT42" s="42">
        <v>860250.38824139803</v>
      </c>
      <c r="AU42" s="43">
        <v>0</v>
      </c>
      <c r="AV42" s="43">
        <v>0</v>
      </c>
      <c r="AW42" s="42">
        <v>0</v>
      </c>
      <c r="AX42" s="43">
        <v>60926779.103685901</v>
      </c>
      <c r="AY42" s="42">
        <v>60926779.103685901</v>
      </c>
      <c r="AZ42" s="43">
        <v>187839985.89905101</v>
      </c>
      <c r="BA42" s="43">
        <v>0</v>
      </c>
      <c r="BB42" s="42">
        <v>187839985.89905101</v>
      </c>
      <c r="BC42" s="43">
        <v>9676778.9460403305</v>
      </c>
      <c r="BD42" s="61">
        <v>258443543.94877699</v>
      </c>
      <c r="BE42" s="43">
        <v>27747226.1777905</v>
      </c>
      <c r="BF42" s="44">
        <v>231556568.159228</v>
      </c>
      <c r="BH42">
        <f t="shared" si="0"/>
        <v>249627015.39097831</v>
      </c>
      <c r="BJ42">
        <f t="shared" si="1"/>
        <v>0.1111547407412271</v>
      </c>
    </row>
    <row r="43" spans="1:62" ht="21.6" x14ac:dyDescent="0.25">
      <c r="A43" s="100"/>
      <c r="B43" s="17" t="s">
        <v>52</v>
      </c>
      <c r="C43" s="20" t="s">
        <v>106</v>
      </c>
      <c r="D43" s="19">
        <v>8183686.4984879</v>
      </c>
      <c r="E43" s="19">
        <v>2051462.5413861801</v>
      </c>
      <c r="F43" s="19">
        <v>439977.22522319399</v>
      </c>
      <c r="G43" s="19">
        <v>2152967.3999973601</v>
      </c>
      <c r="H43" s="19">
        <v>231921.08252613299</v>
      </c>
      <c r="I43" s="19">
        <v>1676472.6376771899</v>
      </c>
      <c r="J43" s="19">
        <v>1471681.3707582799</v>
      </c>
      <c r="K43" s="19">
        <v>953469.34393643099</v>
      </c>
      <c r="L43" s="19">
        <v>2297490.7446818901</v>
      </c>
      <c r="M43" s="19">
        <v>231164.630889436</v>
      </c>
      <c r="N43" s="19">
        <v>7275667.2874377202</v>
      </c>
      <c r="O43" s="19">
        <v>1930217.26939713</v>
      </c>
      <c r="P43" s="19">
        <v>1274308.3404329901</v>
      </c>
      <c r="Q43" s="19">
        <v>2805612.4768574801</v>
      </c>
      <c r="R43" s="19">
        <v>2192418.97039587</v>
      </c>
      <c r="S43" s="19">
        <v>1092155.93932901</v>
      </c>
      <c r="T43" s="19">
        <v>2353821.5669880202</v>
      </c>
      <c r="U43" s="19">
        <v>2501260.76717408</v>
      </c>
      <c r="V43" s="19">
        <v>3941338.7136013</v>
      </c>
      <c r="W43" s="19">
        <v>7517546.71555347</v>
      </c>
      <c r="X43" s="19">
        <v>1917876.8857104699</v>
      </c>
      <c r="Y43" s="19">
        <v>3565826.6950027798</v>
      </c>
      <c r="Z43" s="19">
        <v>10154751.005095899</v>
      </c>
      <c r="AA43" s="19">
        <v>228523.154110395</v>
      </c>
      <c r="AB43" s="19">
        <v>3652469.7056428902</v>
      </c>
      <c r="AC43" s="19">
        <v>10048.662790447601</v>
      </c>
      <c r="AD43" s="19">
        <v>43760.738152455699</v>
      </c>
      <c r="AE43" s="19">
        <v>240915312.73825899</v>
      </c>
      <c r="AF43" s="19">
        <v>11282048.0261098</v>
      </c>
      <c r="AG43" s="19">
        <v>3801996.45327027</v>
      </c>
      <c r="AH43" s="19">
        <v>167826.700410252</v>
      </c>
      <c r="AI43" s="19">
        <v>3281325.0035332399</v>
      </c>
      <c r="AJ43" s="19">
        <v>841145.41304402298</v>
      </c>
      <c r="AK43" s="19">
        <v>886848.71732186596</v>
      </c>
      <c r="AL43" s="19">
        <v>123358.933337507</v>
      </c>
      <c r="AM43" s="19">
        <v>13591265.8409639</v>
      </c>
      <c r="AN43" s="19">
        <v>72827591.494632795</v>
      </c>
      <c r="AO43" s="19">
        <v>14101.0968310876</v>
      </c>
      <c r="AP43" s="19">
        <v>1373597.44737479</v>
      </c>
      <c r="AQ43" s="19">
        <v>250745.104060527</v>
      </c>
      <c r="AR43" s="19">
        <v>31778.2614969229</v>
      </c>
      <c r="AS43" s="19">
        <v>690117.10367164598</v>
      </c>
      <c r="AT43" s="19">
        <v>421273487.35961699</v>
      </c>
      <c r="AU43" s="19">
        <v>845712.72625391802</v>
      </c>
      <c r="AV43" s="19">
        <v>3554225.2271068501</v>
      </c>
      <c r="AW43" s="19">
        <v>4399937.9533607699</v>
      </c>
      <c r="AX43" s="19">
        <v>85393018.048174903</v>
      </c>
      <c r="AY43" s="19">
        <v>89792956.001535699</v>
      </c>
      <c r="AZ43" s="19">
        <v>8718585.0500000007</v>
      </c>
      <c r="BA43" s="19">
        <v>0</v>
      </c>
      <c r="BB43" s="19">
        <v>8718585.0500000007</v>
      </c>
      <c r="BC43" s="19">
        <v>1387.71592662749</v>
      </c>
      <c r="BD43" s="19">
        <v>98512928.767462298</v>
      </c>
      <c r="BE43" s="19">
        <v>546.59866212170198</v>
      </c>
      <c r="BF43" s="19">
        <v>519785869.52841699</v>
      </c>
      <c r="BH43">
        <f t="shared" si="0"/>
        <v>519785028.41115272</v>
      </c>
      <c r="BJ43">
        <f t="shared" si="1"/>
        <v>1.051586006223595E-6</v>
      </c>
    </row>
    <row r="44" spans="1:62" ht="32.4" x14ac:dyDescent="0.25">
      <c r="A44" s="100"/>
      <c r="B44" s="17" t="s">
        <v>53</v>
      </c>
      <c r="C44" s="18" t="s">
        <v>107</v>
      </c>
      <c r="D44" s="19">
        <v>1162397.39834427</v>
      </c>
      <c r="E44" s="19">
        <v>1569830.502662</v>
      </c>
      <c r="F44" s="19">
        <v>159386.41042071499</v>
      </c>
      <c r="G44" s="19">
        <v>318946.29647918901</v>
      </c>
      <c r="H44" s="19">
        <v>31443.2389671735</v>
      </c>
      <c r="I44" s="19">
        <v>1801970.03318312</v>
      </c>
      <c r="J44" s="19">
        <v>1266265.8232640999</v>
      </c>
      <c r="K44" s="19">
        <v>748904.04015807004</v>
      </c>
      <c r="L44" s="19">
        <v>1959896.55437019</v>
      </c>
      <c r="M44" s="19">
        <v>696299.77172118402</v>
      </c>
      <c r="N44" s="19">
        <v>1882933.6113621099</v>
      </c>
      <c r="O44" s="19">
        <v>1374331.9906798201</v>
      </c>
      <c r="P44" s="19">
        <v>1144520.54790092</v>
      </c>
      <c r="Q44" s="19">
        <v>2152188.0837502601</v>
      </c>
      <c r="R44" s="19">
        <v>1142727.12728802</v>
      </c>
      <c r="S44" s="19">
        <v>369600.17646541999</v>
      </c>
      <c r="T44" s="19">
        <v>1871053.2094211699</v>
      </c>
      <c r="U44" s="19">
        <v>2177435.0947761</v>
      </c>
      <c r="V44" s="19">
        <v>1440596.56517176</v>
      </c>
      <c r="W44" s="19">
        <v>3661165.3887218498</v>
      </c>
      <c r="X44" s="19">
        <v>475779.72318513901</v>
      </c>
      <c r="Y44" s="19">
        <v>2650589.9530470702</v>
      </c>
      <c r="Z44" s="19">
        <v>3183056.1609925302</v>
      </c>
      <c r="AA44" s="19">
        <v>353088.74108188797</v>
      </c>
      <c r="AB44" s="19">
        <v>2395782.91856207</v>
      </c>
      <c r="AC44" s="19">
        <v>247361.96540363299</v>
      </c>
      <c r="AD44" s="19">
        <v>377392.45383433398</v>
      </c>
      <c r="AE44" s="19">
        <v>18589278.348517202</v>
      </c>
      <c r="AF44" s="19">
        <v>10936817.248268301</v>
      </c>
      <c r="AG44" s="19">
        <v>17956064.926748902</v>
      </c>
      <c r="AH44" s="19">
        <v>2370048.7500258801</v>
      </c>
      <c r="AI44" s="19">
        <v>2165345.5165395201</v>
      </c>
      <c r="AJ44" s="19">
        <v>3686570.7058681101</v>
      </c>
      <c r="AK44" s="19">
        <v>1817217.87257167</v>
      </c>
      <c r="AL44" s="19">
        <v>7553140.62261423</v>
      </c>
      <c r="AM44" s="19">
        <v>3501305.2251438298</v>
      </c>
      <c r="AN44" s="19">
        <v>6088183.5300455596</v>
      </c>
      <c r="AO44" s="19">
        <v>5478387.8782970803</v>
      </c>
      <c r="AP44" s="19">
        <v>6387727.0345332203</v>
      </c>
      <c r="AQ44" s="19">
        <v>3728248.68452788</v>
      </c>
      <c r="AR44" s="19">
        <v>2160584.8214631998</v>
      </c>
      <c r="AS44" s="19">
        <v>21334218.202364098</v>
      </c>
      <c r="AT44" s="19">
        <v>149619179.108585</v>
      </c>
      <c r="AU44" s="19">
        <v>25532574.6362359</v>
      </c>
      <c r="AV44" s="19">
        <v>126223906.314163</v>
      </c>
      <c r="AW44" s="19">
        <v>151756480.95039901</v>
      </c>
      <c r="AX44" s="19">
        <v>0</v>
      </c>
      <c r="AY44" s="19">
        <v>151756480.95039901</v>
      </c>
      <c r="AZ44" s="19">
        <v>0</v>
      </c>
      <c r="BA44" s="19">
        <v>0</v>
      </c>
      <c r="BB44" s="19">
        <v>0</v>
      </c>
      <c r="BC44" s="19">
        <v>97675.720235379995</v>
      </c>
      <c r="BD44" s="19">
        <v>151854156.670634</v>
      </c>
      <c r="BE44" s="19">
        <v>1135747.05678996</v>
      </c>
      <c r="BF44" s="19">
        <v>300337588.72242898</v>
      </c>
      <c r="BH44">
        <f t="shared" si="0"/>
        <v>301375660.05898404</v>
      </c>
      <c r="BJ44">
        <f t="shared" si="1"/>
        <v>3.7685427435237341E-3</v>
      </c>
    </row>
    <row r="45" spans="1:62" x14ac:dyDescent="0.25">
      <c r="A45" s="100"/>
      <c r="B45" s="17" t="s">
        <v>54</v>
      </c>
      <c r="C45" s="18" t="s">
        <v>108</v>
      </c>
      <c r="D45" s="19">
        <v>167081.06331998101</v>
      </c>
      <c r="E45" s="19">
        <v>84289.854237092994</v>
      </c>
      <c r="F45" s="19">
        <v>10224.641401065899</v>
      </c>
      <c r="G45" s="19">
        <v>24879.367741705501</v>
      </c>
      <c r="H45" s="19">
        <v>2741.1637729004301</v>
      </c>
      <c r="I45" s="19">
        <v>142405.141809283</v>
      </c>
      <c r="J45" s="19">
        <v>107412.081915253</v>
      </c>
      <c r="K45" s="19">
        <v>64124.256356654798</v>
      </c>
      <c r="L45" s="19">
        <v>108319.73984558</v>
      </c>
      <c r="M45" s="19">
        <v>38711.843107244502</v>
      </c>
      <c r="N45" s="19">
        <v>101524.864179033</v>
      </c>
      <c r="O45" s="19">
        <v>107005.794391859</v>
      </c>
      <c r="P45" s="19">
        <v>53348.195398323602</v>
      </c>
      <c r="Q45" s="19">
        <v>126924.069557151</v>
      </c>
      <c r="R45" s="19">
        <v>33654.308581612502</v>
      </c>
      <c r="S45" s="19">
        <v>28190.028241189699</v>
      </c>
      <c r="T45" s="19">
        <v>113665.885247161</v>
      </c>
      <c r="U45" s="19">
        <v>153989.56078336501</v>
      </c>
      <c r="V45" s="19">
        <v>99155.720747533502</v>
      </c>
      <c r="W45" s="19">
        <v>104298.948935405</v>
      </c>
      <c r="X45" s="19">
        <v>28793.430408637301</v>
      </c>
      <c r="Y45" s="19">
        <v>91487.399886738101</v>
      </c>
      <c r="Z45" s="19">
        <v>136697.887802376</v>
      </c>
      <c r="AA45" s="19">
        <v>37989.488503676097</v>
      </c>
      <c r="AB45" s="19">
        <v>21622.444301002401</v>
      </c>
      <c r="AC45" s="19">
        <v>20627.188815816298</v>
      </c>
      <c r="AD45" s="19">
        <v>25220.108459746101</v>
      </c>
      <c r="AE45" s="19">
        <v>864553.12834388402</v>
      </c>
      <c r="AF45" s="19">
        <v>1556026.8212163199</v>
      </c>
      <c r="AG45" s="19">
        <v>1314848.2779828501</v>
      </c>
      <c r="AH45" s="19">
        <v>298521.32652886497</v>
      </c>
      <c r="AI45" s="19">
        <v>578304.51939634897</v>
      </c>
      <c r="AJ45" s="19">
        <v>3102120.9427249501</v>
      </c>
      <c r="AK45" s="19">
        <v>274596.44974074</v>
      </c>
      <c r="AL45" s="19">
        <v>576898.76788159704</v>
      </c>
      <c r="AM45" s="19">
        <v>142839.265608974</v>
      </c>
      <c r="AN45" s="19">
        <v>492632.15666866698</v>
      </c>
      <c r="AO45" s="19">
        <v>189130.321780453</v>
      </c>
      <c r="AP45" s="19">
        <v>7696008.6095650997</v>
      </c>
      <c r="AQ45" s="19">
        <v>792734.63606964098</v>
      </c>
      <c r="AR45" s="19">
        <v>245179.80757904201</v>
      </c>
      <c r="AS45" s="19">
        <v>7577069.9852550402</v>
      </c>
      <c r="AT45" s="42">
        <v>27671725.2377332</v>
      </c>
      <c r="AU45" s="43">
        <v>51147978.3054616</v>
      </c>
      <c r="AV45" s="43">
        <v>183950274.18251199</v>
      </c>
      <c r="AW45" s="42">
        <v>235098252.48797399</v>
      </c>
      <c r="AX45" s="43">
        <v>269717581.40908903</v>
      </c>
      <c r="AY45" s="42">
        <v>504815833.89706302</v>
      </c>
      <c r="AZ45" s="43">
        <v>0</v>
      </c>
      <c r="BA45" s="43">
        <v>0</v>
      </c>
      <c r="BB45" s="42">
        <v>0</v>
      </c>
      <c r="BC45" s="43">
        <v>0</v>
      </c>
      <c r="BD45" s="61">
        <v>504815833.89706302</v>
      </c>
      <c r="BE45" s="43">
        <v>0</v>
      </c>
      <c r="BF45" s="44">
        <v>532487559.13479602</v>
      </c>
      <c r="BH45">
        <f t="shared" si="0"/>
        <v>532487559.1347962</v>
      </c>
      <c r="BJ45">
        <f t="shared" si="1"/>
        <v>0</v>
      </c>
    </row>
    <row r="46" spans="1:62" ht="21.6" x14ac:dyDescent="0.25">
      <c r="A46" s="100"/>
      <c r="B46" s="17" t="s">
        <v>55</v>
      </c>
      <c r="C46" s="18" t="s">
        <v>109</v>
      </c>
      <c r="D46" s="19">
        <v>106215.237680217</v>
      </c>
      <c r="E46" s="19">
        <v>145358.06994113699</v>
      </c>
      <c r="F46" s="19">
        <v>13148.4182333425</v>
      </c>
      <c r="G46" s="19">
        <v>97022.232795075601</v>
      </c>
      <c r="H46" s="19">
        <v>0</v>
      </c>
      <c r="I46" s="19">
        <v>74031.800856356902</v>
      </c>
      <c r="J46" s="19">
        <v>124131.532760006</v>
      </c>
      <c r="K46" s="19">
        <v>48373.441422995304</v>
      </c>
      <c r="L46" s="19">
        <v>136284.37427054701</v>
      </c>
      <c r="M46" s="19">
        <v>838032.64446160104</v>
      </c>
      <c r="N46" s="19">
        <v>95879.754534086795</v>
      </c>
      <c r="O46" s="19">
        <v>62106.358939058096</v>
      </c>
      <c r="P46" s="19">
        <v>11596.239364290401</v>
      </c>
      <c r="Q46" s="19">
        <v>239737.57158259401</v>
      </c>
      <c r="R46" s="19">
        <v>295395.38169873803</v>
      </c>
      <c r="S46" s="19">
        <v>97498.299766050404</v>
      </c>
      <c r="T46" s="19">
        <v>270233.491610175</v>
      </c>
      <c r="U46" s="19">
        <v>412737.91321225301</v>
      </c>
      <c r="V46" s="19">
        <v>261703.144700056</v>
      </c>
      <c r="W46" s="19">
        <v>235573.381728295</v>
      </c>
      <c r="X46" s="19">
        <v>109811.424117341</v>
      </c>
      <c r="Y46" s="19">
        <v>307450.819624611</v>
      </c>
      <c r="Z46" s="19">
        <v>179407.08534904299</v>
      </c>
      <c r="AA46" s="19">
        <v>18328.046797860901</v>
      </c>
      <c r="AB46" s="19">
        <v>352667.83560781798</v>
      </c>
      <c r="AC46" s="19">
        <v>37394.683584889899</v>
      </c>
      <c r="AD46" s="19">
        <v>1848.0922850486199</v>
      </c>
      <c r="AE46" s="19">
        <v>1215493.8554378501</v>
      </c>
      <c r="AF46" s="19">
        <v>406174.54678361397</v>
      </c>
      <c r="AG46" s="19">
        <v>587224.05550180702</v>
      </c>
      <c r="AH46" s="19">
        <v>11028.5522628691</v>
      </c>
      <c r="AI46" s="19">
        <v>25143.2503734001</v>
      </c>
      <c r="AJ46" s="19">
        <v>276897.04805117298</v>
      </c>
      <c r="AK46" s="19">
        <v>2491.9250806641799</v>
      </c>
      <c r="AL46" s="19">
        <v>6425.4900946637299</v>
      </c>
      <c r="AM46" s="19">
        <v>19498.6720649739</v>
      </c>
      <c r="AN46" s="19">
        <v>42542.071286025603</v>
      </c>
      <c r="AO46" s="19">
        <v>73930.962060457401</v>
      </c>
      <c r="AP46" s="19">
        <v>205486.83568988601</v>
      </c>
      <c r="AQ46" s="19">
        <v>2877366.5264608702</v>
      </c>
      <c r="AR46" s="19">
        <v>50119.284817291198</v>
      </c>
      <c r="AS46" s="19">
        <v>2428769.2972212601</v>
      </c>
      <c r="AT46" s="19">
        <v>12752186.2086873</v>
      </c>
      <c r="AU46" s="19">
        <v>42485967.983507901</v>
      </c>
      <c r="AV46" s="19">
        <v>129168822.75693101</v>
      </c>
      <c r="AW46" s="19">
        <v>171654790.740439</v>
      </c>
      <c r="AX46" s="19">
        <v>316703292.12673497</v>
      </c>
      <c r="AY46" s="19">
        <v>488358082.86717498</v>
      </c>
      <c r="AZ46" s="19">
        <v>0</v>
      </c>
      <c r="BA46" s="19">
        <v>0</v>
      </c>
      <c r="BB46" s="19">
        <v>0</v>
      </c>
      <c r="BC46" s="19">
        <v>156974.417010226</v>
      </c>
      <c r="BD46" s="19">
        <v>488515057.28418499</v>
      </c>
      <c r="BE46" s="19">
        <v>1195045.7535647999</v>
      </c>
      <c r="BF46" s="19">
        <v>500072197.73930699</v>
      </c>
      <c r="BH46">
        <f t="shared" si="0"/>
        <v>501110269.07586229</v>
      </c>
      <c r="BJ46">
        <f t="shared" si="1"/>
        <v>2.3847959766793042E-3</v>
      </c>
    </row>
    <row r="47" spans="1:62" ht="21.6" x14ac:dyDescent="0.25">
      <c r="A47" s="101"/>
      <c r="B47" s="17" t="s">
        <v>56</v>
      </c>
      <c r="C47" s="18" t="s">
        <v>110</v>
      </c>
      <c r="D47" s="19">
        <v>101045.02514810501</v>
      </c>
      <c r="E47" s="19">
        <v>272786.24574653298</v>
      </c>
      <c r="F47" s="19">
        <v>124921.03606311799</v>
      </c>
      <c r="G47" s="19">
        <v>173463.23050387</v>
      </c>
      <c r="H47" s="19">
        <v>14812.9162275039</v>
      </c>
      <c r="I47" s="19">
        <v>892690.76597648195</v>
      </c>
      <c r="J47" s="19">
        <v>884858.03298067697</v>
      </c>
      <c r="K47" s="19">
        <v>293822.58571970498</v>
      </c>
      <c r="L47" s="19">
        <v>602336.95172100305</v>
      </c>
      <c r="M47" s="19">
        <v>314077.591861205</v>
      </c>
      <c r="N47" s="19">
        <v>651094.05702456005</v>
      </c>
      <c r="O47" s="19">
        <v>589693.41626355704</v>
      </c>
      <c r="P47" s="19">
        <v>512136.73889198498</v>
      </c>
      <c r="Q47" s="19">
        <v>908100.80465258402</v>
      </c>
      <c r="R47" s="19">
        <v>616659.72771512298</v>
      </c>
      <c r="S47" s="19">
        <v>354148.93016056699</v>
      </c>
      <c r="T47" s="19">
        <v>453650.45673186501</v>
      </c>
      <c r="U47" s="19">
        <v>1050252.89346804</v>
      </c>
      <c r="V47" s="19">
        <v>537971.46867107402</v>
      </c>
      <c r="W47" s="19">
        <v>1486140.9349438499</v>
      </c>
      <c r="X47" s="19">
        <v>118962.458864416</v>
      </c>
      <c r="Y47" s="19">
        <v>840454.18709472299</v>
      </c>
      <c r="Z47" s="19">
        <v>1170344.7401956799</v>
      </c>
      <c r="AA47" s="19">
        <v>133269.637445689</v>
      </c>
      <c r="AB47" s="19">
        <v>1003080.19417144</v>
      </c>
      <c r="AC47" s="19">
        <v>100502.293601321</v>
      </c>
      <c r="AD47" s="19">
        <v>133827.511142723</v>
      </c>
      <c r="AE47" s="19">
        <v>2820755.1566284001</v>
      </c>
      <c r="AF47" s="19">
        <v>1726967.78773693</v>
      </c>
      <c r="AG47" s="19">
        <v>2556352.1957594301</v>
      </c>
      <c r="AH47" s="19">
        <v>673854.67137308198</v>
      </c>
      <c r="AI47" s="19">
        <v>3618427.7880632998</v>
      </c>
      <c r="AJ47" s="19">
        <v>10689187.563694401</v>
      </c>
      <c r="AK47" s="19">
        <v>1317653.5526413701</v>
      </c>
      <c r="AL47" s="19">
        <v>3954591.75091724</v>
      </c>
      <c r="AM47" s="19">
        <v>1136981.26714152</v>
      </c>
      <c r="AN47" s="19">
        <v>1310351.5431092801</v>
      </c>
      <c r="AO47" s="19">
        <v>1135591.42365731</v>
      </c>
      <c r="AP47" s="19">
        <v>2393374.7948408402</v>
      </c>
      <c r="AQ47" s="19">
        <v>320154.61876981898</v>
      </c>
      <c r="AR47" s="19">
        <v>9232824.9229271002</v>
      </c>
      <c r="AS47" s="19">
        <v>7009132.01954374</v>
      </c>
      <c r="AT47" s="19">
        <v>63937483.304071501</v>
      </c>
      <c r="AU47" s="19">
        <v>6949619.4697179999</v>
      </c>
      <c r="AV47" s="19">
        <v>46077777.730733201</v>
      </c>
      <c r="AW47" s="19">
        <v>53027397.2004513</v>
      </c>
      <c r="AX47" s="19">
        <v>42038587.777548403</v>
      </c>
      <c r="AY47" s="19">
        <v>95065984.977999702</v>
      </c>
      <c r="AZ47" s="19">
        <v>5234595.2386050001</v>
      </c>
      <c r="BA47" s="19">
        <v>0</v>
      </c>
      <c r="BB47" s="19">
        <v>5234595.2386050001</v>
      </c>
      <c r="BC47" s="19">
        <v>2845384.0510386499</v>
      </c>
      <c r="BD47" s="19">
        <v>103145964.267643</v>
      </c>
      <c r="BE47" s="19">
        <v>11240037.806422999</v>
      </c>
      <c r="BF47" s="19">
        <v>155843409.76529199</v>
      </c>
      <c r="BH47">
        <f t="shared" si="0"/>
        <v>164238063.5206762</v>
      </c>
      <c r="BJ47">
        <f t="shared" si="1"/>
        <v>6.8437471591401053E-2</v>
      </c>
    </row>
    <row r="48" spans="1:62" ht="64.8" x14ac:dyDescent="0.25">
      <c r="A48" s="101"/>
      <c r="B48" s="21" t="s">
        <v>57</v>
      </c>
      <c r="C48" s="22" t="s">
        <v>111</v>
      </c>
      <c r="D48" s="19">
        <v>2218338.16994897</v>
      </c>
      <c r="E48" s="19">
        <v>170589.800633999</v>
      </c>
      <c r="F48" s="19">
        <v>68564.346294652496</v>
      </c>
      <c r="G48" s="19">
        <v>381286.092953121</v>
      </c>
      <c r="H48" s="19">
        <v>6404.45782702217</v>
      </c>
      <c r="I48" s="19">
        <v>744385.28616053297</v>
      </c>
      <c r="J48" s="19">
        <v>1061636.42096733</v>
      </c>
      <c r="K48" s="19">
        <v>206439.772357999</v>
      </c>
      <c r="L48" s="19">
        <v>1142978.60926435</v>
      </c>
      <c r="M48" s="19">
        <v>311356.10523940402</v>
      </c>
      <c r="N48" s="19">
        <v>791949.19199301605</v>
      </c>
      <c r="O48" s="19">
        <v>435720.76876894699</v>
      </c>
      <c r="P48" s="19">
        <v>309871.61828668701</v>
      </c>
      <c r="Q48" s="19">
        <v>856417.18560591305</v>
      </c>
      <c r="R48" s="19">
        <v>784447.27819461201</v>
      </c>
      <c r="S48" s="19">
        <v>306087.66247642698</v>
      </c>
      <c r="T48" s="19">
        <v>464907.68478573702</v>
      </c>
      <c r="U48" s="19">
        <v>572919.98814629402</v>
      </c>
      <c r="V48" s="19">
        <v>527225.18052168202</v>
      </c>
      <c r="W48" s="19">
        <v>475969.02719961503</v>
      </c>
      <c r="X48" s="19">
        <v>150409.71021635999</v>
      </c>
      <c r="Y48" s="19">
        <v>491132.18928094301</v>
      </c>
      <c r="Z48" s="19">
        <v>693755.09776254999</v>
      </c>
      <c r="AA48" s="19">
        <v>255387.07343101999</v>
      </c>
      <c r="AB48" s="19">
        <v>2290386.2312107701</v>
      </c>
      <c r="AC48" s="19">
        <v>42898.682570969402</v>
      </c>
      <c r="AD48" s="19">
        <v>2249050.71523877</v>
      </c>
      <c r="AE48" s="19">
        <v>1559132.3260945501</v>
      </c>
      <c r="AF48" s="19">
        <v>2371629.7879335298</v>
      </c>
      <c r="AG48" s="19">
        <v>2600955.7611404499</v>
      </c>
      <c r="AH48" s="19">
        <v>438174.50092017598</v>
      </c>
      <c r="AI48" s="19">
        <v>1620394.8104171399</v>
      </c>
      <c r="AJ48" s="19">
        <v>2570161.0492694802</v>
      </c>
      <c r="AK48" s="19">
        <v>1739467.0457202799</v>
      </c>
      <c r="AL48" s="19">
        <v>5069918.3359142998</v>
      </c>
      <c r="AM48" s="19">
        <v>882539.290159881</v>
      </c>
      <c r="AN48" s="19">
        <v>1181929.4120684301</v>
      </c>
      <c r="AO48" s="19">
        <v>698723.42318731395</v>
      </c>
      <c r="AP48" s="19">
        <v>1484594.00087425</v>
      </c>
      <c r="AQ48" s="19">
        <v>564644.29917350505</v>
      </c>
      <c r="AR48" s="19">
        <v>505031.57338165899</v>
      </c>
      <c r="AS48" s="19">
        <v>26343336.572392602</v>
      </c>
      <c r="AT48" s="19">
        <v>67434706.763627201</v>
      </c>
      <c r="AU48" s="19">
        <v>1372114.9414001999</v>
      </c>
      <c r="AV48" s="19">
        <v>10228084.0427323</v>
      </c>
      <c r="AW48" s="19">
        <v>11600198.9841325</v>
      </c>
      <c r="AX48" s="19">
        <v>831789109.69228995</v>
      </c>
      <c r="AY48" s="19">
        <v>843389308.67642295</v>
      </c>
      <c r="AZ48" s="19">
        <v>0</v>
      </c>
      <c r="BA48" s="19">
        <v>0</v>
      </c>
      <c r="BB48" s="19">
        <v>0</v>
      </c>
      <c r="BC48" s="19">
        <v>2027457.97120951</v>
      </c>
      <c r="BD48" s="19">
        <v>845416766.647632</v>
      </c>
      <c r="BE48" s="19">
        <v>5145286.0546714598</v>
      </c>
      <c r="BF48" s="19">
        <v>907706187.35658896</v>
      </c>
      <c r="BH48">
        <f t="shared" si="0"/>
        <v>910824015.44005013</v>
      </c>
      <c r="BJ48">
        <f t="shared" si="1"/>
        <v>5.6490452243791543E-3</v>
      </c>
    </row>
    <row r="49" spans="1:62" ht="21.6" x14ac:dyDescent="0.25">
      <c r="A49" s="102"/>
      <c r="B49" s="23" t="s">
        <v>125</v>
      </c>
      <c r="C49" s="24" t="s">
        <v>126</v>
      </c>
      <c r="D49" s="19">
        <v>509936007.83290499</v>
      </c>
      <c r="E49" s="25">
        <v>115074114.182427</v>
      </c>
      <c r="F49" s="25">
        <v>39965777.405821703</v>
      </c>
      <c r="G49" s="19">
        <v>89225006.090691999</v>
      </c>
      <c r="H49" s="25">
        <v>11697851.3445873</v>
      </c>
      <c r="I49" s="19">
        <v>944349112.04855895</v>
      </c>
      <c r="J49" s="19">
        <v>612910570.17605805</v>
      </c>
      <c r="K49" s="19">
        <v>209811561.58664599</v>
      </c>
      <c r="L49" s="19">
        <v>532655360.11431199</v>
      </c>
      <c r="M49" s="19">
        <v>308742520.01074702</v>
      </c>
      <c r="N49" s="19">
        <v>657082874.06989598</v>
      </c>
      <c r="O49" s="25">
        <v>214220106.74311599</v>
      </c>
      <c r="P49" s="19">
        <v>271752322.20946503</v>
      </c>
      <c r="Q49" s="19">
        <v>502451885.34110802</v>
      </c>
      <c r="R49" s="19">
        <v>527215627.05245101</v>
      </c>
      <c r="S49" s="19">
        <v>405092577.33342397</v>
      </c>
      <c r="T49" s="25">
        <v>392283911.70928401</v>
      </c>
      <c r="U49" s="19">
        <v>408823033.829274</v>
      </c>
      <c r="V49" s="19">
        <v>289399787.58034599</v>
      </c>
      <c r="W49" s="19">
        <v>560981019.69476998</v>
      </c>
      <c r="X49" s="19">
        <v>123772340.76138601</v>
      </c>
      <c r="Y49" s="19">
        <v>576339416.35805202</v>
      </c>
      <c r="Z49" s="19">
        <v>997209171.28219903</v>
      </c>
      <c r="AA49" s="19">
        <v>67374684.173955798</v>
      </c>
      <c r="AB49" s="25">
        <v>481153559.47209102</v>
      </c>
      <c r="AC49" s="25">
        <v>61699158.676141098</v>
      </c>
      <c r="AD49" s="25">
        <v>20179486.0771177</v>
      </c>
      <c r="AE49" s="19">
        <v>2140212041.6698599</v>
      </c>
      <c r="AF49" s="19">
        <v>544911283.67056894</v>
      </c>
      <c r="AG49" s="19">
        <v>742396331.70950198</v>
      </c>
      <c r="AH49" s="19">
        <v>286469176.51749498</v>
      </c>
      <c r="AI49" s="19">
        <v>517228345.932208</v>
      </c>
      <c r="AJ49" s="19">
        <v>393198764.34313899</v>
      </c>
      <c r="AK49" s="25">
        <v>296965938.19792998</v>
      </c>
      <c r="AL49" s="19">
        <v>644035496.54548001</v>
      </c>
      <c r="AM49" s="25">
        <v>135629401.96656099</v>
      </c>
      <c r="AN49" s="19">
        <v>334643313.50259602</v>
      </c>
      <c r="AO49" s="19">
        <v>143060914.191484</v>
      </c>
      <c r="AP49" s="25">
        <v>159195396.710307</v>
      </c>
      <c r="AQ49" s="19">
        <v>291866517.47499102</v>
      </c>
      <c r="AR49" s="19">
        <v>77833015.035403907</v>
      </c>
      <c r="AS49" s="19">
        <v>396824813.745969</v>
      </c>
      <c r="AT49" s="25">
        <v>16826058032.783701</v>
      </c>
      <c r="AU49" s="25">
        <v>816642871.61719298</v>
      </c>
      <c r="AV49" s="25">
        <v>3023440277.9689298</v>
      </c>
      <c r="AW49" s="25">
        <v>3840083149.5861201</v>
      </c>
      <c r="AX49" s="25">
        <v>1736253794.41957</v>
      </c>
      <c r="AY49" s="25">
        <v>5576336944.0056896</v>
      </c>
      <c r="AZ49" s="25">
        <v>4243704003.37183</v>
      </c>
      <c r="BA49" s="25">
        <v>91509937.677221596</v>
      </c>
      <c r="BB49" s="25">
        <v>4335213941.0490599</v>
      </c>
      <c r="BC49" s="25">
        <v>1879260657.23314</v>
      </c>
      <c r="BD49" s="25">
        <v>11790811542.287901</v>
      </c>
      <c r="BE49" s="25">
        <v>1626591529.6393001</v>
      </c>
      <c r="BF49" s="74">
        <v>26990278045.432301</v>
      </c>
    </row>
    <row r="50" spans="1:62" x14ac:dyDescent="0.25">
      <c r="A50" s="103" t="s">
        <v>127</v>
      </c>
      <c r="B50" s="26" t="s">
        <v>128</v>
      </c>
      <c r="C50" s="27" t="s">
        <v>129</v>
      </c>
      <c r="D50" s="19">
        <v>821109376.63205099</v>
      </c>
      <c r="E50" s="19">
        <v>49156975.956210703</v>
      </c>
      <c r="F50" s="19">
        <v>10684586.807827801</v>
      </c>
      <c r="G50" s="19">
        <v>34146732.260801703</v>
      </c>
      <c r="H50" s="19">
        <v>9070894.7857753504</v>
      </c>
      <c r="I50" s="19">
        <v>92288059.905675799</v>
      </c>
      <c r="J50" s="19">
        <v>78070178.610044703</v>
      </c>
      <c r="K50" s="19">
        <v>25339700.688776899</v>
      </c>
      <c r="L50" s="19">
        <v>70607744.963608101</v>
      </c>
      <c r="M50" s="19">
        <v>12815275.321341099</v>
      </c>
      <c r="N50" s="19">
        <v>47509590.242770404</v>
      </c>
      <c r="O50" s="19">
        <v>30588660.7146926</v>
      </c>
      <c r="P50" s="19">
        <v>35944267.486501202</v>
      </c>
      <c r="Q50" s="19">
        <v>74959951.978375494</v>
      </c>
      <c r="R50" s="19">
        <v>39116758.517672099</v>
      </c>
      <c r="S50" s="19">
        <v>35418933.993041903</v>
      </c>
      <c r="T50" s="19">
        <v>57488356.150157198</v>
      </c>
      <c r="U50" s="19">
        <v>46988959.725912601</v>
      </c>
      <c r="V50" s="19">
        <v>51031136.414665803</v>
      </c>
      <c r="W50" s="19">
        <v>36758514.018456601</v>
      </c>
      <c r="X50" s="19">
        <v>17700419.379848599</v>
      </c>
      <c r="Y50" s="19">
        <v>47111753.584501401</v>
      </c>
      <c r="Z50" s="19">
        <v>100330129.04252701</v>
      </c>
      <c r="AA50" s="19">
        <v>25541967.525668599</v>
      </c>
      <c r="AB50" s="19">
        <v>61395231.162410103</v>
      </c>
      <c r="AC50" s="19">
        <v>7256304.22228311</v>
      </c>
      <c r="AD50" s="19">
        <v>8632889.7918775491</v>
      </c>
      <c r="AE50" s="19">
        <v>469645429.01066202</v>
      </c>
      <c r="AF50" s="19">
        <v>519792503.26379198</v>
      </c>
      <c r="AG50" s="19">
        <v>230523925.74021101</v>
      </c>
      <c r="AH50" s="19">
        <v>85067117.100898802</v>
      </c>
      <c r="AI50" s="19">
        <v>206973736.679317</v>
      </c>
      <c r="AJ50" s="19">
        <v>215281976.520711</v>
      </c>
      <c r="AK50" s="19">
        <v>192733122.55735001</v>
      </c>
      <c r="AL50" s="19">
        <v>252757212.79392499</v>
      </c>
      <c r="AM50" s="19">
        <v>65841576.822612002</v>
      </c>
      <c r="AN50" s="19">
        <v>115418456.21231601</v>
      </c>
      <c r="AO50" s="19">
        <v>127689767.85801201</v>
      </c>
      <c r="AP50" s="19">
        <v>281650493.11452001</v>
      </c>
      <c r="AQ50" s="19">
        <v>171783188.52536699</v>
      </c>
      <c r="AR50" s="19">
        <v>51172539.734950997</v>
      </c>
      <c r="AS50" s="19">
        <v>407600705.01487601</v>
      </c>
      <c r="AT50" s="44">
        <v>5295655400.1442204</v>
      </c>
      <c r="AU50" s="45"/>
      <c r="AV50" s="45"/>
      <c r="AW50" s="62"/>
      <c r="AX50" s="45"/>
      <c r="AY50" s="62"/>
      <c r="AZ50" s="45"/>
      <c r="BA50" s="45"/>
      <c r="BB50" s="62"/>
      <c r="BC50" s="45"/>
      <c r="BD50" s="63"/>
      <c r="BE50" s="45"/>
      <c r="BF50" s="45"/>
    </row>
    <row r="51" spans="1:62" x14ac:dyDescent="0.25">
      <c r="A51" s="104"/>
      <c r="B51" s="26" t="s">
        <v>130</v>
      </c>
      <c r="C51" s="28" t="s">
        <v>131</v>
      </c>
      <c r="D51" s="19">
        <v>-45528240.6524828</v>
      </c>
      <c r="E51" s="19">
        <v>23728883.970035002</v>
      </c>
      <c r="F51" s="19">
        <v>26393586.367127001</v>
      </c>
      <c r="G51" s="19">
        <v>29203561.313999999</v>
      </c>
      <c r="H51" s="19">
        <v>1127941.29772883</v>
      </c>
      <c r="I51" s="19">
        <v>82927929.567150205</v>
      </c>
      <c r="J51" s="19">
        <v>1055456.5261335</v>
      </c>
      <c r="K51" s="19">
        <v>5439494.6023760298</v>
      </c>
      <c r="L51" s="19">
        <v>11735859.5567258</v>
      </c>
      <c r="M51" s="19">
        <v>49155195.521414101</v>
      </c>
      <c r="N51" s="19">
        <v>37768625.129487202</v>
      </c>
      <c r="O51" s="19">
        <v>11543781.6746586</v>
      </c>
      <c r="P51" s="19">
        <v>9432919.72683331</v>
      </c>
      <c r="Q51" s="19">
        <v>23472866.7779206</v>
      </c>
      <c r="R51" s="19">
        <v>16809803.985219501</v>
      </c>
      <c r="S51" s="19">
        <v>20103752.8548938</v>
      </c>
      <c r="T51" s="19">
        <v>11219546.986150701</v>
      </c>
      <c r="U51" s="19">
        <v>16723537.968313601</v>
      </c>
      <c r="V51" s="19">
        <v>14548976.722464001</v>
      </c>
      <c r="W51" s="19">
        <v>41488605.881302997</v>
      </c>
      <c r="X51" s="19">
        <v>2028721.9790923099</v>
      </c>
      <c r="Y51" s="19">
        <v>4541468.4707145998</v>
      </c>
      <c r="Z51" s="19">
        <v>-3678836.27294552</v>
      </c>
      <c r="AA51" s="19">
        <v>13432368.474347601</v>
      </c>
      <c r="AB51" s="19">
        <v>20698377.631525099</v>
      </c>
      <c r="AC51" s="19">
        <v>1010550.4523641299</v>
      </c>
      <c r="AD51" s="19">
        <v>1860447.1837464201</v>
      </c>
      <c r="AE51" s="19">
        <v>98116385.596828699</v>
      </c>
      <c r="AF51" s="19">
        <v>95383190.280476794</v>
      </c>
      <c r="AG51" s="19">
        <v>8513567.4421984609</v>
      </c>
      <c r="AH51" s="19">
        <v>1360038.6625977701</v>
      </c>
      <c r="AI51" s="19">
        <v>13092894.4785477</v>
      </c>
      <c r="AJ51" s="19">
        <v>82718115.887338698</v>
      </c>
      <c r="AK51" s="19">
        <v>123442718.311865</v>
      </c>
      <c r="AL51" s="19">
        <v>27690530.6917165</v>
      </c>
      <c r="AM51" s="19">
        <v>1588413.5683403399</v>
      </c>
      <c r="AN51" s="19">
        <v>11715874.608684899</v>
      </c>
      <c r="AO51" s="19">
        <v>5023484.24607627</v>
      </c>
      <c r="AP51" s="19">
        <v>625840.58906758903</v>
      </c>
      <c r="AQ51" s="19">
        <v>119102.009382813</v>
      </c>
      <c r="AR51" s="19">
        <v>1590021.0493161599</v>
      </c>
      <c r="AS51" s="19">
        <v>2016363.5215086001</v>
      </c>
      <c r="AT51" s="44">
        <v>895802230.037866</v>
      </c>
      <c r="AU51" s="46"/>
      <c r="AV51" s="46"/>
      <c r="AW51" s="64"/>
      <c r="AX51" s="46"/>
      <c r="AY51" s="64"/>
      <c r="AZ51" s="46"/>
      <c r="BA51" s="46"/>
      <c r="BB51" s="64"/>
      <c r="BC51" s="46"/>
      <c r="BD51" s="65"/>
      <c r="BE51" s="46"/>
      <c r="BF51" s="46"/>
    </row>
    <row r="52" spans="1:62" ht="21.6" x14ac:dyDescent="0.25">
      <c r="A52" s="104"/>
      <c r="B52" s="26" t="s">
        <v>132</v>
      </c>
      <c r="C52" s="28" t="s">
        <v>133</v>
      </c>
      <c r="D52" s="19">
        <v>23048579.701509301</v>
      </c>
      <c r="E52" s="19">
        <v>11857466.9359743</v>
      </c>
      <c r="F52" s="19">
        <v>23934531.664067499</v>
      </c>
      <c r="G52" s="19">
        <v>14045534.8444722</v>
      </c>
      <c r="H52" s="19">
        <v>881427.48909159401</v>
      </c>
      <c r="I52" s="19">
        <v>30616039.479662899</v>
      </c>
      <c r="J52" s="19">
        <v>17159912.398409501</v>
      </c>
      <c r="K52" s="19">
        <v>7115541.1852337504</v>
      </c>
      <c r="L52" s="19">
        <v>23476685.1205348</v>
      </c>
      <c r="M52" s="19">
        <v>11540322.9497796</v>
      </c>
      <c r="N52" s="19">
        <v>37261752.784207501</v>
      </c>
      <c r="O52" s="19">
        <v>7442373.4576655598</v>
      </c>
      <c r="P52" s="19">
        <v>13681348.159869701</v>
      </c>
      <c r="Q52" s="19">
        <v>36252424.842486702</v>
      </c>
      <c r="R52" s="19">
        <v>31732255.920472398</v>
      </c>
      <c r="S52" s="19">
        <v>20256127.164829802</v>
      </c>
      <c r="T52" s="19">
        <v>17451919.758611701</v>
      </c>
      <c r="U52" s="19">
        <v>16689439.146307001</v>
      </c>
      <c r="V52" s="19">
        <v>12133972.5831076</v>
      </c>
      <c r="W52" s="19">
        <v>15404029.9075229</v>
      </c>
      <c r="X52" s="19">
        <v>3816835.0280198702</v>
      </c>
      <c r="Y52" s="19">
        <v>15983410.4130126</v>
      </c>
      <c r="Z52" s="19">
        <v>35286959.999098003</v>
      </c>
      <c r="AA52" s="19">
        <v>6722131.4276251802</v>
      </c>
      <c r="AB52" s="19">
        <v>97784316.348265097</v>
      </c>
      <c r="AC52" s="19">
        <v>5463403.9663039697</v>
      </c>
      <c r="AD52" s="19">
        <v>6900167.0847543897</v>
      </c>
      <c r="AE52" s="19">
        <v>27714363.679958399</v>
      </c>
      <c r="AF52" s="19">
        <v>118467134.625324</v>
      </c>
      <c r="AG52" s="19">
        <v>200221941.68550199</v>
      </c>
      <c r="AH52" s="19">
        <v>46183808.013787799</v>
      </c>
      <c r="AI52" s="19">
        <v>126694176.647774</v>
      </c>
      <c r="AJ52" s="19">
        <v>36197643.623248503</v>
      </c>
      <c r="AK52" s="19">
        <v>70284261.245119199</v>
      </c>
      <c r="AL52" s="19">
        <v>35220354.322564296</v>
      </c>
      <c r="AM52" s="19">
        <v>20894697.107667901</v>
      </c>
      <c r="AN52" s="19">
        <v>47257245.823209397</v>
      </c>
      <c r="AO52" s="19">
        <v>18811000.584729899</v>
      </c>
      <c r="AP52" s="19">
        <v>77784703.209432706</v>
      </c>
      <c r="AQ52" s="19">
        <v>31476065.1203941</v>
      </c>
      <c r="AR52" s="19">
        <v>19443051.9030816</v>
      </c>
      <c r="AS52" s="19">
        <v>92345943.103720903</v>
      </c>
      <c r="AT52" s="44">
        <v>1505819759.2711799</v>
      </c>
      <c r="AU52" s="46"/>
      <c r="AV52" s="46"/>
      <c r="AW52" s="64"/>
      <c r="AX52" s="46"/>
      <c r="AY52" s="64"/>
      <c r="AZ52" s="46"/>
      <c r="BA52" s="46"/>
      <c r="BB52" s="64"/>
      <c r="BC52" s="46"/>
      <c r="BD52" s="66"/>
      <c r="BE52" s="46"/>
      <c r="BF52" s="46"/>
    </row>
    <row r="53" spans="1:62" x14ac:dyDescent="0.25">
      <c r="A53" s="104"/>
      <c r="B53" s="26" t="s">
        <v>134</v>
      </c>
      <c r="C53" s="28" t="s">
        <v>135</v>
      </c>
      <c r="D53" s="19">
        <v>23117526.7569887</v>
      </c>
      <c r="E53" s="19">
        <v>35255170.9583124</v>
      </c>
      <c r="F53" s="19">
        <v>6711085.0313259903</v>
      </c>
      <c r="G53" s="19">
        <v>26913764.728313699</v>
      </c>
      <c r="H53" s="19">
        <v>-2541340.4945982499</v>
      </c>
      <c r="I53" s="19">
        <v>101181657.170058</v>
      </c>
      <c r="J53" s="19">
        <v>48190809.103463501</v>
      </c>
      <c r="K53" s="19">
        <v>17706881.846517999</v>
      </c>
      <c r="L53" s="19">
        <v>55330296.5377042</v>
      </c>
      <c r="M53" s="19">
        <v>27079970.671574298</v>
      </c>
      <c r="N53" s="19">
        <v>75473750.700666696</v>
      </c>
      <c r="O53" s="19">
        <v>36261214.213117696</v>
      </c>
      <c r="P53" s="19">
        <v>27380721.776728999</v>
      </c>
      <c r="Q53" s="19">
        <v>95894757.611015007</v>
      </c>
      <c r="R53" s="19">
        <v>68635495.434864804</v>
      </c>
      <c r="S53" s="19">
        <v>43798631.409793504</v>
      </c>
      <c r="T53" s="19">
        <v>41037939.512259103</v>
      </c>
      <c r="U53" s="19">
        <v>43686015.758966699</v>
      </c>
      <c r="V53" s="19">
        <v>20237210.504032802</v>
      </c>
      <c r="W53" s="19">
        <v>51825291.161202297</v>
      </c>
      <c r="X53" s="19">
        <v>8695606.8842817899</v>
      </c>
      <c r="Y53" s="19">
        <v>53690205.760876298</v>
      </c>
      <c r="Z53" s="19">
        <v>59374527.431741104</v>
      </c>
      <c r="AA53" s="19">
        <v>51110402.078424901</v>
      </c>
      <c r="AB53" s="19">
        <v>38471081.088682704</v>
      </c>
      <c r="AC53" s="19">
        <v>5841588.0152542796</v>
      </c>
      <c r="AD53" s="19">
        <v>3105561.8317358401</v>
      </c>
      <c r="AE53" s="19">
        <v>124616761.457381</v>
      </c>
      <c r="AF53" s="19">
        <v>219960586.71941301</v>
      </c>
      <c r="AG53" s="19">
        <v>17515502.057090301</v>
      </c>
      <c r="AH53" s="19">
        <v>12909619.810646201</v>
      </c>
      <c r="AI53" s="19">
        <v>101253636.088194</v>
      </c>
      <c r="AJ53" s="19">
        <v>501973655.09780598</v>
      </c>
      <c r="AK53" s="19">
        <v>383207440.02152199</v>
      </c>
      <c r="AL53" s="19">
        <v>2859006.25501044</v>
      </c>
      <c r="AM53" s="19">
        <v>7602478.6940469798</v>
      </c>
      <c r="AN53" s="19">
        <v>10750979.3816108</v>
      </c>
      <c r="AO53" s="19">
        <v>5752421.8421264105</v>
      </c>
      <c r="AP53" s="19">
        <v>13231125.5114678</v>
      </c>
      <c r="AQ53" s="19">
        <v>4827324.6091729896</v>
      </c>
      <c r="AR53" s="19">
        <v>5804782.0425391896</v>
      </c>
      <c r="AS53" s="19">
        <v>8918361.9705148209</v>
      </c>
      <c r="AT53" s="44">
        <v>2466942623.1953301</v>
      </c>
      <c r="AU53" s="46"/>
      <c r="AV53" s="46"/>
      <c r="AW53" s="64"/>
      <c r="AX53" s="46"/>
      <c r="AY53" s="64"/>
      <c r="AZ53" s="46"/>
      <c r="BA53" s="46"/>
      <c r="BB53" s="64"/>
      <c r="BC53" s="46"/>
      <c r="BD53" s="66"/>
      <c r="BE53" s="46"/>
      <c r="BF53" s="46"/>
    </row>
    <row r="54" spans="1:62" ht="21.6" x14ac:dyDescent="0.25">
      <c r="A54" s="104"/>
      <c r="B54" s="29" t="s">
        <v>136</v>
      </c>
      <c r="C54" s="30" t="s">
        <v>137</v>
      </c>
      <c r="D54" s="19">
        <v>821747242.43806601</v>
      </c>
      <c r="E54" s="31">
        <v>119998497.82053199</v>
      </c>
      <c r="F54" s="31">
        <v>67723789.870348305</v>
      </c>
      <c r="G54" s="19">
        <v>104309593.147588</v>
      </c>
      <c r="H54" s="31">
        <v>8538923.0779975299</v>
      </c>
      <c r="I54" s="19">
        <v>307013686.12254697</v>
      </c>
      <c r="J54" s="19">
        <v>144476356.638051</v>
      </c>
      <c r="K54" s="19">
        <v>55601618.322904602</v>
      </c>
      <c r="L54" s="19">
        <v>161150586.17857301</v>
      </c>
      <c r="M54" s="19">
        <v>100590764.464109</v>
      </c>
      <c r="N54" s="19">
        <v>198013718.85713199</v>
      </c>
      <c r="O54" s="31">
        <v>85836030.0601345</v>
      </c>
      <c r="P54" s="19">
        <v>86439257.149933204</v>
      </c>
      <c r="Q54" s="19">
        <v>230580001.20979801</v>
      </c>
      <c r="R54" s="19">
        <v>156294313.85822901</v>
      </c>
      <c r="S54" s="19">
        <v>119577445.42255899</v>
      </c>
      <c r="T54" s="31">
        <v>127197762.407179</v>
      </c>
      <c r="U54" s="19">
        <v>124087952.5995</v>
      </c>
      <c r="V54" s="19">
        <v>97951296.224270299</v>
      </c>
      <c r="W54" s="19">
        <v>145476440.968485</v>
      </c>
      <c r="X54" s="19">
        <v>32241583.2712426</v>
      </c>
      <c r="Y54" s="19">
        <v>121326838.229105</v>
      </c>
      <c r="Z54" s="19">
        <v>191312780.20041999</v>
      </c>
      <c r="AA54" s="19">
        <v>96806869.506066203</v>
      </c>
      <c r="AB54" s="31">
        <v>218349006.230883</v>
      </c>
      <c r="AC54" s="31">
        <v>19571846.656205501</v>
      </c>
      <c r="AD54" s="31">
        <v>20499065.8921142</v>
      </c>
      <c r="AE54" s="19">
        <v>720092939.74483001</v>
      </c>
      <c r="AF54" s="19">
        <v>953603414.88900602</v>
      </c>
      <c r="AG54" s="19">
        <v>456774936.92500198</v>
      </c>
      <c r="AH54" s="19">
        <v>145520583.58793101</v>
      </c>
      <c r="AI54" s="19">
        <v>448014443.89383298</v>
      </c>
      <c r="AJ54" s="19">
        <v>836171391.12910402</v>
      </c>
      <c r="AK54" s="31">
        <v>769667542.13585603</v>
      </c>
      <c r="AL54" s="19">
        <v>318527104.06321698</v>
      </c>
      <c r="AM54" s="31">
        <v>95927166.192667201</v>
      </c>
      <c r="AN54" s="19">
        <v>185142556.025821</v>
      </c>
      <c r="AO54" s="19">
        <v>157276674.530945</v>
      </c>
      <c r="AP54" s="31">
        <v>373292162.42448801</v>
      </c>
      <c r="AQ54" s="19">
        <v>208205680.26431701</v>
      </c>
      <c r="AR54" s="19">
        <v>78010394.729888007</v>
      </c>
      <c r="AS54" s="19">
        <v>510881373.61062002</v>
      </c>
      <c r="AT54" s="44">
        <v>10164220012.6486</v>
      </c>
      <c r="AU54" s="47"/>
      <c r="AV54" s="46"/>
      <c r="AW54" s="64"/>
      <c r="AX54" s="46"/>
      <c r="AY54" s="64"/>
      <c r="AZ54" s="46"/>
      <c r="BA54" s="46"/>
      <c r="BB54" s="64"/>
      <c r="BC54" s="46"/>
      <c r="BD54" s="66"/>
      <c r="BE54" s="46"/>
      <c r="BF54" s="46"/>
    </row>
    <row r="55" spans="1:62" x14ac:dyDescent="0.25">
      <c r="A55" s="98" t="s">
        <v>138</v>
      </c>
      <c r="B55" s="99"/>
      <c r="C55" s="32" t="s">
        <v>139</v>
      </c>
      <c r="D55" s="19">
        <v>1331683250.2709701</v>
      </c>
      <c r="E55" s="33">
        <v>235072612.00295901</v>
      </c>
      <c r="F55" s="33">
        <v>107689567.27617</v>
      </c>
      <c r="G55" s="19">
        <v>193534599.23827901</v>
      </c>
      <c r="H55" s="33">
        <v>20236774.422584798</v>
      </c>
      <c r="I55" s="19">
        <v>1251362798.1711099</v>
      </c>
      <c r="J55" s="19">
        <v>757386926.81410897</v>
      </c>
      <c r="K55" s="19">
        <v>265413179.90955001</v>
      </c>
      <c r="L55" s="19">
        <v>693805946.29288495</v>
      </c>
      <c r="M55" s="19">
        <v>409333284.47485602</v>
      </c>
      <c r="N55" s="19">
        <v>855096592.92702794</v>
      </c>
      <c r="O55" s="33">
        <v>300056136.80325001</v>
      </c>
      <c r="P55" s="19">
        <v>358191579.35939801</v>
      </c>
      <c r="Q55" s="19">
        <v>733031886.55090594</v>
      </c>
      <c r="R55" s="19">
        <v>683509940.91067898</v>
      </c>
      <c r="S55" s="19">
        <v>524670022.755983</v>
      </c>
      <c r="T55" s="33">
        <v>519481674.11646301</v>
      </c>
      <c r="U55" s="19">
        <v>532910986.428774</v>
      </c>
      <c r="V55" s="19">
        <v>387351083.80461699</v>
      </c>
      <c r="W55" s="19">
        <v>706457460.66325498</v>
      </c>
      <c r="X55" s="19">
        <v>156013924.032628</v>
      </c>
      <c r="Y55" s="19">
        <v>697666254.58715701</v>
      </c>
      <c r="Z55" s="19">
        <v>1188521951.48262</v>
      </c>
      <c r="AA55" s="19">
        <v>164181553.680022</v>
      </c>
      <c r="AB55" s="33">
        <v>699502565.70297396</v>
      </c>
      <c r="AC55" s="33">
        <v>81271005.332346603</v>
      </c>
      <c r="AD55" s="33">
        <v>40678551.969231904</v>
      </c>
      <c r="AE55" s="19">
        <v>2860304981.41469</v>
      </c>
      <c r="AF55" s="19">
        <v>1498514698.5595801</v>
      </c>
      <c r="AG55" s="19">
        <v>1199171268.6345</v>
      </c>
      <c r="AH55" s="19">
        <v>431989760.105425</v>
      </c>
      <c r="AI55" s="19">
        <v>965242789.82604098</v>
      </c>
      <c r="AJ55" s="19">
        <v>1229370155.47224</v>
      </c>
      <c r="AK55" s="33">
        <v>1066633480.3337899</v>
      </c>
      <c r="AL55" s="19">
        <v>962562600.60869706</v>
      </c>
      <c r="AM55" s="33">
        <v>231556568.159228</v>
      </c>
      <c r="AN55" s="19">
        <v>519785869.52841699</v>
      </c>
      <c r="AO55" s="19">
        <v>300337588.72242802</v>
      </c>
      <c r="AP55" s="33">
        <v>532487559.13479602</v>
      </c>
      <c r="AQ55" s="19">
        <v>500072197.73930699</v>
      </c>
      <c r="AR55" s="19">
        <v>155843409.76529199</v>
      </c>
      <c r="AS55" s="19">
        <v>907706187.35658896</v>
      </c>
      <c r="AT55" s="48">
        <v>26990278045.432301</v>
      </c>
      <c r="AU55" s="49"/>
      <c r="AV55" s="49"/>
      <c r="AW55" s="67"/>
      <c r="AX55" s="49"/>
      <c r="AY55" s="67"/>
      <c r="AZ55" s="49"/>
      <c r="BA55" s="49"/>
      <c r="BB55" s="67"/>
      <c r="BC55" s="49"/>
      <c r="BD55" s="68"/>
      <c r="BE55" s="49"/>
      <c r="BF55" s="49"/>
    </row>
    <row r="57" spans="1:62" ht="15" thickBot="1" x14ac:dyDescent="0.3"/>
    <row r="58" spans="1:62" x14ac:dyDescent="0.25">
      <c r="AU58" s="95" t="s">
        <v>13</v>
      </c>
      <c r="AV58" s="96"/>
      <c r="AW58" s="96"/>
      <c r="AX58" s="96"/>
      <c r="AY58" s="96"/>
      <c r="AZ58" s="96"/>
      <c r="BA58" s="96"/>
      <c r="BB58" s="96"/>
      <c r="BC58" s="96"/>
      <c r="BD58" s="97"/>
      <c r="BE58" s="81" t="s">
        <v>14</v>
      </c>
      <c r="BF58" s="83" t="s">
        <v>15</v>
      </c>
    </row>
    <row r="59" spans="1:62" ht="21.6" x14ac:dyDescent="0.25">
      <c r="C59" s="1" t="s">
        <v>150</v>
      </c>
      <c r="AT59" s="39" t="s">
        <v>58</v>
      </c>
      <c r="AU59" s="40" t="s">
        <v>59</v>
      </c>
      <c r="AV59" s="40" t="s">
        <v>60</v>
      </c>
      <c r="AW59" s="55" t="s">
        <v>61</v>
      </c>
      <c r="AX59" s="40" t="s">
        <v>62</v>
      </c>
      <c r="AY59" s="55" t="s">
        <v>63</v>
      </c>
      <c r="AZ59" s="40" t="s">
        <v>64</v>
      </c>
      <c r="BA59" s="40" t="s">
        <v>65</v>
      </c>
      <c r="BB59" s="55" t="s">
        <v>66</v>
      </c>
      <c r="BC59" s="56" t="s">
        <v>67</v>
      </c>
      <c r="BD59" s="57" t="s">
        <v>68</v>
      </c>
      <c r="BE59" s="82"/>
      <c r="BF59" s="84"/>
      <c r="BH59" s="69" t="s">
        <v>140</v>
      </c>
      <c r="BI59" s="69" t="s">
        <v>141</v>
      </c>
      <c r="BJ59" s="69"/>
    </row>
    <row r="60" spans="1:62" x14ac:dyDescent="0.15">
      <c r="AT60" s="16" t="s">
        <v>112</v>
      </c>
      <c r="AU60" s="41" t="s">
        <v>113</v>
      </c>
      <c r="AV60" s="41" t="s">
        <v>114</v>
      </c>
      <c r="AW60" s="58" t="s">
        <v>115</v>
      </c>
      <c r="AX60" s="41" t="s">
        <v>116</v>
      </c>
      <c r="AY60" s="58" t="s">
        <v>117</v>
      </c>
      <c r="AZ60" s="41" t="s">
        <v>118</v>
      </c>
      <c r="BA60" s="41" t="s">
        <v>119</v>
      </c>
      <c r="BB60" s="58" t="s">
        <v>120</v>
      </c>
      <c r="BC60" s="59" t="s">
        <v>121</v>
      </c>
      <c r="BD60" s="60" t="s">
        <v>122</v>
      </c>
      <c r="BE60" s="72" t="s">
        <v>123</v>
      </c>
      <c r="BF60" s="73" t="s">
        <v>124</v>
      </c>
      <c r="BH60" s="69" t="s">
        <v>142</v>
      </c>
      <c r="BI60" s="69"/>
      <c r="BJ60" s="71" t="s">
        <v>143</v>
      </c>
    </row>
    <row r="61" spans="1:62" x14ac:dyDescent="0.25">
      <c r="C61" s="34" t="s">
        <v>144</v>
      </c>
      <c r="D61" s="35" t="s">
        <v>70</v>
      </c>
      <c r="E61" s="35" t="s">
        <v>71</v>
      </c>
      <c r="F61" s="35" t="s">
        <v>72</v>
      </c>
      <c r="G61" s="35" t="s">
        <v>73</v>
      </c>
      <c r="H61" s="35" t="s">
        <v>74</v>
      </c>
      <c r="I61" s="35" t="s">
        <v>75</v>
      </c>
      <c r="J61" s="35" t="s">
        <v>76</v>
      </c>
      <c r="K61" s="35" t="s">
        <v>77</v>
      </c>
      <c r="L61" s="35" t="s">
        <v>78</v>
      </c>
      <c r="M61" s="35" t="s">
        <v>79</v>
      </c>
      <c r="N61" s="35" t="s">
        <v>80</v>
      </c>
      <c r="O61" s="35" t="s">
        <v>81</v>
      </c>
      <c r="P61" s="35" t="s">
        <v>82</v>
      </c>
      <c r="Q61" s="35" t="s">
        <v>88</v>
      </c>
      <c r="R61" s="35" t="s">
        <v>83</v>
      </c>
      <c r="S61" s="35" t="s">
        <v>84</v>
      </c>
      <c r="T61" s="35" t="s">
        <v>85</v>
      </c>
      <c r="U61" s="35" t="s">
        <v>86</v>
      </c>
      <c r="V61" s="35" t="s">
        <v>92</v>
      </c>
      <c r="W61" s="35" t="s">
        <v>91</v>
      </c>
      <c r="X61" s="35" t="s">
        <v>87</v>
      </c>
      <c r="Y61" s="35" t="s">
        <v>89</v>
      </c>
      <c r="Z61" s="35" t="s">
        <v>90</v>
      </c>
      <c r="AA61" s="35" t="s">
        <v>93</v>
      </c>
      <c r="AB61" s="35" t="s">
        <v>94</v>
      </c>
      <c r="AC61" s="35" t="s">
        <v>95</v>
      </c>
      <c r="AD61" s="35" t="s">
        <v>96</v>
      </c>
      <c r="AE61" s="35" t="s">
        <v>97</v>
      </c>
      <c r="AF61" s="35" t="s">
        <v>98</v>
      </c>
      <c r="AG61" s="35" t="s">
        <v>99</v>
      </c>
      <c r="AH61" s="35" t="s">
        <v>100</v>
      </c>
      <c r="AI61" s="35" t="s">
        <v>101</v>
      </c>
      <c r="AJ61" s="35" t="s">
        <v>104</v>
      </c>
      <c r="AK61" s="35" t="s">
        <v>105</v>
      </c>
      <c r="AL61" s="35" t="s">
        <v>102</v>
      </c>
      <c r="AM61" s="35" t="s">
        <v>103</v>
      </c>
      <c r="AN61" s="35" t="s">
        <v>106</v>
      </c>
      <c r="AO61" s="35" t="s">
        <v>111</v>
      </c>
      <c r="AP61" s="35" t="s">
        <v>108</v>
      </c>
      <c r="AQ61" s="35" t="s">
        <v>109</v>
      </c>
      <c r="AR61" s="35" t="s">
        <v>110</v>
      </c>
      <c r="AS61" s="35" t="s">
        <v>107</v>
      </c>
    </row>
    <row r="62" spans="1:62" x14ac:dyDescent="0.25">
      <c r="C62" s="36" t="s">
        <v>70</v>
      </c>
      <c r="D62" cm="1">
        <f t="array" ref="D62">_xlfn.XLOOKUP($C62,$C$7:$C$48,_xlfn.XLOOKUP(D$61,$D$6:$AS$6,$D$7:$AS$48))</f>
        <v>183133769.00858301</v>
      </c>
      <c r="E62" cm="1">
        <f t="array" ref="E62">_xlfn.XLOOKUP($C62,$C$7:$C$48,_xlfn.XLOOKUP(E$61,$D$6:$AS$6,$D$7:$AS$48))</f>
        <v>203490.68408443301</v>
      </c>
      <c r="F62" cm="1">
        <f t="array" ref="F62">_xlfn.XLOOKUP($C62,$C$7:$C$48,_xlfn.XLOOKUP(F$61,$D$6:$AS$6,$D$7:$AS$48))</f>
        <v>2231.1266199760998</v>
      </c>
      <c r="G62" cm="1">
        <f t="array" ref="G62">_xlfn.XLOOKUP($C62,$C$7:$C$48,_xlfn.XLOOKUP(G$61,$D$6:$AS$6,$D$7:$AS$48))</f>
        <v>30366.117979029001</v>
      </c>
      <c r="H62" cm="1">
        <f t="array" ref="H62">_xlfn.XLOOKUP($C62,$C$7:$C$48,_xlfn.XLOOKUP(H$61,$D$6:$AS$6,$D$7:$AS$48))</f>
        <v>118.548902968788</v>
      </c>
      <c r="I62" cm="1">
        <f t="array" ref="I62">_xlfn.XLOOKUP($C62,$C$7:$C$48,_xlfn.XLOOKUP(I$61,$D$6:$AS$6,$D$7:$AS$48))</f>
        <v>467586720.28646201</v>
      </c>
      <c r="J62" cm="1">
        <f t="array" ref="J62">_xlfn.XLOOKUP($C62,$C$7:$C$48,_xlfn.XLOOKUP(J$61,$D$6:$AS$6,$D$7:$AS$48))</f>
        <v>82006169.486367702</v>
      </c>
      <c r="K62" cm="1">
        <f t="array" ref="K62">_xlfn.XLOOKUP($C62,$C$7:$C$48,_xlfn.XLOOKUP(K$61,$D$6:$AS$6,$D$7:$AS$48))</f>
        <v>31973462.848005898</v>
      </c>
      <c r="L62" cm="1">
        <f t="array" ref="L62">_xlfn.XLOOKUP($C62,$C$7:$C$48,_xlfn.XLOOKUP(L$61,$D$6:$AS$6,$D$7:$AS$48))</f>
        <v>53736066.677819602</v>
      </c>
      <c r="M62" cm="1">
        <f t="array" ref="M62">_xlfn.XLOOKUP($C62,$C$7:$C$48,_xlfn.XLOOKUP(M$61,$D$6:$AS$6,$D$7:$AS$48))</f>
        <v>15804.3604181711</v>
      </c>
      <c r="N62" cm="1">
        <f t="array" ref="N62">_xlfn.XLOOKUP($C62,$C$7:$C$48,_xlfn.XLOOKUP(N$61,$D$6:$AS$6,$D$7:$AS$48))</f>
        <v>11513733.3673205</v>
      </c>
      <c r="O62" cm="1">
        <f t="array" ref="O62">_xlfn.XLOOKUP($C62,$C$7:$C$48,_xlfn.XLOOKUP(O$61,$D$6:$AS$6,$D$7:$AS$48))</f>
        <v>44821824.893563502</v>
      </c>
      <c r="P62" cm="1">
        <f t="array" ref="P62">_xlfn.XLOOKUP($C62,$C$7:$C$48,_xlfn.XLOOKUP(P$61,$D$6:$AS$6,$D$7:$AS$48))</f>
        <v>7680873.6462266697</v>
      </c>
      <c r="Q62" cm="1">
        <f t="array" ref="Q62">_xlfn.XLOOKUP($C62,$C$7:$C$48,_xlfn.XLOOKUP(Q$61,$D$6:$AS$6,$D$7:$AS$48))</f>
        <v>79539.685076425099</v>
      </c>
      <c r="R62" cm="1">
        <f t="array" ref="R62">_xlfn.XLOOKUP($C62,$C$7:$C$48,_xlfn.XLOOKUP(R$61,$D$6:$AS$6,$D$7:$AS$48))</f>
        <v>218881.18769850201</v>
      </c>
      <c r="S62" cm="1">
        <f t="array" ref="S62">_xlfn.XLOOKUP($C62,$C$7:$C$48,_xlfn.XLOOKUP(S$61,$D$6:$AS$6,$D$7:$AS$48))</f>
        <v>20627.161501968301</v>
      </c>
      <c r="T62" cm="1">
        <f t="array" ref="T62">_xlfn.XLOOKUP($C62,$C$7:$C$48,_xlfn.XLOOKUP(T$61,$D$6:$AS$6,$D$7:$AS$48))</f>
        <v>15998.126294932499</v>
      </c>
      <c r="U62" cm="1">
        <f t="array" ref="U62">_xlfn.XLOOKUP($C62,$C$7:$C$48,_xlfn.XLOOKUP(U$61,$D$6:$AS$6,$D$7:$AS$48))</f>
        <v>97311.762035804</v>
      </c>
      <c r="V62" cm="1">
        <f t="array" ref="V62">_xlfn.XLOOKUP($C62,$C$7:$C$48,_xlfn.XLOOKUP(V$61,$D$6:$AS$6,$D$7:$AS$48))</f>
        <v>2175.5735884985602</v>
      </c>
      <c r="W62" cm="1">
        <f t="array" ref="W62">_xlfn.XLOOKUP($C62,$C$7:$C$48,_xlfn.XLOOKUP(W$61,$D$6:$AS$6,$D$7:$AS$48))</f>
        <v>68073.7608283015</v>
      </c>
      <c r="X62" cm="1">
        <f t="array" ref="X62">_xlfn.XLOOKUP($C62,$C$7:$C$48,_xlfn.XLOOKUP(X$61,$D$6:$AS$6,$D$7:$AS$48))</f>
        <v>27411.881051118198</v>
      </c>
      <c r="Y62" cm="1">
        <f t="array" ref="Y62">_xlfn.XLOOKUP($C62,$C$7:$C$48,_xlfn.XLOOKUP(Y$61,$D$6:$AS$6,$D$7:$AS$48))</f>
        <v>26629.6079430389</v>
      </c>
      <c r="Z62" cm="1">
        <f t="array" ref="Z62">_xlfn.XLOOKUP($C62,$C$7:$C$48,_xlfn.XLOOKUP(Z$61,$D$6:$AS$6,$D$7:$AS$48))</f>
        <v>12565.823957512001</v>
      </c>
      <c r="AA62" cm="1">
        <f t="array" ref="AA62">_xlfn.XLOOKUP($C62,$C$7:$C$48,_xlfn.XLOOKUP(AA$61,$D$6:$AS$6,$D$7:$AS$48))</f>
        <v>3451035.1821262799</v>
      </c>
      <c r="AB62" cm="1">
        <f t="array" ref="AB62">_xlfn.XLOOKUP($C62,$C$7:$C$48,_xlfn.XLOOKUP(AB$61,$D$6:$AS$6,$D$7:$AS$48))</f>
        <v>101721.231936442</v>
      </c>
      <c r="AC62" cm="1">
        <f t="array" ref="AC62">_xlfn.XLOOKUP($C62,$C$7:$C$48,_xlfn.XLOOKUP(AC$61,$D$6:$AS$6,$D$7:$AS$48))</f>
        <v>1310.78692957769</v>
      </c>
      <c r="AD62" cm="1">
        <f t="array" ref="AD62">_xlfn.XLOOKUP($C62,$C$7:$C$48,_xlfn.XLOOKUP(AD$61,$D$6:$AS$6,$D$7:$AS$48))</f>
        <v>0</v>
      </c>
      <c r="AE62" cm="1">
        <f t="array" ref="AE62">_xlfn.XLOOKUP($C62,$C$7:$C$48,_xlfn.XLOOKUP(AE$61,$D$6:$AS$6,$D$7:$AS$48))</f>
        <v>18834171.9565458</v>
      </c>
      <c r="AF62" cm="1">
        <f t="array" ref="AF62">_xlfn.XLOOKUP($C62,$C$7:$C$48,_xlfn.XLOOKUP(AF$61,$D$6:$AS$6,$D$7:$AS$48))</f>
        <v>13768.593246832301</v>
      </c>
      <c r="AG62" cm="1">
        <f t="array" ref="AG62">_xlfn.XLOOKUP($C62,$C$7:$C$48,_xlfn.XLOOKUP(AG$61,$D$6:$AS$6,$D$7:$AS$48))</f>
        <v>154389.965643367</v>
      </c>
      <c r="AH62" cm="1">
        <f t="array" ref="AH62">_xlfn.XLOOKUP($C62,$C$7:$C$48,_xlfn.XLOOKUP(AH$61,$D$6:$AS$6,$D$7:$AS$48))</f>
        <v>53857078.585626699</v>
      </c>
      <c r="AI62" cm="1">
        <f t="array" ref="AI62">_xlfn.XLOOKUP($C62,$C$7:$C$48,_xlfn.XLOOKUP(AI$61,$D$6:$AS$6,$D$7:$AS$48))</f>
        <v>509534.91520112101</v>
      </c>
      <c r="AJ62" cm="1">
        <f t="array" ref="AJ62">_xlfn.XLOOKUP($C62,$C$7:$C$48,_xlfn.XLOOKUP(AJ$61,$D$6:$AS$6,$D$7:$AS$48))</f>
        <v>7363183.3790552802</v>
      </c>
      <c r="AK62" cm="1">
        <f t="array" ref="AK62">_xlfn.XLOOKUP($C62,$C$7:$C$48,_xlfn.XLOOKUP(AK$61,$D$6:$AS$6,$D$7:$AS$48))</f>
        <v>4230391.8261997299</v>
      </c>
      <c r="AL62" cm="1">
        <f t="array" ref="AL62">_xlfn.XLOOKUP($C62,$C$7:$C$48,_xlfn.XLOOKUP(AL$61,$D$6:$AS$6,$D$7:$AS$48))</f>
        <v>67279.739160820202</v>
      </c>
      <c r="AM62" cm="1">
        <f t="array" ref="AM62">_xlfn.XLOOKUP($C62,$C$7:$C$48,_xlfn.XLOOKUP(AM$61,$D$6:$AS$6,$D$7:$AS$48))</f>
        <v>336941.12881730997</v>
      </c>
      <c r="AN62" cm="1">
        <f t="array" ref="AN62">_xlfn.XLOOKUP($C62,$C$7:$C$48,_xlfn.XLOOKUP(AN$61,$D$6:$AS$6,$D$7:$AS$48))</f>
        <v>1149759.56904357</v>
      </c>
      <c r="AO62" cm="1">
        <f t="array" ref="AO62">_xlfn.XLOOKUP($C62,$C$7:$C$48,_xlfn.XLOOKUP(AO$61,$D$6:$AS$6,$D$7:$AS$48))</f>
        <v>9519615.66929329</v>
      </c>
      <c r="AP62" cm="1">
        <f t="array" ref="AP62">_xlfn.XLOOKUP($C62,$C$7:$C$48,_xlfn.XLOOKUP(AP$61,$D$6:$AS$6,$D$7:$AS$48))</f>
        <v>612269.38744812203</v>
      </c>
      <c r="AQ62" cm="1">
        <f t="array" ref="AQ62">_xlfn.XLOOKUP($C62,$C$7:$C$48,_xlfn.XLOOKUP(AQ$61,$D$6:$AS$6,$D$7:$AS$48))</f>
        <v>605609.60475212894</v>
      </c>
      <c r="AR62" cm="1">
        <f t="array" ref="AR62">_xlfn.XLOOKUP($C62,$C$7:$C$48,_xlfn.XLOOKUP(AR$61,$D$6:$AS$6,$D$7:$AS$48))</f>
        <v>477755.87084350502</v>
      </c>
      <c r="AS62" cm="1">
        <f t="array" ref="AS62">_xlfn.XLOOKUP($C62,$C$7:$C$48,_xlfn.XLOOKUP(AS$61,$D$6:$AS$6,$D$7:$AS$48))</f>
        <v>2268491.10930721</v>
      </c>
      <c r="AT62">
        <f>_xlfn.XLOOKUP($C62,$C$7:$C$48,$AT$7:$AT$48)</f>
        <v>954854691.27550101</v>
      </c>
      <c r="AU62" cm="1">
        <f t="array" ref="AU62">_xlfn.XLOOKUP(AU$60,$AU$6:$BF$6,_xlfn.XLOOKUP($C62,$C$7:$C$48,$AU$7:$BF$48))</f>
        <v>109745451.40185501</v>
      </c>
      <c r="AV62" cm="1">
        <f t="array" ref="AV62">_xlfn.XLOOKUP(AV$60,$AU$6:$BF$6,_xlfn.XLOOKUP($C62,$C$7:$C$48,$AU$7:$BF$48))</f>
        <v>221055004.42388201</v>
      </c>
      <c r="AW62" cm="1">
        <f t="array" ref="AW62">_xlfn.XLOOKUP(AW$60,$AU$6:$BF$6,_xlfn.XLOOKUP($C62,$C$7:$C$48,$AU$7:$BF$48))</f>
        <v>330800455.825737</v>
      </c>
      <c r="AX62" cm="1">
        <f t="array" ref="AX62">_xlfn.XLOOKUP(AX$60,$AU$6:$BF$6,_xlfn.XLOOKUP($C62,$C$7:$C$48,$AU$7:$BF$48))</f>
        <v>19639627.580839101</v>
      </c>
      <c r="AY62" cm="1">
        <f t="array" ref="AY62">_xlfn.XLOOKUP(AY$60,$AU$6:$BF$6,_xlfn.XLOOKUP($C62,$C$7:$C$48,$AU$7:$BF$48))</f>
        <v>350440083.40657598</v>
      </c>
      <c r="AZ62" cm="1">
        <f t="array" ref="AZ62">_xlfn.XLOOKUP(AZ$60,$AU$6:$BF$6,_xlfn.XLOOKUP($C62,$C$7:$C$48,$AU$7:$BF$48))</f>
        <v>17577339.566559002</v>
      </c>
      <c r="BA62" cm="1">
        <f t="array" ref="BA62">_xlfn.XLOOKUP(BA$60,$AU$6:$BF$6,_xlfn.XLOOKUP($C62,$C$7:$C$48,$AU$7:$BF$48))</f>
        <v>54901501.621725</v>
      </c>
      <c r="BB62" cm="1">
        <f t="array" ref="BB62">_xlfn.XLOOKUP(BB$60,$AU$6:$BF$6,_xlfn.XLOOKUP($C62,$C$7:$C$48,$AU$7:$BF$48))</f>
        <v>72478841.188283995</v>
      </c>
      <c r="BC62" cm="1">
        <f t="array" ref="BC62">_xlfn.XLOOKUP(BC$60,$AU$6:$BF$6,_xlfn.XLOOKUP($C62,$C$7:$C$48,$AU$7:$BF$48))</f>
        <v>18171672.030595101</v>
      </c>
      <c r="BD62" cm="1">
        <f t="array" ref="BD62">_xlfn.XLOOKUP(BD$60,$AU$6:$BF$6,_xlfn.XLOOKUP($C62,$C$7:$C$48,$AU$7:$BF$48))</f>
        <v>441090596.62545598</v>
      </c>
      <c r="BE62" cm="1">
        <f t="array" ref="BE62">_xlfn.XLOOKUP(BE$60,$AU$6:$BF$6,_xlfn.XLOOKUP($C62,$C$7:$C$48,$AU$7:$BF$48))</f>
        <v>64262037.629985198</v>
      </c>
      <c r="BF62" cm="1">
        <f t="array" ref="BF62">_xlfn.XLOOKUP(BF$60,$AU$6:$BF$6,_xlfn.XLOOKUP($C62,$C$7:$C$48,$AU$7:$BF$48))</f>
        <v>1331683250.2709701</v>
      </c>
      <c r="BH62">
        <f t="shared" ref="BH62:BH103" si="2">AT62+AY62+BB62</f>
        <v>1377773615.8703609</v>
      </c>
      <c r="BJ62">
        <f>BE62/BH62</f>
        <v>4.6641942398780716E-2</v>
      </c>
    </row>
    <row r="63" spans="1:62" x14ac:dyDescent="0.25">
      <c r="C63" s="36" t="s">
        <v>71</v>
      </c>
      <c r="D63" cm="1">
        <f t="array" ref="D63">_xlfn.XLOOKUP($C63,$C$7:$C$48,_xlfn.XLOOKUP(D$61,$D$6:$AS$6,$D$7:$AS$48))</f>
        <v>601665.538401025</v>
      </c>
      <c r="E63" cm="1">
        <f t="array" ref="E63">_xlfn.XLOOKUP($C63,$C$7:$C$48,_xlfn.XLOOKUP(E$61,$D$6:$AS$6,$D$7:$AS$48))</f>
        <v>36204793.6824397</v>
      </c>
      <c r="F63" cm="1">
        <f t="array" ref="F63">_xlfn.XLOOKUP($C63,$C$7:$C$48,_xlfn.XLOOKUP(F$61,$D$6:$AS$6,$D$7:$AS$48))</f>
        <v>63785.089784693002</v>
      </c>
      <c r="G63" cm="1">
        <f t="array" ref="G63">_xlfn.XLOOKUP($C63,$C$7:$C$48,_xlfn.XLOOKUP(G$61,$D$6:$AS$6,$D$7:$AS$48))</f>
        <v>1725453.8706338899</v>
      </c>
      <c r="H63" cm="1">
        <f t="array" ref="H63">_xlfn.XLOOKUP($C63,$C$7:$C$48,_xlfn.XLOOKUP(H$61,$D$6:$AS$6,$D$7:$AS$48))</f>
        <v>60512.7785480819</v>
      </c>
      <c r="I63" cm="1">
        <f t="array" ref="I63">_xlfn.XLOOKUP($C63,$C$7:$C$48,_xlfn.XLOOKUP(I$61,$D$6:$AS$6,$D$7:$AS$48))</f>
        <v>2167450.15250292</v>
      </c>
      <c r="J63" cm="1">
        <f t="array" ref="J63">_xlfn.XLOOKUP($C63,$C$7:$C$48,_xlfn.XLOOKUP(J$61,$D$6:$AS$6,$D$7:$AS$48))</f>
        <v>1809485.7307809701</v>
      </c>
      <c r="K63" cm="1">
        <f t="array" ref="K63">_xlfn.XLOOKUP($C63,$C$7:$C$48,_xlfn.XLOOKUP(K$61,$D$6:$AS$6,$D$7:$AS$48))</f>
        <v>280086.13462574099</v>
      </c>
      <c r="L63" cm="1">
        <f t="array" ref="L63">_xlfn.XLOOKUP($C63,$C$7:$C$48,_xlfn.XLOOKUP(L$61,$D$6:$AS$6,$D$7:$AS$48))</f>
        <v>3698845.8920788602</v>
      </c>
      <c r="M63" cm="1">
        <f t="array" ref="M63">_xlfn.XLOOKUP($C63,$C$7:$C$48,_xlfn.XLOOKUP(M$61,$D$6:$AS$6,$D$7:$AS$48))</f>
        <v>22001119.828746099</v>
      </c>
      <c r="N63" cm="1">
        <f t="array" ref="N63">_xlfn.XLOOKUP($C63,$C$7:$C$48,_xlfn.XLOOKUP(N$61,$D$6:$AS$6,$D$7:$AS$48))</f>
        <v>21794626.064204998</v>
      </c>
      <c r="O63" cm="1">
        <f t="array" ref="O63">_xlfn.XLOOKUP($C63,$C$7:$C$48,_xlfn.XLOOKUP(O$61,$D$6:$AS$6,$D$7:$AS$48))</f>
        <v>436019.61784148501</v>
      </c>
      <c r="P63" cm="1">
        <f t="array" ref="P63">_xlfn.XLOOKUP($C63,$C$7:$C$48,_xlfn.XLOOKUP(P$61,$D$6:$AS$6,$D$7:$AS$48))</f>
        <v>562146.69443158899</v>
      </c>
      <c r="Q63" cm="1">
        <f t="array" ref="Q63">_xlfn.XLOOKUP($C63,$C$7:$C$48,_xlfn.XLOOKUP(Q$61,$D$6:$AS$6,$D$7:$AS$48))</f>
        <v>252507.67466881199</v>
      </c>
      <c r="R63" cm="1">
        <f t="array" ref="R63">_xlfn.XLOOKUP($C63,$C$7:$C$48,_xlfn.XLOOKUP(R$61,$D$6:$AS$6,$D$7:$AS$48))</f>
        <v>34167884.2571337</v>
      </c>
      <c r="S63" cm="1">
        <f t="array" ref="S63">_xlfn.XLOOKUP($C63,$C$7:$C$48,_xlfn.XLOOKUP(S$61,$D$6:$AS$6,$D$7:$AS$48))</f>
        <v>21281682.9252996</v>
      </c>
      <c r="T63" cm="1">
        <f t="array" ref="T63">_xlfn.XLOOKUP($C63,$C$7:$C$48,_xlfn.XLOOKUP(T$61,$D$6:$AS$6,$D$7:$AS$48))</f>
        <v>3302161.3408503002</v>
      </c>
      <c r="U63" cm="1">
        <f t="array" ref="U63">_xlfn.XLOOKUP($C63,$C$7:$C$48,_xlfn.XLOOKUP(U$61,$D$6:$AS$6,$D$7:$AS$48))</f>
        <v>494727.50506545597</v>
      </c>
      <c r="V63" cm="1">
        <f t="array" ref="V63">_xlfn.XLOOKUP($C63,$C$7:$C$48,_xlfn.XLOOKUP(V$61,$D$6:$AS$6,$D$7:$AS$48))</f>
        <v>20070.6192482144</v>
      </c>
      <c r="W63" cm="1">
        <f t="array" ref="W63">_xlfn.XLOOKUP($C63,$C$7:$C$48,_xlfn.XLOOKUP(W$61,$D$6:$AS$6,$D$7:$AS$48))</f>
        <v>214230.20991276501</v>
      </c>
      <c r="X63" cm="1">
        <f t="array" ref="X63">_xlfn.XLOOKUP($C63,$C$7:$C$48,_xlfn.XLOOKUP(X$61,$D$6:$AS$6,$D$7:$AS$48))</f>
        <v>360707.784187513</v>
      </c>
      <c r="Y63" cm="1">
        <f t="array" ref="Y63">_xlfn.XLOOKUP($C63,$C$7:$C$48,_xlfn.XLOOKUP(Y$61,$D$6:$AS$6,$D$7:$AS$48))</f>
        <v>48318.134936206698</v>
      </c>
      <c r="Z63" cm="1">
        <f t="array" ref="Z63">_xlfn.XLOOKUP($C63,$C$7:$C$48,_xlfn.XLOOKUP(Z$61,$D$6:$AS$6,$D$7:$AS$48))</f>
        <v>49904.045640293603</v>
      </c>
      <c r="AA63" cm="1">
        <f t="array" ref="AA63">_xlfn.XLOOKUP($C63,$C$7:$C$48,_xlfn.XLOOKUP(AA$61,$D$6:$AS$6,$D$7:$AS$48))</f>
        <v>178085.13534955701</v>
      </c>
      <c r="AB63" cm="1">
        <f t="array" ref="AB63">_xlfn.XLOOKUP($C63,$C$7:$C$48,_xlfn.XLOOKUP(AB$61,$D$6:$AS$6,$D$7:$AS$48))</f>
        <v>93800322.346398696</v>
      </c>
      <c r="AC63" cm="1">
        <f t="array" ref="AC63">_xlfn.XLOOKUP($C63,$C$7:$C$48,_xlfn.XLOOKUP(AC$61,$D$6:$AS$6,$D$7:$AS$48))</f>
        <v>2360515.4870768199</v>
      </c>
      <c r="AD63" cm="1">
        <f t="array" ref="AD63">_xlfn.XLOOKUP($C63,$C$7:$C$48,_xlfn.XLOOKUP(AD$61,$D$6:$AS$6,$D$7:$AS$48))</f>
        <v>0</v>
      </c>
      <c r="AE63" cm="1">
        <f t="array" ref="AE63">_xlfn.XLOOKUP($C63,$C$7:$C$48,_xlfn.XLOOKUP(AE$61,$D$6:$AS$6,$D$7:$AS$48))</f>
        <v>843243.22422716196</v>
      </c>
      <c r="AF63" cm="1">
        <f t="array" ref="AF63">_xlfn.XLOOKUP($C63,$C$7:$C$48,_xlfn.XLOOKUP(AF$61,$D$6:$AS$6,$D$7:$AS$48))</f>
        <v>45563.861165130103</v>
      </c>
      <c r="AG63" cm="1">
        <f t="array" ref="AG63">_xlfn.XLOOKUP($C63,$C$7:$C$48,_xlfn.XLOOKUP(AG$61,$D$6:$AS$6,$D$7:$AS$48))</f>
        <v>128090.518834844</v>
      </c>
      <c r="AH63" cm="1">
        <f t="array" ref="AH63">_xlfn.XLOOKUP($C63,$C$7:$C$48,_xlfn.XLOOKUP(AH$61,$D$6:$AS$6,$D$7:$AS$48))</f>
        <v>50429.8104455348</v>
      </c>
      <c r="AI63" cm="1">
        <f t="array" ref="AI63">_xlfn.XLOOKUP($C63,$C$7:$C$48,_xlfn.XLOOKUP(AI$61,$D$6:$AS$6,$D$7:$AS$48))</f>
        <v>0</v>
      </c>
      <c r="AJ63" cm="1">
        <f t="array" ref="AJ63">_xlfn.XLOOKUP($C63,$C$7:$C$48,_xlfn.XLOOKUP(AJ$61,$D$6:$AS$6,$D$7:$AS$48))</f>
        <v>64.301927438646302</v>
      </c>
      <c r="AK63" cm="1">
        <f t="array" ref="AK63">_xlfn.XLOOKUP($C63,$C$7:$C$48,_xlfn.XLOOKUP(AK$61,$D$6:$AS$6,$D$7:$AS$48))</f>
        <v>234549.26818834001</v>
      </c>
      <c r="AL63" cm="1">
        <f t="array" ref="AL63">_xlfn.XLOOKUP($C63,$C$7:$C$48,_xlfn.XLOOKUP(AL$61,$D$6:$AS$6,$D$7:$AS$48))</f>
        <v>17218.229644303101</v>
      </c>
      <c r="AM63" cm="1">
        <f t="array" ref="AM63">_xlfn.XLOOKUP($C63,$C$7:$C$48,_xlfn.XLOOKUP(AM$61,$D$6:$AS$6,$D$7:$AS$48))</f>
        <v>63307.689676131602</v>
      </c>
      <c r="AN63" cm="1">
        <f t="array" ref="AN63">_xlfn.XLOOKUP($C63,$C$7:$C$48,_xlfn.XLOOKUP(AN$61,$D$6:$AS$6,$D$7:$AS$48))</f>
        <v>170081.93752087501</v>
      </c>
      <c r="AO63" cm="1">
        <f t="array" ref="AO63">_xlfn.XLOOKUP($C63,$C$7:$C$48,_xlfn.XLOOKUP(AO$61,$D$6:$AS$6,$D$7:$AS$48))</f>
        <v>603682.14532045706</v>
      </c>
      <c r="AP63" cm="1">
        <f t="array" ref="AP63">_xlfn.XLOOKUP($C63,$C$7:$C$48,_xlfn.XLOOKUP(AP$61,$D$6:$AS$6,$D$7:$AS$48))</f>
        <v>607785.81586245506</v>
      </c>
      <c r="AQ63" cm="1">
        <f t="array" ref="AQ63">_xlfn.XLOOKUP($C63,$C$7:$C$48,_xlfn.XLOOKUP(AQ$61,$D$6:$AS$6,$D$7:$AS$48))</f>
        <v>360760.39266515698</v>
      </c>
      <c r="AR63" cm="1">
        <f t="array" ref="AR63">_xlfn.XLOOKUP($C63,$C$7:$C$48,_xlfn.XLOOKUP(AR$61,$D$6:$AS$6,$D$7:$AS$48))</f>
        <v>41612.685146271499</v>
      </c>
      <c r="AS63" cm="1">
        <f t="array" ref="AS63">_xlfn.XLOOKUP($C63,$C$7:$C$48,_xlfn.XLOOKUP(AS$61,$D$6:$AS$6,$D$7:$AS$48))</f>
        <v>326757.72811334702</v>
      </c>
      <c r="AT63">
        <f t="shared" ref="AT63:AT103" si="3">_xlfn.XLOOKUP($C63,$C$7:$C$48,$AT$7:$AT$48)</f>
        <v>251150170.0149</v>
      </c>
      <c r="AU63" cm="1">
        <f t="array" ref="AU63">_xlfn.XLOOKUP(AU$60,$AU$6:$BF$6,_xlfn.XLOOKUP($C63,$C$7:$C$48,$AU$7:$BF$48))</f>
        <v>753293.48323987797</v>
      </c>
      <c r="AV63" cm="1">
        <f t="array" ref="AV63">_xlfn.XLOOKUP(AV$60,$AU$6:$BF$6,_xlfn.XLOOKUP($C63,$C$7:$C$48,$AU$7:$BF$48))</f>
        <v>468986.09634170099</v>
      </c>
      <c r="AW63" cm="1">
        <f t="array" ref="AW63">_xlfn.XLOOKUP(AW$60,$AU$6:$BF$6,_xlfn.XLOOKUP($C63,$C$7:$C$48,$AU$7:$BF$48))</f>
        <v>1222279.5795815799</v>
      </c>
      <c r="AX63" cm="1">
        <f t="array" ref="AX63">_xlfn.XLOOKUP(AX$60,$AU$6:$BF$6,_xlfn.XLOOKUP($C63,$C$7:$C$48,$AU$7:$BF$48))</f>
        <v>0</v>
      </c>
      <c r="AY63" cm="1">
        <f t="array" ref="AY63">_xlfn.XLOOKUP(AY$60,$AU$6:$BF$6,_xlfn.XLOOKUP($C63,$C$7:$C$48,$AU$7:$BF$48))</f>
        <v>1222279.5795815799</v>
      </c>
      <c r="AZ63" cm="1">
        <f t="array" ref="AZ63">_xlfn.XLOOKUP(AZ$60,$AU$6:$BF$6,_xlfn.XLOOKUP($C63,$C$7:$C$48,$AU$7:$BF$48))</f>
        <v>0</v>
      </c>
      <c r="BA63" cm="1">
        <f t="array" ref="BA63">_xlfn.XLOOKUP(BA$60,$AU$6:$BF$6,_xlfn.XLOOKUP($C63,$C$7:$C$48,$AU$7:$BF$48))</f>
        <v>-2627614.6415468901</v>
      </c>
      <c r="BB63" cm="1">
        <f t="array" ref="BB63">_xlfn.XLOOKUP(BB$60,$AU$6:$BF$6,_xlfn.XLOOKUP($C63,$C$7:$C$48,$AU$7:$BF$48))</f>
        <v>-2627614.6415468901</v>
      </c>
      <c r="BC63" cm="1">
        <f t="array" ref="BC63">_xlfn.XLOOKUP(BC$60,$AU$6:$BF$6,_xlfn.XLOOKUP($C63,$C$7:$C$48,$AU$7:$BF$48))</f>
        <v>260795.53562456899</v>
      </c>
      <c r="BD63" cm="1">
        <f t="array" ref="BD63">_xlfn.XLOOKUP(BD$60,$AU$6:$BF$6,_xlfn.XLOOKUP($C63,$C$7:$C$48,$AU$7:$BF$48))</f>
        <v>-1144539.52634074</v>
      </c>
      <c r="BE63" cm="1">
        <f t="array" ref="BE63">_xlfn.XLOOKUP(BE$60,$AU$6:$BF$6,_xlfn.XLOOKUP($C63,$C$7:$C$48,$AU$7:$BF$48))</f>
        <v>14933018.4856</v>
      </c>
      <c r="BF63" cm="1">
        <f t="array" ref="BF63">_xlfn.XLOOKUP(BF$60,$AU$6:$BF$6,_xlfn.XLOOKUP($C63,$C$7:$C$48,$AU$7:$BF$48))</f>
        <v>235072612.00295901</v>
      </c>
      <c r="BH63">
        <f t="shared" si="2"/>
        <v>249744834.95293468</v>
      </c>
      <c r="BJ63">
        <f t="shared" ref="BJ63:BJ103" si="4">BE63/BH63</f>
        <v>5.9793102381533465E-2</v>
      </c>
    </row>
    <row r="64" spans="1:62" x14ac:dyDescent="0.25">
      <c r="C64" s="36" t="s">
        <v>72</v>
      </c>
      <c r="D64" cm="1">
        <f t="array" ref="D64">_xlfn.XLOOKUP($C64,$C$7:$C$48,_xlfn.XLOOKUP(D$61,$D$6:$AS$6,$D$7:$AS$48))</f>
        <v>0</v>
      </c>
      <c r="E64" cm="1">
        <f t="array" ref="E64">_xlfn.XLOOKUP($C64,$C$7:$C$48,_xlfn.XLOOKUP(E$61,$D$6:$AS$6,$D$7:$AS$48))</f>
        <v>44377.409200752503</v>
      </c>
      <c r="F64" cm="1">
        <f t="array" ref="F64">_xlfn.XLOOKUP($C64,$C$7:$C$48,_xlfn.XLOOKUP(F$61,$D$6:$AS$6,$D$7:$AS$48))</f>
        <v>535454.38845314702</v>
      </c>
      <c r="G64" cm="1">
        <f t="array" ref="G64">_xlfn.XLOOKUP($C64,$C$7:$C$48,_xlfn.XLOOKUP(G$61,$D$6:$AS$6,$D$7:$AS$48))</f>
        <v>31524.5192237171</v>
      </c>
      <c r="H64" cm="1">
        <f t="array" ref="H64">_xlfn.XLOOKUP($C64,$C$7:$C$48,_xlfn.XLOOKUP(H$61,$D$6:$AS$6,$D$7:$AS$48))</f>
        <v>15664.728389906701</v>
      </c>
      <c r="I64" cm="1">
        <f t="array" ref="I64">_xlfn.XLOOKUP($C64,$C$7:$C$48,_xlfn.XLOOKUP(I$61,$D$6:$AS$6,$D$7:$AS$48))</f>
        <v>0</v>
      </c>
      <c r="J64" cm="1">
        <f t="array" ref="J64">_xlfn.XLOOKUP($C64,$C$7:$C$48,_xlfn.XLOOKUP(J$61,$D$6:$AS$6,$D$7:$AS$48))</f>
        <v>0</v>
      </c>
      <c r="K64" cm="1">
        <f t="array" ref="K64">_xlfn.XLOOKUP($C64,$C$7:$C$48,_xlfn.XLOOKUP(K$61,$D$6:$AS$6,$D$7:$AS$48))</f>
        <v>0</v>
      </c>
      <c r="L64" cm="1">
        <f t="array" ref="L64">_xlfn.XLOOKUP($C64,$C$7:$C$48,_xlfn.XLOOKUP(L$61,$D$6:$AS$6,$D$7:$AS$48))</f>
        <v>59261.942827036197</v>
      </c>
      <c r="M64" cm="1">
        <f t="array" ref="M64">_xlfn.XLOOKUP($C64,$C$7:$C$48,_xlfn.XLOOKUP(M$61,$D$6:$AS$6,$D$7:$AS$48))</f>
        <v>187886293.75204399</v>
      </c>
      <c r="N64" cm="1">
        <f t="array" ref="N64">_xlfn.XLOOKUP($C64,$C$7:$C$48,_xlfn.XLOOKUP(N$61,$D$6:$AS$6,$D$7:$AS$48))</f>
        <v>16889359.6350297</v>
      </c>
      <c r="O64" cm="1">
        <f t="array" ref="O64">_xlfn.XLOOKUP($C64,$C$7:$C$48,_xlfn.XLOOKUP(O$61,$D$6:$AS$6,$D$7:$AS$48))</f>
        <v>26683.811355182301</v>
      </c>
      <c r="P64" cm="1">
        <f t="array" ref="P64">_xlfn.XLOOKUP($C64,$C$7:$C$48,_xlfn.XLOOKUP(P$61,$D$6:$AS$6,$D$7:$AS$48))</f>
        <v>822898.05516862404</v>
      </c>
      <c r="Q64" cm="1">
        <f t="array" ref="Q64">_xlfn.XLOOKUP($C64,$C$7:$C$48,_xlfn.XLOOKUP(Q$61,$D$6:$AS$6,$D$7:$AS$48))</f>
        <v>372468.27386265399</v>
      </c>
      <c r="R64" cm="1">
        <f t="array" ref="R64">_xlfn.XLOOKUP($C64,$C$7:$C$48,_xlfn.XLOOKUP(R$61,$D$6:$AS$6,$D$7:$AS$48))</f>
        <v>1363725.1848709099</v>
      </c>
      <c r="S64" cm="1">
        <f t="array" ref="S64">_xlfn.XLOOKUP($C64,$C$7:$C$48,_xlfn.XLOOKUP(S$61,$D$6:$AS$6,$D$7:$AS$48))</f>
        <v>372310.778593975</v>
      </c>
      <c r="T64" cm="1">
        <f t="array" ref="T64">_xlfn.XLOOKUP($C64,$C$7:$C$48,_xlfn.XLOOKUP(T$61,$D$6:$AS$6,$D$7:$AS$48))</f>
        <v>752409.26404975797</v>
      </c>
      <c r="U64" cm="1">
        <f t="array" ref="U64">_xlfn.XLOOKUP($C64,$C$7:$C$48,_xlfn.XLOOKUP(U$61,$D$6:$AS$6,$D$7:$AS$48))</f>
        <v>586961.70180362405</v>
      </c>
      <c r="V64" cm="1">
        <f t="array" ref="V64">_xlfn.XLOOKUP($C64,$C$7:$C$48,_xlfn.XLOOKUP(V$61,$D$6:$AS$6,$D$7:$AS$48))</f>
        <v>0</v>
      </c>
      <c r="W64" cm="1">
        <f t="array" ref="W64">_xlfn.XLOOKUP($C64,$C$7:$C$48,_xlfn.XLOOKUP(W$61,$D$6:$AS$6,$D$7:$AS$48))</f>
        <v>68067.404685126705</v>
      </c>
      <c r="X64" cm="1">
        <f t="array" ref="X64">_xlfn.XLOOKUP($C64,$C$7:$C$48,_xlfn.XLOOKUP(X$61,$D$6:$AS$6,$D$7:$AS$48))</f>
        <v>564473.99473040295</v>
      </c>
      <c r="Y64" cm="1">
        <f t="array" ref="Y64">_xlfn.XLOOKUP($C64,$C$7:$C$48,_xlfn.XLOOKUP(Y$61,$D$6:$AS$6,$D$7:$AS$48))</f>
        <v>425241.52690250898</v>
      </c>
      <c r="Z64" cm="1">
        <f t="array" ref="Z64">_xlfn.XLOOKUP($C64,$C$7:$C$48,_xlfn.XLOOKUP(Z$61,$D$6:$AS$6,$D$7:$AS$48))</f>
        <v>143883.096274343</v>
      </c>
      <c r="AA64" cm="1">
        <f t="array" ref="AA64">_xlfn.XLOOKUP($C64,$C$7:$C$48,_xlfn.XLOOKUP(AA$61,$D$6:$AS$6,$D$7:$AS$48))</f>
        <v>0</v>
      </c>
      <c r="AB64" cm="1">
        <f t="array" ref="AB64">_xlfn.XLOOKUP($C64,$C$7:$C$48,_xlfn.XLOOKUP(AB$61,$D$6:$AS$6,$D$7:$AS$48))</f>
        <v>6735286.1471629096</v>
      </c>
      <c r="AC64" cm="1">
        <f t="array" ref="AC64">_xlfn.XLOOKUP($C64,$C$7:$C$48,_xlfn.XLOOKUP(AC$61,$D$6:$AS$6,$D$7:$AS$48))</f>
        <v>33825563.811464399</v>
      </c>
      <c r="AD64" cm="1">
        <f t="array" ref="AD64">_xlfn.XLOOKUP($C64,$C$7:$C$48,_xlfn.XLOOKUP(AD$61,$D$6:$AS$6,$D$7:$AS$48))</f>
        <v>0</v>
      </c>
      <c r="AE64" cm="1">
        <f t="array" ref="AE64">_xlfn.XLOOKUP($C64,$C$7:$C$48,_xlfn.XLOOKUP(AE$61,$D$6:$AS$6,$D$7:$AS$48))</f>
        <v>0</v>
      </c>
      <c r="AF64" cm="1">
        <f t="array" ref="AF64">_xlfn.XLOOKUP($C64,$C$7:$C$48,_xlfn.XLOOKUP(AF$61,$D$6:$AS$6,$D$7:$AS$48))</f>
        <v>0</v>
      </c>
      <c r="AG64" cm="1">
        <f t="array" ref="AG64">_xlfn.XLOOKUP($C64,$C$7:$C$48,_xlfn.XLOOKUP(AG$61,$D$6:$AS$6,$D$7:$AS$48))</f>
        <v>487.91952830347202</v>
      </c>
      <c r="AH64" cm="1">
        <f t="array" ref="AH64">_xlfn.XLOOKUP($C64,$C$7:$C$48,_xlfn.XLOOKUP(AH$61,$D$6:$AS$6,$D$7:$AS$48))</f>
        <v>0</v>
      </c>
      <c r="AI64" cm="1">
        <f t="array" ref="AI64">_xlfn.XLOOKUP($C64,$C$7:$C$48,_xlfn.XLOOKUP(AI$61,$D$6:$AS$6,$D$7:$AS$48))</f>
        <v>0</v>
      </c>
      <c r="AJ64" cm="1">
        <f t="array" ref="AJ64">_xlfn.XLOOKUP($C64,$C$7:$C$48,_xlfn.XLOOKUP(AJ$61,$D$6:$AS$6,$D$7:$AS$48))</f>
        <v>0</v>
      </c>
      <c r="AK64" cm="1">
        <f t="array" ref="AK64">_xlfn.XLOOKUP($C64,$C$7:$C$48,_xlfn.XLOOKUP(AK$61,$D$6:$AS$6,$D$7:$AS$48))</f>
        <v>2507.1571750275598</v>
      </c>
      <c r="AL64" cm="1">
        <f t="array" ref="AL64">_xlfn.XLOOKUP($C64,$C$7:$C$48,_xlfn.XLOOKUP(AL$61,$D$6:$AS$6,$D$7:$AS$48))</f>
        <v>0</v>
      </c>
      <c r="AM64" cm="1">
        <f t="array" ref="AM64">_xlfn.XLOOKUP($C64,$C$7:$C$48,_xlfn.XLOOKUP(AM$61,$D$6:$AS$6,$D$7:$AS$48))</f>
        <v>0</v>
      </c>
      <c r="AN64" cm="1">
        <f t="array" ref="AN64">_xlfn.XLOOKUP($C64,$C$7:$C$48,_xlfn.XLOOKUP(AN$61,$D$6:$AS$6,$D$7:$AS$48))</f>
        <v>0</v>
      </c>
      <c r="AO64" cm="1">
        <f t="array" ref="AO64">_xlfn.XLOOKUP($C64,$C$7:$C$48,_xlfn.XLOOKUP(AO$61,$D$6:$AS$6,$D$7:$AS$48))</f>
        <v>48307.892179915703</v>
      </c>
      <c r="AP64" cm="1">
        <f t="array" ref="AP64">_xlfn.XLOOKUP($C64,$C$7:$C$48,_xlfn.XLOOKUP(AP$61,$D$6:$AS$6,$D$7:$AS$48))</f>
        <v>0</v>
      </c>
      <c r="AQ64" cm="1">
        <f t="array" ref="AQ64">_xlfn.XLOOKUP($C64,$C$7:$C$48,_xlfn.XLOOKUP(AQ$61,$D$6:$AS$6,$D$7:$AS$48))</f>
        <v>34579.890377714801</v>
      </c>
      <c r="AR64" cm="1">
        <f t="array" ref="AR64">_xlfn.XLOOKUP($C64,$C$7:$C$48,_xlfn.XLOOKUP(AR$61,$D$6:$AS$6,$D$7:$AS$48))</f>
        <v>1756.02572738146</v>
      </c>
      <c r="AS64" cm="1">
        <f t="array" ref="AS64">_xlfn.XLOOKUP($C64,$C$7:$C$48,_xlfn.XLOOKUP(AS$61,$D$6:$AS$6,$D$7:$AS$48))</f>
        <v>0</v>
      </c>
      <c r="AT64">
        <f t="shared" si="3"/>
        <v>251609548.31108099</v>
      </c>
      <c r="AU64" cm="1">
        <f t="array" ref="AU64">_xlfn.XLOOKUP(AU$60,$AU$6:$BF$6,_xlfn.XLOOKUP($C64,$C$7:$C$48,$AU$7:$BF$48))</f>
        <v>0</v>
      </c>
      <c r="AV64" cm="1">
        <f t="array" ref="AV64">_xlfn.XLOOKUP(AV$60,$AU$6:$BF$6,_xlfn.XLOOKUP($C64,$C$7:$C$48,$AU$7:$BF$48))</f>
        <v>0</v>
      </c>
      <c r="AW64" cm="1">
        <f t="array" ref="AW64">_xlfn.XLOOKUP(AW$60,$AU$6:$BF$6,_xlfn.XLOOKUP($C64,$C$7:$C$48,$AU$7:$BF$48))</f>
        <v>0</v>
      </c>
      <c r="AX64" cm="1">
        <f t="array" ref="AX64">_xlfn.XLOOKUP(AX$60,$AU$6:$BF$6,_xlfn.XLOOKUP($C64,$C$7:$C$48,$AU$7:$BF$48))</f>
        <v>0</v>
      </c>
      <c r="AY64" cm="1">
        <f t="array" ref="AY64">_xlfn.XLOOKUP(AY$60,$AU$6:$BF$6,_xlfn.XLOOKUP($C64,$C$7:$C$48,$AU$7:$BF$48))</f>
        <v>0</v>
      </c>
      <c r="AZ64" cm="1">
        <f t="array" ref="AZ64">_xlfn.XLOOKUP(AZ$60,$AU$6:$BF$6,_xlfn.XLOOKUP($C64,$C$7:$C$48,$AU$7:$BF$48))</f>
        <v>0</v>
      </c>
      <c r="BA64" cm="1">
        <f t="array" ref="BA64">_xlfn.XLOOKUP(BA$60,$AU$6:$BF$6,_xlfn.XLOOKUP($C64,$C$7:$C$48,$AU$7:$BF$48))</f>
        <v>288640.90826580301</v>
      </c>
      <c r="BB64" cm="1">
        <f t="array" ref="BB64">_xlfn.XLOOKUP(BB$60,$AU$6:$BF$6,_xlfn.XLOOKUP($C64,$C$7:$C$48,$AU$7:$BF$48))</f>
        <v>288640.90826580301</v>
      </c>
      <c r="BC64" cm="1">
        <f t="array" ref="BC64">_xlfn.XLOOKUP(BC$60,$AU$6:$BF$6,_xlfn.XLOOKUP($C64,$C$7:$C$48,$AU$7:$BF$48))</f>
        <v>1085317.43329964</v>
      </c>
      <c r="BD64" cm="1">
        <f t="array" ref="BD64">_xlfn.XLOOKUP(BD$60,$AU$6:$BF$6,_xlfn.XLOOKUP($C64,$C$7:$C$48,$AU$7:$BF$48))</f>
        <v>1373958.3415654399</v>
      </c>
      <c r="BE64" cm="1">
        <f t="array" ref="BE64">_xlfn.XLOOKUP(BE$60,$AU$6:$BF$6,_xlfn.XLOOKUP($C64,$C$7:$C$48,$AU$7:$BF$48))</f>
        <v>145293939.37647599</v>
      </c>
      <c r="BF64" cm="1">
        <f t="array" ref="BF64">_xlfn.XLOOKUP(BF$60,$AU$6:$BF$6,_xlfn.XLOOKUP($C64,$C$7:$C$48,$AU$7:$BF$48))</f>
        <v>107689567.27617</v>
      </c>
      <c r="BH64">
        <f t="shared" si="2"/>
        <v>251898189.21934679</v>
      </c>
      <c r="BJ64">
        <f t="shared" si="4"/>
        <v>0.57679628355707457</v>
      </c>
    </row>
    <row r="65" spans="2:62" x14ac:dyDescent="0.25">
      <c r="C65" s="36" t="s">
        <v>73</v>
      </c>
      <c r="D65" cm="1">
        <f t="array" ref="D65">_xlfn.XLOOKUP($C65,$C$7:$C$48,_xlfn.XLOOKUP(D$61,$D$6:$AS$6,$D$7:$AS$48))</f>
        <v>2307.8115185747502</v>
      </c>
      <c r="E65" cm="1">
        <f t="array" ref="E65">_xlfn.XLOOKUP($C65,$C$7:$C$48,_xlfn.XLOOKUP(E$61,$D$6:$AS$6,$D$7:$AS$48))</f>
        <v>45270.045796420804</v>
      </c>
      <c r="F65" cm="1">
        <f t="array" ref="F65">_xlfn.XLOOKUP($C65,$C$7:$C$48,_xlfn.XLOOKUP(F$61,$D$6:$AS$6,$D$7:$AS$48))</f>
        <v>20550.067837663199</v>
      </c>
      <c r="G65" cm="1">
        <f t="array" ref="G65">_xlfn.XLOOKUP($C65,$C$7:$C$48,_xlfn.XLOOKUP(G$61,$D$6:$AS$6,$D$7:$AS$48))</f>
        <v>12059564.9586758</v>
      </c>
      <c r="H65" cm="1">
        <f t="array" ref="H65">_xlfn.XLOOKUP($C65,$C$7:$C$48,_xlfn.XLOOKUP(H$61,$D$6:$AS$6,$D$7:$AS$48))</f>
        <v>74468.260627687894</v>
      </c>
      <c r="I65" cm="1">
        <f t="array" ref="I65">_xlfn.XLOOKUP($C65,$C$7:$C$48,_xlfn.XLOOKUP(I$61,$D$6:$AS$6,$D$7:$AS$48))</f>
        <v>62486.303967056097</v>
      </c>
      <c r="J65" cm="1">
        <f t="array" ref="J65">_xlfn.XLOOKUP($C65,$C$7:$C$48,_xlfn.XLOOKUP(J$61,$D$6:$AS$6,$D$7:$AS$48))</f>
        <v>20915.9223997197</v>
      </c>
      <c r="K65" cm="1">
        <f t="array" ref="K65">_xlfn.XLOOKUP($C65,$C$7:$C$48,_xlfn.XLOOKUP(K$61,$D$6:$AS$6,$D$7:$AS$48))</f>
        <v>14130.600939591101</v>
      </c>
      <c r="L65" cm="1">
        <f t="array" ref="L65">_xlfn.XLOOKUP($C65,$C$7:$C$48,_xlfn.XLOOKUP(L$61,$D$6:$AS$6,$D$7:$AS$48))</f>
        <v>917816.88813265401</v>
      </c>
      <c r="M65" cm="1">
        <f t="array" ref="M65">_xlfn.XLOOKUP($C65,$C$7:$C$48,_xlfn.XLOOKUP(M$61,$D$6:$AS$6,$D$7:$AS$48))</f>
        <v>351666.07211173401</v>
      </c>
      <c r="N65" cm="1">
        <f t="array" ref="N65">_xlfn.XLOOKUP($C65,$C$7:$C$48,_xlfn.XLOOKUP(N$61,$D$6:$AS$6,$D$7:$AS$48))</f>
        <v>13663939.405401301</v>
      </c>
      <c r="O65" cm="1">
        <f t="array" ref="O65">_xlfn.XLOOKUP($C65,$C$7:$C$48,_xlfn.XLOOKUP(O$61,$D$6:$AS$6,$D$7:$AS$48))</f>
        <v>218560.812755461</v>
      </c>
      <c r="P65" cm="1">
        <f t="array" ref="P65">_xlfn.XLOOKUP($C65,$C$7:$C$48,_xlfn.XLOOKUP(P$61,$D$6:$AS$6,$D$7:$AS$48))</f>
        <v>57763.343714702503</v>
      </c>
      <c r="Q65" cm="1">
        <f t="array" ref="Q65">_xlfn.XLOOKUP($C65,$C$7:$C$48,_xlfn.XLOOKUP(Q$61,$D$6:$AS$6,$D$7:$AS$48))</f>
        <v>122513.00041072399</v>
      </c>
      <c r="R65" cm="1">
        <f t="array" ref="R65">_xlfn.XLOOKUP($C65,$C$7:$C$48,_xlfn.XLOOKUP(R$61,$D$6:$AS$6,$D$7:$AS$48))</f>
        <v>51091548.573826402</v>
      </c>
      <c r="S65" cm="1">
        <f t="array" ref="S65">_xlfn.XLOOKUP($C65,$C$7:$C$48,_xlfn.XLOOKUP(S$61,$D$6:$AS$6,$D$7:$AS$48))</f>
        <v>132438838.939999</v>
      </c>
      <c r="T65" cm="1">
        <f t="array" ref="T65">_xlfn.XLOOKUP($C65,$C$7:$C$48,_xlfn.XLOOKUP(T$61,$D$6:$AS$6,$D$7:$AS$48))</f>
        <v>78502942.851173803</v>
      </c>
      <c r="U65" cm="1">
        <f t="array" ref="U65">_xlfn.XLOOKUP($C65,$C$7:$C$48,_xlfn.XLOOKUP(U$61,$D$6:$AS$6,$D$7:$AS$48))</f>
        <v>6503772.5155035397</v>
      </c>
      <c r="V65" cm="1">
        <f t="array" ref="V65">_xlfn.XLOOKUP($C65,$C$7:$C$48,_xlfn.XLOOKUP(V$61,$D$6:$AS$6,$D$7:$AS$48))</f>
        <v>90520.249422050794</v>
      </c>
      <c r="W65" cm="1">
        <f t="array" ref="W65">_xlfn.XLOOKUP($C65,$C$7:$C$48,_xlfn.XLOOKUP(W$61,$D$6:$AS$6,$D$7:$AS$48))</f>
        <v>614877.85152406897</v>
      </c>
      <c r="X65" cm="1">
        <f t="array" ref="X65">_xlfn.XLOOKUP($C65,$C$7:$C$48,_xlfn.XLOOKUP(X$61,$D$6:$AS$6,$D$7:$AS$48))</f>
        <v>64839.412482434498</v>
      </c>
      <c r="Y65" cm="1">
        <f t="array" ref="Y65">_xlfn.XLOOKUP($C65,$C$7:$C$48,_xlfn.XLOOKUP(Y$61,$D$6:$AS$6,$D$7:$AS$48))</f>
        <v>165447.67931237299</v>
      </c>
      <c r="Z65" cm="1">
        <f t="array" ref="Z65">_xlfn.XLOOKUP($C65,$C$7:$C$48,_xlfn.XLOOKUP(Z$61,$D$6:$AS$6,$D$7:$AS$48))</f>
        <v>51425.008783817597</v>
      </c>
      <c r="AA65" cm="1">
        <f t="array" ref="AA65">_xlfn.XLOOKUP($C65,$C$7:$C$48,_xlfn.XLOOKUP(AA$61,$D$6:$AS$6,$D$7:$AS$48))</f>
        <v>56747.978985439899</v>
      </c>
      <c r="AB65" cm="1">
        <f t="array" ref="AB65">_xlfn.XLOOKUP($C65,$C$7:$C$48,_xlfn.XLOOKUP(AB$61,$D$6:$AS$6,$D$7:$AS$48))</f>
        <v>106588.815233874</v>
      </c>
      <c r="AC65" cm="1">
        <f t="array" ref="AC65">_xlfn.XLOOKUP($C65,$C$7:$C$48,_xlfn.XLOOKUP(AC$61,$D$6:$AS$6,$D$7:$AS$48))</f>
        <v>0</v>
      </c>
      <c r="AD65" cm="1">
        <f t="array" ref="AD65">_xlfn.XLOOKUP($C65,$C$7:$C$48,_xlfn.XLOOKUP(AD$61,$D$6:$AS$6,$D$7:$AS$48))</f>
        <v>0</v>
      </c>
      <c r="AE65" cm="1">
        <f t="array" ref="AE65">_xlfn.XLOOKUP($C65,$C$7:$C$48,_xlfn.XLOOKUP(AE$61,$D$6:$AS$6,$D$7:$AS$48))</f>
        <v>24113818.501206901</v>
      </c>
      <c r="AF65" cm="1">
        <f t="array" ref="AF65">_xlfn.XLOOKUP($C65,$C$7:$C$48,_xlfn.XLOOKUP(AF$61,$D$6:$AS$6,$D$7:$AS$48))</f>
        <v>60555.457465035601</v>
      </c>
      <c r="AG65" cm="1">
        <f t="array" ref="AG65">_xlfn.XLOOKUP($C65,$C$7:$C$48,_xlfn.XLOOKUP(AG$61,$D$6:$AS$6,$D$7:$AS$48))</f>
        <v>179268.14835334101</v>
      </c>
      <c r="AH65" cm="1">
        <f t="array" ref="AH65">_xlfn.XLOOKUP($C65,$C$7:$C$48,_xlfn.XLOOKUP(AH$61,$D$6:$AS$6,$D$7:$AS$48))</f>
        <v>4016.8528267524398</v>
      </c>
      <c r="AI65" cm="1">
        <f t="array" ref="AI65">_xlfn.XLOOKUP($C65,$C$7:$C$48,_xlfn.XLOOKUP(AI$61,$D$6:$AS$6,$D$7:$AS$48))</f>
        <v>87.113671940353896</v>
      </c>
      <c r="AJ65" cm="1">
        <f t="array" ref="AJ65">_xlfn.XLOOKUP($C65,$C$7:$C$48,_xlfn.XLOOKUP(AJ$61,$D$6:$AS$6,$D$7:$AS$48))</f>
        <v>1678.8513859603499</v>
      </c>
      <c r="AK65" cm="1">
        <f t="array" ref="AK65">_xlfn.XLOOKUP($C65,$C$7:$C$48,_xlfn.XLOOKUP(AK$61,$D$6:$AS$6,$D$7:$AS$48))</f>
        <v>333550.55546202097</v>
      </c>
      <c r="AL65" cm="1">
        <f t="array" ref="AL65">_xlfn.XLOOKUP($C65,$C$7:$C$48,_xlfn.XLOOKUP(AL$61,$D$6:$AS$6,$D$7:$AS$48))</f>
        <v>747.23882856312105</v>
      </c>
      <c r="AM65" cm="1">
        <f t="array" ref="AM65">_xlfn.XLOOKUP($C65,$C$7:$C$48,_xlfn.XLOOKUP(AM$61,$D$6:$AS$6,$D$7:$AS$48))</f>
        <v>376.87523853913302</v>
      </c>
      <c r="AN65" cm="1">
        <f t="array" ref="AN65">_xlfn.XLOOKUP($C65,$C$7:$C$48,_xlfn.XLOOKUP(AN$61,$D$6:$AS$6,$D$7:$AS$48))</f>
        <v>3880.5923173810202</v>
      </c>
      <c r="AO65" cm="1">
        <f t="array" ref="AO65">_xlfn.XLOOKUP($C65,$C$7:$C$48,_xlfn.XLOOKUP(AO$61,$D$6:$AS$6,$D$7:$AS$48))</f>
        <v>31541.5542402049</v>
      </c>
      <c r="AP65" cm="1">
        <f t="array" ref="AP65">_xlfn.XLOOKUP($C65,$C$7:$C$48,_xlfn.XLOOKUP(AP$61,$D$6:$AS$6,$D$7:$AS$48))</f>
        <v>2965.11773276757</v>
      </c>
      <c r="AQ65" cm="1">
        <f t="array" ref="AQ65">_xlfn.XLOOKUP($C65,$C$7:$C$48,_xlfn.XLOOKUP(AQ$61,$D$6:$AS$6,$D$7:$AS$48))</f>
        <v>1023.05544281491</v>
      </c>
      <c r="AR65" cm="1">
        <f t="array" ref="AR65">_xlfn.XLOOKUP($C65,$C$7:$C$48,_xlfn.XLOOKUP(AR$61,$D$6:$AS$6,$D$7:$AS$48))</f>
        <v>5435.0280575937004</v>
      </c>
      <c r="AS65" cm="1">
        <f t="array" ref="AS65">_xlfn.XLOOKUP($C65,$C$7:$C$48,_xlfn.XLOOKUP(AS$61,$D$6:$AS$6,$D$7:$AS$48))</f>
        <v>3727.6437269153698</v>
      </c>
      <c r="AT65">
        <f t="shared" si="3"/>
        <v>322048045.35555297</v>
      </c>
      <c r="AU65" cm="1">
        <f t="array" ref="AU65">_xlfn.XLOOKUP(AU$60,$AU$6:$BF$6,_xlfn.XLOOKUP($C65,$C$7:$C$48,$AU$7:$BF$48))</f>
        <v>0</v>
      </c>
      <c r="AV65" cm="1">
        <f t="array" ref="AV65">_xlfn.XLOOKUP(AV$60,$AU$6:$BF$6,_xlfn.XLOOKUP($C65,$C$7:$C$48,$AU$7:$BF$48))</f>
        <v>0</v>
      </c>
      <c r="AW65" cm="1">
        <f t="array" ref="AW65">_xlfn.XLOOKUP(AW$60,$AU$6:$BF$6,_xlfn.XLOOKUP($C65,$C$7:$C$48,$AU$7:$BF$48))</f>
        <v>0</v>
      </c>
      <c r="AX65" cm="1">
        <f t="array" ref="AX65">_xlfn.XLOOKUP(AX$60,$AU$6:$BF$6,_xlfn.XLOOKUP($C65,$C$7:$C$48,$AU$7:$BF$48))</f>
        <v>0</v>
      </c>
      <c r="AY65" cm="1">
        <f t="array" ref="AY65">_xlfn.XLOOKUP(AY$60,$AU$6:$BF$6,_xlfn.XLOOKUP($C65,$C$7:$C$48,$AU$7:$BF$48))</f>
        <v>0</v>
      </c>
      <c r="AZ65" cm="1">
        <f t="array" ref="AZ65">_xlfn.XLOOKUP(AZ$60,$AU$6:$BF$6,_xlfn.XLOOKUP($C65,$C$7:$C$48,$AU$7:$BF$48))</f>
        <v>0</v>
      </c>
      <c r="BA65" cm="1">
        <f t="array" ref="BA65">_xlfn.XLOOKUP(BA$60,$AU$6:$BF$6,_xlfn.XLOOKUP($C65,$C$7:$C$48,$AU$7:$BF$48))</f>
        <v>2801192.3120360398</v>
      </c>
      <c r="BB65" cm="1">
        <f t="array" ref="BB65">_xlfn.XLOOKUP(BB$60,$AU$6:$BF$6,_xlfn.XLOOKUP($C65,$C$7:$C$48,$AU$7:$BF$48))</f>
        <v>2801192.3120360398</v>
      </c>
      <c r="BC65" cm="1">
        <f t="array" ref="BC65">_xlfn.XLOOKUP(BC$60,$AU$6:$BF$6,_xlfn.XLOOKUP($C65,$C$7:$C$48,$AU$7:$BF$48))</f>
        <v>3333103.89853743</v>
      </c>
      <c r="BD65" cm="1">
        <f t="array" ref="BD65">_xlfn.XLOOKUP(BD$60,$AU$6:$BF$6,_xlfn.XLOOKUP($C65,$C$7:$C$48,$AU$7:$BF$48))</f>
        <v>6134296.2105734702</v>
      </c>
      <c r="BE65" cm="1">
        <f t="array" ref="BE65">_xlfn.XLOOKUP(BE$60,$AU$6:$BF$6,_xlfn.XLOOKUP($C65,$C$7:$C$48,$AU$7:$BF$48))</f>
        <v>134647742.327847</v>
      </c>
      <c r="BF65" cm="1">
        <f t="array" ref="BF65">_xlfn.XLOOKUP(BF$60,$AU$6:$BF$6,_xlfn.XLOOKUP($C65,$C$7:$C$48,$AU$7:$BF$48))</f>
        <v>193534599.23827901</v>
      </c>
      <c r="BH65">
        <f t="shared" si="2"/>
        <v>324849237.66758901</v>
      </c>
      <c r="BJ65">
        <f t="shared" si="4"/>
        <v>0.41449302234665869</v>
      </c>
    </row>
    <row r="66" spans="2:62" x14ac:dyDescent="0.25">
      <c r="C66" s="36" t="s">
        <v>74</v>
      </c>
      <c r="D66" cm="1">
        <f t="array" ref="D66">_xlfn.XLOOKUP($C66,$C$7:$C$48,_xlfn.XLOOKUP(D$61,$D$6:$AS$6,$D$7:$AS$48))</f>
        <v>0</v>
      </c>
      <c r="E66" cm="1">
        <f t="array" ref="E66">_xlfn.XLOOKUP($C66,$C$7:$C$48,_xlfn.XLOOKUP(E$61,$D$6:$AS$6,$D$7:$AS$48))</f>
        <v>1372272.5958966599</v>
      </c>
      <c r="F66" cm="1">
        <f t="array" ref="F66">_xlfn.XLOOKUP($C66,$C$7:$C$48,_xlfn.XLOOKUP(F$61,$D$6:$AS$6,$D$7:$AS$48))</f>
        <v>16942467.356343601</v>
      </c>
      <c r="G66" cm="1">
        <f t="array" ref="G66">_xlfn.XLOOKUP($C66,$C$7:$C$48,_xlfn.XLOOKUP(G$61,$D$6:$AS$6,$D$7:$AS$48))</f>
        <v>1047957.68174087</v>
      </c>
      <c r="H66" cm="1">
        <f t="array" ref="H66">_xlfn.XLOOKUP($C66,$C$7:$C$48,_xlfn.XLOOKUP(H$61,$D$6:$AS$6,$D$7:$AS$48))</f>
        <v>177012.61799321501</v>
      </c>
      <c r="I66" cm="1">
        <f t="array" ref="I66">_xlfn.XLOOKUP($C66,$C$7:$C$48,_xlfn.XLOOKUP(I$61,$D$6:$AS$6,$D$7:$AS$48))</f>
        <v>466046.58840800601</v>
      </c>
      <c r="J66" cm="1">
        <f t="array" ref="J66">_xlfn.XLOOKUP($C66,$C$7:$C$48,_xlfn.XLOOKUP(J$61,$D$6:$AS$6,$D$7:$AS$48))</f>
        <v>0</v>
      </c>
      <c r="K66" cm="1">
        <f t="array" ref="K66">_xlfn.XLOOKUP($C66,$C$7:$C$48,_xlfn.XLOOKUP(K$61,$D$6:$AS$6,$D$7:$AS$48))</f>
        <v>0</v>
      </c>
      <c r="L66" cm="1">
        <f t="array" ref="L66">_xlfn.XLOOKUP($C66,$C$7:$C$48,_xlfn.XLOOKUP(L$61,$D$6:$AS$6,$D$7:$AS$48))</f>
        <v>0</v>
      </c>
      <c r="M66" cm="1">
        <f t="array" ref="M66">_xlfn.XLOOKUP($C66,$C$7:$C$48,_xlfn.XLOOKUP(M$61,$D$6:$AS$6,$D$7:$AS$48))</f>
        <v>0</v>
      </c>
      <c r="N66" cm="1">
        <f t="array" ref="N66">_xlfn.XLOOKUP($C66,$C$7:$C$48,_xlfn.XLOOKUP(N$61,$D$6:$AS$6,$D$7:$AS$48))</f>
        <v>0</v>
      </c>
      <c r="O66" cm="1">
        <f t="array" ref="O66">_xlfn.XLOOKUP($C66,$C$7:$C$48,_xlfn.XLOOKUP(O$61,$D$6:$AS$6,$D$7:$AS$48))</f>
        <v>0</v>
      </c>
      <c r="P66" cm="1">
        <f t="array" ref="P66">_xlfn.XLOOKUP($C66,$C$7:$C$48,_xlfn.XLOOKUP(P$61,$D$6:$AS$6,$D$7:$AS$48))</f>
        <v>0</v>
      </c>
      <c r="Q66" cm="1">
        <f t="array" ref="Q66">_xlfn.XLOOKUP($C66,$C$7:$C$48,_xlfn.XLOOKUP(Q$61,$D$6:$AS$6,$D$7:$AS$48))</f>
        <v>0</v>
      </c>
      <c r="R66" cm="1">
        <f t="array" ref="R66">_xlfn.XLOOKUP($C66,$C$7:$C$48,_xlfn.XLOOKUP(R$61,$D$6:$AS$6,$D$7:$AS$48))</f>
        <v>0</v>
      </c>
      <c r="S66" cm="1">
        <f t="array" ref="S66">_xlfn.XLOOKUP($C66,$C$7:$C$48,_xlfn.XLOOKUP(S$61,$D$6:$AS$6,$D$7:$AS$48))</f>
        <v>0</v>
      </c>
      <c r="T66" cm="1">
        <f t="array" ref="T66">_xlfn.XLOOKUP($C66,$C$7:$C$48,_xlfn.XLOOKUP(T$61,$D$6:$AS$6,$D$7:$AS$48))</f>
        <v>0</v>
      </c>
      <c r="U66" cm="1">
        <f t="array" ref="U66">_xlfn.XLOOKUP($C66,$C$7:$C$48,_xlfn.XLOOKUP(U$61,$D$6:$AS$6,$D$7:$AS$48))</f>
        <v>0</v>
      </c>
      <c r="V66" cm="1">
        <f t="array" ref="V66">_xlfn.XLOOKUP($C66,$C$7:$C$48,_xlfn.XLOOKUP(V$61,$D$6:$AS$6,$D$7:$AS$48))</f>
        <v>12.6722374204862</v>
      </c>
      <c r="W66" cm="1">
        <f t="array" ref="W66">_xlfn.XLOOKUP($C66,$C$7:$C$48,_xlfn.XLOOKUP(W$61,$D$6:$AS$6,$D$7:$AS$48))</f>
        <v>0</v>
      </c>
      <c r="X66" cm="1">
        <f t="array" ref="X66">_xlfn.XLOOKUP($C66,$C$7:$C$48,_xlfn.XLOOKUP(X$61,$D$6:$AS$6,$D$7:$AS$48))</f>
        <v>0</v>
      </c>
      <c r="Y66" cm="1">
        <f t="array" ref="Y66">_xlfn.XLOOKUP($C66,$C$7:$C$48,_xlfn.XLOOKUP(Y$61,$D$6:$AS$6,$D$7:$AS$48))</f>
        <v>0</v>
      </c>
      <c r="Z66" cm="1">
        <f t="array" ref="Z66">_xlfn.XLOOKUP($C66,$C$7:$C$48,_xlfn.XLOOKUP(Z$61,$D$6:$AS$6,$D$7:$AS$48))</f>
        <v>0</v>
      </c>
      <c r="AA66" cm="1">
        <f t="array" ref="AA66">_xlfn.XLOOKUP($C66,$C$7:$C$48,_xlfn.XLOOKUP(AA$61,$D$6:$AS$6,$D$7:$AS$48))</f>
        <v>0</v>
      </c>
      <c r="AB66" cm="1">
        <f t="array" ref="AB66">_xlfn.XLOOKUP($C66,$C$7:$C$48,_xlfn.XLOOKUP(AB$61,$D$6:$AS$6,$D$7:$AS$48))</f>
        <v>231004.90996498999</v>
      </c>
      <c r="AC66" cm="1">
        <f t="array" ref="AC66">_xlfn.XLOOKUP($C66,$C$7:$C$48,_xlfn.XLOOKUP(AC$61,$D$6:$AS$6,$D$7:$AS$48))</f>
        <v>0</v>
      </c>
      <c r="AD66" cm="1">
        <f t="array" ref="AD66">_xlfn.XLOOKUP($C66,$C$7:$C$48,_xlfn.XLOOKUP(AD$61,$D$6:$AS$6,$D$7:$AS$48))</f>
        <v>0</v>
      </c>
      <c r="AE66" cm="1">
        <f t="array" ref="AE66">_xlfn.XLOOKUP($C66,$C$7:$C$48,_xlfn.XLOOKUP(AE$61,$D$6:$AS$6,$D$7:$AS$48))</f>
        <v>0</v>
      </c>
      <c r="AF66" cm="1">
        <f t="array" ref="AF66">_xlfn.XLOOKUP($C66,$C$7:$C$48,_xlfn.XLOOKUP(AF$61,$D$6:$AS$6,$D$7:$AS$48))</f>
        <v>0</v>
      </c>
      <c r="AG66" cm="1">
        <f t="array" ref="AG66">_xlfn.XLOOKUP($C66,$C$7:$C$48,_xlfn.XLOOKUP(AG$61,$D$6:$AS$6,$D$7:$AS$48))</f>
        <v>0</v>
      </c>
      <c r="AH66" cm="1">
        <f t="array" ref="AH66">_xlfn.XLOOKUP($C66,$C$7:$C$48,_xlfn.XLOOKUP(AH$61,$D$6:$AS$6,$D$7:$AS$48))</f>
        <v>0</v>
      </c>
      <c r="AI66" cm="1">
        <f t="array" ref="AI66">_xlfn.XLOOKUP($C66,$C$7:$C$48,_xlfn.XLOOKUP(AI$61,$D$6:$AS$6,$D$7:$AS$48))</f>
        <v>0</v>
      </c>
      <c r="AJ66" cm="1">
        <f t="array" ref="AJ66">_xlfn.XLOOKUP($C66,$C$7:$C$48,_xlfn.XLOOKUP(AJ$61,$D$6:$AS$6,$D$7:$AS$48))</f>
        <v>0</v>
      </c>
      <c r="AK66" cm="1">
        <f t="array" ref="AK66">_xlfn.XLOOKUP($C66,$C$7:$C$48,_xlfn.XLOOKUP(AK$61,$D$6:$AS$6,$D$7:$AS$48))</f>
        <v>0</v>
      </c>
      <c r="AL66" cm="1">
        <f t="array" ref="AL66">_xlfn.XLOOKUP($C66,$C$7:$C$48,_xlfn.XLOOKUP(AL$61,$D$6:$AS$6,$D$7:$AS$48))</f>
        <v>0</v>
      </c>
      <c r="AM66" cm="1">
        <f t="array" ref="AM66">_xlfn.XLOOKUP($C66,$C$7:$C$48,_xlfn.XLOOKUP(AM$61,$D$6:$AS$6,$D$7:$AS$48))</f>
        <v>0</v>
      </c>
      <c r="AN66" cm="1">
        <f t="array" ref="AN66">_xlfn.XLOOKUP($C66,$C$7:$C$48,_xlfn.XLOOKUP(AN$61,$D$6:$AS$6,$D$7:$AS$48))</f>
        <v>0</v>
      </c>
      <c r="AO66" cm="1">
        <f t="array" ref="AO66">_xlfn.XLOOKUP($C66,$C$7:$C$48,_xlfn.XLOOKUP(AO$61,$D$6:$AS$6,$D$7:$AS$48))</f>
        <v>0</v>
      </c>
      <c r="AP66" cm="1">
        <f t="array" ref="AP66">_xlfn.XLOOKUP($C66,$C$7:$C$48,_xlfn.XLOOKUP(AP$61,$D$6:$AS$6,$D$7:$AS$48))</f>
        <v>0</v>
      </c>
      <c r="AQ66" cm="1">
        <f t="array" ref="AQ66">_xlfn.XLOOKUP($C66,$C$7:$C$48,_xlfn.XLOOKUP(AQ$61,$D$6:$AS$6,$D$7:$AS$48))</f>
        <v>0</v>
      </c>
      <c r="AR66" cm="1">
        <f t="array" ref="AR66">_xlfn.XLOOKUP($C66,$C$7:$C$48,_xlfn.XLOOKUP(AR$61,$D$6:$AS$6,$D$7:$AS$48))</f>
        <v>0</v>
      </c>
      <c r="AS66" cm="1">
        <f t="array" ref="AS66">_xlfn.XLOOKUP($C66,$C$7:$C$48,_xlfn.XLOOKUP(AS$61,$D$6:$AS$6,$D$7:$AS$48))</f>
        <v>0</v>
      </c>
      <c r="AT66">
        <f t="shared" si="3"/>
        <v>20236774.422584798</v>
      </c>
      <c r="AU66" cm="1">
        <f t="array" ref="AU66">_xlfn.XLOOKUP(AU$60,$AU$6:$BF$6,_xlfn.XLOOKUP($C66,$C$7:$C$48,$AU$7:$BF$48))</f>
        <v>0</v>
      </c>
      <c r="AV66" cm="1">
        <f t="array" ref="AV66">_xlfn.XLOOKUP(AV$60,$AU$6:$BF$6,_xlfn.XLOOKUP($C66,$C$7:$C$48,$AU$7:$BF$48))</f>
        <v>0</v>
      </c>
      <c r="AW66" cm="1">
        <f t="array" ref="AW66">_xlfn.XLOOKUP(AW$60,$AU$6:$BF$6,_xlfn.XLOOKUP($C66,$C$7:$C$48,$AU$7:$BF$48))</f>
        <v>0</v>
      </c>
      <c r="AX66" cm="1">
        <f t="array" ref="AX66">_xlfn.XLOOKUP(AX$60,$AU$6:$BF$6,_xlfn.XLOOKUP($C66,$C$7:$C$48,$AU$7:$BF$48))</f>
        <v>0</v>
      </c>
      <c r="AY66" cm="1">
        <f t="array" ref="AY66">_xlfn.XLOOKUP(AY$60,$AU$6:$BF$6,_xlfn.XLOOKUP($C66,$C$7:$C$48,$AU$7:$BF$48))</f>
        <v>0</v>
      </c>
      <c r="AZ66" cm="1">
        <f t="array" ref="AZ66">_xlfn.XLOOKUP(AZ$60,$AU$6:$BF$6,_xlfn.XLOOKUP($C66,$C$7:$C$48,$AU$7:$BF$48))</f>
        <v>0</v>
      </c>
      <c r="BA66" cm="1">
        <f t="array" ref="BA66">_xlfn.XLOOKUP(BA$60,$AU$6:$BF$6,_xlfn.XLOOKUP($C66,$C$7:$C$48,$AU$7:$BF$48))</f>
        <v>0</v>
      </c>
      <c r="BB66" cm="1">
        <f t="array" ref="BB66">_xlfn.XLOOKUP(BB$60,$AU$6:$BF$6,_xlfn.XLOOKUP($C66,$C$7:$C$48,$AU$7:$BF$48))</f>
        <v>0</v>
      </c>
      <c r="BC66" cm="1">
        <f t="array" ref="BC66">_xlfn.XLOOKUP(BC$60,$AU$6:$BF$6,_xlfn.XLOOKUP($C66,$C$7:$C$48,$AU$7:$BF$48))</f>
        <v>0</v>
      </c>
      <c r="BD66" cm="1">
        <f t="array" ref="BD66">_xlfn.XLOOKUP(BD$60,$AU$6:$BF$6,_xlfn.XLOOKUP($C66,$C$7:$C$48,$AU$7:$BF$48))</f>
        <v>0</v>
      </c>
      <c r="BE66" cm="1">
        <f t="array" ref="BE66">_xlfn.XLOOKUP(BE$60,$AU$6:$BF$6,_xlfn.XLOOKUP($C66,$C$7:$C$48,$AU$7:$BF$48))</f>
        <v>0</v>
      </c>
      <c r="BF66" cm="1">
        <f t="array" ref="BF66">_xlfn.XLOOKUP(BF$60,$AU$6:$BF$6,_xlfn.XLOOKUP($C66,$C$7:$C$48,$AU$7:$BF$48))</f>
        <v>20236774.422584798</v>
      </c>
      <c r="BH66">
        <f t="shared" si="2"/>
        <v>20236774.422584798</v>
      </c>
      <c r="BJ66">
        <f t="shared" si="4"/>
        <v>0</v>
      </c>
    </row>
    <row r="67" spans="2:62" x14ac:dyDescent="0.25">
      <c r="C67" s="36" t="s">
        <v>75</v>
      </c>
      <c r="D67" cm="1">
        <f t="array" ref="D67">_xlfn.XLOOKUP($C67,$C$7:$C$48,_xlfn.XLOOKUP(D$61,$D$6:$AS$6,$D$7:$AS$48))</f>
        <v>108184867.522413</v>
      </c>
      <c r="E67" cm="1">
        <f t="array" ref="E67">_xlfn.XLOOKUP($C67,$C$7:$C$48,_xlfn.XLOOKUP(E$61,$D$6:$AS$6,$D$7:$AS$48))</f>
        <v>413271.65844336699</v>
      </c>
      <c r="F67" cm="1">
        <f t="array" ref="F67">_xlfn.XLOOKUP($C67,$C$7:$C$48,_xlfn.XLOOKUP(F$61,$D$6:$AS$6,$D$7:$AS$48))</f>
        <v>79328.1272889104</v>
      </c>
      <c r="G67" cm="1">
        <f t="array" ref="G67">_xlfn.XLOOKUP($C67,$C$7:$C$48,_xlfn.XLOOKUP(G$61,$D$6:$AS$6,$D$7:$AS$48))</f>
        <v>942010.64600477298</v>
      </c>
      <c r="H67" cm="1">
        <f t="array" ref="H67">_xlfn.XLOOKUP($C67,$C$7:$C$48,_xlfn.XLOOKUP(H$61,$D$6:$AS$6,$D$7:$AS$48))</f>
        <v>15471.0429285469</v>
      </c>
      <c r="I67" cm="1">
        <f t="array" ref="I67">_xlfn.XLOOKUP($C67,$C$7:$C$48,_xlfn.XLOOKUP(I$61,$D$6:$AS$6,$D$7:$AS$48))</f>
        <v>249372493.69703001</v>
      </c>
      <c r="J67" cm="1">
        <f t="array" ref="J67">_xlfn.XLOOKUP($C67,$C$7:$C$48,_xlfn.XLOOKUP(J$61,$D$6:$AS$6,$D$7:$AS$48))</f>
        <v>14128691.5738324</v>
      </c>
      <c r="K67" cm="1">
        <f t="array" ref="K67">_xlfn.XLOOKUP($C67,$C$7:$C$48,_xlfn.XLOOKUP(K$61,$D$6:$AS$6,$D$7:$AS$48))</f>
        <v>1247437.6388638699</v>
      </c>
      <c r="L67" cm="1">
        <f t="array" ref="L67">_xlfn.XLOOKUP($C67,$C$7:$C$48,_xlfn.XLOOKUP(L$61,$D$6:$AS$6,$D$7:$AS$48))</f>
        <v>3016090.1708590901</v>
      </c>
      <c r="M67" cm="1">
        <f t="array" ref="M67">_xlfn.XLOOKUP($C67,$C$7:$C$48,_xlfn.XLOOKUP(M$61,$D$6:$AS$6,$D$7:$AS$48))</f>
        <v>3256002.5538341198</v>
      </c>
      <c r="N67" cm="1">
        <f t="array" ref="N67">_xlfn.XLOOKUP($C67,$C$7:$C$48,_xlfn.XLOOKUP(N$61,$D$6:$AS$6,$D$7:$AS$48))</f>
        <v>25114335.1987531</v>
      </c>
      <c r="O67" cm="1">
        <f t="array" ref="O67">_xlfn.XLOOKUP($C67,$C$7:$C$48,_xlfn.XLOOKUP(O$61,$D$6:$AS$6,$D$7:$AS$48))</f>
        <v>7560676.0969755901</v>
      </c>
      <c r="P67" cm="1">
        <f t="array" ref="P67">_xlfn.XLOOKUP($C67,$C$7:$C$48,_xlfn.XLOOKUP(P$61,$D$6:$AS$6,$D$7:$AS$48))</f>
        <v>750764.12286723498</v>
      </c>
      <c r="Q67" cm="1">
        <f t="array" ref="Q67">_xlfn.XLOOKUP($C67,$C$7:$C$48,_xlfn.XLOOKUP(Q$61,$D$6:$AS$6,$D$7:$AS$48))</f>
        <v>2451141.56851923</v>
      </c>
      <c r="R67" cm="1">
        <f t="array" ref="R67">_xlfn.XLOOKUP($C67,$C$7:$C$48,_xlfn.XLOOKUP(R$61,$D$6:$AS$6,$D$7:$AS$48))</f>
        <v>1766033.0825439</v>
      </c>
      <c r="S67" cm="1">
        <f t="array" ref="S67">_xlfn.XLOOKUP($C67,$C$7:$C$48,_xlfn.XLOOKUP(S$61,$D$6:$AS$6,$D$7:$AS$48))</f>
        <v>3822314.4307082701</v>
      </c>
      <c r="T67" cm="1">
        <f t="array" ref="T67">_xlfn.XLOOKUP($C67,$C$7:$C$48,_xlfn.XLOOKUP(T$61,$D$6:$AS$6,$D$7:$AS$48))</f>
        <v>4171930.42313954</v>
      </c>
      <c r="U67" cm="1">
        <f t="array" ref="U67">_xlfn.XLOOKUP($C67,$C$7:$C$48,_xlfn.XLOOKUP(U$61,$D$6:$AS$6,$D$7:$AS$48))</f>
        <v>2846827.6921563102</v>
      </c>
      <c r="V67" cm="1">
        <f t="array" ref="V67">_xlfn.XLOOKUP($C67,$C$7:$C$48,_xlfn.XLOOKUP(V$61,$D$6:$AS$6,$D$7:$AS$48))</f>
        <v>7303684.2971111601</v>
      </c>
      <c r="W67" cm="1">
        <f t="array" ref="W67">_xlfn.XLOOKUP($C67,$C$7:$C$48,_xlfn.XLOOKUP(W$61,$D$6:$AS$6,$D$7:$AS$48))</f>
        <v>4524092.6392990705</v>
      </c>
      <c r="X67" cm="1">
        <f t="array" ref="X67">_xlfn.XLOOKUP($C67,$C$7:$C$48,_xlfn.XLOOKUP(X$61,$D$6:$AS$6,$D$7:$AS$48))</f>
        <v>4402856.8840291603</v>
      </c>
      <c r="Y67" cm="1">
        <f t="array" ref="Y67">_xlfn.XLOOKUP($C67,$C$7:$C$48,_xlfn.XLOOKUP(Y$61,$D$6:$AS$6,$D$7:$AS$48))</f>
        <v>2157646.3784742099</v>
      </c>
      <c r="Z67" cm="1">
        <f t="array" ref="Z67">_xlfn.XLOOKUP($C67,$C$7:$C$48,_xlfn.XLOOKUP(Z$61,$D$6:$AS$6,$D$7:$AS$48))</f>
        <v>1244965.1723612901</v>
      </c>
      <c r="AA67" cm="1">
        <f t="array" ref="AA67">_xlfn.XLOOKUP($C67,$C$7:$C$48,_xlfn.XLOOKUP(AA$61,$D$6:$AS$6,$D$7:$AS$48))</f>
        <v>618269.90207279206</v>
      </c>
      <c r="AB67" cm="1">
        <f t="array" ref="AB67">_xlfn.XLOOKUP($C67,$C$7:$C$48,_xlfn.XLOOKUP(AB$61,$D$6:$AS$6,$D$7:$AS$48))</f>
        <v>5006459.0918666804</v>
      </c>
      <c r="AC67" cm="1">
        <f t="array" ref="AC67">_xlfn.XLOOKUP($C67,$C$7:$C$48,_xlfn.XLOOKUP(AC$61,$D$6:$AS$6,$D$7:$AS$48))</f>
        <v>538269.50862606696</v>
      </c>
      <c r="AD67" cm="1">
        <f t="array" ref="AD67">_xlfn.XLOOKUP($C67,$C$7:$C$48,_xlfn.XLOOKUP(AD$61,$D$6:$AS$6,$D$7:$AS$48))</f>
        <v>432454.54748725903</v>
      </c>
      <c r="AE67" cm="1">
        <f t="array" ref="AE67">_xlfn.XLOOKUP($C67,$C$7:$C$48,_xlfn.XLOOKUP(AE$61,$D$6:$AS$6,$D$7:$AS$48))</f>
        <v>5743107.4265601104</v>
      </c>
      <c r="AF67" cm="1">
        <f t="array" ref="AF67">_xlfn.XLOOKUP($C67,$C$7:$C$48,_xlfn.XLOOKUP(AF$61,$D$6:$AS$6,$D$7:$AS$48))</f>
        <v>2301664.0439841002</v>
      </c>
      <c r="AG67" cm="1">
        <f t="array" ref="AG67">_xlfn.XLOOKUP($C67,$C$7:$C$48,_xlfn.XLOOKUP(AG$61,$D$6:$AS$6,$D$7:$AS$48))</f>
        <v>7651112.7979270304</v>
      </c>
      <c r="AH67" cm="1">
        <f t="array" ref="AH67">_xlfn.XLOOKUP($C67,$C$7:$C$48,_xlfn.XLOOKUP(AH$61,$D$6:$AS$6,$D$7:$AS$48))</f>
        <v>127743752.704125</v>
      </c>
      <c r="AI67" cm="1">
        <f t="array" ref="AI67">_xlfn.XLOOKUP($C67,$C$7:$C$48,_xlfn.XLOOKUP(AI$61,$D$6:$AS$6,$D$7:$AS$48))</f>
        <v>5595412.7393014701</v>
      </c>
      <c r="AJ67" cm="1">
        <f t="array" ref="AJ67">_xlfn.XLOOKUP($C67,$C$7:$C$48,_xlfn.XLOOKUP(AJ$61,$D$6:$AS$6,$D$7:$AS$48))</f>
        <v>16568941.000821199</v>
      </c>
      <c r="AK67" cm="1">
        <f t="array" ref="AK67">_xlfn.XLOOKUP($C67,$C$7:$C$48,_xlfn.XLOOKUP(AK$61,$D$6:$AS$6,$D$7:$AS$48))</f>
        <v>4782871.6076720497</v>
      </c>
      <c r="AL67" cm="1">
        <f t="array" ref="AL67">_xlfn.XLOOKUP($C67,$C$7:$C$48,_xlfn.XLOOKUP(AL$61,$D$6:$AS$6,$D$7:$AS$48))</f>
        <v>2856239.8503461499</v>
      </c>
      <c r="AM67" cm="1">
        <f t="array" ref="AM67">_xlfn.XLOOKUP($C67,$C$7:$C$48,_xlfn.XLOOKUP(AM$61,$D$6:$AS$6,$D$7:$AS$48))</f>
        <v>4673588.7287675804</v>
      </c>
      <c r="AN67" cm="1">
        <f t="array" ref="AN67">_xlfn.XLOOKUP($C67,$C$7:$C$48,_xlfn.XLOOKUP(AN$61,$D$6:$AS$6,$D$7:$AS$48))</f>
        <v>3289851.36364205</v>
      </c>
      <c r="AO67" cm="1">
        <f t="array" ref="AO67">_xlfn.XLOOKUP($C67,$C$7:$C$48,_xlfn.XLOOKUP(AO$61,$D$6:$AS$6,$D$7:$AS$48))</f>
        <v>7647553.5130842999</v>
      </c>
      <c r="AP67" cm="1">
        <f t="array" ref="AP67">_xlfn.XLOOKUP($C67,$C$7:$C$48,_xlfn.XLOOKUP(AP$61,$D$6:$AS$6,$D$7:$AS$48))</f>
        <v>12503170.855266299</v>
      </c>
      <c r="AQ67" cm="1">
        <f t="array" ref="AQ67">_xlfn.XLOOKUP($C67,$C$7:$C$48,_xlfn.XLOOKUP(AQ$61,$D$6:$AS$6,$D$7:$AS$48))</f>
        <v>7006157.6699213404</v>
      </c>
      <c r="AR67" cm="1">
        <f t="array" ref="AR67">_xlfn.XLOOKUP($C67,$C$7:$C$48,_xlfn.XLOOKUP(AR$61,$D$6:$AS$6,$D$7:$AS$48))</f>
        <v>9671567.5998847503</v>
      </c>
      <c r="AS67" cm="1">
        <f t="array" ref="AS67">_xlfn.XLOOKUP($C67,$C$7:$C$48,_xlfn.XLOOKUP(AS$61,$D$6:$AS$6,$D$7:$AS$48))</f>
        <v>7513197.7088389201</v>
      </c>
      <c r="AT67">
        <f t="shared" si="3"/>
        <v>679669137.639768</v>
      </c>
      <c r="AU67" cm="1">
        <f t="array" ref="AU67">_xlfn.XLOOKUP(AU$60,$AU$6:$BF$6,_xlfn.XLOOKUP($C67,$C$7:$C$48,$AU$7:$BF$48))</f>
        <v>156188434.73749101</v>
      </c>
      <c r="AV67" cm="1">
        <f t="array" ref="AV67">_xlfn.XLOOKUP(AV$60,$AU$6:$BF$6,_xlfn.XLOOKUP($C67,$C$7:$C$48,$AU$7:$BF$48))</f>
        <v>452326731.01745701</v>
      </c>
      <c r="AW67" cm="1">
        <f t="array" ref="AW67">_xlfn.XLOOKUP(AW$60,$AU$6:$BF$6,_xlfn.XLOOKUP($C67,$C$7:$C$48,$AU$7:$BF$48))</f>
        <v>608515165.75494802</v>
      </c>
      <c r="AX67" cm="1">
        <f t="array" ref="AX67">_xlfn.XLOOKUP(AX$60,$AU$6:$BF$6,_xlfn.XLOOKUP($C67,$C$7:$C$48,$AU$7:$BF$48))</f>
        <v>0</v>
      </c>
      <c r="AY67" cm="1">
        <f t="array" ref="AY67">_xlfn.XLOOKUP(AY$60,$AU$6:$BF$6,_xlfn.XLOOKUP($C67,$C$7:$C$48,$AU$7:$BF$48))</f>
        <v>608515165.75494802</v>
      </c>
      <c r="AZ67" cm="1">
        <f t="array" ref="AZ67">_xlfn.XLOOKUP(AZ$60,$AU$6:$BF$6,_xlfn.XLOOKUP($C67,$C$7:$C$48,$AU$7:$BF$48))</f>
        <v>0</v>
      </c>
      <c r="BA67" cm="1">
        <f t="array" ref="BA67">_xlfn.XLOOKUP(BA$60,$AU$6:$BF$6,_xlfn.XLOOKUP($C67,$C$7:$C$48,$AU$7:$BF$48))</f>
        <v>8525640.2327463608</v>
      </c>
      <c r="BB67" cm="1">
        <f t="array" ref="BB67">_xlfn.XLOOKUP(BB$60,$AU$6:$BF$6,_xlfn.XLOOKUP($C67,$C$7:$C$48,$AU$7:$BF$48))</f>
        <v>8525640.2327463608</v>
      </c>
      <c r="BC67" cm="1">
        <f t="array" ref="BC67">_xlfn.XLOOKUP(BC$60,$AU$6:$BF$6,_xlfn.XLOOKUP($C67,$C$7:$C$48,$AU$7:$BF$48))</f>
        <v>35833494.4737183</v>
      </c>
      <c r="BD67" cm="1">
        <f t="array" ref="BD67">_xlfn.XLOOKUP(BD$60,$AU$6:$BF$6,_xlfn.XLOOKUP($C67,$C$7:$C$48,$AU$7:$BF$48))</f>
        <v>652874300.46141303</v>
      </c>
      <c r="BE67" cm="1">
        <f t="array" ref="BE67">_xlfn.XLOOKUP(BE$60,$AU$6:$BF$6,_xlfn.XLOOKUP($C67,$C$7:$C$48,$AU$7:$BF$48))</f>
        <v>81180639.930074707</v>
      </c>
      <c r="BF67" cm="1">
        <f t="array" ref="BF67">_xlfn.XLOOKUP(BF$60,$AU$6:$BF$6,_xlfn.XLOOKUP($C67,$C$7:$C$48,$AU$7:$BF$48))</f>
        <v>1251362798.1711099</v>
      </c>
      <c r="BH67">
        <f t="shared" si="2"/>
        <v>1296709943.6274624</v>
      </c>
      <c r="BJ67">
        <f t="shared" si="4"/>
        <v>6.2605087844839924E-2</v>
      </c>
    </row>
    <row r="68" spans="2:62" x14ac:dyDescent="0.25">
      <c r="C68" s="36" t="s">
        <v>76</v>
      </c>
      <c r="D68" cm="1">
        <f t="array" ref="D68">_xlfn.XLOOKUP($C68,$C$7:$C$48,_xlfn.XLOOKUP(D$61,$D$6:$AS$6,$D$7:$AS$48))</f>
        <v>255022.543439289</v>
      </c>
      <c r="E68" cm="1">
        <f t="array" ref="E68">_xlfn.XLOOKUP($C68,$C$7:$C$48,_xlfn.XLOOKUP(E$61,$D$6:$AS$6,$D$7:$AS$48))</f>
        <v>1536716.4615694401</v>
      </c>
      <c r="F68" cm="1">
        <f t="array" ref="F68">_xlfn.XLOOKUP($C68,$C$7:$C$48,_xlfn.XLOOKUP(F$61,$D$6:$AS$6,$D$7:$AS$48))</f>
        <v>172891.147199542</v>
      </c>
      <c r="G68" cm="1">
        <f t="array" ref="G68">_xlfn.XLOOKUP($C68,$C$7:$C$48,_xlfn.XLOOKUP(G$61,$D$6:$AS$6,$D$7:$AS$48))</f>
        <v>431377.15059935598</v>
      </c>
      <c r="H68" cm="1">
        <f t="array" ref="H68">_xlfn.XLOOKUP($C68,$C$7:$C$48,_xlfn.XLOOKUP(H$61,$D$6:$AS$6,$D$7:$AS$48))</f>
        <v>299060.72832192999</v>
      </c>
      <c r="I68" cm="1">
        <f t="array" ref="I68">_xlfn.XLOOKUP($C68,$C$7:$C$48,_xlfn.XLOOKUP(I$61,$D$6:$AS$6,$D$7:$AS$48))</f>
        <v>3696564.1752409101</v>
      </c>
      <c r="J68" cm="1">
        <f t="array" ref="J68">_xlfn.XLOOKUP($C68,$C$7:$C$48,_xlfn.XLOOKUP(J$61,$D$6:$AS$6,$D$7:$AS$48))</f>
        <v>314846172.317828</v>
      </c>
      <c r="K68" cm="1">
        <f t="array" ref="K68">_xlfn.XLOOKUP($C68,$C$7:$C$48,_xlfn.XLOOKUP(K$61,$D$6:$AS$6,$D$7:$AS$48))</f>
        <v>8109575.9068406802</v>
      </c>
      <c r="L68" cm="1">
        <f t="array" ref="L68">_xlfn.XLOOKUP($C68,$C$7:$C$48,_xlfn.XLOOKUP(L$61,$D$6:$AS$6,$D$7:$AS$48))</f>
        <v>21141410.3650942</v>
      </c>
      <c r="M68" cm="1">
        <f t="array" ref="M68">_xlfn.XLOOKUP($C68,$C$7:$C$48,_xlfn.XLOOKUP(M$61,$D$6:$AS$6,$D$7:$AS$48))</f>
        <v>892568.29669920204</v>
      </c>
      <c r="N68" cm="1">
        <f t="array" ref="N68">_xlfn.XLOOKUP($C68,$C$7:$C$48,_xlfn.XLOOKUP(N$61,$D$6:$AS$6,$D$7:$AS$48))</f>
        <v>3692227.01976529</v>
      </c>
      <c r="O68" cm="1">
        <f t="array" ref="O68">_xlfn.XLOOKUP($C68,$C$7:$C$48,_xlfn.XLOOKUP(O$61,$D$6:$AS$6,$D$7:$AS$48))</f>
        <v>4066224.9370025401</v>
      </c>
      <c r="P68" cm="1">
        <f t="array" ref="P68">_xlfn.XLOOKUP($C68,$C$7:$C$48,_xlfn.XLOOKUP(P$61,$D$6:$AS$6,$D$7:$AS$48))</f>
        <v>3366898.14673525</v>
      </c>
      <c r="Q68" cm="1">
        <f t="array" ref="Q68">_xlfn.XLOOKUP($C68,$C$7:$C$48,_xlfn.XLOOKUP(Q$61,$D$6:$AS$6,$D$7:$AS$48))</f>
        <v>1960493.2319757999</v>
      </c>
      <c r="R68" cm="1">
        <f t="array" ref="R68">_xlfn.XLOOKUP($C68,$C$7:$C$48,_xlfn.XLOOKUP(R$61,$D$6:$AS$6,$D$7:$AS$48))</f>
        <v>4050298.8980250498</v>
      </c>
      <c r="S68" cm="1">
        <f t="array" ref="S68">_xlfn.XLOOKUP($C68,$C$7:$C$48,_xlfn.XLOOKUP(S$61,$D$6:$AS$6,$D$7:$AS$48))</f>
        <v>649060.66057088599</v>
      </c>
      <c r="T68" cm="1">
        <f t="array" ref="T68">_xlfn.XLOOKUP($C68,$C$7:$C$48,_xlfn.XLOOKUP(T$61,$D$6:$AS$6,$D$7:$AS$48))</f>
        <v>445858.5484269</v>
      </c>
      <c r="U68" cm="1">
        <f t="array" ref="U68">_xlfn.XLOOKUP($C68,$C$7:$C$48,_xlfn.XLOOKUP(U$61,$D$6:$AS$6,$D$7:$AS$48))</f>
        <v>2025532.94802317</v>
      </c>
      <c r="V68" cm="1">
        <f t="array" ref="V68">_xlfn.XLOOKUP($C68,$C$7:$C$48,_xlfn.XLOOKUP(V$61,$D$6:$AS$6,$D$7:$AS$48))</f>
        <v>3035965.5310010798</v>
      </c>
      <c r="W68" cm="1">
        <f t="array" ref="W68">_xlfn.XLOOKUP($C68,$C$7:$C$48,_xlfn.XLOOKUP(W$61,$D$6:$AS$6,$D$7:$AS$48))</f>
        <v>3039653.0402595601</v>
      </c>
      <c r="X68" cm="1">
        <f t="array" ref="X68">_xlfn.XLOOKUP($C68,$C$7:$C$48,_xlfn.XLOOKUP(X$61,$D$6:$AS$6,$D$7:$AS$48))</f>
        <v>1951908.6158987</v>
      </c>
      <c r="Y68" cm="1">
        <f t="array" ref="Y68">_xlfn.XLOOKUP($C68,$C$7:$C$48,_xlfn.XLOOKUP(Y$61,$D$6:$AS$6,$D$7:$AS$48))</f>
        <v>5639280.4127312796</v>
      </c>
      <c r="Z68" cm="1">
        <f t="array" ref="Z68">_xlfn.XLOOKUP($C68,$C$7:$C$48,_xlfn.XLOOKUP(Z$61,$D$6:$AS$6,$D$7:$AS$48))</f>
        <v>1374959.5139363799</v>
      </c>
      <c r="AA68" cm="1">
        <f t="array" ref="AA68">_xlfn.XLOOKUP($C68,$C$7:$C$48,_xlfn.XLOOKUP(AA$61,$D$6:$AS$6,$D$7:$AS$48))</f>
        <v>4187381.8069357099</v>
      </c>
      <c r="AB68" cm="1">
        <f t="array" ref="AB68">_xlfn.XLOOKUP($C68,$C$7:$C$48,_xlfn.XLOOKUP(AB$61,$D$6:$AS$6,$D$7:$AS$48))</f>
        <v>864761.16908143205</v>
      </c>
      <c r="AC68" cm="1">
        <f t="array" ref="AC68">_xlfn.XLOOKUP($C68,$C$7:$C$48,_xlfn.XLOOKUP(AC$61,$D$6:$AS$6,$D$7:$AS$48))</f>
        <v>343622.08607446298</v>
      </c>
      <c r="AD68" cm="1">
        <f t="array" ref="AD68">_xlfn.XLOOKUP($C68,$C$7:$C$48,_xlfn.XLOOKUP(AD$61,$D$6:$AS$6,$D$7:$AS$48))</f>
        <v>391871.28241978498</v>
      </c>
      <c r="AE68" cm="1">
        <f t="array" ref="AE68">_xlfn.XLOOKUP($C68,$C$7:$C$48,_xlfn.XLOOKUP(AE$61,$D$6:$AS$6,$D$7:$AS$48))</f>
        <v>4541077.5001725396</v>
      </c>
      <c r="AF68" cm="1">
        <f t="array" ref="AF68">_xlfn.XLOOKUP($C68,$C$7:$C$48,_xlfn.XLOOKUP(AF$61,$D$6:$AS$6,$D$7:$AS$48))</f>
        <v>3219495.2731076898</v>
      </c>
      <c r="AG68" cm="1">
        <f t="array" ref="AG68">_xlfn.XLOOKUP($C68,$C$7:$C$48,_xlfn.XLOOKUP(AG$61,$D$6:$AS$6,$D$7:$AS$48))</f>
        <v>5114728.6137928003</v>
      </c>
      <c r="AH68" cm="1">
        <f t="array" ref="AH68">_xlfn.XLOOKUP($C68,$C$7:$C$48,_xlfn.XLOOKUP(AH$61,$D$6:$AS$6,$D$7:$AS$48))</f>
        <v>3509705.2336370898</v>
      </c>
      <c r="AI68" cm="1">
        <f t="array" ref="AI68">_xlfn.XLOOKUP($C68,$C$7:$C$48,_xlfn.XLOOKUP(AI$61,$D$6:$AS$6,$D$7:$AS$48))</f>
        <v>999494.98799007002</v>
      </c>
      <c r="AJ68" cm="1">
        <f t="array" ref="AJ68">_xlfn.XLOOKUP($C68,$C$7:$C$48,_xlfn.XLOOKUP(AJ$61,$D$6:$AS$6,$D$7:$AS$48))</f>
        <v>16680634.6777205</v>
      </c>
      <c r="AK68" cm="1">
        <f t="array" ref="AK68">_xlfn.XLOOKUP($C68,$C$7:$C$48,_xlfn.XLOOKUP(AK$61,$D$6:$AS$6,$D$7:$AS$48))</f>
        <v>2606793.12976341</v>
      </c>
      <c r="AL68" cm="1">
        <f t="array" ref="AL68">_xlfn.XLOOKUP($C68,$C$7:$C$48,_xlfn.XLOOKUP(AL$61,$D$6:$AS$6,$D$7:$AS$48))</f>
        <v>4708210.3710430805</v>
      </c>
      <c r="AM68" cm="1">
        <f t="array" ref="AM68">_xlfn.XLOOKUP($C68,$C$7:$C$48,_xlfn.XLOOKUP(AM$61,$D$6:$AS$6,$D$7:$AS$48))</f>
        <v>2106065.8379452401</v>
      </c>
      <c r="AN68" cm="1">
        <f t="array" ref="AN68">_xlfn.XLOOKUP($C68,$C$7:$C$48,_xlfn.XLOOKUP(AN$61,$D$6:$AS$6,$D$7:$AS$48))</f>
        <v>1524598.30164377</v>
      </c>
      <c r="AO68" cm="1">
        <f t="array" ref="AO68">_xlfn.XLOOKUP($C68,$C$7:$C$48,_xlfn.XLOOKUP(AO$61,$D$6:$AS$6,$D$7:$AS$48))</f>
        <v>25315084.364078</v>
      </c>
      <c r="AP68" cm="1">
        <f t="array" ref="AP68">_xlfn.XLOOKUP($C68,$C$7:$C$48,_xlfn.XLOOKUP(AP$61,$D$6:$AS$6,$D$7:$AS$48))</f>
        <v>1549810.36722802</v>
      </c>
      <c r="AQ68" cm="1">
        <f t="array" ref="AQ68">_xlfn.XLOOKUP($C68,$C$7:$C$48,_xlfn.XLOOKUP(AQ$61,$D$6:$AS$6,$D$7:$AS$48))</f>
        <v>9533818.8441091105</v>
      </c>
      <c r="AR68" cm="1">
        <f t="array" ref="AR68">_xlfn.XLOOKUP($C68,$C$7:$C$48,_xlfn.XLOOKUP(AR$61,$D$6:$AS$6,$D$7:$AS$48))</f>
        <v>4734179.2707703104</v>
      </c>
      <c r="AS68" cm="1">
        <f t="array" ref="AS68">_xlfn.XLOOKUP($C68,$C$7:$C$48,_xlfn.XLOOKUP(AS$61,$D$6:$AS$6,$D$7:$AS$48))</f>
        <v>2503390.6033801599</v>
      </c>
      <c r="AT68">
        <f t="shared" si="3"/>
        <v>473004868.411237</v>
      </c>
      <c r="AU68" cm="1">
        <f t="array" ref="AU68">_xlfn.XLOOKUP(AU$60,$AU$6:$BF$6,_xlfn.XLOOKUP($C68,$C$7:$C$48,$AU$7:$BF$48))</f>
        <v>23013748.4379359</v>
      </c>
      <c r="AV68" cm="1">
        <f t="array" ref="AV68">_xlfn.XLOOKUP(AV$60,$AU$6:$BF$6,_xlfn.XLOOKUP($C68,$C$7:$C$48,$AU$7:$BF$48))</f>
        <v>108193778.35794599</v>
      </c>
      <c r="AW68" cm="1">
        <f t="array" ref="AW68">_xlfn.XLOOKUP(AW$60,$AU$6:$BF$6,_xlfn.XLOOKUP($C68,$C$7:$C$48,$AU$7:$BF$48))</f>
        <v>131207526.795881</v>
      </c>
      <c r="AX68" cm="1">
        <f t="array" ref="AX68">_xlfn.XLOOKUP(AX$60,$AU$6:$BF$6,_xlfn.XLOOKUP($C68,$C$7:$C$48,$AU$7:$BF$48))</f>
        <v>0</v>
      </c>
      <c r="AY68" cm="1">
        <f t="array" ref="AY68">_xlfn.XLOOKUP(AY$60,$AU$6:$BF$6,_xlfn.XLOOKUP($C68,$C$7:$C$48,$AU$7:$BF$48))</f>
        <v>131207526.795881</v>
      </c>
      <c r="AZ68" cm="1">
        <f t="array" ref="AZ68">_xlfn.XLOOKUP(AZ$60,$AU$6:$BF$6,_xlfn.XLOOKUP($C68,$C$7:$C$48,$AU$7:$BF$48))</f>
        <v>0</v>
      </c>
      <c r="BA68" cm="1">
        <f t="array" ref="BA68">_xlfn.XLOOKUP(BA$60,$AU$6:$BF$6,_xlfn.XLOOKUP($C68,$C$7:$C$48,$AU$7:$BF$48))</f>
        <v>-3571111.1821360299</v>
      </c>
      <c r="BB68" cm="1">
        <f t="array" ref="BB68">_xlfn.XLOOKUP(BB$60,$AU$6:$BF$6,_xlfn.XLOOKUP($C68,$C$7:$C$48,$AU$7:$BF$48))</f>
        <v>-3571111.1821360299</v>
      </c>
      <c r="BC68" cm="1">
        <f t="array" ref="BC68">_xlfn.XLOOKUP(BC$60,$AU$6:$BF$6,_xlfn.XLOOKUP($C68,$C$7:$C$48,$AU$7:$BF$48))</f>
        <v>186801140.367055</v>
      </c>
      <c r="BD68" cm="1">
        <f t="array" ref="BD68">_xlfn.XLOOKUP(BD$60,$AU$6:$BF$6,_xlfn.XLOOKUP($C68,$C$7:$C$48,$AU$7:$BF$48))</f>
        <v>314437555.98079997</v>
      </c>
      <c r="BE68" cm="1">
        <f t="array" ref="BE68">_xlfn.XLOOKUP(BE$60,$AU$6:$BF$6,_xlfn.XLOOKUP($C68,$C$7:$C$48,$AU$7:$BF$48))</f>
        <v>30055497.577927399</v>
      </c>
      <c r="BF68" cm="1">
        <f t="array" ref="BF68">_xlfn.XLOOKUP(BF$60,$AU$6:$BF$6,_xlfn.XLOOKUP($C68,$C$7:$C$48,$AU$7:$BF$48))</f>
        <v>757386926.81410897</v>
      </c>
      <c r="BH68">
        <f t="shared" si="2"/>
        <v>600641284.02498198</v>
      </c>
      <c r="BJ68">
        <f t="shared" si="4"/>
        <v>5.0039013929447658E-2</v>
      </c>
    </row>
    <row r="69" spans="2:62" x14ac:dyDescent="0.25">
      <c r="C69" s="36" t="s">
        <v>77</v>
      </c>
      <c r="D69" cm="1">
        <f t="array" ref="D69">_xlfn.XLOOKUP($C69,$C$7:$C$48,_xlfn.XLOOKUP(D$61,$D$6:$AS$6,$D$7:$AS$48))</f>
        <v>336188.94851517997</v>
      </c>
      <c r="E69" cm="1">
        <f t="array" ref="E69">_xlfn.XLOOKUP($C69,$C$7:$C$48,_xlfn.XLOOKUP(E$61,$D$6:$AS$6,$D$7:$AS$48))</f>
        <v>3559037.46550998</v>
      </c>
      <c r="F69" cm="1">
        <f t="array" ref="F69">_xlfn.XLOOKUP($C69,$C$7:$C$48,_xlfn.XLOOKUP(F$61,$D$6:$AS$6,$D$7:$AS$48))</f>
        <v>156891.29500928399</v>
      </c>
      <c r="G69" cm="1">
        <f t="array" ref="G69">_xlfn.XLOOKUP($C69,$C$7:$C$48,_xlfn.XLOOKUP(G$61,$D$6:$AS$6,$D$7:$AS$48))</f>
        <v>254624.37089377199</v>
      </c>
      <c r="H69" cm="1">
        <f t="array" ref="H69">_xlfn.XLOOKUP($C69,$C$7:$C$48,_xlfn.XLOOKUP(H$61,$D$6:$AS$6,$D$7:$AS$48))</f>
        <v>6327.7150673874103</v>
      </c>
      <c r="I69" cm="1">
        <f t="array" ref="I69">_xlfn.XLOOKUP($C69,$C$7:$C$48,_xlfn.XLOOKUP(I$61,$D$6:$AS$6,$D$7:$AS$48))</f>
        <v>845240.03818156605</v>
      </c>
      <c r="J69" cm="1">
        <f t="array" ref="J69">_xlfn.XLOOKUP($C69,$C$7:$C$48,_xlfn.XLOOKUP(J$61,$D$6:$AS$6,$D$7:$AS$48))</f>
        <v>918481.02107663197</v>
      </c>
      <c r="K69" cm="1">
        <f t="array" ref="K69">_xlfn.XLOOKUP($C69,$C$7:$C$48,_xlfn.XLOOKUP(K$61,$D$6:$AS$6,$D$7:$AS$48))</f>
        <v>81780666.7864068</v>
      </c>
      <c r="L69" cm="1">
        <f t="array" ref="L69">_xlfn.XLOOKUP($C69,$C$7:$C$48,_xlfn.XLOOKUP(L$61,$D$6:$AS$6,$D$7:$AS$48))</f>
        <v>90084970.052630693</v>
      </c>
      <c r="M69" cm="1">
        <f t="array" ref="M69">_xlfn.XLOOKUP($C69,$C$7:$C$48,_xlfn.XLOOKUP(M$61,$D$6:$AS$6,$D$7:$AS$48))</f>
        <v>186690.20276233001</v>
      </c>
      <c r="N69" cm="1">
        <f t="array" ref="N69">_xlfn.XLOOKUP($C69,$C$7:$C$48,_xlfn.XLOOKUP(N$61,$D$6:$AS$6,$D$7:$AS$48))</f>
        <v>1302287.31358054</v>
      </c>
      <c r="O69" cm="1">
        <f t="array" ref="O69">_xlfn.XLOOKUP($C69,$C$7:$C$48,_xlfn.XLOOKUP(O$61,$D$6:$AS$6,$D$7:$AS$48))</f>
        <v>114696.06316618199</v>
      </c>
      <c r="P69" cm="1">
        <f t="array" ref="P69">_xlfn.XLOOKUP($C69,$C$7:$C$48,_xlfn.XLOOKUP(P$61,$D$6:$AS$6,$D$7:$AS$48))</f>
        <v>708459.64329744095</v>
      </c>
      <c r="Q69" cm="1">
        <f t="array" ref="Q69">_xlfn.XLOOKUP($C69,$C$7:$C$48,_xlfn.XLOOKUP(Q$61,$D$6:$AS$6,$D$7:$AS$48))</f>
        <v>637156.81387395598</v>
      </c>
      <c r="R69" cm="1">
        <f t="array" ref="R69">_xlfn.XLOOKUP($C69,$C$7:$C$48,_xlfn.XLOOKUP(R$61,$D$6:$AS$6,$D$7:$AS$48))</f>
        <v>1957227.2128331601</v>
      </c>
      <c r="S69" cm="1">
        <f t="array" ref="S69">_xlfn.XLOOKUP($C69,$C$7:$C$48,_xlfn.XLOOKUP(S$61,$D$6:$AS$6,$D$7:$AS$48))</f>
        <v>49068.255669272301</v>
      </c>
      <c r="T69" cm="1">
        <f t="array" ref="T69">_xlfn.XLOOKUP($C69,$C$7:$C$48,_xlfn.XLOOKUP(T$61,$D$6:$AS$6,$D$7:$AS$48))</f>
        <v>185262.26386720801</v>
      </c>
      <c r="U69" cm="1">
        <f t="array" ref="U69">_xlfn.XLOOKUP($C69,$C$7:$C$48,_xlfn.XLOOKUP(U$61,$D$6:$AS$6,$D$7:$AS$48))</f>
        <v>4792477.8358831797</v>
      </c>
      <c r="V69" cm="1">
        <f t="array" ref="V69">_xlfn.XLOOKUP($C69,$C$7:$C$48,_xlfn.XLOOKUP(V$61,$D$6:$AS$6,$D$7:$AS$48))</f>
        <v>1019650.00693627</v>
      </c>
      <c r="W69" cm="1">
        <f t="array" ref="W69">_xlfn.XLOOKUP($C69,$C$7:$C$48,_xlfn.XLOOKUP(W$61,$D$6:$AS$6,$D$7:$AS$48))</f>
        <v>1177748.8394233999</v>
      </c>
      <c r="X69" cm="1">
        <f t="array" ref="X69">_xlfn.XLOOKUP($C69,$C$7:$C$48,_xlfn.XLOOKUP(X$61,$D$6:$AS$6,$D$7:$AS$48))</f>
        <v>931517.23040675104</v>
      </c>
      <c r="Y69" cm="1">
        <f t="array" ref="Y69">_xlfn.XLOOKUP($C69,$C$7:$C$48,_xlfn.XLOOKUP(Y$61,$D$6:$AS$6,$D$7:$AS$48))</f>
        <v>5926683.1802302804</v>
      </c>
      <c r="Z69" cm="1">
        <f t="array" ref="Z69">_xlfn.XLOOKUP($C69,$C$7:$C$48,_xlfn.XLOOKUP(Z$61,$D$6:$AS$6,$D$7:$AS$48))</f>
        <v>652732.72847238998</v>
      </c>
      <c r="AA69" cm="1">
        <f t="array" ref="AA69">_xlfn.XLOOKUP($C69,$C$7:$C$48,_xlfn.XLOOKUP(AA$61,$D$6:$AS$6,$D$7:$AS$48))</f>
        <v>1295524.2485475501</v>
      </c>
      <c r="AB69" cm="1">
        <f t="array" ref="AB69">_xlfn.XLOOKUP($C69,$C$7:$C$48,_xlfn.XLOOKUP(AB$61,$D$6:$AS$6,$D$7:$AS$48))</f>
        <v>201717.80041153601</v>
      </c>
      <c r="AC69" cm="1">
        <f t="array" ref="AC69">_xlfn.XLOOKUP($C69,$C$7:$C$48,_xlfn.XLOOKUP(AC$61,$D$6:$AS$6,$D$7:$AS$48))</f>
        <v>4011.85983524315</v>
      </c>
      <c r="AD69" cm="1">
        <f t="array" ref="AD69">_xlfn.XLOOKUP($C69,$C$7:$C$48,_xlfn.XLOOKUP(AD$61,$D$6:$AS$6,$D$7:$AS$48))</f>
        <v>3316.5084622772201</v>
      </c>
      <c r="AE69" cm="1">
        <f t="array" ref="AE69">_xlfn.XLOOKUP($C69,$C$7:$C$48,_xlfn.XLOOKUP(AE$61,$D$6:$AS$6,$D$7:$AS$48))</f>
        <v>57246609.186167397</v>
      </c>
      <c r="AF69" cm="1">
        <f t="array" ref="AF69">_xlfn.XLOOKUP($C69,$C$7:$C$48,_xlfn.XLOOKUP(AF$61,$D$6:$AS$6,$D$7:$AS$48))</f>
        <v>423651.48303005402</v>
      </c>
      <c r="AG69" cm="1">
        <f t="array" ref="AG69">_xlfn.XLOOKUP($C69,$C$7:$C$48,_xlfn.XLOOKUP(AG$61,$D$6:$AS$6,$D$7:$AS$48))</f>
        <v>934919.87192588102</v>
      </c>
      <c r="AH69" cm="1">
        <f t="array" ref="AH69">_xlfn.XLOOKUP($C69,$C$7:$C$48,_xlfn.XLOOKUP(AH$61,$D$6:$AS$6,$D$7:$AS$48))</f>
        <v>196032.426933949</v>
      </c>
      <c r="AI69" cm="1">
        <f t="array" ref="AI69">_xlfn.XLOOKUP($C69,$C$7:$C$48,_xlfn.XLOOKUP(AI$61,$D$6:$AS$6,$D$7:$AS$48))</f>
        <v>922455.744975699</v>
      </c>
      <c r="AJ69" cm="1">
        <f t="array" ref="AJ69">_xlfn.XLOOKUP($C69,$C$7:$C$48,_xlfn.XLOOKUP(AJ$61,$D$6:$AS$6,$D$7:$AS$48))</f>
        <v>599781.95068565605</v>
      </c>
      <c r="AK69" cm="1">
        <f t="array" ref="AK69">_xlfn.XLOOKUP($C69,$C$7:$C$48,_xlfn.XLOOKUP(AK$61,$D$6:$AS$6,$D$7:$AS$48))</f>
        <v>50562.203571571401</v>
      </c>
      <c r="AL69" cm="1">
        <f t="array" ref="AL69">_xlfn.XLOOKUP($C69,$C$7:$C$48,_xlfn.XLOOKUP(AL$61,$D$6:$AS$6,$D$7:$AS$48))</f>
        <v>474744.03877929098</v>
      </c>
      <c r="AM69" cm="1">
        <f t="array" ref="AM69">_xlfn.XLOOKUP($C69,$C$7:$C$48,_xlfn.XLOOKUP(AM$61,$D$6:$AS$6,$D$7:$AS$48))</f>
        <v>546486.36108233605</v>
      </c>
      <c r="AN69" cm="1">
        <f t="array" ref="AN69">_xlfn.XLOOKUP($C69,$C$7:$C$48,_xlfn.XLOOKUP(AN$61,$D$6:$AS$6,$D$7:$AS$48))</f>
        <v>401102.14532939898</v>
      </c>
      <c r="AO69" cm="1">
        <f t="array" ref="AO69">_xlfn.XLOOKUP($C69,$C$7:$C$48,_xlfn.XLOOKUP(AO$61,$D$6:$AS$6,$D$7:$AS$48))</f>
        <v>3983063.1081222198</v>
      </c>
      <c r="AP69" cm="1">
        <f t="array" ref="AP69">_xlfn.XLOOKUP($C69,$C$7:$C$48,_xlfn.XLOOKUP(AP$61,$D$6:$AS$6,$D$7:$AS$48))</f>
        <v>342879.71965333901</v>
      </c>
      <c r="AQ69" cm="1">
        <f t="array" ref="AQ69">_xlfn.XLOOKUP($C69,$C$7:$C$48,_xlfn.XLOOKUP(AQ$61,$D$6:$AS$6,$D$7:$AS$48))</f>
        <v>75136.026260805404</v>
      </c>
      <c r="AR69" cm="1">
        <f t="array" ref="AR69">_xlfn.XLOOKUP($C69,$C$7:$C$48,_xlfn.XLOOKUP(AR$61,$D$6:$AS$6,$D$7:$AS$48))</f>
        <v>319747.384311979</v>
      </c>
      <c r="AS69" cm="1">
        <f t="array" ref="AS69">_xlfn.XLOOKUP($C69,$C$7:$C$48,_xlfn.XLOOKUP(AS$61,$D$6:$AS$6,$D$7:$AS$48))</f>
        <v>635895.59428515099</v>
      </c>
      <c r="AT69">
        <f t="shared" si="3"/>
        <v>184461056.15965801</v>
      </c>
      <c r="AU69" cm="1">
        <f t="array" ref="AU69">_xlfn.XLOOKUP(AU$60,$AU$6:$BF$6,_xlfn.XLOOKUP($C69,$C$7:$C$48,$AU$7:$BF$48))</f>
        <v>5007508.0162722301</v>
      </c>
      <c r="AV69" cm="1">
        <f t="array" ref="AV69">_xlfn.XLOOKUP(AV$60,$AU$6:$BF$6,_xlfn.XLOOKUP($C69,$C$7:$C$48,$AU$7:$BF$48))</f>
        <v>17646337.097442199</v>
      </c>
      <c r="AW69" cm="1">
        <f t="array" ref="AW69">_xlfn.XLOOKUP(AW$60,$AU$6:$BF$6,_xlfn.XLOOKUP($C69,$C$7:$C$48,$AU$7:$BF$48))</f>
        <v>22653845.113714501</v>
      </c>
      <c r="AX69" cm="1">
        <f t="array" ref="AX69">_xlfn.XLOOKUP(AX$60,$AU$6:$BF$6,_xlfn.XLOOKUP($C69,$C$7:$C$48,$AU$7:$BF$48))</f>
        <v>0</v>
      </c>
      <c r="AY69" cm="1">
        <f t="array" ref="AY69">_xlfn.XLOOKUP(AY$60,$AU$6:$BF$6,_xlfn.XLOOKUP($C69,$C$7:$C$48,$AU$7:$BF$48))</f>
        <v>22653845.113714501</v>
      </c>
      <c r="AZ69" cm="1">
        <f t="array" ref="AZ69">_xlfn.XLOOKUP(AZ$60,$AU$6:$BF$6,_xlfn.XLOOKUP($C69,$C$7:$C$48,$AU$7:$BF$48))</f>
        <v>21595789.2652824</v>
      </c>
      <c r="BA69" cm="1">
        <f t="array" ref="BA69">_xlfn.XLOOKUP(BA$60,$AU$6:$BF$6,_xlfn.XLOOKUP($C69,$C$7:$C$48,$AU$7:$BF$48))</f>
        <v>1674063.132307</v>
      </c>
      <c r="BB69" cm="1">
        <f t="array" ref="BB69">_xlfn.XLOOKUP(BB$60,$AU$6:$BF$6,_xlfn.XLOOKUP($C69,$C$7:$C$48,$AU$7:$BF$48))</f>
        <v>23269852.3975894</v>
      </c>
      <c r="BC69" cm="1">
        <f t="array" ref="BC69">_xlfn.XLOOKUP(BC$60,$AU$6:$BF$6,_xlfn.XLOOKUP($C69,$C$7:$C$48,$AU$7:$BF$48))</f>
        <v>44765296.899224401</v>
      </c>
      <c r="BD69" cm="1">
        <f t="array" ref="BD69">_xlfn.XLOOKUP(BD$60,$AU$6:$BF$6,_xlfn.XLOOKUP($C69,$C$7:$C$48,$AU$7:$BF$48))</f>
        <v>90688994.410528198</v>
      </c>
      <c r="BE69" cm="1">
        <f t="array" ref="BE69">_xlfn.XLOOKUP(BE$60,$AU$6:$BF$6,_xlfn.XLOOKUP($C69,$C$7:$C$48,$AU$7:$BF$48))</f>
        <v>9736870.6606359407</v>
      </c>
      <c r="BF69" cm="1">
        <f t="array" ref="BF69">_xlfn.XLOOKUP(BF$60,$AU$6:$BF$6,_xlfn.XLOOKUP($C69,$C$7:$C$48,$AU$7:$BF$48))</f>
        <v>265413179.90955001</v>
      </c>
      <c r="BH69">
        <f t="shared" si="2"/>
        <v>230384753.67096192</v>
      </c>
      <c r="BJ69">
        <f t="shared" si="4"/>
        <v>4.2263520070178986E-2</v>
      </c>
    </row>
    <row r="70" spans="2:62" x14ac:dyDescent="0.25">
      <c r="C70" s="36" t="s">
        <v>78</v>
      </c>
      <c r="D70" cm="1">
        <f t="array" ref="D70">_xlfn.XLOOKUP($C70,$C$7:$C$48,_xlfn.XLOOKUP(D$61,$D$6:$AS$6,$D$7:$AS$48))</f>
        <v>1025682.30896579</v>
      </c>
      <c r="E70" cm="1">
        <f t="array" ref="E70">_xlfn.XLOOKUP($C70,$C$7:$C$48,_xlfn.XLOOKUP(E$61,$D$6:$AS$6,$D$7:$AS$48))</f>
        <v>31068.881795914898</v>
      </c>
      <c r="F70" cm="1">
        <f t="array" ref="F70">_xlfn.XLOOKUP($C70,$C$7:$C$48,_xlfn.XLOOKUP(F$61,$D$6:$AS$6,$D$7:$AS$48))</f>
        <v>9688.6353693274705</v>
      </c>
      <c r="G70" cm="1">
        <f t="array" ref="G70">_xlfn.XLOOKUP($C70,$C$7:$C$48,_xlfn.XLOOKUP(G$61,$D$6:$AS$6,$D$7:$AS$48))</f>
        <v>315134.03242535098</v>
      </c>
      <c r="H70" cm="1">
        <f t="array" ref="H70">_xlfn.XLOOKUP($C70,$C$7:$C$48,_xlfn.XLOOKUP(H$61,$D$6:$AS$6,$D$7:$AS$48))</f>
        <v>18042.4084069333</v>
      </c>
      <c r="I70" cm="1">
        <f t="array" ref="I70">_xlfn.XLOOKUP($C70,$C$7:$C$48,_xlfn.XLOOKUP(I$61,$D$6:$AS$6,$D$7:$AS$48))</f>
        <v>13214439.554017199</v>
      </c>
      <c r="J70" cm="1">
        <f t="array" ref="J70">_xlfn.XLOOKUP($C70,$C$7:$C$48,_xlfn.XLOOKUP(J$61,$D$6:$AS$6,$D$7:$AS$48))</f>
        <v>3599305.40965772</v>
      </c>
      <c r="K70" cm="1">
        <f t="array" ref="K70">_xlfn.XLOOKUP($C70,$C$7:$C$48,_xlfn.XLOOKUP(K$61,$D$6:$AS$6,$D$7:$AS$48))</f>
        <v>2513515.6980929798</v>
      </c>
      <c r="L70" cm="1">
        <f t="array" ref="L70">_xlfn.XLOOKUP($C70,$C$7:$C$48,_xlfn.XLOOKUP(L$61,$D$6:$AS$6,$D$7:$AS$48))</f>
        <v>105171872.237609</v>
      </c>
      <c r="M70" cm="1">
        <f t="array" ref="M70">_xlfn.XLOOKUP($C70,$C$7:$C$48,_xlfn.XLOOKUP(M$61,$D$6:$AS$6,$D$7:$AS$48))</f>
        <v>357515.62733863801</v>
      </c>
      <c r="N70" cm="1">
        <f t="array" ref="N70">_xlfn.XLOOKUP($C70,$C$7:$C$48,_xlfn.XLOOKUP(N$61,$D$6:$AS$6,$D$7:$AS$48))</f>
        <v>4061404.6097377101</v>
      </c>
      <c r="O70" cm="1">
        <f t="array" ref="O70">_xlfn.XLOOKUP($C70,$C$7:$C$48,_xlfn.XLOOKUP(O$61,$D$6:$AS$6,$D$7:$AS$48))</f>
        <v>4907967.41960839</v>
      </c>
      <c r="P70" cm="1">
        <f t="array" ref="P70">_xlfn.XLOOKUP($C70,$C$7:$C$48,_xlfn.XLOOKUP(P$61,$D$6:$AS$6,$D$7:$AS$48))</f>
        <v>1782237.4405934401</v>
      </c>
      <c r="Q70" cm="1">
        <f t="array" ref="Q70">_xlfn.XLOOKUP($C70,$C$7:$C$48,_xlfn.XLOOKUP(Q$61,$D$6:$AS$6,$D$7:$AS$48))</f>
        <v>1841924.1243241299</v>
      </c>
      <c r="R70" cm="1">
        <f t="array" ref="R70">_xlfn.XLOOKUP($C70,$C$7:$C$48,_xlfn.XLOOKUP(R$61,$D$6:$AS$6,$D$7:$AS$48))</f>
        <v>8915729.5225193892</v>
      </c>
      <c r="S70" cm="1">
        <f t="array" ref="S70">_xlfn.XLOOKUP($C70,$C$7:$C$48,_xlfn.XLOOKUP(S$61,$D$6:$AS$6,$D$7:$AS$48))</f>
        <v>89427.250295816906</v>
      </c>
      <c r="T70" cm="1">
        <f t="array" ref="T70">_xlfn.XLOOKUP($C70,$C$7:$C$48,_xlfn.XLOOKUP(T$61,$D$6:$AS$6,$D$7:$AS$48))</f>
        <v>336660.36558656598</v>
      </c>
      <c r="U70" cm="1">
        <f t="array" ref="U70">_xlfn.XLOOKUP($C70,$C$7:$C$48,_xlfn.XLOOKUP(U$61,$D$6:$AS$6,$D$7:$AS$48))</f>
        <v>1916810.8290677101</v>
      </c>
      <c r="V70" cm="1">
        <f t="array" ref="V70">_xlfn.XLOOKUP($C70,$C$7:$C$48,_xlfn.XLOOKUP(V$61,$D$6:$AS$6,$D$7:$AS$48))</f>
        <v>5349964.5754080201</v>
      </c>
      <c r="W70" cm="1">
        <f t="array" ref="W70">_xlfn.XLOOKUP($C70,$C$7:$C$48,_xlfn.XLOOKUP(W$61,$D$6:$AS$6,$D$7:$AS$48))</f>
        <v>5512884.4773892304</v>
      </c>
      <c r="X70" cm="1">
        <f t="array" ref="X70">_xlfn.XLOOKUP($C70,$C$7:$C$48,_xlfn.XLOOKUP(X$61,$D$6:$AS$6,$D$7:$AS$48))</f>
        <v>1926288.9358832799</v>
      </c>
      <c r="Y70" cm="1">
        <f t="array" ref="Y70">_xlfn.XLOOKUP($C70,$C$7:$C$48,_xlfn.XLOOKUP(Y$61,$D$6:$AS$6,$D$7:$AS$48))</f>
        <v>1597372.4923795001</v>
      </c>
      <c r="Z70" cm="1">
        <f t="array" ref="Z70">_xlfn.XLOOKUP($C70,$C$7:$C$48,_xlfn.XLOOKUP(Z$61,$D$6:$AS$6,$D$7:$AS$48))</f>
        <v>344645.46248240297</v>
      </c>
      <c r="AA70" cm="1">
        <f t="array" ref="AA70">_xlfn.XLOOKUP($C70,$C$7:$C$48,_xlfn.XLOOKUP(AA$61,$D$6:$AS$6,$D$7:$AS$48))</f>
        <v>807927.26260598504</v>
      </c>
      <c r="AB70" cm="1">
        <f t="array" ref="AB70">_xlfn.XLOOKUP($C70,$C$7:$C$48,_xlfn.XLOOKUP(AB$61,$D$6:$AS$6,$D$7:$AS$48))</f>
        <v>458088.56563187699</v>
      </c>
      <c r="AC70" cm="1">
        <f t="array" ref="AC70">_xlfn.XLOOKUP($C70,$C$7:$C$48,_xlfn.XLOOKUP(AC$61,$D$6:$AS$6,$D$7:$AS$48))</f>
        <v>13078.612930485901</v>
      </c>
      <c r="AD70" cm="1">
        <f t="array" ref="AD70">_xlfn.XLOOKUP($C70,$C$7:$C$48,_xlfn.XLOOKUP(AD$61,$D$6:$AS$6,$D$7:$AS$48))</f>
        <v>21179.986195194899</v>
      </c>
      <c r="AE70" cm="1">
        <f t="array" ref="AE70">_xlfn.XLOOKUP($C70,$C$7:$C$48,_xlfn.XLOOKUP(AE$61,$D$6:$AS$6,$D$7:$AS$48))</f>
        <v>5313846.9508039998</v>
      </c>
      <c r="AF70" cm="1">
        <f t="array" ref="AF70">_xlfn.XLOOKUP($C70,$C$7:$C$48,_xlfn.XLOOKUP(AF$61,$D$6:$AS$6,$D$7:$AS$48))</f>
        <v>8789370.7770565208</v>
      </c>
      <c r="AG70" cm="1">
        <f t="array" ref="AG70">_xlfn.XLOOKUP($C70,$C$7:$C$48,_xlfn.XLOOKUP(AG$61,$D$6:$AS$6,$D$7:$AS$48))</f>
        <v>4327923.8509802902</v>
      </c>
      <c r="AH70" cm="1">
        <f t="array" ref="AH70">_xlfn.XLOOKUP($C70,$C$7:$C$48,_xlfn.XLOOKUP(AH$61,$D$6:$AS$6,$D$7:$AS$48))</f>
        <v>1732626.8138709399</v>
      </c>
      <c r="AI70" cm="1">
        <f t="array" ref="AI70">_xlfn.XLOOKUP($C70,$C$7:$C$48,_xlfn.XLOOKUP(AI$61,$D$6:$AS$6,$D$7:$AS$48))</f>
        <v>27520721.374125499</v>
      </c>
      <c r="AJ70" cm="1">
        <f t="array" ref="AJ70">_xlfn.XLOOKUP($C70,$C$7:$C$48,_xlfn.XLOOKUP(AJ$61,$D$6:$AS$6,$D$7:$AS$48))</f>
        <v>69510375.7570052</v>
      </c>
      <c r="AK70" cm="1">
        <f t="array" ref="AK70">_xlfn.XLOOKUP($C70,$C$7:$C$48,_xlfn.XLOOKUP(AK$61,$D$6:$AS$6,$D$7:$AS$48))</f>
        <v>2605460.1047098902</v>
      </c>
      <c r="AL70" cm="1">
        <f t="array" ref="AL70">_xlfn.XLOOKUP($C70,$C$7:$C$48,_xlfn.XLOOKUP(AL$61,$D$6:$AS$6,$D$7:$AS$48))</f>
        <v>20038604.196891099</v>
      </c>
      <c r="AM70" cm="1">
        <f t="array" ref="AM70">_xlfn.XLOOKUP($C70,$C$7:$C$48,_xlfn.XLOOKUP(AM$61,$D$6:$AS$6,$D$7:$AS$48))</f>
        <v>5345538.7782828296</v>
      </c>
      <c r="AN70" cm="1">
        <f t="array" ref="AN70">_xlfn.XLOOKUP($C70,$C$7:$C$48,_xlfn.XLOOKUP(AN$61,$D$6:$AS$6,$D$7:$AS$48))</f>
        <v>5513422.1732468205</v>
      </c>
      <c r="AO70" cm="1">
        <f t="array" ref="AO70">_xlfn.XLOOKUP($C70,$C$7:$C$48,_xlfn.XLOOKUP(AO$61,$D$6:$AS$6,$D$7:$AS$48))</f>
        <v>20046564.543822698</v>
      </c>
      <c r="AP70" cm="1">
        <f t="array" ref="AP70">_xlfn.XLOOKUP($C70,$C$7:$C$48,_xlfn.XLOOKUP(AP$61,$D$6:$AS$6,$D$7:$AS$48))</f>
        <v>12646200.961506501</v>
      </c>
      <c r="AQ70" cm="1">
        <f t="array" ref="AQ70">_xlfn.XLOOKUP($C70,$C$7:$C$48,_xlfn.XLOOKUP(AQ$61,$D$6:$AS$6,$D$7:$AS$48))</f>
        <v>288424.63390770002</v>
      </c>
      <c r="AR70" cm="1">
        <f t="array" ref="AR70">_xlfn.XLOOKUP($C70,$C$7:$C$48,_xlfn.XLOOKUP(AR$61,$D$6:$AS$6,$D$7:$AS$48))</f>
        <v>7453946.5892663701</v>
      </c>
      <c r="AS70" cm="1">
        <f t="array" ref="AS70">_xlfn.XLOOKUP($C70,$C$7:$C$48,_xlfn.XLOOKUP(AS$61,$D$6:$AS$6,$D$7:$AS$48))</f>
        <v>1759661.66398027</v>
      </c>
      <c r="AT70">
        <f t="shared" si="3"/>
        <v>356519030.19768202</v>
      </c>
      <c r="AU70" cm="1">
        <f t="array" ref="AU70">_xlfn.XLOOKUP(AU$60,$AU$6:$BF$6,_xlfn.XLOOKUP($C70,$C$7:$C$48,$AU$7:$BF$48))</f>
        <v>6120942.0135803903</v>
      </c>
      <c r="AV70" cm="1">
        <f t="array" ref="AV70">_xlfn.XLOOKUP(AV$60,$AU$6:$BF$6,_xlfn.XLOOKUP($C70,$C$7:$C$48,$AU$7:$BF$48))</f>
        <v>29346781.884146001</v>
      </c>
      <c r="AW70" cm="1">
        <f t="array" ref="AW70">_xlfn.XLOOKUP(AW$60,$AU$6:$BF$6,_xlfn.XLOOKUP($C70,$C$7:$C$48,$AU$7:$BF$48))</f>
        <v>35467723.897726402</v>
      </c>
      <c r="AX70" cm="1">
        <f t="array" ref="AX70">_xlfn.XLOOKUP(AX$60,$AU$6:$BF$6,_xlfn.XLOOKUP($C70,$C$7:$C$48,$AU$7:$BF$48))</f>
        <v>0</v>
      </c>
      <c r="AY70" cm="1">
        <f t="array" ref="AY70">_xlfn.XLOOKUP(AY$60,$AU$6:$BF$6,_xlfn.XLOOKUP($C70,$C$7:$C$48,$AU$7:$BF$48))</f>
        <v>35467723.897726402</v>
      </c>
      <c r="AZ70" cm="1">
        <f t="array" ref="AZ70">_xlfn.XLOOKUP(AZ$60,$AU$6:$BF$6,_xlfn.XLOOKUP($C70,$C$7:$C$48,$AU$7:$BF$48))</f>
        <v>4281134.5776765598</v>
      </c>
      <c r="BA70" cm="1">
        <f t="array" ref="BA70">_xlfn.XLOOKUP(BA$60,$AU$6:$BF$6,_xlfn.XLOOKUP($C70,$C$7:$C$48,$AU$7:$BF$48))</f>
        <v>-8038986.6264104899</v>
      </c>
      <c r="BB70" cm="1">
        <f t="array" ref="BB70">_xlfn.XLOOKUP(BB$60,$AU$6:$BF$6,_xlfn.XLOOKUP($C70,$C$7:$C$48,$AU$7:$BF$48))</f>
        <v>-3757852.0487339301</v>
      </c>
      <c r="BC70" cm="1">
        <f t="array" ref="BC70">_xlfn.XLOOKUP(BC$60,$AU$6:$BF$6,_xlfn.XLOOKUP($C70,$C$7:$C$48,$AU$7:$BF$48))</f>
        <v>66074535.271569103</v>
      </c>
      <c r="BD70" cm="1">
        <f t="array" ref="BD70">_xlfn.XLOOKUP(BD$60,$AU$6:$BF$6,_xlfn.XLOOKUP($C70,$C$7:$C$48,$AU$7:$BF$48))</f>
        <v>97784407.1205616</v>
      </c>
      <c r="BE70" cm="1">
        <f t="array" ref="BE70">_xlfn.XLOOKUP(BE$60,$AU$6:$BF$6,_xlfn.XLOOKUP($C70,$C$7:$C$48,$AU$7:$BF$48))</f>
        <v>25910670.934909102</v>
      </c>
      <c r="BF70" cm="1">
        <f t="array" ref="BF70">_xlfn.XLOOKUP(BF$60,$AU$6:$BF$6,_xlfn.XLOOKUP($C70,$C$7:$C$48,$AU$7:$BF$48))</f>
        <v>428392766.38333398</v>
      </c>
      <c r="BH70">
        <f t="shared" si="2"/>
        <v>388228902.04667449</v>
      </c>
      <c r="BJ70">
        <f t="shared" si="4"/>
        <v>6.674070580091436E-2</v>
      </c>
    </row>
    <row r="71" spans="2:62" x14ac:dyDescent="0.25">
      <c r="C71" s="36" t="s">
        <v>79</v>
      </c>
      <c r="D71" cm="1">
        <f t="array" ref="D71">_xlfn.XLOOKUP($C71,$C$7:$C$48,_xlfn.XLOOKUP(D$61,$D$6:$AS$6,$D$7:$AS$48))</f>
        <v>4991926.8170677004</v>
      </c>
      <c r="E71" cm="1">
        <f t="array" ref="E71">_xlfn.XLOOKUP($C71,$C$7:$C$48,_xlfn.XLOOKUP(E$61,$D$6:$AS$6,$D$7:$AS$48))</f>
        <v>700362.54839890404</v>
      </c>
      <c r="F71" cm="1">
        <f t="array" ref="F71">_xlfn.XLOOKUP($C71,$C$7:$C$48,_xlfn.XLOOKUP(F$61,$D$6:$AS$6,$D$7:$AS$48))</f>
        <v>395976.19321763498</v>
      </c>
      <c r="G71" cm="1">
        <f t="array" ref="G71">_xlfn.XLOOKUP($C71,$C$7:$C$48,_xlfn.XLOOKUP(G$61,$D$6:$AS$6,$D$7:$AS$48))</f>
        <v>7776692.2608783804</v>
      </c>
      <c r="H71" cm="1">
        <f t="array" ref="H71">_xlfn.XLOOKUP($C71,$C$7:$C$48,_xlfn.XLOOKUP(H$61,$D$6:$AS$6,$D$7:$AS$48))</f>
        <v>799185.804049714</v>
      </c>
      <c r="I71" cm="1">
        <f t="array" ref="I71">_xlfn.XLOOKUP($C71,$C$7:$C$48,_xlfn.XLOOKUP(I$61,$D$6:$AS$6,$D$7:$AS$48))</f>
        <v>1015050.64892136</v>
      </c>
      <c r="J71" cm="1">
        <f t="array" ref="J71">_xlfn.XLOOKUP($C71,$C$7:$C$48,_xlfn.XLOOKUP(J$61,$D$6:$AS$6,$D$7:$AS$48))</f>
        <v>1120310.30955065</v>
      </c>
      <c r="K71" cm="1">
        <f t="array" ref="K71">_xlfn.XLOOKUP($C71,$C$7:$C$48,_xlfn.XLOOKUP(K$61,$D$6:$AS$6,$D$7:$AS$48))</f>
        <v>1004346.25642645</v>
      </c>
      <c r="L71" cm="1">
        <f t="array" ref="L71">_xlfn.XLOOKUP($C71,$C$7:$C$48,_xlfn.XLOOKUP(L$61,$D$6:$AS$6,$D$7:$AS$48))</f>
        <v>1858172.82265521</v>
      </c>
      <c r="M71" cm="1">
        <f t="array" ref="M71">_xlfn.XLOOKUP($C71,$C$7:$C$48,_xlfn.XLOOKUP(M$61,$D$6:$AS$6,$D$7:$AS$48))</f>
        <v>22688075.962093201</v>
      </c>
      <c r="N71" cm="1">
        <f t="array" ref="N71">_xlfn.XLOOKUP($C71,$C$7:$C$48,_xlfn.XLOOKUP(N$61,$D$6:$AS$6,$D$7:$AS$48))</f>
        <v>63847204.8147908</v>
      </c>
      <c r="O71" cm="1">
        <f t="array" ref="O71">_xlfn.XLOOKUP($C71,$C$7:$C$48,_xlfn.XLOOKUP(O$61,$D$6:$AS$6,$D$7:$AS$48))</f>
        <v>474305.05805845698</v>
      </c>
      <c r="P71" cm="1">
        <f t="array" ref="P71">_xlfn.XLOOKUP($C71,$C$7:$C$48,_xlfn.XLOOKUP(P$61,$D$6:$AS$6,$D$7:$AS$48))</f>
        <v>2190479.2634456502</v>
      </c>
      <c r="Q71" cm="1">
        <f t="array" ref="Q71">_xlfn.XLOOKUP($C71,$C$7:$C$48,_xlfn.XLOOKUP(Q$61,$D$6:$AS$6,$D$7:$AS$48))</f>
        <v>1035075.19329482</v>
      </c>
      <c r="R71" cm="1">
        <f t="array" ref="R71">_xlfn.XLOOKUP($C71,$C$7:$C$48,_xlfn.XLOOKUP(R$61,$D$6:$AS$6,$D$7:$AS$48))</f>
        <v>19987603.867374402</v>
      </c>
      <c r="S71" cm="1">
        <f t="array" ref="S71">_xlfn.XLOOKUP($C71,$C$7:$C$48,_xlfn.XLOOKUP(S$61,$D$6:$AS$6,$D$7:$AS$48))</f>
        <v>42144146.633987799</v>
      </c>
      <c r="T71" cm="1">
        <f t="array" ref="T71">_xlfn.XLOOKUP($C71,$C$7:$C$48,_xlfn.XLOOKUP(T$61,$D$6:$AS$6,$D$7:$AS$48))</f>
        <v>7221065.2469647899</v>
      </c>
      <c r="U71" cm="1">
        <f t="array" ref="U71">_xlfn.XLOOKUP($C71,$C$7:$C$48,_xlfn.XLOOKUP(U$61,$D$6:$AS$6,$D$7:$AS$48))</f>
        <v>3078282.7603366501</v>
      </c>
      <c r="V71" cm="1">
        <f t="array" ref="V71">_xlfn.XLOOKUP($C71,$C$7:$C$48,_xlfn.XLOOKUP(V$61,$D$6:$AS$6,$D$7:$AS$48))</f>
        <v>1058861.3070405801</v>
      </c>
      <c r="W71" cm="1">
        <f t="array" ref="W71">_xlfn.XLOOKUP($C71,$C$7:$C$48,_xlfn.XLOOKUP(W$61,$D$6:$AS$6,$D$7:$AS$48))</f>
        <v>1121539.9099812401</v>
      </c>
      <c r="X71" cm="1">
        <f t="array" ref="X71">_xlfn.XLOOKUP($C71,$C$7:$C$48,_xlfn.XLOOKUP(X$61,$D$6:$AS$6,$D$7:$AS$48))</f>
        <v>2035296.8308451199</v>
      </c>
      <c r="Y71" cm="1">
        <f t="array" ref="Y71">_xlfn.XLOOKUP($C71,$C$7:$C$48,_xlfn.XLOOKUP(Y$61,$D$6:$AS$6,$D$7:$AS$48))</f>
        <v>1106854.0149806901</v>
      </c>
      <c r="Z71" cm="1">
        <f t="array" ref="Z71">_xlfn.XLOOKUP($C71,$C$7:$C$48,_xlfn.XLOOKUP(Z$61,$D$6:$AS$6,$D$7:$AS$48))</f>
        <v>444478.81957636902</v>
      </c>
      <c r="AA71" cm="1">
        <f t="array" ref="AA71">_xlfn.XLOOKUP($C71,$C$7:$C$48,_xlfn.XLOOKUP(AA$61,$D$6:$AS$6,$D$7:$AS$48))</f>
        <v>836932.65424876998</v>
      </c>
      <c r="AB71" cm="1">
        <f t="array" ref="AB71">_xlfn.XLOOKUP($C71,$C$7:$C$48,_xlfn.XLOOKUP(AB$61,$D$6:$AS$6,$D$7:$AS$48))</f>
        <v>10310485.4882796</v>
      </c>
      <c r="AC71" cm="1">
        <f t="array" ref="AC71">_xlfn.XLOOKUP($C71,$C$7:$C$48,_xlfn.XLOOKUP(AC$61,$D$6:$AS$6,$D$7:$AS$48))</f>
        <v>1882494.50116738</v>
      </c>
      <c r="AD71" cm="1">
        <f t="array" ref="AD71">_xlfn.XLOOKUP($C71,$C$7:$C$48,_xlfn.XLOOKUP(AD$61,$D$6:$AS$6,$D$7:$AS$48))</f>
        <v>38463.431520377097</v>
      </c>
      <c r="AE71" cm="1">
        <f t="array" ref="AE71">_xlfn.XLOOKUP($C71,$C$7:$C$48,_xlfn.XLOOKUP(AE$61,$D$6:$AS$6,$D$7:$AS$48))</f>
        <v>37120733.080253102</v>
      </c>
      <c r="AF71" cm="1">
        <f t="array" ref="AF71">_xlfn.XLOOKUP($C71,$C$7:$C$48,_xlfn.XLOOKUP(AF$61,$D$6:$AS$6,$D$7:$AS$48))</f>
        <v>3295901.7849033498</v>
      </c>
      <c r="AG71" cm="1">
        <f t="array" ref="AG71">_xlfn.XLOOKUP($C71,$C$7:$C$48,_xlfn.XLOOKUP(AG$61,$D$6:$AS$6,$D$7:$AS$48))</f>
        <v>96331786.3585812</v>
      </c>
      <c r="AH71" cm="1">
        <f t="array" ref="AH71">_xlfn.XLOOKUP($C71,$C$7:$C$48,_xlfn.XLOOKUP(AH$61,$D$6:$AS$6,$D$7:$AS$48))</f>
        <v>1029117.57201222</v>
      </c>
      <c r="AI71" cm="1">
        <f t="array" ref="AI71">_xlfn.XLOOKUP($C71,$C$7:$C$48,_xlfn.XLOOKUP(AI$61,$D$6:$AS$6,$D$7:$AS$48))</f>
        <v>1116149.5638975999</v>
      </c>
      <c r="AJ71" cm="1">
        <f t="array" ref="AJ71">_xlfn.XLOOKUP($C71,$C$7:$C$48,_xlfn.XLOOKUP(AJ$61,$D$6:$AS$6,$D$7:$AS$48))</f>
        <v>19256951.1198758</v>
      </c>
      <c r="AK71" cm="1">
        <f t="array" ref="AK71">_xlfn.XLOOKUP($C71,$C$7:$C$48,_xlfn.XLOOKUP(AK$61,$D$6:$AS$6,$D$7:$AS$48))</f>
        <v>1475382.56939414</v>
      </c>
      <c r="AL71" cm="1">
        <f t="array" ref="AL71">_xlfn.XLOOKUP($C71,$C$7:$C$48,_xlfn.XLOOKUP(AL$61,$D$6:$AS$6,$D$7:$AS$48))</f>
        <v>3729490.5709153502</v>
      </c>
      <c r="AM71" cm="1">
        <f t="array" ref="AM71">_xlfn.XLOOKUP($C71,$C$7:$C$48,_xlfn.XLOOKUP(AM$61,$D$6:$AS$6,$D$7:$AS$48))</f>
        <v>1528256.1230027401</v>
      </c>
      <c r="AN71" cm="1">
        <f t="array" ref="AN71">_xlfn.XLOOKUP($C71,$C$7:$C$48,_xlfn.XLOOKUP(AN$61,$D$6:$AS$6,$D$7:$AS$48))</f>
        <v>12374899.301728999</v>
      </c>
      <c r="AO71" cm="1">
        <f t="array" ref="AO71">_xlfn.XLOOKUP($C71,$C$7:$C$48,_xlfn.XLOOKUP(AO$61,$D$6:$AS$6,$D$7:$AS$48))</f>
        <v>5767313.9905040897</v>
      </c>
      <c r="AP71" cm="1">
        <f t="array" ref="AP71">_xlfn.XLOOKUP($C71,$C$7:$C$48,_xlfn.XLOOKUP(AP$61,$D$6:$AS$6,$D$7:$AS$48))</f>
        <v>2786127.9066548198</v>
      </c>
      <c r="AQ71" cm="1">
        <f t="array" ref="AQ71">_xlfn.XLOOKUP($C71,$C$7:$C$48,_xlfn.XLOOKUP(AQ$61,$D$6:$AS$6,$D$7:$AS$48))</f>
        <v>239725.60842664001</v>
      </c>
      <c r="AR71" cm="1">
        <f t="array" ref="AR71">_xlfn.XLOOKUP($C71,$C$7:$C$48,_xlfn.XLOOKUP(AR$61,$D$6:$AS$6,$D$7:$AS$48))</f>
        <v>469119.17965067498</v>
      </c>
      <c r="AS71" cm="1">
        <f t="array" ref="AS71">_xlfn.XLOOKUP($C71,$C$7:$C$48,_xlfn.XLOOKUP(AS$61,$D$6:$AS$6,$D$7:$AS$48))</f>
        <v>1218116.7765680801</v>
      </c>
      <c r="AT71">
        <f t="shared" si="3"/>
        <v>387898394.66909498</v>
      </c>
      <c r="AU71" cm="1">
        <f t="array" ref="AU71">_xlfn.XLOOKUP(AU$60,$AU$6:$BF$6,_xlfn.XLOOKUP($C71,$C$7:$C$48,$AU$7:$BF$48))</f>
        <v>5745628.19309087</v>
      </c>
      <c r="AV71" cm="1">
        <f t="array" ref="AV71">_xlfn.XLOOKUP(AV$60,$AU$6:$BF$6,_xlfn.XLOOKUP($C71,$C$7:$C$48,$AU$7:$BF$48))</f>
        <v>28313584.6405669</v>
      </c>
      <c r="AW71" cm="1">
        <f t="array" ref="AW71">_xlfn.XLOOKUP(AW$60,$AU$6:$BF$6,_xlfn.XLOOKUP($C71,$C$7:$C$48,$AU$7:$BF$48))</f>
        <v>34059212.833657697</v>
      </c>
      <c r="AX71" cm="1">
        <f t="array" ref="AX71">_xlfn.XLOOKUP(AX$60,$AU$6:$BF$6,_xlfn.XLOOKUP($C71,$C$7:$C$48,$AU$7:$BF$48))</f>
        <v>0</v>
      </c>
      <c r="AY71" cm="1">
        <f t="array" ref="AY71">_xlfn.XLOOKUP(AY$60,$AU$6:$BF$6,_xlfn.XLOOKUP($C71,$C$7:$C$48,$AU$7:$BF$48))</f>
        <v>34059212.833657697</v>
      </c>
      <c r="AZ71" cm="1">
        <f t="array" ref="AZ71">_xlfn.XLOOKUP(AZ$60,$AU$6:$BF$6,_xlfn.XLOOKUP($C71,$C$7:$C$48,$AU$7:$BF$48))</f>
        <v>0</v>
      </c>
      <c r="BA71" cm="1">
        <f t="array" ref="BA71">_xlfn.XLOOKUP(BA$60,$AU$6:$BF$6,_xlfn.XLOOKUP($C71,$C$7:$C$48,$AU$7:$BF$48))</f>
        <v>-5955399.24897708</v>
      </c>
      <c r="BB71" cm="1">
        <f t="array" ref="BB71">_xlfn.XLOOKUP(BB$60,$AU$6:$BF$6,_xlfn.XLOOKUP($C71,$C$7:$C$48,$AU$7:$BF$48))</f>
        <v>-5955399.24897708</v>
      </c>
      <c r="BC71" cm="1">
        <f t="array" ref="BC71">_xlfn.XLOOKUP(BC$60,$AU$6:$BF$6,_xlfn.XLOOKUP($C71,$C$7:$C$48,$AU$7:$BF$48))</f>
        <v>15981224.401177</v>
      </c>
      <c r="BD71" cm="1">
        <f t="array" ref="BD71">_xlfn.XLOOKUP(BD$60,$AU$6:$BF$6,_xlfn.XLOOKUP($C71,$C$7:$C$48,$AU$7:$BF$48))</f>
        <v>44085037.985857598</v>
      </c>
      <c r="BE71" cm="1">
        <f t="array" ref="BE71">_xlfn.XLOOKUP(BE$60,$AU$6:$BF$6,_xlfn.XLOOKUP($C71,$C$7:$C$48,$AU$7:$BF$48))</f>
        <v>22650148.1800972</v>
      </c>
      <c r="BF71" cm="1">
        <f t="array" ref="BF71">_xlfn.XLOOKUP(BF$60,$AU$6:$BF$6,_xlfn.XLOOKUP($C71,$C$7:$C$48,$AU$7:$BF$48))</f>
        <v>409333284.47485602</v>
      </c>
      <c r="BH71">
        <f t="shared" si="2"/>
        <v>416002208.2537756</v>
      </c>
      <c r="BJ71">
        <f t="shared" si="4"/>
        <v>5.4447182564665221E-2</v>
      </c>
    </row>
    <row r="72" spans="2:62" x14ac:dyDescent="0.25">
      <c r="C72" s="36" t="s">
        <v>80</v>
      </c>
      <c r="D72" cm="1">
        <f t="array" ref="D72">_xlfn.XLOOKUP($C72,$C$7:$C$48,_xlfn.XLOOKUP(D$61,$D$6:$AS$6,$D$7:$AS$48))</f>
        <v>75932742.213260502</v>
      </c>
      <c r="E72" cm="1">
        <f t="array" ref="E72">_xlfn.XLOOKUP($C72,$C$7:$C$48,_xlfn.XLOOKUP(E$61,$D$6:$AS$6,$D$7:$AS$48))</f>
        <v>2724058.15268707</v>
      </c>
      <c r="F72" cm="1">
        <f t="array" ref="F72">_xlfn.XLOOKUP($C72,$C$7:$C$48,_xlfn.XLOOKUP(F$61,$D$6:$AS$6,$D$7:$AS$48))</f>
        <v>3946860.51405884</v>
      </c>
      <c r="G72" cm="1">
        <f t="array" ref="G72">_xlfn.XLOOKUP($C72,$C$7:$C$48,_xlfn.XLOOKUP(G$61,$D$6:$AS$6,$D$7:$AS$48))</f>
        <v>9732267.0914701205</v>
      </c>
      <c r="H72" cm="1">
        <f t="array" ref="H72">_xlfn.XLOOKUP($C72,$C$7:$C$48,_xlfn.XLOOKUP(H$61,$D$6:$AS$6,$D$7:$AS$48))</f>
        <v>1246400.0556822801</v>
      </c>
      <c r="I72" cm="1">
        <f t="array" ref="I72">_xlfn.XLOOKUP($C72,$C$7:$C$48,_xlfn.XLOOKUP(I$61,$D$6:$AS$6,$D$7:$AS$48))</f>
        <v>5072727.7006933503</v>
      </c>
      <c r="J72" cm="1">
        <f t="array" ref="J72">_xlfn.XLOOKUP($C72,$C$7:$C$48,_xlfn.XLOOKUP(J$61,$D$6:$AS$6,$D$7:$AS$48))</f>
        <v>54593583.318500802</v>
      </c>
      <c r="K72" cm="1">
        <f t="array" ref="K72">_xlfn.XLOOKUP($C72,$C$7:$C$48,_xlfn.XLOOKUP(K$61,$D$6:$AS$6,$D$7:$AS$48))</f>
        <v>16223099.5250488</v>
      </c>
      <c r="L72" cm="1">
        <f t="array" ref="L72">_xlfn.XLOOKUP($C72,$C$7:$C$48,_xlfn.XLOOKUP(L$61,$D$6:$AS$6,$D$7:$AS$48))</f>
        <v>51348512.5649212</v>
      </c>
      <c r="M72" cm="1">
        <f t="array" ref="M72">_xlfn.XLOOKUP($C72,$C$7:$C$48,_xlfn.XLOOKUP(M$61,$D$6:$AS$6,$D$7:$AS$48))</f>
        <v>14670765.357755</v>
      </c>
      <c r="N72" cm="1">
        <f t="array" ref="N72">_xlfn.XLOOKUP($C72,$C$7:$C$48,_xlfn.XLOOKUP(N$61,$D$6:$AS$6,$D$7:$AS$48))</f>
        <v>292965053.664608</v>
      </c>
      <c r="O72" cm="1">
        <f t="array" ref="O72">_xlfn.XLOOKUP($C72,$C$7:$C$48,_xlfn.XLOOKUP(O$61,$D$6:$AS$6,$D$7:$AS$48))</f>
        <v>11936419.056146599</v>
      </c>
      <c r="P72" cm="1">
        <f t="array" ref="P72">_xlfn.XLOOKUP($C72,$C$7:$C$48,_xlfn.XLOOKUP(P$61,$D$6:$AS$6,$D$7:$AS$48))</f>
        <v>110271806.29350699</v>
      </c>
      <c r="Q72" cm="1">
        <f t="array" ref="Q72">_xlfn.XLOOKUP($C72,$C$7:$C$48,_xlfn.XLOOKUP(Q$61,$D$6:$AS$6,$D$7:$AS$48))</f>
        <v>2243331.55982255</v>
      </c>
      <c r="R72" cm="1">
        <f t="array" ref="R72">_xlfn.XLOOKUP($C72,$C$7:$C$48,_xlfn.XLOOKUP(R$61,$D$6:$AS$6,$D$7:$AS$48))</f>
        <v>31280002.3053056</v>
      </c>
      <c r="S72" cm="1">
        <f t="array" ref="S72">_xlfn.XLOOKUP($C72,$C$7:$C$48,_xlfn.XLOOKUP(S$61,$D$6:$AS$6,$D$7:$AS$48))</f>
        <v>3761258.98916111</v>
      </c>
      <c r="T72" cm="1">
        <f t="array" ref="T72">_xlfn.XLOOKUP($C72,$C$7:$C$48,_xlfn.XLOOKUP(T$61,$D$6:$AS$6,$D$7:$AS$48))</f>
        <v>9341339.8389430195</v>
      </c>
      <c r="U72" cm="1">
        <f t="array" ref="U72">_xlfn.XLOOKUP($C72,$C$7:$C$48,_xlfn.XLOOKUP(U$61,$D$6:$AS$6,$D$7:$AS$48))</f>
        <v>10641343.791129</v>
      </c>
      <c r="V72" cm="1">
        <f t="array" ref="V72">_xlfn.XLOOKUP($C72,$C$7:$C$48,_xlfn.XLOOKUP(V$61,$D$6:$AS$6,$D$7:$AS$48))</f>
        <v>15451768.3835839</v>
      </c>
      <c r="W72" cm="1">
        <f t="array" ref="W72">_xlfn.XLOOKUP($C72,$C$7:$C$48,_xlfn.XLOOKUP(W$61,$D$6:$AS$6,$D$7:$AS$48))</f>
        <v>26478745.382496499</v>
      </c>
      <c r="X72" cm="1">
        <f t="array" ref="X72">_xlfn.XLOOKUP($C72,$C$7:$C$48,_xlfn.XLOOKUP(X$61,$D$6:$AS$6,$D$7:$AS$48))</f>
        <v>4653059.1683464795</v>
      </c>
      <c r="Y72" cm="1">
        <f t="array" ref="Y72">_xlfn.XLOOKUP($C72,$C$7:$C$48,_xlfn.XLOOKUP(Y$61,$D$6:$AS$6,$D$7:$AS$48))</f>
        <v>6970340.16868803</v>
      </c>
      <c r="Z72" cm="1">
        <f t="array" ref="Z72">_xlfn.XLOOKUP($C72,$C$7:$C$48,_xlfn.XLOOKUP(Z$61,$D$6:$AS$6,$D$7:$AS$48))</f>
        <v>2118210.80846642</v>
      </c>
      <c r="AA72" cm="1">
        <f t="array" ref="AA72">_xlfn.XLOOKUP($C72,$C$7:$C$48,_xlfn.XLOOKUP(AA$61,$D$6:$AS$6,$D$7:$AS$48))</f>
        <v>5086887.5907676704</v>
      </c>
      <c r="AB72" cm="1">
        <f t="array" ref="AB72">_xlfn.XLOOKUP($C72,$C$7:$C$48,_xlfn.XLOOKUP(AB$61,$D$6:$AS$6,$D$7:$AS$48))</f>
        <v>221438.66653513399</v>
      </c>
      <c r="AC72" cm="1">
        <f t="array" ref="AC72">_xlfn.XLOOKUP($C72,$C$7:$C$48,_xlfn.XLOOKUP(AC$61,$D$6:$AS$6,$D$7:$AS$48))</f>
        <v>31293.1657941251</v>
      </c>
      <c r="AD72" cm="1">
        <f t="array" ref="AD72">_xlfn.XLOOKUP($C72,$C$7:$C$48,_xlfn.XLOOKUP(AD$61,$D$6:$AS$6,$D$7:$AS$48))</f>
        <v>2463333.3016807502</v>
      </c>
      <c r="AE72" cm="1">
        <f t="array" ref="AE72">_xlfn.XLOOKUP($C72,$C$7:$C$48,_xlfn.XLOOKUP(AE$61,$D$6:$AS$6,$D$7:$AS$48))</f>
        <v>75178170.055959806</v>
      </c>
      <c r="AF72" cm="1">
        <f t="array" ref="AF72">_xlfn.XLOOKUP($C72,$C$7:$C$48,_xlfn.XLOOKUP(AF$61,$D$6:$AS$6,$D$7:$AS$48))</f>
        <v>101065.70409229099</v>
      </c>
      <c r="AG72" cm="1">
        <f t="array" ref="AG72">_xlfn.XLOOKUP($C72,$C$7:$C$48,_xlfn.XLOOKUP(AG$61,$D$6:$AS$6,$D$7:$AS$48))</f>
        <v>988410.01262835099</v>
      </c>
      <c r="AH72" cm="1">
        <f t="array" ref="AH72">_xlfn.XLOOKUP($C72,$C$7:$C$48,_xlfn.XLOOKUP(AH$61,$D$6:$AS$6,$D$7:$AS$48))</f>
        <v>2502380.8395175301</v>
      </c>
      <c r="AI72" cm="1">
        <f t="array" ref="AI72">_xlfn.XLOOKUP($C72,$C$7:$C$48,_xlfn.XLOOKUP(AI$61,$D$6:$AS$6,$D$7:$AS$48))</f>
        <v>1218070.2521790899</v>
      </c>
      <c r="AJ72" cm="1">
        <f t="array" ref="AJ72">_xlfn.XLOOKUP($C72,$C$7:$C$48,_xlfn.XLOOKUP(AJ$61,$D$6:$AS$6,$D$7:$AS$48))</f>
        <v>4302489.10772241</v>
      </c>
      <c r="AK72" cm="1">
        <f t="array" ref="AK72">_xlfn.XLOOKUP($C72,$C$7:$C$48,_xlfn.XLOOKUP(AK$61,$D$6:$AS$6,$D$7:$AS$48))</f>
        <v>14442888.994406501</v>
      </c>
      <c r="AL72" cm="1">
        <f t="array" ref="AL72">_xlfn.XLOOKUP($C72,$C$7:$C$48,_xlfn.XLOOKUP(AL$61,$D$6:$AS$6,$D$7:$AS$48))</f>
        <v>301378.83771868399</v>
      </c>
      <c r="AM72" cm="1">
        <f t="array" ref="AM72">_xlfn.XLOOKUP($C72,$C$7:$C$48,_xlfn.XLOOKUP(AM$61,$D$6:$AS$6,$D$7:$AS$48))</f>
        <v>339047.63523125602</v>
      </c>
      <c r="AN72" cm="1">
        <f t="array" ref="AN72">_xlfn.XLOOKUP($C72,$C$7:$C$48,_xlfn.XLOOKUP(AN$61,$D$6:$AS$6,$D$7:$AS$48))</f>
        <v>20348720.0274329</v>
      </c>
      <c r="AO72" cm="1">
        <f t="array" ref="AO72">_xlfn.XLOOKUP($C72,$C$7:$C$48,_xlfn.XLOOKUP(AO$61,$D$6:$AS$6,$D$7:$AS$48))</f>
        <v>8727065.8294576202</v>
      </c>
      <c r="AP72" cm="1">
        <f t="array" ref="AP72">_xlfn.XLOOKUP($C72,$C$7:$C$48,_xlfn.XLOOKUP(AP$61,$D$6:$AS$6,$D$7:$AS$48))</f>
        <v>7517280.0777033204</v>
      </c>
      <c r="AQ72" cm="1">
        <f t="array" ref="AQ72">_xlfn.XLOOKUP($C72,$C$7:$C$48,_xlfn.XLOOKUP(AQ$61,$D$6:$AS$6,$D$7:$AS$48))</f>
        <v>538883.132006158</v>
      </c>
      <c r="AR72" cm="1">
        <f t="array" ref="AR72">_xlfn.XLOOKUP($C72,$C$7:$C$48,_xlfn.XLOOKUP(AR$61,$D$6:$AS$6,$D$7:$AS$48))</f>
        <v>1609725.58352926</v>
      </c>
      <c r="AS72" cm="1">
        <f t="array" ref="AS72">_xlfn.XLOOKUP($C72,$C$7:$C$48,_xlfn.XLOOKUP(AS$61,$D$6:$AS$6,$D$7:$AS$48))</f>
        <v>13522935.637700999</v>
      </c>
      <c r="AT72">
        <f t="shared" si="3"/>
        <v>906822060.83129597</v>
      </c>
      <c r="AU72" cm="1">
        <f t="array" ref="AU72">_xlfn.XLOOKUP(AU$60,$AU$6:$BF$6,_xlfn.XLOOKUP($C72,$C$7:$C$48,$AU$7:$BF$48))</f>
        <v>2773014.2064051102</v>
      </c>
      <c r="AV72" cm="1">
        <f t="array" ref="AV72">_xlfn.XLOOKUP(AV$60,$AU$6:$BF$6,_xlfn.XLOOKUP($C72,$C$7:$C$48,$AU$7:$BF$48))</f>
        <v>19771296.6729743</v>
      </c>
      <c r="AW72" cm="1">
        <f t="array" ref="AW72">_xlfn.XLOOKUP(AW$60,$AU$6:$BF$6,_xlfn.XLOOKUP($C72,$C$7:$C$48,$AU$7:$BF$48))</f>
        <v>22544310.879379399</v>
      </c>
      <c r="AX72" cm="1">
        <f t="array" ref="AX72">_xlfn.XLOOKUP(AX$60,$AU$6:$BF$6,_xlfn.XLOOKUP($C72,$C$7:$C$48,$AU$7:$BF$48))</f>
        <v>0</v>
      </c>
      <c r="AY72" cm="1">
        <f t="array" ref="AY72">_xlfn.XLOOKUP(AY$60,$AU$6:$BF$6,_xlfn.XLOOKUP($C72,$C$7:$C$48,$AU$7:$BF$48))</f>
        <v>22544310.879379399</v>
      </c>
      <c r="AZ72" cm="1">
        <f t="array" ref="AZ72">_xlfn.XLOOKUP(AZ$60,$AU$6:$BF$6,_xlfn.XLOOKUP($C72,$C$7:$C$48,$AU$7:$BF$48))</f>
        <v>0</v>
      </c>
      <c r="BA72" cm="1">
        <f t="array" ref="BA72">_xlfn.XLOOKUP(BA$60,$AU$6:$BF$6,_xlfn.XLOOKUP($C72,$C$7:$C$48,$AU$7:$BF$48))</f>
        <v>-17407692.4580363</v>
      </c>
      <c r="BB72" cm="1">
        <f t="array" ref="BB72">_xlfn.XLOOKUP(BB$60,$AU$6:$BF$6,_xlfn.XLOOKUP($C72,$C$7:$C$48,$AU$7:$BF$48))</f>
        <v>-17407692.4580363</v>
      </c>
      <c r="BC72" cm="1">
        <f t="array" ref="BC72">_xlfn.XLOOKUP(BC$60,$AU$6:$BF$6,_xlfn.XLOOKUP($C72,$C$7:$C$48,$AU$7:$BF$48))</f>
        <v>66207877.6200248</v>
      </c>
      <c r="BD72" cm="1">
        <f t="array" ref="BD72">_xlfn.XLOOKUP(BD$60,$AU$6:$BF$6,_xlfn.XLOOKUP($C72,$C$7:$C$48,$AU$7:$BF$48))</f>
        <v>71344496.041367993</v>
      </c>
      <c r="BE72" cm="1">
        <f t="array" ref="BE72">_xlfn.XLOOKUP(BE$60,$AU$6:$BF$6,_xlfn.XLOOKUP($C72,$C$7:$C$48,$AU$7:$BF$48))</f>
        <v>123069963.945637</v>
      </c>
      <c r="BF72" cm="1">
        <f t="array" ref="BF72">_xlfn.XLOOKUP(BF$60,$AU$6:$BF$6,_xlfn.XLOOKUP($C72,$C$7:$C$48,$AU$7:$BF$48))</f>
        <v>855096592.92702794</v>
      </c>
      <c r="BH72">
        <f t="shared" si="2"/>
        <v>911958679.25263906</v>
      </c>
      <c r="BJ72">
        <f t="shared" si="4"/>
        <v>0.1349512502545557</v>
      </c>
    </row>
    <row r="73" spans="2:62" x14ac:dyDescent="0.25">
      <c r="C73" s="36" t="s">
        <v>81</v>
      </c>
      <c r="D73" cm="1">
        <f t="array" ref="D73">_xlfn.XLOOKUP($C73,$C$7:$C$48,_xlfn.XLOOKUP(D$61,$D$6:$AS$6,$D$7:$AS$48))</f>
        <v>6070961.4374369001</v>
      </c>
      <c r="E73" cm="1">
        <f t="array" ref="E73">_xlfn.XLOOKUP($C73,$C$7:$C$48,_xlfn.XLOOKUP(E$61,$D$6:$AS$6,$D$7:$AS$48))</f>
        <v>41905.1238799485</v>
      </c>
      <c r="F73" cm="1">
        <f t="array" ref="F73">_xlfn.XLOOKUP($C73,$C$7:$C$48,_xlfn.XLOOKUP(F$61,$D$6:$AS$6,$D$7:$AS$48))</f>
        <v>18810.368854661101</v>
      </c>
      <c r="G73" cm="1">
        <f t="array" ref="G73">_xlfn.XLOOKUP($C73,$C$7:$C$48,_xlfn.XLOOKUP(G$61,$D$6:$AS$6,$D$7:$AS$48))</f>
        <v>6112.2849642644696</v>
      </c>
      <c r="H73" cm="1">
        <f t="array" ref="H73">_xlfn.XLOOKUP($C73,$C$7:$C$48,_xlfn.XLOOKUP(H$61,$D$6:$AS$6,$D$7:$AS$48))</f>
        <v>670.13327881885402</v>
      </c>
      <c r="I73" cm="1">
        <f t="array" ref="I73">_xlfn.XLOOKUP($C73,$C$7:$C$48,_xlfn.XLOOKUP(I$61,$D$6:$AS$6,$D$7:$AS$48))</f>
        <v>812022.34228900995</v>
      </c>
      <c r="J73" cm="1">
        <f t="array" ref="J73">_xlfn.XLOOKUP($C73,$C$7:$C$48,_xlfn.XLOOKUP(J$61,$D$6:$AS$6,$D$7:$AS$48))</f>
        <v>88147.314917836804</v>
      </c>
      <c r="K73" cm="1">
        <f t="array" ref="K73">_xlfn.XLOOKUP($C73,$C$7:$C$48,_xlfn.XLOOKUP(K$61,$D$6:$AS$6,$D$7:$AS$48))</f>
        <v>2763.5261905479001</v>
      </c>
      <c r="L73" cm="1">
        <f t="array" ref="L73">_xlfn.XLOOKUP($C73,$C$7:$C$48,_xlfn.XLOOKUP(L$61,$D$6:$AS$6,$D$7:$AS$48))</f>
        <v>656674.06808880798</v>
      </c>
      <c r="M73" cm="1">
        <f t="array" ref="M73">_xlfn.XLOOKUP($C73,$C$7:$C$48,_xlfn.XLOOKUP(M$61,$D$6:$AS$6,$D$7:$AS$48))</f>
        <v>14976.675812205</v>
      </c>
      <c r="N73" cm="1">
        <f t="array" ref="N73">_xlfn.XLOOKUP($C73,$C$7:$C$48,_xlfn.XLOOKUP(N$61,$D$6:$AS$6,$D$7:$AS$48))</f>
        <v>1196870.9554063</v>
      </c>
      <c r="O73" cm="1">
        <f t="array" ref="O73">_xlfn.XLOOKUP($C73,$C$7:$C$48,_xlfn.XLOOKUP(O$61,$D$6:$AS$6,$D$7:$AS$48))</f>
        <v>61912202.1611742</v>
      </c>
      <c r="P73" cm="1">
        <f t="array" ref="P73">_xlfn.XLOOKUP($C73,$C$7:$C$48,_xlfn.XLOOKUP(P$61,$D$6:$AS$6,$D$7:$AS$48))</f>
        <v>81220.678649797701</v>
      </c>
      <c r="Q73" cm="1">
        <f t="array" ref="Q73">_xlfn.XLOOKUP($C73,$C$7:$C$48,_xlfn.XLOOKUP(Q$61,$D$6:$AS$6,$D$7:$AS$48))</f>
        <v>424487.47467669699</v>
      </c>
      <c r="R73" cm="1">
        <f t="array" ref="R73">_xlfn.XLOOKUP($C73,$C$7:$C$48,_xlfn.XLOOKUP(R$61,$D$6:$AS$6,$D$7:$AS$48))</f>
        <v>569294.79213128798</v>
      </c>
      <c r="S73" cm="1">
        <f t="array" ref="S73">_xlfn.XLOOKUP($C73,$C$7:$C$48,_xlfn.XLOOKUP(S$61,$D$6:$AS$6,$D$7:$AS$48))</f>
        <v>104789.230336209</v>
      </c>
      <c r="T73" cm="1">
        <f t="array" ref="T73">_xlfn.XLOOKUP($C73,$C$7:$C$48,_xlfn.XLOOKUP(T$61,$D$6:$AS$6,$D$7:$AS$48))</f>
        <v>14108.632184689</v>
      </c>
      <c r="U73" cm="1">
        <f t="array" ref="U73">_xlfn.XLOOKUP($C73,$C$7:$C$48,_xlfn.XLOOKUP(U$61,$D$6:$AS$6,$D$7:$AS$48))</f>
        <v>174018.26597316301</v>
      </c>
      <c r="V73" cm="1">
        <f t="array" ref="V73">_xlfn.XLOOKUP($C73,$C$7:$C$48,_xlfn.XLOOKUP(V$61,$D$6:$AS$6,$D$7:$AS$48))</f>
        <v>501241.91274992801</v>
      </c>
      <c r="W73" cm="1">
        <f t="array" ref="W73">_xlfn.XLOOKUP($C73,$C$7:$C$48,_xlfn.XLOOKUP(W$61,$D$6:$AS$6,$D$7:$AS$48))</f>
        <v>124300.882651088</v>
      </c>
      <c r="X73" cm="1">
        <f t="array" ref="X73">_xlfn.XLOOKUP($C73,$C$7:$C$48,_xlfn.XLOOKUP(X$61,$D$6:$AS$6,$D$7:$AS$48))</f>
        <v>7811.9409713792102</v>
      </c>
      <c r="Y73" cm="1">
        <f t="array" ref="Y73">_xlfn.XLOOKUP($C73,$C$7:$C$48,_xlfn.XLOOKUP(Y$61,$D$6:$AS$6,$D$7:$AS$48))</f>
        <v>10204.6638427004</v>
      </c>
      <c r="Z73" cm="1">
        <f t="array" ref="Z73">_xlfn.XLOOKUP($C73,$C$7:$C$48,_xlfn.XLOOKUP(Z$61,$D$6:$AS$6,$D$7:$AS$48))</f>
        <v>10869.3228811845</v>
      </c>
      <c r="AA73" cm="1">
        <f t="array" ref="AA73">_xlfn.XLOOKUP($C73,$C$7:$C$48,_xlfn.XLOOKUP(AA$61,$D$6:$AS$6,$D$7:$AS$48))</f>
        <v>124963.88315405</v>
      </c>
      <c r="AB73" cm="1">
        <f t="array" ref="AB73">_xlfn.XLOOKUP($C73,$C$7:$C$48,_xlfn.XLOOKUP(AB$61,$D$6:$AS$6,$D$7:$AS$48))</f>
        <v>16580.568116655599</v>
      </c>
      <c r="AC73" cm="1">
        <f t="array" ref="AC73">_xlfn.XLOOKUP($C73,$C$7:$C$48,_xlfn.XLOOKUP(AC$61,$D$6:$AS$6,$D$7:$AS$48))</f>
        <v>375.41192867780302</v>
      </c>
      <c r="AD73" cm="1">
        <f t="array" ref="AD73">_xlfn.XLOOKUP($C73,$C$7:$C$48,_xlfn.XLOOKUP(AD$61,$D$6:$AS$6,$D$7:$AS$48))</f>
        <v>16573.3630853305</v>
      </c>
      <c r="AE73" cm="1">
        <f t="array" ref="AE73">_xlfn.XLOOKUP($C73,$C$7:$C$48,_xlfn.XLOOKUP(AE$61,$D$6:$AS$6,$D$7:$AS$48))</f>
        <v>2238386.65971391</v>
      </c>
      <c r="AF73" cm="1">
        <f t="array" ref="AF73">_xlfn.XLOOKUP($C73,$C$7:$C$48,_xlfn.XLOOKUP(AF$61,$D$6:$AS$6,$D$7:$AS$48))</f>
        <v>10825.856603877201</v>
      </c>
      <c r="AG73" cm="1">
        <f t="array" ref="AG73">_xlfn.XLOOKUP($C73,$C$7:$C$48,_xlfn.XLOOKUP(AG$61,$D$6:$AS$6,$D$7:$AS$48))</f>
        <v>152802.03973739099</v>
      </c>
      <c r="AH73" cm="1">
        <f t="array" ref="AH73">_xlfn.XLOOKUP($C73,$C$7:$C$48,_xlfn.XLOOKUP(AH$61,$D$6:$AS$6,$D$7:$AS$48))</f>
        <v>814.26545664270998</v>
      </c>
      <c r="AI73" cm="1">
        <f t="array" ref="AI73">_xlfn.XLOOKUP($C73,$C$7:$C$48,_xlfn.XLOOKUP(AI$61,$D$6:$AS$6,$D$7:$AS$48))</f>
        <v>302859.26629002002</v>
      </c>
      <c r="AJ73" cm="1">
        <f t="array" ref="AJ73">_xlfn.XLOOKUP($C73,$C$7:$C$48,_xlfn.XLOOKUP(AJ$61,$D$6:$AS$6,$D$7:$AS$48))</f>
        <v>178518.27735863501</v>
      </c>
      <c r="AK73" cm="1">
        <f t="array" ref="AK73">_xlfn.XLOOKUP($C73,$C$7:$C$48,_xlfn.XLOOKUP(AK$61,$D$6:$AS$6,$D$7:$AS$48))</f>
        <v>1060731.91296312</v>
      </c>
      <c r="AL73" cm="1">
        <f t="array" ref="AL73">_xlfn.XLOOKUP($C73,$C$7:$C$48,_xlfn.XLOOKUP(AL$61,$D$6:$AS$6,$D$7:$AS$48))</f>
        <v>71563.524587609994</v>
      </c>
      <c r="AM73" cm="1">
        <f t="array" ref="AM73">_xlfn.XLOOKUP($C73,$C$7:$C$48,_xlfn.XLOOKUP(AM$61,$D$6:$AS$6,$D$7:$AS$48))</f>
        <v>15249.378604661501</v>
      </c>
      <c r="AN73" cm="1">
        <f t="array" ref="AN73">_xlfn.XLOOKUP($C73,$C$7:$C$48,_xlfn.XLOOKUP(AN$61,$D$6:$AS$6,$D$7:$AS$48))</f>
        <v>2592341.7705153902</v>
      </c>
      <c r="AO73" cm="1">
        <f t="array" ref="AO73">_xlfn.XLOOKUP($C73,$C$7:$C$48,_xlfn.XLOOKUP(AO$61,$D$6:$AS$6,$D$7:$AS$48))</f>
        <v>264315.06789918197</v>
      </c>
      <c r="AP73" cm="1">
        <f t="array" ref="AP73">_xlfn.XLOOKUP($C73,$C$7:$C$48,_xlfn.XLOOKUP(AP$61,$D$6:$AS$6,$D$7:$AS$48))</f>
        <v>710406.21710605698</v>
      </c>
      <c r="AQ73" cm="1">
        <f t="array" ref="AQ73">_xlfn.XLOOKUP($C73,$C$7:$C$48,_xlfn.XLOOKUP(AQ$61,$D$6:$AS$6,$D$7:$AS$48))</f>
        <v>163829848.56430799</v>
      </c>
      <c r="AR73" cm="1">
        <f t="array" ref="AR73">_xlfn.XLOOKUP($C73,$C$7:$C$48,_xlfn.XLOOKUP(AR$61,$D$6:$AS$6,$D$7:$AS$48))</f>
        <v>24625.036891759799</v>
      </c>
      <c r="AS73" cm="1">
        <f t="array" ref="AS73">_xlfn.XLOOKUP($C73,$C$7:$C$48,_xlfn.XLOOKUP(AS$61,$D$6:$AS$6,$D$7:$AS$48))</f>
        <v>184325.82636609601</v>
      </c>
      <c r="AT73">
        <f t="shared" si="3"/>
        <v>244637807.55383801</v>
      </c>
      <c r="AU73" cm="1">
        <f t="array" ref="AU73">_xlfn.XLOOKUP(AU$60,$AU$6:$BF$6,_xlfn.XLOOKUP($C73,$C$7:$C$48,$AU$7:$BF$48))</f>
        <v>16266750.555721899</v>
      </c>
      <c r="AV73" cm="1">
        <f t="array" ref="AV73">_xlfn.XLOOKUP(AV$60,$AU$6:$BF$6,_xlfn.XLOOKUP($C73,$C$7:$C$48,$AU$7:$BF$48))</f>
        <v>47595953.712028898</v>
      </c>
      <c r="AW73" cm="1">
        <f t="array" ref="AW73">_xlfn.XLOOKUP(AW$60,$AU$6:$BF$6,_xlfn.XLOOKUP($C73,$C$7:$C$48,$AU$7:$BF$48))</f>
        <v>63862704.267750703</v>
      </c>
      <c r="AX73" cm="1">
        <f t="array" ref="AX73">_xlfn.XLOOKUP(AX$60,$AU$6:$BF$6,_xlfn.XLOOKUP($C73,$C$7:$C$48,$AU$7:$BF$48))</f>
        <v>0</v>
      </c>
      <c r="AY73" cm="1">
        <f t="array" ref="AY73">_xlfn.XLOOKUP(AY$60,$AU$6:$BF$6,_xlfn.XLOOKUP($C73,$C$7:$C$48,$AU$7:$BF$48))</f>
        <v>63862704.267750703</v>
      </c>
      <c r="AZ73" cm="1">
        <f t="array" ref="AZ73">_xlfn.XLOOKUP(AZ$60,$AU$6:$BF$6,_xlfn.XLOOKUP($C73,$C$7:$C$48,$AU$7:$BF$48))</f>
        <v>0</v>
      </c>
      <c r="BA73" cm="1">
        <f t="array" ref="BA73">_xlfn.XLOOKUP(BA$60,$AU$6:$BF$6,_xlfn.XLOOKUP($C73,$C$7:$C$48,$AU$7:$BF$48))</f>
        <v>-336221.76102223003</v>
      </c>
      <c r="BB73" cm="1">
        <f t="array" ref="BB73">_xlfn.XLOOKUP(BB$60,$AU$6:$BF$6,_xlfn.XLOOKUP($C73,$C$7:$C$48,$AU$7:$BF$48))</f>
        <v>-336221.76102223003</v>
      </c>
      <c r="BC73" cm="1">
        <f t="array" ref="BC73">_xlfn.XLOOKUP(BC$60,$AU$6:$BF$6,_xlfn.XLOOKUP($C73,$C$7:$C$48,$AU$7:$BF$48))</f>
        <v>22931108.4346494</v>
      </c>
      <c r="BD73" cm="1">
        <f t="array" ref="BD73">_xlfn.XLOOKUP(BD$60,$AU$6:$BF$6,_xlfn.XLOOKUP($C73,$C$7:$C$48,$AU$7:$BF$48))</f>
        <v>86457590.941377893</v>
      </c>
      <c r="BE73" cm="1">
        <f t="array" ref="BE73">_xlfn.XLOOKUP(BE$60,$AU$6:$BF$6,_xlfn.XLOOKUP($C73,$C$7:$C$48,$AU$7:$BF$48))</f>
        <v>31039261.6919652</v>
      </c>
      <c r="BF73" cm="1">
        <f t="array" ref="BF73">_xlfn.XLOOKUP(BF$60,$AU$6:$BF$6,_xlfn.XLOOKUP($C73,$C$7:$C$48,$AU$7:$BF$48))</f>
        <v>300056136.80325001</v>
      </c>
      <c r="BH73">
        <f t="shared" si="2"/>
        <v>308164290.06056648</v>
      </c>
      <c r="BJ73">
        <f t="shared" si="4"/>
        <v>0.10072309703977951</v>
      </c>
    </row>
    <row r="74" spans="2:62" x14ac:dyDescent="0.25">
      <c r="C74" s="36" t="s">
        <v>82</v>
      </c>
      <c r="D74" cm="1">
        <f t="array" ref="D74">_xlfn.XLOOKUP($C74,$C$7:$C$48,_xlfn.XLOOKUP(D$61,$D$6:$AS$6,$D$7:$AS$48))</f>
        <v>8674566.8560292199</v>
      </c>
      <c r="E74" cm="1">
        <f t="array" ref="E74">_xlfn.XLOOKUP($C74,$C$7:$C$48,_xlfn.XLOOKUP(E$61,$D$6:$AS$6,$D$7:$AS$48))</f>
        <v>554790.31351451494</v>
      </c>
      <c r="F74" cm="1">
        <f t="array" ref="F74">_xlfn.XLOOKUP($C74,$C$7:$C$48,_xlfn.XLOOKUP(F$61,$D$6:$AS$6,$D$7:$AS$48))</f>
        <v>68528.8864528181</v>
      </c>
      <c r="G74" cm="1">
        <f t="array" ref="G74">_xlfn.XLOOKUP($C74,$C$7:$C$48,_xlfn.XLOOKUP(G$61,$D$6:$AS$6,$D$7:$AS$48))</f>
        <v>994753.47934881004</v>
      </c>
      <c r="H74" cm="1">
        <f t="array" ref="H74">_xlfn.XLOOKUP($C74,$C$7:$C$48,_xlfn.XLOOKUP(H$61,$D$6:$AS$6,$D$7:$AS$48))</f>
        <v>744309.45223715203</v>
      </c>
      <c r="I74" cm="1">
        <f t="array" ref="I74">_xlfn.XLOOKUP($C74,$C$7:$C$48,_xlfn.XLOOKUP(I$61,$D$6:$AS$6,$D$7:$AS$48))</f>
        <v>11841214.9098398</v>
      </c>
      <c r="J74" cm="1">
        <f t="array" ref="J74">_xlfn.XLOOKUP($C74,$C$7:$C$48,_xlfn.XLOOKUP(J$61,$D$6:$AS$6,$D$7:$AS$48))</f>
        <v>10980215.0053935</v>
      </c>
      <c r="K74" cm="1">
        <f t="array" ref="K74">_xlfn.XLOOKUP($C74,$C$7:$C$48,_xlfn.XLOOKUP(K$61,$D$6:$AS$6,$D$7:$AS$48))</f>
        <v>3914342.38141541</v>
      </c>
      <c r="L74" cm="1">
        <f t="array" ref="L74">_xlfn.XLOOKUP($C74,$C$7:$C$48,_xlfn.XLOOKUP(L$61,$D$6:$AS$6,$D$7:$AS$48))</f>
        <v>18647978.8345959</v>
      </c>
      <c r="M74" cm="1">
        <f t="array" ref="M74">_xlfn.XLOOKUP($C74,$C$7:$C$48,_xlfn.XLOOKUP(M$61,$D$6:$AS$6,$D$7:$AS$48))</f>
        <v>1430383.3507345901</v>
      </c>
      <c r="N74" cm="1">
        <f t="array" ref="N74">_xlfn.XLOOKUP($C74,$C$7:$C$48,_xlfn.XLOOKUP(N$61,$D$6:$AS$6,$D$7:$AS$48))</f>
        <v>17479775.9892103</v>
      </c>
      <c r="O74" cm="1">
        <f t="array" ref="O74">_xlfn.XLOOKUP($C74,$C$7:$C$48,_xlfn.XLOOKUP(O$61,$D$6:$AS$6,$D$7:$AS$48))</f>
        <v>1643105.08134056</v>
      </c>
      <c r="P74" cm="1">
        <f t="array" ref="P74">_xlfn.XLOOKUP($C74,$C$7:$C$48,_xlfn.XLOOKUP(P$61,$D$6:$AS$6,$D$7:$AS$48))</f>
        <v>66951058.3381522</v>
      </c>
      <c r="Q74" cm="1">
        <f t="array" ref="Q74">_xlfn.XLOOKUP($C74,$C$7:$C$48,_xlfn.XLOOKUP(Q$61,$D$6:$AS$6,$D$7:$AS$48))</f>
        <v>9663695.9011367802</v>
      </c>
      <c r="R74" cm="1">
        <f t="array" ref="R74">_xlfn.XLOOKUP($C74,$C$7:$C$48,_xlfn.XLOOKUP(R$61,$D$6:$AS$6,$D$7:$AS$48))</f>
        <v>6557029.9445980303</v>
      </c>
      <c r="S74" cm="1">
        <f t="array" ref="S74">_xlfn.XLOOKUP($C74,$C$7:$C$48,_xlfn.XLOOKUP(S$61,$D$6:$AS$6,$D$7:$AS$48))</f>
        <v>203901.473861746</v>
      </c>
      <c r="T74" cm="1">
        <f t="array" ref="T74">_xlfn.XLOOKUP($C74,$C$7:$C$48,_xlfn.XLOOKUP(T$61,$D$6:$AS$6,$D$7:$AS$48))</f>
        <v>669836.43049463094</v>
      </c>
      <c r="U74" cm="1">
        <f t="array" ref="U74">_xlfn.XLOOKUP($C74,$C$7:$C$48,_xlfn.XLOOKUP(U$61,$D$6:$AS$6,$D$7:$AS$48))</f>
        <v>5295045.1467806203</v>
      </c>
      <c r="V74" cm="1">
        <f t="array" ref="V74">_xlfn.XLOOKUP($C74,$C$7:$C$48,_xlfn.XLOOKUP(V$61,$D$6:$AS$6,$D$7:$AS$48))</f>
        <v>20386766.106557</v>
      </c>
      <c r="W74" cm="1">
        <f t="array" ref="W74">_xlfn.XLOOKUP($C74,$C$7:$C$48,_xlfn.XLOOKUP(W$61,$D$6:$AS$6,$D$7:$AS$48))</f>
        <v>26318074.354584899</v>
      </c>
      <c r="X74" cm="1">
        <f t="array" ref="X74">_xlfn.XLOOKUP($C74,$C$7:$C$48,_xlfn.XLOOKUP(X$61,$D$6:$AS$6,$D$7:$AS$48))</f>
        <v>7971170.3617942696</v>
      </c>
      <c r="Y74" cm="1">
        <f t="array" ref="Y74">_xlfn.XLOOKUP($C74,$C$7:$C$48,_xlfn.XLOOKUP(Y$61,$D$6:$AS$6,$D$7:$AS$48))</f>
        <v>23623523.381000299</v>
      </c>
      <c r="Z74" cm="1">
        <f t="array" ref="Z74">_xlfn.XLOOKUP($C74,$C$7:$C$48,_xlfn.XLOOKUP(Z$61,$D$6:$AS$6,$D$7:$AS$48))</f>
        <v>5314520.9821037799</v>
      </c>
      <c r="AA74" cm="1">
        <f t="array" ref="AA74">_xlfn.XLOOKUP($C74,$C$7:$C$48,_xlfn.XLOOKUP(AA$61,$D$6:$AS$6,$D$7:$AS$48))</f>
        <v>3231171.4593421798</v>
      </c>
      <c r="AB74" cm="1">
        <f t="array" ref="AB74">_xlfn.XLOOKUP($C74,$C$7:$C$48,_xlfn.XLOOKUP(AB$61,$D$6:$AS$6,$D$7:$AS$48))</f>
        <v>33464.580271121398</v>
      </c>
      <c r="AC74" cm="1">
        <f t="array" ref="AC74">_xlfn.XLOOKUP($C74,$C$7:$C$48,_xlfn.XLOOKUP(AC$61,$D$6:$AS$6,$D$7:$AS$48))</f>
        <v>49605.9371683766</v>
      </c>
      <c r="AD74" cm="1">
        <f t="array" ref="AD74">_xlfn.XLOOKUP($C74,$C$7:$C$48,_xlfn.XLOOKUP(AD$61,$D$6:$AS$6,$D$7:$AS$48))</f>
        <v>698996.62604487</v>
      </c>
      <c r="AE74" cm="1">
        <f t="array" ref="AE74">_xlfn.XLOOKUP($C74,$C$7:$C$48,_xlfn.XLOOKUP(AE$61,$D$6:$AS$6,$D$7:$AS$48))</f>
        <v>34699536.488755003</v>
      </c>
      <c r="AF74" cm="1">
        <f t="array" ref="AF74">_xlfn.XLOOKUP($C74,$C$7:$C$48,_xlfn.XLOOKUP(AF$61,$D$6:$AS$6,$D$7:$AS$48))</f>
        <v>2792063.86942768</v>
      </c>
      <c r="AG74" cm="1">
        <f t="array" ref="AG74">_xlfn.XLOOKUP($C74,$C$7:$C$48,_xlfn.XLOOKUP(AG$61,$D$6:$AS$6,$D$7:$AS$48))</f>
        <v>11281845.091144601</v>
      </c>
      <c r="AH74" cm="1">
        <f t="array" ref="AH74">_xlfn.XLOOKUP($C74,$C$7:$C$48,_xlfn.XLOOKUP(AH$61,$D$6:$AS$6,$D$7:$AS$48))</f>
        <v>1105133.7167942501</v>
      </c>
      <c r="AI74" cm="1">
        <f t="array" ref="AI74">_xlfn.XLOOKUP($C74,$C$7:$C$48,_xlfn.XLOOKUP(AI$61,$D$6:$AS$6,$D$7:$AS$48))</f>
        <v>1435216.1186581</v>
      </c>
      <c r="AJ74" cm="1">
        <f t="array" ref="AJ74">_xlfn.XLOOKUP($C74,$C$7:$C$48,_xlfn.XLOOKUP(AJ$61,$D$6:$AS$6,$D$7:$AS$48))</f>
        <v>3235527.5466587399</v>
      </c>
      <c r="AK74" cm="1">
        <f t="array" ref="AK74">_xlfn.XLOOKUP($C74,$C$7:$C$48,_xlfn.XLOOKUP(AK$61,$D$6:$AS$6,$D$7:$AS$48))</f>
        <v>1079352.1002815899</v>
      </c>
      <c r="AL74" cm="1">
        <f t="array" ref="AL74">_xlfn.XLOOKUP($C74,$C$7:$C$48,_xlfn.XLOOKUP(AL$61,$D$6:$AS$6,$D$7:$AS$48))</f>
        <v>84412.141204118801</v>
      </c>
      <c r="AM74" cm="1">
        <f t="array" ref="AM74">_xlfn.XLOOKUP($C74,$C$7:$C$48,_xlfn.XLOOKUP(AM$61,$D$6:$AS$6,$D$7:$AS$48))</f>
        <v>381127.87814054202</v>
      </c>
      <c r="AN74" cm="1">
        <f t="array" ref="AN74">_xlfn.XLOOKUP($C74,$C$7:$C$48,_xlfn.XLOOKUP(AN$61,$D$6:$AS$6,$D$7:$AS$48))</f>
        <v>1638385.26975062</v>
      </c>
      <c r="AO74" cm="1">
        <f t="array" ref="AO74">_xlfn.XLOOKUP($C74,$C$7:$C$48,_xlfn.XLOOKUP(AO$61,$D$6:$AS$6,$D$7:$AS$48))</f>
        <v>2071130.0449797099</v>
      </c>
      <c r="AP74" cm="1">
        <f t="array" ref="AP74">_xlfn.XLOOKUP($C74,$C$7:$C$48,_xlfn.XLOOKUP(AP$61,$D$6:$AS$6,$D$7:$AS$48))</f>
        <v>56410.504601542401</v>
      </c>
      <c r="AQ74" cm="1">
        <f t="array" ref="AQ74">_xlfn.XLOOKUP($C74,$C$7:$C$48,_xlfn.XLOOKUP(AQ$61,$D$6:$AS$6,$D$7:$AS$48))</f>
        <v>542008.48610851797</v>
      </c>
      <c r="AR74" cm="1">
        <f t="array" ref="AR74">_xlfn.XLOOKUP($C74,$C$7:$C$48,_xlfn.XLOOKUP(AR$61,$D$6:$AS$6,$D$7:$AS$48))</f>
        <v>259882.12780501699</v>
      </c>
      <c r="AS74" cm="1">
        <f t="array" ref="AS74">_xlfn.XLOOKUP($C74,$C$7:$C$48,_xlfn.XLOOKUP(AS$61,$D$6:$AS$6,$D$7:$AS$48))</f>
        <v>2721409.7469974798</v>
      </c>
      <c r="AT74">
        <f t="shared" si="3"/>
        <v>313410924.31389499</v>
      </c>
      <c r="AU74" cm="1">
        <f t="array" ref="AU74">_xlfn.XLOOKUP(AU$60,$AU$6:$BF$6,_xlfn.XLOOKUP($C74,$C$7:$C$48,$AU$7:$BF$48))</f>
        <v>1618615.7769835501</v>
      </c>
      <c r="AV74" cm="1">
        <f t="array" ref="AV74">_xlfn.XLOOKUP(AV$60,$AU$6:$BF$6,_xlfn.XLOOKUP($C74,$C$7:$C$48,$AU$7:$BF$48))</f>
        <v>4802149.2593036797</v>
      </c>
      <c r="AW74" cm="1">
        <f t="array" ref="AW74">_xlfn.XLOOKUP(AW$60,$AU$6:$BF$6,_xlfn.XLOOKUP($C74,$C$7:$C$48,$AU$7:$BF$48))</f>
        <v>6420765.0362872304</v>
      </c>
      <c r="AX74" cm="1">
        <f t="array" ref="AX74">_xlfn.XLOOKUP(AX$60,$AU$6:$BF$6,_xlfn.XLOOKUP($C74,$C$7:$C$48,$AU$7:$BF$48))</f>
        <v>0</v>
      </c>
      <c r="AY74" cm="1">
        <f t="array" ref="AY74">_xlfn.XLOOKUP(AY$60,$AU$6:$BF$6,_xlfn.XLOOKUP($C74,$C$7:$C$48,$AU$7:$BF$48))</f>
        <v>6420765.0362872304</v>
      </c>
      <c r="AZ74" cm="1">
        <f t="array" ref="AZ74">_xlfn.XLOOKUP(AZ$60,$AU$6:$BF$6,_xlfn.XLOOKUP($C74,$C$7:$C$48,$AU$7:$BF$48))</f>
        <v>0</v>
      </c>
      <c r="BA74" cm="1">
        <f t="array" ref="BA74">_xlfn.XLOOKUP(BA$60,$AU$6:$BF$6,_xlfn.XLOOKUP($C74,$C$7:$C$48,$AU$7:$BF$48))</f>
        <v>-1905835.73546151</v>
      </c>
      <c r="BB74" cm="1">
        <f t="array" ref="BB74">_xlfn.XLOOKUP(BB$60,$AU$6:$BF$6,_xlfn.XLOOKUP($C74,$C$7:$C$48,$AU$7:$BF$48))</f>
        <v>-1905835.73546151</v>
      </c>
      <c r="BC74" cm="1">
        <f t="array" ref="BC74">_xlfn.XLOOKUP(BC$60,$AU$6:$BF$6,_xlfn.XLOOKUP($C74,$C$7:$C$48,$AU$7:$BF$48))</f>
        <v>57120608.633020498</v>
      </c>
      <c r="BD74" cm="1">
        <f t="array" ref="BD74">_xlfn.XLOOKUP(BD$60,$AU$6:$BF$6,_xlfn.XLOOKUP($C74,$C$7:$C$48,$AU$7:$BF$48))</f>
        <v>61635537.933846198</v>
      </c>
      <c r="BE74" cm="1">
        <f t="array" ref="BE74">_xlfn.XLOOKUP(BE$60,$AU$6:$BF$6,_xlfn.XLOOKUP($C74,$C$7:$C$48,$AU$7:$BF$48))</f>
        <v>16854882.888343401</v>
      </c>
      <c r="BF74" cm="1">
        <f t="array" ref="BF74">_xlfn.XLOOKUP(BF$60,$AU$6:$BF$6,_xlfn.XLOOKUP($C74,$C$7:$C$48,$AU$7:$BF$48))</f>
        <v>358191579.35939801</v>
      </c>
      <c r="BH74">
        <f t="shared" si="2"/>
        <v>317925853.6147207</v>
      </c>
      <c r="BJ74">
        <f t="shared" si="4"/>
        <v>5.3015137638881792E-2</v>
      </c>
    </row>
    <row r="75" spans="2:62" x14ac:dyDescent="0.25">
      <c r="C75" s="36" t="s">
        <v>88</v>
      </c>
      <c r="D75" cm="1">
        <f t="array" ref="D75">_xlfn.XLOOKUP($C75,$C$7:$C$48,_xlfn.XLOOKUP(D$61,$D$6:$AS$6,$D$7:$AS$48))</f>
        <v>9442062.9280193709</v>
      </c>
      <c r="E75" cm="1">
        <f t="array" ref="E75">_xlfn.XLOOKUP($C75,$C$7:$C$48,_xlfn.XLOOKUP(E$61,$D$6:$AS$6,$D$7:$AS$48))</f>
        <v>4363149.3368060002</v>
      </c>
      <c r="F75" cm="1">
        <f t="array" ref="F75">_xlfn.XLOOKUP($C75,$C$7:$C$48,_xlfn.XLOOKUP(F$61,$D$6:$AS$6,$D$7:$AS$48))</f>
        <v>2865981.2518185498</v>
      </c>
      <c r="G75" cm="1">
        <f t="array" ref="G75">_xlfn.XLOOKUP($C75,$C$7:$C$48,_xlfn.XLOOKUP(G$61,$D$6:$AS$6,$D$7:$AS$48))</f>
        <v>5453583.9108511005</v>
      </c>
      <c r="H75" cm="1">
        <f t="array" ref="H75">_xlfn.XLOOKUP($C75,$C$7:$C$48,_xlfn.XLOOKUP(H$61,$D$6:$AS$6,$D$7:$AS$48))</f>
        <v>1809891.30244196</v>
      </c>
      <c r="I75" cm="1">
        <f t="array" ref="I75">_xlfn.XLOOKUP($C75,$C$7:$C$48,_xlfn.XLOOKUP(I$61,$D$6:$AS$6,$D$7:$AS$48))</f>
        <v>571460.14655284001</v>
      </c>
      <c r="J75" cm="1">
        <f t="array" ref="J75">_xlfn.XLOOKUP($C75,$C$7:$C$48,_xlfn.XLOOKUP(J$61,$D$6:$AS$6,$D$7:$AS$48))</f>
        <v>1222125.93598965</v>
      </c>
      <c r="K75" cm="1">
        <f t="array" ref="K75">_xlfn.XLOOKUP($C75,$C$7:$C$48,_xlfn.XLOOKUP(K$61,$D$6:$AS$6,$D$7:$AS$48))</f>
        <v>807146.352519896</v>
      </c>
      <c r="L75" cm="1">
        <f t="array" ref="L75">_xlfn.XLOOKUP($C75,$C$7:$C$48,_xlfn.XLOOKUP(L$61,$D$6:$AS$6,$D$7:$AS$48))</f>
        <v>2812881.9783396502</v>
      </c>
      <c r="M75" cm="1">
        <f t="array" ref="M75">_xlfn.XLOOKUP($C75,$C$7:$C$48,_xlfn.XLOOKUP(M$61,$D$6:$AS$6,$D$7:$AS$48))</f>
        <v>833887.88345839898</v>
      </c>
      <c r="N75" cm="1">
        <f t="array" ref="N75">_xlfn.XLOOKUP($C75,$C$7:$C$48,_xlfn.XLOOKUP(N$61,$D$6:$AS$6,$D$7:$AS$48))</f>
        <v>3285331.7057016301</v>
      </c>
      <c r="O75" cm="1">
        <f t="array" ref="O75">_xlfn.XLOOKUP($C75,$C$7:$C$48,_xlfn.XLOOKUP(O$61,$D$6:$AS$6,$D$7:$AS$48))</f>
        <v>235061.27541503901</v>
      </c>
      <c r="P75" cm="1">
        <f t="array" ref="P75">_xlfn.XLOOKUP($C75,$C$7:$C$48,_xlfn.XLOOKUP(P$61,$D$6:$AS$6,$D$7:$AS$48))</f>
        <v>1275752.54841213</v>
      </c>
      <c r="Q75" cm="1">
        <f t="array" ref="Q75">_xlfn.XLOOKUP($C75,$C$7:$C$48,_xlfn.XLOOKUP(Q$61,$D$6:$AS$6,$D$7:$AS$48))</f>
        <v>48823626.045814</v>
      </c>
      <c r="R75" cm="1">
        <f t="array" ref="R75">_xlfn.XLOOKUP($C75,$C$7:$C$48,_xlfn.XLOOKUP(R$61,$D$6:$AS$6,$D$7:$AS$48))</f>
        <v>3308438.8618798601</v>
      </c>
      <c r="S75" cm="1">
        <f t="array" ref="S75">_xlfn.XLOOKUP($C75,$C$7:$C$48,_xlfn.XLOOKUP(S$61,$D$6:$AS$6,$D$7:$AS$48))</f>
        <v>5251960.0150080603</v>
      </c>
      <c r="T75" cm="1">
        <f t="array" ref="T75">_xlfn.XLOOKUP($C75,$C$7:$C$48,_xlfn.XLOOKUP(T$61,$D$6:$AS$6,$D$7:$AS$48))</f>
        <v>3482298.16140767</v>
      </c>
      <c r="U75" cm="1">
        <f t="array" ref="U75">_xlfn.XLOOKUP($C75,$C$7:$C$48,_xlfn.XLOOKUP(U$61,$D$6:$AS$6,$D$7:$AS$48))</f>
        <v>3764377.5885242298</v>
      </c>
      <c r="V75" cm="1">
        <f t="array" ref="V75">_xlfn.XLOOKUP($C75,$C$7:$C$48,_xlfn.XLOOKUP(V$61,$D$6:$AS$6,$D$7:$AS$48))</f>
        <v>21202968.585347101</v>
      </c>
      <c r="W75" cm="1">
        <f t="array" ref="W75">_xlfn.XLOOKUP($C75,$C$7:$C$48,_xlfn.XLOOKUP(W$61,$D$6:$AS$6,$D$7:$AS$48))</f>
        <v>4191944.0242041</v>
      </c>
      <c r="X75" cm="1">
        <f t="array" ref="X75">_xlfn.XLOOKUP($C75,$C$7:$C$48,_xlfn.XLOOKUP(X$61,$D$6:$AS$6,$D$7:$AS$48))</f>
        <v>4434748.5168989599</v>
      </c>
      <c r="Y75" cm="1">
        <f t="array" ref="Y75">_xlfn.XLOOKUP($C75,$C$7:$C$48,_xlfn.XLOOKUP(Y$61,$D$6:$AS$6,$D$7:$AS$48))</f>
        <v>4354380.2918230398</v>
      </c>
      <c r="Z75" cm="1">
        <f t="array" ref="Z75">_xlfn.XLOOKUP($C75,$C$7:$C$48,_xlfn.XLOOKUP(Z$61,$D$6:$AS$6,$D$7:$AS$48))</f>
        <v>1023610.76363881</v>
      </c>
      <c r="AA75" cm="1">
        <f t="array" ref="AA75">_xlfn.XLOOKUP($C75,$C$7:$C$48,_xlfn.XLOOKUP(AA$61,$D$6:$AS$6,$D$7:$AS$48))</f>
        <v>693670.45465858595</v>
      </c>
      <c r="AB75" cm="1">
        <f t="array" ref="AB75">_xlfn.XLOOKUP($C75,$C$7:$C$48,_xlfn.XLOOKUP(AB$61,$D$6:$AS$6,$D$7:$AS$48))</f>
        <v>179779.53739239901</v>
      </c>
      <c r="AC75" cm="1">
        <f t="array" ref="AC75">_xlfn.XLOOKUP($C75,$C$7:$C$48,_xlfn.XLOOKUP(AC$61,$D$6:$AS$6,$D$7:$AS$48))</f>
        <v>8470.1489079702405</v>
      </c>
      <c r="AD75" cm="1">
        <f t="array" ref="AD75">_xlfn.XLOOKUP($C75,$C$7:$C$48,_xlfn.XLOOKUP(AD$61,$D$6:$AS$6,$D$7:$AS$48))</f>
        <v>108797.71737827901</v>
      </c>
      <c r="AE75" cm="1">
        <f t="array" ref="AE75">_xlfn.XLOOKUP($C75,$C$7:$C$48,_xlfn.XLOOKUP(AE$61,$D$6:$AS$6,$D$7:$AS$48))</f>
        <v>17847619.676196799</v>
      </c>
      <c r="AF75" cm="1">
        <f t="array" ref="AF75">_xlfn.XLOOKUP($C75,$C$7:$C$48,_xlfn.XLOOKUP(AF$61,$D$6:$AS$6,$D$7:$AS$48))</f>
        <v>34879.999182738698</v>
      </c>
      <c r="AG75" cm="1">
        <f t="array" ref="AG75">_xlfn.XLOOKUP($C75,$C$7:$C$48,_xlfn.XLOOKUP(AG$61,$D$6:$AS$6,$D$7:$AS$48))</f>
        <v>1382805.2328975999</v>
      </c>
      <c r="AH75" cm="1">
        <f t="array" ref="AH75">_xlfn.XLOOKUP($C75,$C$7:$C$48,_xlfn.XLOOKUP(AH$61,$D$6:$AS$6,$D$7:$AS$48))</f>
        <v>142728.16216783799</v>
      </c>
      <c r="AI75" cm="1">
        <f t="array" ref="AI75">_xlfn.XLOOKUP($C75,$C$7:$C$48,_xlfn.XLOOKUP(AI$61,$D$6:$AS$6,$D$7:$AS$48))</f>
        <v>102271.22397752901</v>
      </c>
      <c r="AJ75" cm="1">
        <f t="array" ref="AJ75">_xlfn.XLOOKUP($C75,$C$7:$C$48,_xlfn.XLOOKUP(AJ$61,$D$6:$AS$6,$D$7:$AS$48))</f>
        <v>523390.39074432303</v>
      </c>
      <c r="AK75" cm="1">
        <f t="array" ref="AK75">_xlfn.XLOOKUP($C75,$C$7:$C$48,_xlfn.XLOOKUP(AK$61,$D$6:$AS$6,$D$7:$AS$48))</f>
        <v>39920.178304627298</v>
      </c>
      <c r="AL75" cm="1">
        <f t="array" ref="AL75">_xlfn.XLOOKUP($C75,$C$7:$C$48,_xlfn.XLOOKUP(AL$61,$D$6:$AS$6,$D$7:$AS$48))</f>
        <v>923602.28535310796</v>
      </c>
      <c r="AM75" cm="1">
        <f t="array" ref="AM75">_xlfn.XLOOKUP($C75,$C$7:$C$48,_xlfn.XLOOKUP(AM$61,$D$6:$AS$6,$D$7:$AS$48))</f>
        <v>8292.9333309210906</v>
      </c>
      <c r="AN75" cm="1">
        <f t="array" ref="AN75">_xlfn.XLOOKUP($C75,$C$7:$C$48,_xlfn.XLOOKUP(AN$61,$D$6:$AS$6,$D$7:$AS$48))</f>
        <v>160663.045571544</v>
      </c>
      <c r="AO75" cm="1">
        <f t="array" ref="AO75">_xlfn.XLOOKUP($C75,$C$7:$C$48,_xlfn.XLOOKUP(AO$61,$D$6:$AS$6,$D$7:$AS$48))</f>
        <v>264818.82299359998</v>
      </c>
      <c r="AP75" cm="1">
        <f t="array" ref="AP75">_xlfn.XLOOKUP($C75,$C$7:$C$48,_xlfn.XLOOKUP(AP$61,$D$6:$AS$6,$D$7:$AS$48))</f>
        <v>133533.26709046101</v>
      </c>
      <c r="AQ75" cm="1">
        <f t="array" ref="AQ75">_xlfn.XLOOKUP($C75,$C$7:$C$48,_xlfn.XLOOKUP(AQ$61,$D$6:$AS$6,$D$7:$AS$48))</f>
        <v>16681231.4471724</v>
      </c>
      <c r="AR75" cm="1">
        <f t="array" ref="AR75">_xlfn.XLOOKUP($C75,$C$7:$C$48,_xlfn.XLOOKUP(AR$61,$D$6:$AS$6,$D$7:$AS$48))</f>
        <v>11275.3032369504</v>
      </c>
      <c r="AS75" cm="1">
        <f t="array" ref="AS75">_xlfn.XLOOKUP($C75,$C$7:$C$48,_xlfn.XLOOKUP(AS$61,$D$6:$AS$6,$D$7:$AS$48))</f>
        <v>160146.609952256</v>
      </c>
      <c r="AT75">
        <f t="shared" si="3"/>
        <v>173417419.49486199</v>
      </c>
      <c r="AU75" cm="1">
        <f t="array" ref="AU75">_xlfn.XLOOKUP(AU$60,$AU$6:$BF$6,_xlfn.XLOOKUP($C75,$C$7:$C$48,$AU$7:$BF$48))</f>
        <v>595579.78670823295</v>
      </c>
      <c r="AV75" cm="1">
        <f t="array" ref="AV75">_xlfn.XLOOKUP(AV$60,$AU$6:$BF$6,_xlfn.XLOOKUP($C75,$C$7:$C$48,$AU$7:$BF$48))</f>
        <v>3720729.2812877698</v>
      </c>
      <c r="AW75" cm="1">
        <f t="array" ref="AW75">_xlfn.XLOOKUP(AW$60,$AU$6:$BF$6,_xlfn.XLOOKUP($C75,$C$7:$C$48,$AU$7:$BF$48))</f>
        <v>4316309.0679959999</v>
      </c>
      <c r="AX75" cm="1">
        <f t="array" ref="AX75">_xlfn.XLOOKUP(AX$60,$AU$6:$BF$6,_xlfn.XLOOKUP($C75,$C$7:$C$48,$AU$7:$BF$48))</f>
        <v>0</v>
      </c>
      <c r="AY75" cm="1">
        <f t="array" ref="AY75">_xlfn.XLOOKUP(AY$60,$AU$6:$BF$6,_xlfn.XLOOKUP($C75,$C$7:$C$48,$AU$7:$BF$48))</f>
        <v>4316309.0679959999</v>
      </c>
      <c r="AZ75" cm="1">
        <f t="array" ref="AZ75">_xlfn.XLOOKUP(AZ$60,$AU$6:$BF$6,_xlfn.XLOOKUP($C75,$C$7:$C$48,$AU$7:$BF$48))</f>
        <v>204929596.99676499</v>
      </c>
      <c r="BA75" cm="1">
        <f t="array" ref="BA75">_xlfn.XLOOKUP(BA$60,$AU$6:$BF$6,_xlfn.XLOOKUP($C75,$C$7:$C$48,$AU$7:$BF$48))</f>
        <v>4556075.6479765102</v>
      </c>
      <c r="BB75" cm="1">
        <f t="array" ref="BB75">_xlfn.XLOOKUP(BB$60,$AU$6:$BF$6,_xlfn.XLOOKUP($C75,$C$7:$C$48,$AU$7:$BF$48))</f>
        <v>209485672.644741</v>
      </c>
      <c r="BC75" cm="1">
        <f t="array" ref="BC75">_xlfn.XLOOKUP(BC$60,$AU$6:$BF$6,_xlfn.XLOOKUP($C75,$C$7:$C$48,$AU$7:$BF$48))</f>
        <v>59350299.402435601</v>
      </c>
      <c r="BD75" cm="1">
        <f t="array" ref="BD75">_xlfn.XLOOKUP(BD$60,$AU$6:$BF$6,_xlfn.XLOOKUP($C75,$C$7:$C$48,$AU$7:$BF$48))</f>
        <v>273152281.11517298</v>
      </c>
      <c r="BE75" cm="1">
        <f t="array" ref="BE75">_xlfn.XLOOKUP(BE$60,$AU$6:$BF$6,_xlfn.XLOOKUP($C75,$C$7:$C$48,$AU$7:$BF$48))</f>
        <v>59218616.805418603</v>
      </c>
      <c r="BF75" cm="1">
        <f t="array" ref="BF75">_xlfn.XLOOKUP(BF$60,$AU$6:$BF$6,_xlfn.XLOOKUP($C75,$C$7:$C$48,$AU$7:$BF$48))</f>
        <v>387351083.80461699</v>
      </c>
      <c r="BH75">
        <f t="shared" si="2"/>
        <v>387219401.20759898</v>
      </c>
      <c r="BJ75">
        <f t="shared" si="4"/>
        <v>0.15293297965116648</v>
      </c>
    </row>
    <row r="76" spans="2:62" x14ac:dyDescent="0.25">
      <c r="B76" t="s">
        <v>145</v>
      </c>
      <c r="C76" s="36" t="s">
        <v>83</v>
      </c>
      <c r="D76" cm="1">
        <f t="array" ref="D76">_xlfn.XLOOKUP($C76,$C$7:$C$48,_xlfn.XLOOKUP(D$61,$D$6:$AS$6,$D$7:$AS$48))</f>
        <v>527672.17759183003</v>
      </c>
      <c r="E76" cm="1">
        <f t="array" ref="E76">_xlfn.XLOOKUP($C76,$C$7:$C$48,_xlfn.XLOOKUP(E$61,$D$6:$AS$6,$D$7:$AS$48))</f>
        <v>651313.19079708494</v>
      </c>
      <c r="F76" cm="1">
        <f t="array" ref="F76">_xlfn.XLOOKUP($C76,$C$7:$C$48,_xlfn.XLOOKUP(F$61,$D$6:$AS$6,$D$7:$AS$48))</f>
        <v>44591.483799540998</v>
      </c>
      <c r="G76" cm="1">
        <f t="array" ref="G76">_xlfn.XLOOKUP($C76,$C$7:$C$48,_xlfn.XLOOKUP(G$61,$D$6:$AS$6,$D$7:$AS$48))</f>
        <v>1669898.4257018401</v>
      </c>
      <c r="H76" cm="1">
        <f t="array" ref="H76">_xlfn.XLOOKUP($C76,$C$7:$C$48,_xlfn.XLOOKUP(H$61,$D$6:$AS$6,$D$7:$AS$48))</f>
        <v>621832.46480163594</v>
      </c>
      <c r="I76" cm="1">
        <f t="array" ref="I76">_xlfn.XLOOKUP($C76,$C$7:$C$48,_xlfn.XLOOKUP(I$61,$D$6:$AS$6,$D$7:$AS$48))</f>
        <v>4888099.9351435602</v>
      </c>
      <c r="J76" cm="1">
        <f t="array" ref="J76">_xlfn.XLOOKUP($C76,$C$7:$C$48,_xlfn.XLOOKUP(J$61,$D$6:$AS$6,$D$7:$AS$48))</f>
        <v>571224.96578001301</v>
      </c>
      <c r="K76" cm="1">
        <f t="array" ref="K76">_xlfn.XLOOKUP($C76,$C$7:$C$48,_xlfn.XLOOKUP(K$61,$D$6:$AS$6,$D$7:$AS$48))</f>
        <v>1921176.1345617401</v>
      </c>
      <c r="L76" cm="1">
        <f t="array" ref="L76">_xlfn.XLOOKUP($C76,$C$7:$C$48,_xlfn.XLOOKUP(L$61,$D$6:$AS$6,$D$7:$AS$48))</f>
        <v>2831024.8289935598</v>
      </c>
      <c r="M76" cm="1">
        <f t="array" ref="M76">_xlfn.XLOOKUP($C76,$C$7:$C$48,_xlfn.XLOOKUP(M$61,$D$6:$AS$6,$D$7:$AS$48))</f>
        <v>2724987.2257891898</v>
      </c>
      <c r="N76" cm="1">
        <f t="array" ref="N76">_xlfn.XLOOKUP($C76,$C$7:$C$48,_xlfn.XLOOKUP(N$61,$D$6:$AS$6,$D$7:$AS$48))</f>
        <v>4189217.0565114799</v>
      </c>
      <c r="O76" cm="1">
        <f t="array" ref="O76">_xlfn.XLOOKUP($C76,$C$7:$C$48,_xlfn.XLOOKUP(O$61,$D$6:$AS$6,$D$7:$AS$48))</f>
        <v>2706366.3491932498</v>
      </c>
      <c r="P76" cm="1">
        <f t="array" ref="P76">_xlfn.XLOOKUP($C76,$C$7:$C$48,_xlfn.XLOOKUP(P$61,$D$6:$AS$6,$D$7:$AS$48))</f>
        <v>1610249.5580941399</v>
      </c>
      <c r="Q76" cm="1">
        <f t="array" ref="Q76">_xlfn.XLOOKUP($C76,$C$7:$C$48,_xlfn.XLOOKUP(Q$61,$D$6:$AS$6,$D$7:$AS$48))</f>
        <v>4066510.9793166602</v>
      </c>
      <c r="R76" cm="1">
        <f t="array" ref="R76">_xlfn.XLOOKUP($C76,$C$7:$C$48,_xlfn.XLOOKUP(R$61,$D$6:$AS$6,$D$7:$AS$48))</f>
        <v>139143632.92928699</v>
      </c>
      <c r="S76" cm="1">
        <f t="array" ref="S76">_xlfn.XLOOKUP($C76,$C$7:$C$48,_xlfn.XLOOKUP(S$61,$D$6:$AS$6,$D$7:$AS$48))</f>
        <v>9435905.6832035594</v>
      </c>
      <c r="T76" cm="1">
        <f t="array" ref="T76">_xlfn.XLOOKUP($C76,$C$7:$C$48,_xlfn.XLOOKUP(T$61,$D$6:$AS$6,$D$7:$AS$48))</f>
        <v>5914732.9799443996</v>
      </c>
      <c r="U76" cm="1">
        <f t="array" ref="U76">_xlfn.XLOOKUP($C76,$C$7:$C$48,_xlfn.XLOOKUP(U$61,$D$6:$AS$6,$D$7:$AS$48))</f>
        <v>6783958.8157480899</v>
      </c>
      <c r="V76" cm="1">
        <f t="array" ref="V76">_xlfn.XLOOKUP($C76,$C$7:$C$48,_xlfn.XLOOKUP(V$61,$D$6:$AS$6,$D$7:$AS$48))</f>
        <v>18711839.314458799</v>
      </c>
      <c r="W76" cm="1">
        <f t="array" ref="W76">_xlfn.XLOOKUP($C76,$C$7:$C$48,_xlfn.XLOOKUP(W$61,$D$6:$AS$6,$D$7:$AS$48))</f>
        <v>19235014.3764924</v>
      </c>
      <c r="X76" cm="1">
        <f t="array" ref="X76">_xlfn.XLOOKUP($C76,$C$7:$C$48,_xlfn.XLOOKUP(X$61,$D$6:$AS$6,$D$7:$AS$48))</f>
        <v>2873744.3313156501</v>
      </c>
      <c r="Y76" cm="1">
        <f t="array" ref="Y76">_xlfn.XLOOKUP($C76,$C$7:$C$48,_xlfn.XLOOKUP(Y$61,$D$6:$AS$6,$D$7:$AS$48))</f>
        <v>9953436.8281746097</v>
      </c>
      <c r="Z76" cm="1">
        <f t="array" ref="Z76">_xlfn.XLOOKUP($C76,$C$7:$C$48,_xlfn.XLOOKUP(Z$61,$D$6:$AS$6,$D$7:$AS$48))</f>
        <v>671083.25344635604</v>
      </c>
      <c r="AA76" cm="1">
        <f t="array" ref="AA76">_xlfn.XLOOKUP($C76,$C$7:$C$48,_xlfn.XLOOKUP(AA$61,$D$6:$AS$6,$D$7:$AS$48))</f>
        <v>485772.81758116197</v>
      </c>
      <c r="AB76" cm="1">
        <f t="array" ref="AB76">_xlfn.XLOOKUP($C76,$C$7:$C$48,_xlfn.XLOOKUP(AB$61,$D$6:$AS$6,$D$7:$AS$48))</f>
        <v>1991624.45078551</v>
      </c>
      <c r="AC76" cm="1">
        <f t="array" ref="AC76">_xlfn.XLOOKUP($C76,$C$7:$C$48,_xlfn.XLOOKUP(AC$61,$D$6:$AS$6,$D$7:$AS$48))</f>
        <v>7340.5128802151503</v>
      </c>
      <c r="AD76" cm="1">
        <f t="array" ref="AD76">_xlfn.XLOOKUP($C76,$C$7:$C$48,_xlfn.XLOOKUP(AD$61,$D$6:$AS$6,$D$7:$AS$48))</f>
        <v>22846.396904826601</v>
      </c>
      <c r="AE76" cm="1">
        <f t="array" ref="AE76">_xlfn.XLOOKUP($C76,$C$7:$C$48,_xlfn.XLOOKUP(AE$61,$D$6:$AS$6,$D$7:$AS$48))</f>
        <v>454627661.34888202</v>
      </c>
      <c r="AF76" cm="1">
        <f t="array" ref="AF76">_xlfn.XLOOKUP($C76,$C$7:$C$48,_xlfn.XLOOKUP(AF$61,$D$6:$AS$6,$D$7:$AS$48))</f>
        <v>241247.96405304101</v>
      </c>
      <c r="AG76" cm="1">
        <f t="array" ref="AG76">_xlfn.XLOOKUP($C76,$C$7:$C$48,_xlfn.XLOOKUP(AG$61,$D$6:$AS$6,$D$7:$AS$48))</f>
        <v>461491.74080067402</v>
      </c>
      <c r="AH76" cm="1">
        <f t="array" ref="AH76">_xlfn.XLOOKUP($C76,$C$7:$C$48,_xlfn.XLOOKUP(AH$61,$D$6:$AS$6,$D$7:$AS$48))</f>
        <v>358067.29957438703</v>
      </c>
      <c r="AI76" cm="1">
        <f t="array" ref="AI76">_xlfn.XLOOKUP($C76,$C$7:$C$48,_xlfn.XLOOKUP(AI$61,$D$6:$AS$6,$D$7:$AS$48))</f>
        <v>91296.394104551306</v>
      </c>
      <c r="AJ76" cm="1">
        <f t="array" ref="AJ76">_xlfn.XLOOKUP($C76,$C$7:$C$48,_xlfn.XLOOKUP(AJ$61,$D$6:$AS$6,$D$7:$AS$48))</f>
        <v>260519.45747035</v>
      </c>
      <c r="AK76" cm="1">
        <f t="array" ref="AK76">_xlfn.XLOOKUP($C76,$C$7:$C$48,_xlfn.XLOOKUP(AK$61,$D$6:$AS$6,$D$7:$AS$48))</f>
        <v>2268609.7974372599</v>
      </c>
      <c r="AL76" cm="1">
        <f t="array" ref="AL76">_xlfn.XLOOKUP($C76,$C$7:$C$48,_xlfn.XLOOKUP(AL$61,$D$6:$AS$6,$D$7:$AS$48))</f>
        <v>23697.817957801999</v>
      </c>
      <c r="AM76" cm="1">
        <f t="array" ref="AM76">_xlfn.XLOOKUP($C76,$C$7:$C$48,_xlfn.XLOOKUP(AM$61,$D$6:$AS$6,$D$7:$AS$48))</f>
        <v>32694.029898242399</v>
      </c>
      <c r="AN76" cm="1">
        <f t="array" ref="AN76">_xlfn.XLOOKUP($C76,$C$7:$C$48,_xlfn.XLOOKUP(AN$61,$D$6:$AS$6,$D$7:$AS$48))</f>
        <v>198547.940541488</v>
      </c>
      <c r="AO76" cm="1">
        <f t="array" ref="AO76">_xlfn.XLOOKUP($C76,$C$7:$C$48,_xlfn.XLOOKUP(AO$61,$D$6:$AS$6,$D$7:$AS$48))</f>
        <v>832366.780787269</v>
      </c>
      <c r="AP76" cm="1">
        <f t="array" ref="AP76">_xlfn.XLOOKUP($C76,$C$7:$C$48,_xlfn.XLOOKUP(AP$61,$D$6:$AS$6,$D$7:$AS$48))</f>
        <v>1130620.33187729</v>
      </c>
      <c r="AQ76" cm="1">
        <f t="array" ref="AQ76">_xlfn.XLOOKUP($C76,$C$7:$C$48,_xlfn.XLOOKUP(AQ$61,$D$6:$AS$6,$D$7:$AS$48))</f>
        <v>325720.01134953898</v>
      </c>
      <c r="AR76" cm="1">
        <f t="array" ref="AR76">_xlfn.XLOOKUP($C76,$C$7:$C$48,_xlfn.XLOOKUP(AR$61,$D$6:$AS$6,$D$7:$AS$48))</f>
        <v>4789.9804853633796</v>
      </c>
      <c r="AS76" cm="1">
        <f t="array" ref="AS76">_xlfn.XLOOKUP($C76,$C$7:$C$48,_xlfn.XLOOKUP(AS$61,$D$6:$AS$6,$D$7:$AS$48))</f>
        <v>95799.755972606697</v>
      </c>
      <c r="AT76">
        <f t="shared" si="3"/>
        <v>703287051.98292804</v>
      </c>
      <c r="AU76" cm="1">
        <f t="array" ref="AU76">_xlfn.XLOOKUP(AU$60,$AU$6:$BF$6,_xlfn.XLOOKUP($C76,$C$7:$C$48,$AU$7:$BF$48))</f>
        <v>1560823.70183441</v>
      </c>
      <c r="AV76" cm="1">
        <f t="array" ref="AV76">_xlfn.XLOOKUP(AV$60,$AU$6:$BF$6,_xlfn.XLOOKUP($C76,$C$7:$C$48,$AU$7:$BF$48))</f>
        <v>3925831.46539935</v>
      </c>
      <c r="AW76" cm="1">
        <f t="array" ref="AW76">_xlfn.XLOOKUP(AW$60,$AU$6:$BF$6,_xlfn.XLOOKUP($C76,$C$7:$C$48,$AU$7:$BF$48))</f>
        <v>5486655.1672337595</v>
      </c>
      <c r="AX76" cm="1">
        <f t="array" ref="AX76">_xlfn.XLOOKUP(AX$60,$AU$6:$BF$6,_xlfn.XLOOKUP($C76,$C$7:$C$48,$AU$7:$BF$48))</f>
        <v>0</v>
      </c>
      <c r="AY76" cm="1">
        <f t="array" ref="AY76">_xlfn.XLOOKUP(AY$60,$AU$6:$BF$6,_xlfn.XLOOKUP($C76,$C$7:$C$48,$AU$7:$BF$48))</f>
        <v>5486655.1672337595</v>
      </c>
      <c r="AZ76" cm="1">
        <f t="array" ref="AZ76">_xlfn.XLOOKUP(AZ$60,$AU$6:$BF$6,_xlfn.XLOOKUP($C76,$C$7:$C$48,$AU$7:$BF$48))</f>
        <v>0</v>
      </c>
      <c r="BA76" cm="1">
        <f t="array" ref="BA76">_xlfn.XLOOKUP(BA$60,$AU$6:$BF$6,_xlfn.XLOOKUP($C76,$C$7:$C$48,$AU$7:$BF$48))</f>
        <v>2140696.2500745901</v>
      </c>
      <c r="BB76" cm="1">
        <f t="array" ref="BB76">_xlfn.XLOOKUP(BB$60,$AU$6:$BF$6,_xlfn.XLOOKUP($C76,$C$7:$C$48,$AU$7:$BF$48))</f>
        <v>2140696.2500745901</v>
      </c>
      <c r="BC76" cm="1">
        <f t="array" ref="BC76">_xlfn.XLOOKUP(BC$60,$AU$6:$BF$6,_xlfn.XLOOKUP($C76,$C$7:$C$48,$AU$7:$BF$48))</f>
        <v>34554204.179467797</v>
      </c>
      <c r="BD76" cm="1">
        <f t="array" ref="BD76">_xlfn.XLOOKUP(BD$60,$AU$6:$BF$6,_xlfn.XLOOKUP($C76,$C$7:$C$48,$AU$7:$BF$48))</f>
        <v>42181555.596776202</v>
      </c>
      <c r="BE76" cm="1">
        <f t="array" ref="BE76">_xlfn.XLOOKUP(BE$60,$AU$6:$BF$6,_xlfn.XLOOKUP($C76,$C$7:$C$48,$AU$7:$BF$48))</f>
        <v>12436721.0287978</v>
      </c>
      <c r="BF76" cm="1">
        <f t="array" ref="BF76">_xlfn.XLOOKUP(BF$60,$AU$6:$BF$6,_xlfn.XLOOKUP($C76,$C$7:$C$48,$AU$7:$BF$48))</f>
        <v>733031886.55090594</v>
      </c>
      <c r="BH76">
        <f t="shared" si="2"/>
        <v>710914403.40023637</v>
      </c>
      <c r="BJ76">
        <f t="shared" si="4"/>
        <v>1.7493978134799547E-2</v>
      </c>
    </row>
    <row r="77" spans="2:62" x14ac:dyDescent="0.25">
      <c r="C77" s="36" t="s">
        <v>84</v>
      </c>
      <c r="D77" cm="1">
        <f t="array" ref="D77">_xlfn.XLOOKUP($C77,$C$7:$C$48,_xlfn.XLOOKUP(D$61,$D$6:$AS$6,$D$7:$AS$48))</f>
        <v>231511.56821559201</v>
      </c>
      <c r="E77" cm="1">
        <f t="array" ref="E77">_xlfn.XLOOKUP($C77,$C$7:$C$48,_xlfn.XLOOKUP(E$61,$D$6:$AS$6,$D$7:$AS$48))</f>
        <v>5985486.0851936499</v>
      </c>
      <c r="F77" cm="1">
        <f t="array" ref="F77">_xlfn.XLOOKUP($C77,$C$7:$C$48,_xlfn.XLOOKUP(F$61,$D$6:$AS$6,$D$7:$AS$48))</f>
        <v>1118312.4937215501</v>
      </c>
      <c r="G77" cm="1">
        <f t="array" ref="G77">_xlfn.XLOOKUP($C77,$C$7:$C$48,_xlfn.XLOOKUP(G$61,$D$6:$AS$6,$D$7:$AS$48))</f>
        <v>720856.19657338597</v>
      </c>
      <c r="H77" cm="1">
        <f t="array" ref="H77">_xlfn.XLOOKUP($C77,$C$7:$C$48,_xlfn.XLOOKUP(H$61,$D$6:$AS$6,$D$7:$AS$48))</f>
        <v>1121508.83883353</v>
      </c>
      <c r="I77" cm="1">
        <f t="array" ref="I77">_xlfn.XLOOKUP($C77,$C$7:$C$48,_xlfn.XLOOKUP(I$61,$D$6:$AS$6,$D$7:$AS$48))</f>
        <v>272337.82113822002</v>
      </c>
      <c r="J77" cm="1">
        <f t="array" ref="J77">_xlfn.XLOOKUP($C77,$C$7:$C$48,_xlfn.XLOOKUP(J$61,$D$6:$AS$6,$D$7:$AS$48))</f>
        <v>382742.21567873697</v>
      </c>
      <c r="K77" cm="1">
        <f t="array" ref="K77">_xlfn.XLOOKUP($C77,$C$7:$C$48,_xlfn.XLOOKUP(K$61,$D$6:$AS$6,$D$7:$AS$48))</f>
        <v>2368084.2043395499</v>
      </c>
      <c r="L77" cm="1">
        <f t="array" ref="L77">_xlfn.XLOOKUP($C77,$C$7:$C$48,_xlfn.XLOOKUP(L$61,$D$6:$AS$6,$D$7:$AS$48))</f>
        <v>4485716.3425042396</v>
      </c>
      <c r="M77" cm="1">
        <f t="array" ref="M77">_xlfn.XLOOKUP($C77,$C$7:$C$48,_xlfn.XLOOKUP(M$61,$D$6:$AS$6,$D$7:$AS$48))</f>
        <v>198223.33922962699</v>
      </c>
      <c r="N77" cm="1">
        <f t="array" ref="N77">_xlfn.XLOOKUP($C77,$C$7:$C$48,_xlfn.XLOOKUP(N$61,$D$6:$AS$6,$D$7:$AS$48))</f>
        <v>718206.53295077302</v>
      </c>
      <c r="O77" cm="1">
        <f t="array" ref="O77">_xlfn.XLOOKUP($C77,$C$7:$C$48,_xlfn.XLOOKUP(O$61,$D$6:$AS$6,$D$7:$AS$48))</f>
        <v>44680.393718689003</v>
      </c>
      <c r="P77" cm="1">
        <f t="array" ref="P77">_xlfn.XLOOKUP($C77,$C$7:$C$48,_xlfn.XLOOKUP(P$61,$D$6:$AS$6,$D$7:$AS$48))</f>
        <v>1465016.6010706199</v>
      </c>
      <c r="Q77" cm="1">
        <f t="array" ref="Q77">_xlfn.XLOOKUP($C77,$C$7:$C$48,_xlfn.XLOOKUP(Q$61,$D$6:$AS$6,$D$7:$AS$48))</f>
        <v>24422112.739553999</v>
      </c>
      <c r="R77" cm="1">
        <f t="array" ref="R77">_xlfn.XLOOKUP($C77,$C$7:$C$48,_xlfn.XLOOKUP(R$61,$D$6:$AS$6,$D$7:$AS$48))</f>
        <v>13933004.787727</v>
      </c>
      <c r="S77" cm="1">
        <f t="array" ref="S77">_xlfn.XLOOKUP($C77,$C$7:$C$48,_xlfn.XLOOKUP(S$61,$D$6:$AS$6,$D$7:$AS$48))</f>
        <v>128395223.97115999</v>
      </c>
      <c r="T77" cm="1">
        <f t="array" ref="T77">_xlfn.XLOOKUP($C77,$C$7:$C$48,_xlfn.XLOOKUP(T$61,$D$6:$AS$6,$D$7:$AS$48))</f>
        <v>2760821.3172431001</v>
      </c>
      <c r="U77" cm="1">
        <f t="array" ref="U77">_xlfn.XLOOKUP($C77,$C$7:$C$48,_xlfn.XLOOKUP(U$61,$D$6:$AS$6,$D$7:$AS$48))</f>
        <v>109844585.75668301</v>
      </c>
      <c r="V77" cm="1">
        <f t="array" ref="V77">_xlfn.XLOOKUP($C77,$C$7:$C$48,_xlfn.XLOOKUP(V$61,$D$6:$AS$6,$D$7:$AS$48))</f>
        <v>4833386.6625495004</v>
      </c>
      <c r="W77" cm="1">
        <f t="array" ref="W77">_xlfn.XLOOKUP($C77,$C$7:$C$48,_xlfn.XLOOKUP(W$61,$D$6:$AS$6,$D$7:$AS$48))</f>
        <v>18090718.1437351</v>
      </c>
      <c r="X77" cm="1">
        <f t="array" ref="X77">_xlfn.XLOOKUP($C77,$C$7:$C$48,_xlfn.XLOOKUP(X$61,$D$6:$AS$6,$D$7:$AS$48))</f>
        <v>45037806.531296797</v>
      </c>
      <c r="Y77" cm="1">
        <f t="array" ref="Y77">_xlfn.XLOOKUP($C77,$C$7:$C$48,_xlfn.XLOOKUP(Y$61,$D$6:$AS$6,$D$7:$AS$48))</f>
        <v>24330508.557217401</v>
      </c>
      <c r="Z77" cm="1">
        <f t="array" ref="Z77">_xlfn.XLOOKUP($C77,$C$7:$C$48,_xlfn.XLOOKUP(Z$61,$D$6:$AS$6,$D$7:$AS$48))</f>
        <v>7720732.1174316201</v>
      </c>
      <c r="AA77" cm="1">
        <f t="array" ref="AA77">_xlfn.XLOOKUP($C77,$C$7:$C$48,_xlfn.XLOOKUP(AA$61,$D$6:$AS$6,$D$7:$AS$48))</f>
        <v>1307683.8663037501</v>
      </c>
      <c r="AB77" cm="1">
        <f t="array" ref="AB77">_xlfn.XLOOKUP($C77,$C$7:$C$48,_xlfn.XLOOKUP(AB$61,$D$6:$AS$6,$D$7:$AS$48))</f>
        <v>256746.456367951</v>
      </c>
      <c r="AC77" cm="1">
        <f t="array" ref="AC77">_xlfn.XLOOKUP($C77,$C$7:$C$48,_xlfn.XLOOKUP(AC$61,$D$6:$AS$6,$D$7:$AS$48))</f>
        <v>114830.235785861</v>
      </c>
      <c r="AD77" cm="1">
        <f t="array" ref="AD77">_xlfn.XLOOKUP($C77,$C$7:$C$48,_xlfn.XLOOKUP(AD$61,$D$6:$AS$6,$D$7:$AS$48))</f>
        <v>71861.890675810195</v>
      </c>
      <c r="AE77" cm="1">
        <f t="array" ref="AE77">_xlfn.XLOOKUP($C77,$C$7:$C$48,_xlfn.XLOOKUP(AE$61,$D$6:$AS$6,$D$7:$AS$48))</f>
        <v>278702659.949081</v>
      </c>
      <c r="AF77" cm="1">
        <f t="array" ref="AF77">_xlfn.XLOOKUP($C77,$C$7:$C$48,_xlfn.XLOOKUP(AF$61,$D$6:$AS$6,$D$7:$AS$48))</f>
        <v>8351.0433915085505</v>
      </c>
      <c r="AG77" cm="1">
        <f t="array" ref="AG77">_xlfn.XLOOKUP($C77,$C$7:$C$48,_xlfn.XLOOKUP(AG$61,$D$6:$AS$6,$D$7:$AS$48))</f>
        <v>604608.95717440697</v>
      </c>
      <c r="AH77" cm="1">
        <f t="array" ref="AH77">_xlfn.XLOOKUP($C77,$C$7:$C$48,_xlfn.XLOOKUP(AH$61,$D$6:$AS$6,$D$7:$AS$48))</f>
        <v>1823.5000182725</v>
      </c>
      <c r="AI77" cm="1">
        <f t="array" ref="AI77">_xlfn.XLOOKUP($C77,$C$7:$C$48,_xlfn.XLOOKUP(AI$61,$D$6:$AS$6,$D$7:$AS$48))</f>
        <v>6206.6617905018202</v>
      </c>
      <c r="AJ77" cm="1">
        <f t="array" ref="AJ77">_xlfn.XLOOKUP($C77,$C$7:$C$48,_xlfn.XLOOKUP(AJ$61,$D$6:$AS$6,$D$7:$AS$48))</f>
        <v>1198.28643644775</v>
      </c>
      <c r="AK77" cm="1">
        <f t="array" ref="AK77">_xlfn.XLOOKUP($C77,$C$7:$C$48,_xlfn.XLOOKUP(AK$61,$D$6:$AS$6,$D$7:$AS$48))</f>
        <v>177423.31501094499</v>
      </c>
      <c r="AL77" cm="1">
        <f t="array" ref="AL77">_xlfn.XLOOKUP($C77,$C$7:$C$48,_xlfn.XLOOKUP(AL$61,$D$6:$AS$6,$D$7:$AS$48))</f>
        <v>11.358825536026099</v>
      </c>
      <c r="AM77" cm="1">
        <f t="array" ref="AM77">_xlfn.XLOOKUP($C77,$C$7:$C$48,_xlfn.XLOOKUP(AM$61,$D$6:$AS$6,$D$7:$AS$48))</f>
        <v>1871.3278520020799</v>
      </c>
      <c r="AN77" cm="1">
        <f t="array" ref="AN77">_xlfn.XLOOKUP($C77,$C$7:$C$48,_xlfn.XLOOKUP(AN$61,$D$6:$AS$6,$D$7:$AS$48))</f>
        <v>331864.869519912</v>
      </c>
      <c r="AO77" cm="1">
        <f t="array" ref="AO77">_xlfn.XLOOKUP($C77,$C$7:$C$48,_xlfn.XLOOKUP(AO$61,$D$6:$AS$6,$D$7:$AS$48))</f>
        <v>140681.94973206901</v>
      </c>
      <c r="AP77" cm="1">
        <f t="array" ref="AP77">_xlfn.XLOOKUP($C77,$C$7:$C$48,_xlfn.XLOOKUP(AP$61,$D$6:$AS$6,$D$7:$AS$48))</f>
        <v>26880.872074540701</v>
      </c>
      <c r="AQ77" cm="1">
        <f t="array" ref="AQ77">_xlfn.XLOOKUP($C77,$C$7:$C$48,_xlfn.XLOOKUP(AQ$61,$D$6:$AS$6,$D$7:$AS$48))</f>
        <v>329.00023493489903</v>
      </c>
      <c r="AR77" cm="1">
        <f t="array" ref="AR77">_xlfn.XLOOKUP($C77,$C$7:$C$48,_xlfn.XLOOKUP(AR$61,$D$6:$AS$6,$D$7:$AS$48))</f>
        <v>828.99301499868795</v>
      </c>
      <c r="AS77" cm="1">
        <f t="array" ref="AS77">_xlfn.XLOOKUP($C77,$C$7:$C$48,_xlfn.XLOOKUP(AS$61,$D$6:$AS$6,$D$7:$AS$48))</f>
        <v>8411.9484486656202</v>
      </c>
      <c r="AT77">
        <f t="shared" si="3"/>
        <v>677877773.49516499</v>
      </c>
      <c r="AU77" cm="1">
        <f t="array" ref="AU77">_xlfn.XLOOKUP(AU$60,$AU$6:$BF$6,_xlfn.XLOOKUP($C77,$C$7:$C$48,$AU$7:$BF$48))</f>
        <v>0</v>
      </c>
      <c r="AV77" cm="1">
        <f t="array" ref="AV77">_xlfn.XLOOKUP(AV$60,$AU$6:$BF$6,_xlfn.XLOOKUP($C77,$C$7:$C$48,$AU$7:$BF$48))</f>
        <v>0</v>
      </c>
      <c r="AW77" cm="1">
        <f t="array" ref="AW77">_xlfn.XLOOKUP(AW$60,$AU$6:$BF$6,_xlfn.XLOOKUP($C77,$C$7:$C$48,$AU$7:$BF$48))</f>
        <v>0</v>
      </c>
      <c r="AX77" cm="1">
        <f t="array" ref="AX77">_xlfn.XLOOKUP(AX$60,$AU$6:$BF$6,_xlfn.XLOOKUP($C77,$C$7:$C$48,$AU$7:$BF$48))</f>
        <v>0</v>
      </c>
      <c r="AY77" cm="1">
        <f t="array" ref="AY77">_xlfn.XLOOKUP(AY$60,$AU$6:$BF$6,_xlfn.XLOOKUP($C77,$C$7:$C$48,$AU$7:$BF$48))</f>
        <v>0</v>
      </c>
      <c r="AZ77" cm="1">
        <f t="array" ref="AZ77">_xlfn.XLOOKUP(AZ$60,$AU$6:$BF$6,_xlfn.XLOOKUP($C77,$C$7:$C$48,$AU$7:$BF$48))</f>
        <v>0</v>
      </c>
      <c r="BA77" cm="1">
        <f t="array" ref="BA77">_xlfn.XLOOKUP(BA$60,$AU$6:$BF$6,_xlfn.XLOOKUP($C77,$C$7:$C$48,$AU$7:$BF$48))</f>
        <v>4405504.3332162499</v>
      </c>
      <c r="BB77" cm="1">
        <f t="array" ref="BB77">_xlfn.XLOOKUP(BB$60,$AU$6:$BF$6,_xlfn.XLOOKUP($C77,$C$7:$C$48,$AU$7:$BF$48))</f>
        <v>4405504.3332162499</v>
      </c>
      <c r="BC77" cm="1">
        <f t="array" ref="BC77">_xlfn.XLOOKUP(BC$60,$AU$6:$BF$6,_xlfn.XLOOKUP($C77,$C$7:$C$48,$AU$7:$BF$48))</f>
        <v>27767871.756153099</v>
      </c>
      <c r="BD77" cm="1">
        <f t="array" ref="BD77">_xlfn.XLOOKUP(BD$60,$AU$6:$BF$6,_xlfn.XLOOKUP($C77,$C$7:$C$48,$AU$7:$BF$48))</f>
        <v>32173376.089369401</v>
      </c>
      <c r="BE77" cm="1">
        <f t="array" ref="BE77">_xlfn.XLOOKUP(BE$60,$AU$6:$BF$6,_xlfn.XLOOKUP($C77,$C$7:$C$48,$AU$7:$BF$48))</f>
        <v>26541208.673854899</v>
      </c>
      <c r="BF77" cm="1">
        <f t="array" ref="BF77">_xlfn.XLOOKUP(BF$60,$AU$6:$BF$6,_xlfn.XLOOKUP($C77,$C$7:$C$48,$AU$7:$BF$48))</f>
        <v>683509940.91067898</v>
      </c>
      <c r="BH77">
        <f t="shared" si="2"/>
        <v>682283277.8283813</v>
      </c>
      <c r="BJ77">
        <f t="shared" si="4"/>
        <v>3.8900570388200197E-2</v>
      </c>
    </row>
    <row r="78" spans="2:62" x14ac:dyDescent="0.25">
      <c r="C78" s="36" t="s">
        <v>85</v>
      </c>
      <c r="D78" cm="1">
        <f t="array" ref="D78">_xlfn.XLOOKUP($C78,$C$7:$C$48,_xlfn.XLOOKUP(D$61,$D$6:$AS$6,$D$7:$AS$48))</f>
        <v>8900.6755486550392</v>
      </c>
      <c r="E78" cm="1">
        <f t="array" ref="E78">_xlfn.XLOOKUP($C78,$C$7:$C$48,_xlfn.XLOOKUP(E$61,$D$6:$AS$6,$D$7:$AS$48))</f>
        <v>15416.107396695001</v>
      </c>
      <c r="F78" cm="1">
        <f t="array" ref="F78">_xlfn.XLOOKUP($C78,$C$7:$C$48,_xlfn.XLOOKUP(F$61,$D$6:$AS$6,$D$7:$AS$48))</f>
        <v>227.82763401391099</v>
      </c>
      <c r="G78" cm="1">
        <f t="array" ref="G78">_xlfn.XLOOKUP($C78,$C$7:$C$48,_xlfn.XLOOKUP(G$61,$D$6:$AS$6,$D$7:$AS$48))</f>
        <v>443804.90291369101</v>
      </c>
      <c r="H78" cm="1">
        <f t="array" ref="H78">_xlfn.XLOOKUP($C78,$C$7:$C$48,_xlfn.XLOOKUP(H$61,$D$6:$AS$6,$D$7:$AS$48))</f>
        <v>166228.30901152801</v>
      </c>
      <c r="I78" cm="1">
        <f t="array" ref="I78">_xlfn.XLOOKUP($C78,$C$7:$C$48,_xlfn.XLOOKUP(I$61,$D$6:$AS$6,$D$7:$AS$48))</f>
        <v>109160.627027975</v>
      </c>
      <c r="J78" cm="1">
        <f t="array" ref="J78">_xlfn.XLOOKUP($C78,$C$7:$C$48,_xlfn.XLOOKUP(J$61,$D$6:$AS$6,$D$7:$AS$48))</f>
        <v>220462.383442483</v>
      </c>
      <c r="K78" cm="1">
        <f t="array" ref="K78">_xlfn.XLOOKUP($C78,$C$7:$C$48,_xlfn.XLOOKUP(K$61,$D$6:$AS$6,$D$7:$AS$48))</f>
        <v>906287.23217680596</v>
      </c>
      <c r="L78" cm="1">
        <f t="array" ref="L78">_xlfn.XLOOKUP($C78,$C$7:$C$48,_xlfn.XLOOKUP(L$61,$D$6:$AS$6,$D$7:$AS$48))</f>
        <v>19977459.015090998</v>
      </c>
      <c r="M78" cm="1">
        <f t="array" ref="M78">_xlfn.XLOOKUP($C78,$C$7:$C$48,_xlfn.XLOOKUP(M$61,$D$6:$AS$6,$D$7:$AS$48))</f>
        <v>15125.422401429299</v>
      </c>
      <c r="N78" cm="1">
        <f t="array" ref="N78">_xlfn.XLOOKUP($C78,$C$7:$C$48,_xlfn.XLOOKUP(N$61,$D$6:$AS$6,$D$7:$AS$48))</f>
        <v>8623449.7674129307</v>
      </c>
      <c r="O78" cm="1">
        <f t="array" ref="O78">_xlfn.XLOOKUP($C78,$C$7:$C$48,_xlfn.XLOOKUP(O$61,$D$6:$AS$6,$D$7:$AS$48))</f>
        <v>119933.47570344299</v>
      </c>
      <c r="P78" cm="1">
        <f t="array" ref="P78">_xlfn.XLOOKUP($C78,$C$7:$C$48,_xlfn.XLOOKUP(P$61,$D$6:$AS$6,$D$7:$AS$48))</f>
        <v>2202103.6067858599</v>
      </c>
      <c r="Q78" cm="1">
        <f t="array" ref="Q78">_xlfn.XLOOKUP($C78,$C$7:$C$48,_xlfn.XLOOKUP(Q$61,$D$6:$AS$6,$D$7:$AS$48))</f>
        <v>12717404.924781101</v>
      </c>
      <c r="R78" cm="1">
        <f t="array" ref="R78">_xlfn.XLOOKUP($C78,$C$7:$C$48,_xlfn.XLOOKUP(R$61,$D$6:$AS$6,$D$7:$AS$48))</f>
        <v>7233885.0167974196</v>
      </c>
      <c r="S78" cm="1">
        <f t="array" ref="S78">_xlfn.XLOOKUP($C78,$C$7:$C$48,_xlfn.XLOOKUP(S$61,$D$6:$AS$6,$D$7:$AS$48))</f>
        <v>8479844.5970187299</v>
      </c>
      <c r="T78" cm="1">
        <f t="array" ref="T78">_xlfn.XLOOKUP($C78,$C$7:$C$48,_xlfn.XLOOKUP(T$61,$D$6:$AS$6,$D$7:$AS$48))</f>
        <v>196601311.08714399</v>
      </c>
      <c r="U78" cm="1">
        <f t="array" ref="U78">_xlfn.XLOOKUP($C78,$C$7:$C$48,_xlfn.XLOOKUP(U$61,$D$6:$AS$6,$D$7:$AS$48))</f>
        <v>48942799.232145399</v>
      </c>
      <c r="V78" cm="1">
        <f t="array" ref="V78">_xlfn.XLOOKUP($C78,$C$7:$C$48,_xlfn.XLOOKUP(V$61,$D$6:$AS$6,$D$7:$AS$48))</f>
        <v>31542514.349654399</v>
      </c>
      <c r="W78" cm="1">
        <f t="array" ref="W78">_xlfn.XLOOKUP($C78,$C$7:$C$48,_xlfn.XLOOKUP(W$61,$D$6:$AS$6,$D$7:$AS$48))</f>
        <v>128393623.886509</v>
      </c>
      <c r="X78" cm="1">
        <f t="array" ref="X78">_xlfn.XLOOKUP($C78,$C$7:$C$48,_xlfn.XLOOKUP(X$61,$D$6:$AS$6,$D$7:$AS$48))</f>
        <v>37701392.028613701</v>
      </c>
      <c r="Y78" cm="1">
        <f t="array" ref="Y78">_xlfn.XLOOKUP($C78,$C$7:$C$48,_xlfn.XLOOKUP(Y$61,$D$6:$AS$6,$D$7:$AS$48))</f>
        <v>34619046.993302003</v>
      </c>
      <c r="Z78" cm="1">
        <f t="array" ref="Z78">_xlfn.XLOOKUP($C78,$C$7:$C$48,_xlfn.XLOOKUP(Z$61,$D$6:$AS$6,$D$7:$AS$48))</f>
        <v>7591588.5535006896</v>
      </c>
      <c r="AA78" cm="1">
        <f t="array" ref="AA78">_xlfn.XLOOKUP($C78,$C$7:$C$48,_xlfn.XLOOKUP(AA$61,$D$6:$AS$6,$D$7:$AS$48))</f>
        <v>5247794.0737348702</v>
      </c>
      <c r="AB78" cm="1">
        <f t="array" ref="AB78">_xlfn.XLOOKUP($C78,$C$7:$C$48,_xlfn.XLOOKUP(AB$61,$D$6:$AS$6,$D$7:$AS$48))</f>
        <v>82372.637321982795</v>
      </c>
      <c r="AC78" cm="1">
        <f t="array" ref="AC78">_xlfn.XLOOKUP($C78,$C$7:$C$48,_xlfn.XLOOKUP(AC$61,$D$6:$AS$6,$D$7:$AS$48))</f>
        <v>775.80563588545499</v>
      </c>
      <c r="AD78" cm="1">
        <f t="array" ref="AD78">_xlfn.XLOOKUP($C78,$C$7:$C$48,_xlfn.XLOOKUP(AD$61,$D$6:$AS$6,$D$7:$AS$48))</f>
        <v>5801.6448365556298</v>
      </c>
      <c r="AE78" cm="1">
        <f t="array" ref="AE78">_xlfn.XLOOKUP($C78,$C$7:$C$48,_xlfn.XLOOKUP(AE$61,$D$6:$AS$6,$D$7:$AS$48))</f>
        <v>10715656.0886856</v>
      </c>
      <c r="AF78" cm="1">
        <f t="array" ref="AF78">_xlfn.XLOOKUP($C78,$C$7:$C$48,_xlfn.XLOOKUP(AF$61,$D$6:$AS$6,$D$7:$AS$48))</f>
        <v>23345.672744347001</v>
      </c>
      <c r="AG78" cm="1">
        <f t="array" ref="AG78">_xlfn.XLOOKUP($C78,$C$7:$C$48,_xlfn.XLOOKUP(AG$61,$D$6:$AS$6,$D$7:$AS$48))</f>
        <v>69400.541344120502</v>
      </c>
      <c r="AH78" cm="1">
        <f t="array" ref="AH78">_xlfn.XLOOKUP($C78,$C$7:$C$48,_xlfn.XLOOKUP(AH$61,$D$6:$AS$6,$D$7:$AS$48))</f>
        <v>3687.67374083509</v>
      </c>
      <c r="AI78" cm="1">
        <f t="array" ref="AI78">_xlfn.XLOOKUP($C78,$C$7:$C$48,_xlfn.XLOOKUP(AI$61,$D$6:$AS$6,$D$7:$AS$48))</f>
        <v>0</v>
      </c>
      <c r="AJ78" cm="1">
        <f t="array" ref="AJ78">_xlfn.XLOOKUP($C78,$C$7:$C$48,_xlfn.XLOOKUP(AJ$61,$D$6:$AS$6,$D$7:$AS$48))</f>
        <v>1660.03780915729</v>
      </c>
      <c r="AK78" cm="1">
        <f t="array" ref="AK78">_xlfn.XLOOKUP($C78,$C$7:$C$48,_xlfn.XLOOKUP(AK$61,$D$6:$AS$6,$D$7:$AS$48))</f>
        <v>173035.62437909801</v>
      </c>
      <c r="AL78" cm="1">
        <f t="array" ref="AL78">_xlfn.XLOOKUP($C78,$C$7:$C$48,_xlfn.XLOOKUP(AL$61,$D$6:$AS$6,$D$7:$AS$48))</f>
        <v>0</v>
      </c>
      <c r="AM78" cm="1">
        <f t="array" ref="AM78">_xlfn.XLOOKUP($C78,$C$7:$C$48,_xlfn.XLOOKUP(AM$61,$D$6:$AS$6,$D$7:$AS$48))</f>
        <v>0</v>
      </c>
      <c r="AN78" cm="1">
        <f t="array" ref="AN78">_xlfn.XLOOKUP($C78,$C$7:$C$48,_xlfn.XLOOKUP(AN$61,$D$6:$AS$6,$D$7:$AS$48))</f>
        <v>92358.918739074899</v>
      </c>
      <c r="AO78" cm="1">
        <f t="array" ref="AO78">_xlfn.XLOOKUP($C78,$C$7:$C$48,_xlfn.XLOOKUP(AO$61,$D$6:$AS$6,$D$7:$AS$48))</f>
        <v>5.3244188152449801E-3</v>
      </c>
      <c r="AP78" cm="1">
        <f t="array" ref="AP78">_xlfn.XLOOKUP($C78,$C$7:$C$48,_xlfn.XLOOKUP(AP$61,$D$6:$AS$6,$D$7:$AS$48))</f>
        <v>45405.512128530303</v>
      </c>
      <c r="AQ78" cm="1">
        <f t="array" ref="AQ78">_xlfn.XLOOKUP($C78,$C$7:$C$48,_xlfn.XLOOKUP(AQ$61,$D$6:$AS$6,$D$7:$AS$48))</f>
        <v>1123.5706396457699</v>
      </c>
      <c r="AR78" cm="1">
        <f t="array" ref="AR78">_xlfn.XLOOKUP($C78,$C$7:$C$48,_xlfn.XLOOKUP(AR$61,$D$6:$AS$6,$D$7:$AS$48))</f>
        <v>334.00906927717398</v>
      </c>
      <c r="AS78" cm="1">
        <f t="array" ref="AS78">_xlfn.XLOOKUP($C78,$C$7:$C$48,_xlfn.XLOOKUP(AS$61,$D$6:$AS$6,$D$7:$AS$48))</f>
        <v>146370.74051122699</v>
      </c>
      <c r="AT78">
        <f t="shared" si="3"/>
        <v>562334805.34648097</v>
      </c>
      <c r="AU78" cm="1">
        <f t="array" ref="AU78">_xlfn.XLOOKUP(AU$60,$AU$6:$BF$6,_xlfn.XLOOKUP($C78,$C$7:$C$48,$AU$7:$BF$48))</f>
        <v>0</v>
      </c>
      <c r="AV78" cm="1">
        <f t="array" ref="AV78">_xlfn.XLOOKUP(AV$60,$AU$6:$BF$6,_xlfn.XLOOKUP($C78,$C$7:$C$48,$AU$7:$BF$48))</f>
        <v>0</v>
      </c>
      <c r="AW78" cm="1">
        <f t="array" ref="AW78">_xlfn.XLOOKUP(AW$60,$AU$6:$BF$6,_xlfn.XLOOKUP($C78,$C$7:$C$48,$AU$7:$BF$48))</f>
        <v>0</v>
      </c>
      <c r="AX78" cm="1">
        <f t="array" ref="AX78">_xlfn.XLOOKUP(AX$60,$AU$6:$BF$6,_xlfn.XLOOKUP($C78,$C$7:$C$48,$AU$7:$BF$48))</f>
        <v>0</v>
      </c>
      <c r="AY78" cm="1">
        <f t="array" ref="AY78">_xlfn.XLOOKUP(AY$60,$AU$6:$BF$6,_xlfn.XLOOKUP($C78,$C$7:$C$48,$AU$7:$BF$48))</f>
        <v>0</v>
      </c>
      <c r="AZ78" cm="1">
        <f t="array" ref="AZ78">_xlfn.XLOOKUP(AZ$60,$AU$6:$BF$6,_xlfn.XLOOKUP($C78,$C$7:$C$48,$AU$7:$BF$48))</f>
        <v>0</v>
      </c>
      <c r="BA78" cm="1">
        <f t="array" ref="BA78">_xlfn.XLOOKUP(BA$60,$AU$6:$BF$6,_xlfn.XLOOKUP($C78,$C$7:$C$48,$AU$7:$BF$48))</f>
        <v>-957892.18613737996</v>
      </c>
      <c r="BB78" cm="1">
        <f t="array" ref="BB78">_xlfn.XLOOKUP(BB$60,$AU$6:$BF$6,_xlfn.XLOOKUP($C78,$C$7:$C$48,$AU$7:$BF$48))</f>
        <v>-957892.18613737996</v>
      </c>
      <c r="BC78" cm="1">
        <f t="array" ref="BC78">_xlfn.XLOOKUP(BC$60,$AU$6:$BF$6,_xlfn.XLOOKUP($C78,$C$7:$C$48,$AU$7:$BF$48))</f>
        <v>17965733.8081997</v>
      </c>
      <c r="BD78" cm="1">
        <f t="array" ref="BD78">_xlfn.XLOOKUP(BD$60,$AU$6:$BF$6,_xlfn.XLOOKUP($C78,$C$7:$C$48,$AU$7:$BF$48))</f>
        <v>17007841.6220624</v>
      </c>
      <c r="BE78" cm="1">
        <f t="array" ref="BE78">_xlfn.XLOOKUP(BE$60,$AU$6:$BF$6,_xlfn.XLOOKUP($C78,$C$7:$C$48,$AU$7:$BF$48))</f>
        <v>54672624.212560698</v>
      </c>
      <c r="BF78" cm="1">
        <f t="array" ref="BF78">_xlfn.XLOOKUP(BF$60,$AU$6:$BF$6,_xlfn.XLOOKUP($C78,$C$7:$C$48,$AU$7:$BF$48))</f>
        <v>524670022.755983</v>
      </c>
      <c r="BH78">
        <f t="shared" si="2"/>
        <v>561376913.16034353</v>
      </c>
      <c r="BJ78">
        <f t="shared" si="4"/>
        <v>9.7390225587963938E-2</v>
      </c>
    </row>
    <row r="79" spans="2:62" x14ac:dyDescent="0.25">
      <c r="C79" s="36" t="s">
        <v>86</v>
      </c>
      <c r="D79" cm="1">
        <f t="array" ref="D79">_xlfn.XLOOKUP($C79,$C$7:$C$48,_xlfn.XLOOKUP(D$61,$D$6:$AS$6,$D$7:$AS$48))</f>
        <v>823239.11904421495</v>
      </c>
      <c r="E79" cm="1">
        <f t="array" ref="E79">_xlfn.XLOOKUP($C79,$C$7:$C$48,_xlfn.XLOOKUP(E$61,$D$6:$AS$6,$D$7:$AS$48))</f>
        <v>6843894.5905335899</v>
      </c>
      <c r="F79" cm="1">
        <f t="array" ref="F79">_xlfn.XLOOKUP($C79,$C$7:$C$48,_xlfn.XLOOKUP(F$61,$D$6:$AS$6,$D$7:$AS$48))</f>
        <v>47481.494058685901</v>
      </c>
      <c r="G79" cm="1">
        <f t="array" ref="G79">_xlfn.XLOOKUP($C79,$C$7:$C$48,_xlfn.XLOOKUP(G$61,$D$6:$AS$6,$D$7:$AS$48))</f>
        <v>4175081.2072523101</v>
      </c>
      <c r="H79" cm="1">
        <f t="array" ref="H79">_xlfn.XLOOKUP($C79,$C$7:$C$48,_xlfn.XLOOKUP(H$61,$D$6:$AS$6,$D$7:$AS$48))</f>
        <v>587075.01477385801</v>
      </c>
      <c r="I79" cm="1">
        <f t="array" ref="I79">_xlfn.XLOOKUP($C79,$C$7:$C$48,_xlfn.XLOOKUP(I$61,$D$6:$AS$6,$D$7:$AS$48))</f>
        <v>3523907.1059125401</v>
      </c>
      <c r="J79" cm="1">
        <f t="array" ref="J79">_xlfn.XLOOKUP($C79,$C$7:$C$48,_xlfn.XLOOKUP(J$61,$D$6:$AS$6,$D$7:$AS$48))</f>
        <v>2164374.0390686402</v>
      </c>
      <c r="K79" cm="1">
        <f t="array" ref="K79">_xlfn.XLOOKUP($C79,$C$7:$C$48,_xlfn.XLOOKUP(K$61,$D$6:$AS$6,$D$7:$AS$48))</f>
        <v>6160907.4104285799</v>
      </c>
      <c r="L79" cm="1">
        <f t="array" ref="L79">_xlfn.XLOOKUP($C79,$C$7:$C$48,_xlfn.XLOOKUP(L$61,$D$6:$AS$6,$D$7:$AS$48))</f>
        <v>9762688.7829015497</v>
      </c>
      <c r="M79" cm="1">
        <f t="array" ref="M79">_xlfn.XLOOKUP($C79,$C$7:$C$48,_xlfn.XLOOKUP(M$61,$D$6:$AS$6,$D$7:$AS$48))</f>
        <v>367056.84101174597</v>
      </c>
      <c r="N79" cm="1">
        <f t="array" ref="N79">_xlfn.XLOOKUP($C79,$C$7:$C$48,_xlfn.XLOOKUP(N$61,$D$6:$AS$6,$D$7:$AS$48))</f>
        <v>3226326.0254301601</v>
      </c>
      <c r="O79" cm="1">
        <f t="array" ref="O79">_xlfn.XLOOKUP($C79,$C$7:$C$48,_xlfn.XLOOKUP(O$61,$D$6:$AS$6,$D$7:$AS$48))</f>
        <v>1210054.81549578</v>
      </c>
      <c r="P79" cm="1">
        <f t="array" ref="P79">_xlfn.XLOOKUP($C79,$C$7:$C$48,_xlfn.XLOOKUP(P$61,$D$6:$AS$6,$D$7:$AS$48))</f>
        <v>4964060.1108945403</v>
      </c>
      <c r="Q79" cm="1">
        <f t="array" ref="Q79">_xlfn.XLOOKUP($C79,$C$7:$C$48,_xlfn.XLOOKUP(Q$61,$D$6:$AS$6,$D$7:$AS$48))</f>
        <v>16436651.429209201</v>
      </c>
      <c r="R79" cm="1">
        <f t="array" ref="R79">_xlfn.XLOOKUP($C79,$C$7:$C$48,_xlfn.XLOOKUP(R$61,$D$6:$AS$6,$D$7:$AS$48))</f>
        <v>16927420.3252392</v>
      </c>
      <c r="S79" cm="1">
        <f t="array" ref="S79">_xlfn.XLOOKUP($C79,$C$7:$C$48,_xlfn.XLOOKUP(S$61,$D$6:$AS$6,$D$7:$AS$48))</f>
        <v>1218101.9140089599</v>
      </c>
      <c r="T79" cm="1">
        <f t="array" ref="T79">_xlfn.XLOOKUP($C79,$C$7:$C$48,_xlfn.XLOOKUP(T$61,$D$6:$AS$6,$D$7:$AS$48))</f>
        <v>1056789.4499055899</v>
      </c>
      <c r="U79" cm="1">
        <f t="array" ref="U79">_xlfn.XLOOKUP($C79,$C$7:$C$48,_xlfn.XLOOKUP(U$61,$D$6:$AS$6,$D$7:$AS$48))</f>
        <v>69726613.019667506</v>
      </c>
      <c r="V79" cm="1">
        <f t="array" ref="V79">_xlfn.XLOOKUP($C79,$C$7:$C$48,_xlfn.XLOOKUP(V$61,$D$6:$AS$6,$D$7:$AS$48))</f>
        <v>16994492.5820494</v>
      </c>
      <c r="W79" cm="1">
        <f t="array" ref="W79">_xlfn.XLOOKUP($C79,$C$7:$C$48,_xlfn.XLOOKUP(W$61,$D$6:$AS$6,$D$7:$AS$48))</f>
        <v>25722146.776101898</v>
      </c>
      <c r="X79" cm="1">
        <f t="array" ref="X79">_xlfn.XLOOKUP($C79,$C$7:$C$48,_xlfn.XLOOKUP(X$61,$D$6:$AS$6,$D$7:$AS$48))</f>
        <v>27665192.2268015</v>
      </c>
      <c r="Y79" cm="1">
        <f t="array" ref="Y79">_xlfn.XLOOKUP($C79,$C$7:$C$48,_xlfn.XLOOKUP(Y$61,$D$6:$AS$6,$D$7:$AS$48))</f>
        <v>14866905.531682801</v>
      </c>
      <c r="Z79" cm="1">
        <f t="array" ref="Z79">_xlfn.XLOOKUP($C79,$C$7:$C$48,_xlfn.XLOOKUP(Z$61,$D$6:$AS$6,$D$7:$AS$48))</f>
        <v>5355333.5250885896</v>
      </c>
      <c r="AA79" cm="1">
        <f t="array" ref="AA79">_xlfn.XLOOKUP($C79,$C$7:$C$48,_xlfn.XLOOKUP(AA$61,$D$6:$AS$6,$D$7:$AS$48))</f>
        <v>2549699.0505310101</v>
      </c>
      <c r="AB79" cm="1">
        <f t="array" ref="AB79">_xlfn.XLOOKUP($C79,$C$7:$C$48,_xlfn.XLOOKUP(AB$61,$D$6:$AS$6,$D$7:$AS$48))</f>
        <v>275728.82485353999</v>
      </c>
      <c r="AC79" cm="1">
        <f t="array" ref="AC79">_xlfn.XLOOKUP($C79,$C$7:$C$48,_xlfn.XLOOKUP(AC$61,$D$6:$AS$6,$D$7:$AS$48))</f>
        <v>36839.2092825543</v>
      </c>
      <c r="AD79" cm="1">
        <f t="array" ref="AD79">_xlfn.XLOOKUP($C79,$C$7:$C$48,_xlfn.XLOOKUP(AD$61,$D$6:$AS$6,$D$7:$AS$48))</f>
        <v>843476.84553949302</v>
      </c>
      <c r="AE79" cm="1">
        <f t="array" ref="AE79">_xlfn.XLOOKUP($C79,$C$7:$C$48,_xlfn.XLOOKUP(AE$61,$D$6:$AS$6,$D$7:$AS$48))</f>
        <v>132161439.87616301</v>
      </c>
      <c r="AF79" cm="1">
        <f t="array" ref="AF79">_xlfn.XLOOKUP($C79,$C$7:$C$48,_xlfn.XLOOKUP(AF$61,$D$6:$AS$6,$D$7:$AS$48))</f>
        <v>290667.52798172802</v>
      </c>
      <c r="AG79" cm="1">
        <f t="array" ref="AG79">_xlfn.XLOOKUP($C79,$C$7:$C$48,_xlfn.XLOOKUP(AG$61,$D$6:$AS$6,$D$7:$AS$48))</f>
        <v>3135118.8234383902</v>
      </c>
      <c r="AH79" cm="1">
        <f t="array" ref="AH79">_xlfn.XLOOKUP($C79,$C$7:$C$48,_xlfn.XLOOKUP(AH$61,$D$6:$AS$6,$D$7:$AS$48))</f>
        <v>384818.74600209598</v>
      </c>
      <c r="AI79" cm="1">
        <f t="array" ref="AI79">_xlfn.XLOOKUP($C79,$C$7:$C$48,_xlfn.XLOOKUP(AI$61,$D$6:$AS$6,$D$7:$AS$48))</f>
        <v>599301.04505910794</v>
      </c>
      <c r="AJ79" cm="1">
        <f t="array" ref="AJ79">_xlfn.XLOOKUP($C79,$C$7:$C$48,_xlfn.XLOOKUP(AJ$61,$D$6:$AS$6,$D$7:$AS$48))</f>
        <v>25113883.567990702</v>
      </c>
      <c r="AK79" cm="1">
        <f t="array" ref="AK79">_xlfn.XLOOKUP($C79,$C$7:$C$48,_xlfn.XLOOKUP(AK$61,$D$6:$AS$6,$D$7:$AS$48))</f>
        <v>5682565.0823589396</v>
      </c>
      <c r="AL79" cm="1">
        <f t="array" ref="AL79">_xlfn.XLOOKUP($C79,$C$7:$C$48,_xlfn.XLOOKUP(AL$61,$D$6:$AS$6,$D$7:$AS$48))</f>
        <v>86808.766644974094</v>
      </c>
      <c r="AM79" cm="1">
        <f t="array" ref="AM79">_xlfn.XLOOKUP($C79,$C$7:$C$48,_xlfn.XLOOKUP(AM$61,$D$6:$AS$6,$D$7:$AS$48))</f>
        <v>1196639.3719067799</v>
      </c>
      <c r="AN79" cm="1">
        <f t="array" ref="AN79">_xlfn.XLOOKUP($C79,$C$7:$C$48,_xlfn.XLOOKUP(AN$61,$D$6:$AS$6,$D$7:$AS$48))</f>
        <v>13354998.645677401</v>
      </c>
      <c r="AO79" cm="1">
        <f t="array" ref="AO79">_xlfn.XLOOKUP($C79,$C$7:$C$48,_xlfn.XLOOKUP(AO$61,$D$6:$AS$6,$D$7:$AS$48))</f>
        <v>2122995.8596761199</v>
      </c>
      <c r="AP79" cm="1">
        <f t="array" ref="AP79">_xlfn.XLOOKUP($C79,$C$7:$C$48,_xlfn.XLOOKUP(AP$61,$D$6:$AS$6,$D$7:$AS$48))</f>
        <v>758921.69106769597</v>
      </c>
      <c r="AQ79" cm="1">
        <f t="array" ref="AQ79">_xlfn.XLOOKUP($C79,$C$7:$C$48,_xlfn.XLOOKUP(AQ$61,$D$6:$AS$6,$D$7:$AS$48))</f>
        <v>53758.700924684599</v>
      </c>
      <c r="AR79" cm="1">
        <f t="array" ref="AR79">_xlfn.XLOOKUP($C79,$C$7:$C$48,_xlfn.XLOOKUP(AR$61,$D$6:$AS$6,$D$7:$AS$48))</f>
        <v>152670.465164302</v>
      </c>
      <c r="AS79" cm="1">
        <f t="array" ref="AS79">_xlfn.XLOOKUP($C79,$C$7:$C$48,_xlfn.XLOOKUP(AS$61,$D$6:$AS$6,$D$7:$AS$48))</f>
        <v>3302520.2984277802</v>
      </c>
      <c r="AT79">
        <f t="shared" si="3"/>
        <v>425767738.32482201</v>
      </c>
      <c r="AU79" cm="1">
        <f t="array" ref="AU79">_xlfn.XLOOKUP(AU$60,$AU$6:$BF$6,_xlfn.XLOOKUP($C79,$C$7:$C$48,$AU$7:$BF$48))</f>
        <v>665462.94812565099</v>
      </c>
      <c r="AV79" cm="1">
        <f t="array" ref="AV79">_xlfn.XLOOKUP(AV$60,$AU$6:$BF$6,_xlfn.XLOOKUP($C79,$C$7:$C$48,$AU$7:$BF$48))</f>
        <v>4215024.1264948603</v>
      </c>
      <c r="AW79" cm="1">
        <f t="array" ref="AW79">_xlfn.XLOOKUP(AW$60,$AU$6:$BF$6,_xlfn.XLOOKUP($C79,$C$7:$C$48,$AU$7:$BF$48))</f>
        <v>4880487.0746205105</v>
      </c>
      <c r="AX79" cm="1">
        <f t="array" ref="AX79">_xlfn.XLOOKUP(AX$60,$AU$6:$BF$6,_xlfn.XLOOKUP($C79,$C$7:$C$48,$AU$7:$BF$48))</f>
        <v>0</v>
      </c>
      <c r="AY79" cm="1">
        <f t="array" ref="AY79">_xlfn.XLOOKUP(AY$60,$AU$6:$BF$6,_xlfn.XLOOKUP($C79,$C$7:$C$48,$AU$7:$BF$48))</f>
        <v>4880487.0746205105</v>
      </c>
      <c r="AZ79" cm="1">
        <f t="array" ref="AZ79">_xlfn.XLOOKUP(AZ$60,$AU$6:$BF$6,_xlfn.XLOOKUP($C79,$C$7:$C$48,$AU$7:$BF$48))</f>
        <v>25162931.8981722</v>
      </c>
      <c r="BA79" cm="1">
        <f t="array" ref="BA79">_xlfn.XLOOKUP(BA$60,$AU$6:$BF$6,_xlfn.XLOOKUP($C79,$C$7:$C$48,$AU$7:$BF$48))</f>
        <v>9509406.9148277901</v>
      </c>
      <c r="BB79" cm="1">
        <f t="array" ref="BB79">_xlfn.XLOOKUP(BB$60,$AU$6:$BF$6,_xlfn.XLOOKUP($C79,$C$7:$C$48,$AU$7:$BF$48))</f>
        <v>34672338.813000001</v>
      </c>
      <c r="BC79" cm="1">
        <f t="array" ref="BC79">_xlfn.XLOOKUP(BC$60,$AU$6:$BF$6,_xlfn.XLOOKUP($C79,$C$7:$C$48,$AU$7:$BF$48))</f>
        <v>62348551.232276402</v>
      </c>
      <c r="BD79" cm="1">
        <f t="array" ref="BD79">_xlfn.XLOOKUP(BD$60,$AU$6:$BF$6,_xlfn.XLOOKUP($C79,$C$7:$C$48,$AU$7:$BF$48))</f>
        <v>101901377.11989699</v>
      </c>
      <c r="BE79" cm="1">
        <f t="array" ref="BE79">_xlfn.XLOOKUP(BE$60,$AU$6:$BF$6,_xlfn.XLOOKUP($C79,$C$7:$C$48,$AU$7:$BF$48))</f>
        <v>8187441.3282561703</v>
      </c>
      <c r="BF79" cm="1">
        <f t="array" ref="BF79">_xlfn.XLOOKUP(BF$60,$AU$6:$BF$6,_xlfn.XLOOKUP($C79,$C$7:$C$48,$AU$7:$BF$48))</f>
        <v>519481674.11646301</v>
      </c>
      <c r="BH79">
        <f t="shared" si="2"/>
        <v>465320564.21244252</v>
      </c>
      <c r="BJ79">
        <f t="shared" si="4"/>
        <v>1.7595270783085759E-2</v>
      </c>
    </row>
    <row r="80" spans="2:62" x14ac:dyDescent="0.25">
      <c r="C80" s="36" t="s">
        <v>92</v>
      </c>
      <c r="D80" cm="1">
        <f t="array" ref="D80">_xlfn.XLOOKUP($C80,$C$7:$C$48,_xlfn.XLOOKUP(D$61,$D$6:$AS$6,$D$7:$AS$48))</f>
        <v>331571.92327286699</v>
      </c>
      <c r="E80" cm="1">
        <f t="array" ref="E80">_xlfn.XLOOKUP($C80,$C$7:$C$48,_xlfn.XLOOKUP(E$61,$D$6:$AS$6,$D$7:$AS$48))</f>
        <v>360777.60004878597</v>
      </c>
      <c r="F80" cm="1">
        <f t="array" ref="F80">_xlfn.XLOOKUP($C80,$C$7:$C$48,_xlfn.XLOOKUP(F$61,$D$6:$AS$6,$D$7:$AS$48))</f>
        <v>869124.76538268302</v>
      </c>
      <c r="G80" cm="1">
        <f t="array" ref="G80">_xlfn.XLOOKUP($C80,$C$7:$C$48,_xlfn.XLOOKUP(G$61,$D$6:$AS$6,$D$7:$AS$48))</f>
        <v>145408.002156292</v>
      </c>
      <c r="H80" cm="1">
        <f t="array" ref="H80">_xlfn.XLOOKUP($C80,$C$7:$C$48,_xlfn.XLOOKUP(H$61,$D$6:$AS$6,$D$7:$AS$48))</f>
        <v>375468.67917023</v>
      </c>
      <c r="I80" cm="1">
        <f t="array" ref="I80">_xlfn.XLOOKUP($C80,$C$7:$C$48,_xlfn.XLOOKUP(I$61,$D$6:$AS$6,$D$7:$AS$48))</f>
        <v>747037.24195235805</v>
      </c>
      <c r="J80" cm="1">
        <f t="array" ref="J80">_xlfn.XLOOKUP($C80,$C$7:$C$48,_xlfn.XLOOKUP(J$61,$D$6:$AS$6,$D$7:$AS$48))</f>
        <v>409009.19244003698</v>
      </c>
      <c r="K80" cm="1">
        <f t="array" ref="K80">_xlfn.XLOOKUP($C80,$C$7:$C$48,_xlfn.XLOOKUP(K$61,$D$6:$AS$6,$D$7:$AS$48))</f>
        <v>114685.419699634</v>
      </c>
      <c r="L80" cm="1">
        <f t="array" ref="L80">_xlfn.XLOOKUP($C80,$C$7:$C$48,_xlfn.XLOOKUP(L$61,$D$6:$AS$6,$D$7:$AS$48))</f>
        <v>3374013.3855403601</v>
      </c>
      <c r="M80" cm="1">
        <f t="array" ref="M80">_xlfn.XLOOKUP($C80,$C$7:$C$48,_xlfn.XLOOKUP(M$61,$D$6:$AS$6,$D$7:$AS$48))</f>
        <v>1119303.6177410099</v>
      </c>
      <c r="N80" cm="1">
        <f t="array" ref="N80">_xlfn.XLOOKUP($C80,$C$7:$C$48,_xlfn.XLOOKUP(N$61,$D$6:$AS$6,$D$7:$AS$48))</f>
        <v>1074059.68590883</v>
      </c>
      <c r="O80" cm="1">
        <f t="array" ref="O80">_xlfn.XLOOKUP($C80,$C$7:$C$48,_xlfn.XLOOKUP(O$61,$D$6:$AS$6,$D$7:$AS$48))</f>
        <v>481071.44129976898</v>
      </c>
      <c r="P80" cm="1">
        <f t="array" ref="P80">_xlfn.XLOOKUP($C80,$C$7:$C$48,_xlfn.XLOOKUP(P$61,$D$6:$AS$6,$D$7:$AS$48))</f>
        <v>1201955.6937511</v>
      </c>
      <c r="Q80" cm="1">
        <f t="array" ref="Q80">_xlfn.XLOOKUP($C80,$C$7:$C$48,_xlfn.XLOOKUP(Q$61,$D$6:$AS$6,$D$7:$AS$48))</f>
        <v>27022920.555623099</v>
      </c>
      <c r="R80" cm="1">
        <f t="array" ref="R80">_xlfn.XLOOKUP($C80,$C$7:$C$48,_xlfn.XLOOKUP(R$61,$D$6:$AS$6,$D$7:$AS$48))</f>
        <v>1208113.1755727599</v>
      </c>
      <c r="S80" cm="1">
        <f t="array" ref="S80">_xlfn.XLOOKUP($C80,$C$7:$C$48,_xlfn.XLOOKUP(S$61,$D$6:$AS$6,$D$7:$AS$48))</f>
        <v>932509.34751355695</v>
      </c>
      <c r="T80" cm="1">
        <f t="array" ref="T80">_xlfn.XLOOKUP($C80,$C$7:$C$48,_xlfn.XLOOKUP(T$61,$D$6:$AS$6,$D$7:$AS$48))</f>
        <v>157946.37516031301</v>
      </c>
      <c r="U80" cm="1">
        <f t="array" ref="U80">_xlfn.XLOOKUP($C80,$C$7:$C$48,_xlfn.XLOOKUP(U$61,$D$6:$AS$6,$D$7:$AS$48))</f>
        <v>965077.73084339395</v>
      </c>
      <c r="V80" cm="1">
        <f t="array" ref="V80">_xlfn.XLOOKUP($C80,$C$7:$C$48,_xlfn.XLOOKUP(V$61,$D$6:$AS$6,$D$7:$AS$48))</f>
        <v>603819523.000826</v>
      </c>
      <c r="W80" cm="1">
        <f t="array" ref="W80">_xlfn.XLOOKUP($C80,$C$7:$C$48,_xlfn.XLOOKUP(W$61,$D$6:$AS$6,$D$7:$AS$48))</f>
        <v>53832828.6339688</v>
      </c>
      <c r="X80" cm="1">
        <f t="array" ref="X80">_xlfn.XLOOKUP($C80,$C$7:$C$48,_xlfn.XLOOKUP(X$61,$D$6:$AS$6,$D$7:$AS$48))</f>
        <v>25381587.3322048</v>
      </c>
      <c r="Y80" cm="1">
        <f t="array" ref="Y80">_xlfn.XLOOKUP($C80,$C$7:$C$48,_xlfn.XLOOKUP(Y$61,$D$6:$AS$6,$D$7:$AS$48))</f>
        <v>16792407.243783802</v>
      </c>
      <c r="Z80" cm="1">
        <f t="array" ref="Z80">_xlfn.XLOOKUP($C80,$C$7:$C$48,_xlfn.XLOOKUP(Z$61,$D$6:$AS$6,$D$7:$AS$48))</f>
        <v>8374607.9499963196</v>
      </c>
      <c r="AA80" cm="1">
        <f t="array" ref="AA80">_xlfn.XLOOKUP($C80,$C$7:$C$48,_xlfn.XLOOKUP(AA$61,$D$6:$AS$6,$D$7:$AS$48))</f>
        <v>2302751.1303630099</v>
      </c>
      <c r="AB80" cm="1">
        <f t="array" ref="AB80">_xlfn.XLOOKUP($C80,$C$7:$C$48,_xlfn.XLOOKUP(AB$61,$D$6:$AS$6,$D$7:$AS$48))</f>
        <v>17376246.384032998</v>
      </c>
      <c r="AC80" cm="1">
        <f t="array" ref="AC80">_xlfn.XLOOKUP($C80,$C$7:$C$48,_xlfn.XLOOKUP(AC$61,$D$6:$AS$6,$D$7:$AS$48))</f>
        <v>181125.68877307299</v>
      </c>
      <c r="AD80" cm="1">
        <f t="array" ref="AD80">_xlfn.XLOOKUP($C80,$C$7:$C$48,_xlfn.XLOOKUP(AD$61,$D$6:$AS$6,$D$7:$AS$48))</f>
        <v>131744.26850608201</v>
      </c>
      <c r="AE80" cm="1">
        <f t="array" ref="AE80">_xlfn.XLOOKUP($C80,$C$7:$C$48,_xlfn.XLOOKUP(AE$61,$D$6:$AS$6,$D$7:$AS$48))</f>
        <v>13384228.346578401</v>
      </c>
      <c r="AF80" cm="1">
        <f t="array" ref="AF80">_xlfn.XLOOKUP($C80,$C$7:$C$48,_xlfn.XLOOKUP(AF$61,$D$6:$AS$6,$D$7:$AS$48))</f>
        <v>8333877.7981027002</v>
      </c>
      <c r="AG80" cm="1">
        <f t="array" ref="AG80">_xlfn.XLOOKUP($C80,$C$7:$C$48,_xlfn.XLOOKUP(AG$61,$D$6:$AS$6,$D$7:$AS$48))</f>
        <v>6813502.5938912099</v>
      </c>
      <c r="AH80" cm="1">
        <f t="array" ref="AH80">_xlfn.XLOOKUP($C80,$C$7:$C$48,_xlfn.XLOOKUP(AH$61,$D$6:$AS$6,$D$7:$AS$48))</f>
        <v>1176063.9398599199</v>
      </c>
      <c r="AI80" cm="1">
        <f t="array" ref="AI80">_xlfn.XLOOKUP($C80,$C$7:$C$48,_xlfn.XLOOKUP(AI$61,$D$6:$AS$6,$D$7:$AS$48))</f>
        <v>56611169.591117397</v>
      </c>
      <c r="AJ80" cm="1">
        <f t="array" ref="AJ80">_xlfn.XLOOKUP($C80,$C$7:$C$48,_xlfn.XLOOKUP(AJ$61,$D$6:$AS$6,$D$7:$AS$48))</f>
        <v>22296948.636496801</v>
      </c>
      <c r="AK80" cm="1">
        <f t="array" ref="AK80">_xlfn.XLOOKUP($C80,$C$7:$C$48,_xlfn.XLOOKUP(AK$61,$D$6:$AS$6,$D$7:$AS$48))</f>
        <v>16278535.2568956</v>
      </c>
      <c r="AL80" cm="1">
        <f t="array" ref="AL80">_xlfn.XLOOKUP($C80,$C$7:$C$48,_xlfn.XLOOKUP(AL$61,$D$6:$AS$6,$D$7:$AS$48))</f>
        <v>1165549.52734219</v>
      </c>
      <c r="AM80" cm="1">
        <f t="array" ref="AM80">_xlfn.XLOOKUP($C80,$C$7:$C$48,_xlfn.XLOOKUP(AM$61,$D$6:$AS$6,$D$7:$AS$48))</f>
        <v>447000.472689652</v>
      </c>
      <c r="AN80" cm="1">
        <f t="array" ref="AN80">_xlfn.XLOOKUP($C80,$C$7:$C$48,_xlfn.XLOOKUP(AN$61,$D$6:$AS$6,$D$7:$AS$48))</f>
        <v>48000174.052217603</v>
      </c>
      <c r="AO80" cm="1">
        <f t="array" ref="AO80">_xlfn.XLOOKUP($C80,$C$7:$C$48,_xlfn.XLOOKUP(AO$61,$D$6:$AS$6,$D$7:$AS$48))</f>
        <v>6557094.8933862802</v>
      </c>
      <c r="AP80" cm="1">
        <f t="array" ref="AP80">_xlfn.XLOOKUP($C80,$C$7:$C$48,_xlfn.XLOOKUP(AP$61,$D$6:$AS$6,$D$7:$AS$48))</f>
        <v>5849192.9874777598</v>
      </c>
      <c r="AQ80" cm="1">
        <f t="array" ref="AQ80">_xlfn.XLOOKUP($C80,$C$7:$C$48,_xlfn.XLOOKUP(AQ$61,$D$6:$AS$6,$D$7:$AS$48))</f>
        <v>1202627.02425139</v>
      </c>
      <c r="AR80" cm="1">
        <f t="array" ref="AR80">_xlfn.XLOOKUP($C80,$C$7:$C$48,_xlfn.XLOOKUP(AR$61,$D$6:$AS$6,$D$7:$AS$48))</f>
        <v>1117205.07324635</v>
      </c>
      <c r="AS80" cm="1">
        <f t="array" ref="AS80">_xlfn.XLOOKUP($C80,$C$7:$C$48,_xlfn.XLOOKUP(AS$61,$D$6:$AS$6,$D$7:$AS$48))</f>
        <v>12802603.0218603</v>
      </c>
      <c r="AT80">
        <f t="shared" si="3"/>
        <v>971003963.26124597</v>
      </c>
      <c r="AU80" cm="1">
        <f t="array" ref="AU80">_xlfn.XLOOKUP(AU$60,$AU$6:$BF$6,_xlfn.XLOOKUP($C80,$C$7:$C$48,$AU$7:$BF$48))</f>
        <v>15240055.9404142</v>
      </c>
      <c r="AV80" cm="1">
        <f t="array" ref="AV80">_xlfn.XLOOKUP(AV$60,$AU$6:$BF$6,_xlfn.XLOOKUP($C80,$C$7:$C$48,$AU$7:$BF$48))</f>
        <v>51826486.888728797</v>
      </c>
      <c r="AW80" cm="1">
        <f t="array" ref="AW80">_xlfn.XLOOKUP(AW$60,$AU$6:$BF$6,_xlfn.XLOOKUP($C80,$C$7:$C$48,$AU$7:$BF$48))</f>
        <v>67066542.829143099</v>
      </c>
      <c r="AX80" cm="1">
        <f t="array" ref="AX80">_xlfn.XLOOKUP(AX$60,$AU$6:$BF$6,_xlfn.XLOOKUP($C80,$C$7:$C$48,$AU$7:$BF$48))</f>
        <v>0</v>
      </c>
      <c r="AY80" cm="1">
        <f t="array" ref="AY80">_xlfn.XLOOKUP(AY$60,$AU$6:$BF$6,_xlfn.XLOOKUP($C80,$C$7:$C$48,$AU$7:$BF$48))</f>
        <v>67066542.829143099</v>
      </c>
      <c r="AZ80" cm="1">
        <f t="array" ref="AZ80">_xlfn.XLOOKUP(AZ$60,$AU$6:$BF$6,_xlfn.XLOOKUP($C80,$C$7:$C$48,$AU$7:$BF$48))</f>
        <v>107099836.458124</v>
      </c>
      <c r="BA80" cm="1">
        <f t="array" ref="BA80">_xlfn.XLOOKUP(BA$60,$AU$6:$BF$6,_xlfn.XLOOKUP($C80,$C$7:$C$48,$AU$7:$BF$48))</f>
        <v>6140154.9455792503</v>
      </c>
      <c r="BB80" cm="1">
        <f t="array" ref="BB80">_xlfn.XLOOKUP(BB$60,$AU$6:$BF$6,_xlfn.XLOOKUP($C80,$C$7:$C$48,$AU$7:$BF$48))</f>
        <v>113239991.403703</v>
      </c>
      <c r="BC80" cm="1">
        <f t="array" ref="BC80">_xlfn.XLOOKUP(BC$60,$AU$6:$BF$6,_xlfn.XLOOKUP($C80,$C$7:$C$48,$AU$7:$BF$48))</f>
        <v>439367334.97759402</v>
      </c>
      <c r="BD80" cm="1">
        <f t="array" ref="BD80">_xlfn.XLOOKUP(BD$60,$AU$6:$BF$6,_xlfn.XLOOKUP($C80,$C$7:$C$48,$AU$7:$BF$48))</f>
        <v>619673869.21044004</v>
      </c>
      <c r="BE80" cm="1">
        <f t="array" ref="BE80">_xlfn.XLOOKUP(BE$60,$AU$6:$BF$6,_xlfn.XLOOKUP($C80,$C$7:$C$48,$AU$7:$BF$48))</f>
        <v>402155880.98906702</v>
      </c>
      <c r="BF80" cm="1">
        <f t="array" ref="BF80">_xlfn.XLOOKUP(BF$60,$AU$6:$BF$6,_xlfn.XLOOKUP($C80,$C$7:$C$48,$AU$7:$BF$48))</f>
        <v>1188521951.48262</v>
      </c>
      <c r="BH80">
        <f t="shared" si="2"/>
        <v>1151310497.494092</v>
      </c>
      <c r="BJ80">
        <f t="shared" si="4"/>
        <v>0.34930271361582083</v>
      </c>
    </row>
    <row r="81" spans="3:62" x14ac:dyDescent="0.25">
      <c r="C81" s="36" t="s">
        <v>91</v>
      </c>
      <c r="D81" cm="1">
        <f t="array" ref="D81">_xlfn.XLOOKUP($C81,$C$7:$C$48,_xlfn.XLOOKUP(D$61,$D$6:$AS$6,$D$7:$AS$48))</f>
        <v>197717.41518768799</v>
      </c>
      <c r="E81" cm="1">
        <f t="array" ref="E81">_xlfn.XLOOKUP($C81,$C$7:$C$48,_xlfn.XLOOKUP(E$61,$D$6:$AS$6,$D$7:$AS$48))</f>
        <v>881627.77806250704</v>
      </c>
      <c r="F81" cm="1">
        <f t="array" ref="F81">_xlfn.XLOOKUP($C81,$C$7:$C$48,_xlfn.XLOOKUP(F$61,$D$6:$AS$6,$D$7:$AS$48))</f>
        <v>103121.478636574</v>
      </c>
      <c r="G81" cm="1">
        <f t="array" ref="G81">_xlfn.XLOOKUP($C81,$C$7:$C$48,_xlfn.XLOOKUP(G$61,$D$6:$AS$6,$D$7:$AS$48))</f>
        <v>981292.41104552196</v>
      </c>
      <c r="H81" cm="1">
        <f t="array" ref="H81">_xlfn.XLOOKUP($C81,$C$7:$C$48,_xlfn.XLOOKUP(H$61,$D$6:$AS$6,$D$7:$AS$48))</f>
        <v>106644.456891027</v>
      </c>
      <c r="I81" cm="1">
        <f t="array" ref="I81">_xlfn.XLOOKUP($C81,$C$7:$C$48,_xlfn.XLOOKUP(I$61,$D$6:$AS$6,$D$7:$AS$48))</f>
        <v>653308.46934062603</v>
      </c>
      <c r="J81" cm="1">
        <f t="array" ref="J81">_xlfn.XLOOKUP($C81,$C$7:$C$48,_xlfn.XLOOKUP(J$61,$D$6:$AS$6,$D$7:$AS$48))</f>
        <v>495172.500311499</v>
      </c>
      <c r="K81" cm="1">
        <f t="array" ref="K81">_xlfn.XLOOKUP($C81,$C$7:$C$48,_xlfn.XLOOKUP(K$61,$D$6:$AS$6,$D$7:$AS$48))</f>
        <v>286554.20689321798</v>
      </c>
      <c r="L81" cm="1">
        <f t="array" ref="L81">_xlfn.XLOOKUP($C81,$C$7:$C$48,_xlfn.XLOOKUP(L$61,$D$6:$AS$6,$D$7:$AS$48))</f>
        <v>1752872.2545674001</v>
      </c>
      <c r="M81" cm="1">
        <f t="array" ref="M81">_xlfn.XLOOKUP($C81,$C$7:$C$48,_xlfn.XLOOKUP(M$61,$D$6:$AS$6,$D$7:$AS$48))</f>
        <v>180840.089195095</v>
      </c>
      <c r="N81" cm="1">
        <f t="array" ref="N81">_xlfn.XLOOKUP($C81,$C$7:$C$48,_xlfn.XLOOKUP(N$61,$D$6:$AS$6,$D$7:$AS$48))</f>
        <v>822089.17390728102</v>
      </c>
      <c r="O81" cm="1">
        <f t="array" ref="O81">_xlfn.XLOOKUP($C81,$C$7:$C$48,_xlfn.XLOOKUP(O$61,$D$6:$AS$6,$D$7:$AS$48))</f>
        <v>125439.831913432</v>
      </c>
      <c r="P81" cm="1">
        <f t="array" ref="P81">_xlfn.XLOOKUP($C81,$C$7:$C$48,_xlfn.XLOOKUP(P$61,$D$6:$AS$6,$D$7:$AS$48))</f>
        <v>1149003.59757298</v>
      </c>
      <c r="Q81" cm="1">
        <f t="array" ref="Q81">_xlfn.XLOOKUP($C81,$C$7:$C$48,_xlfn.XLOOKUP(Q$61,$D$6:$AS$6,$D$7:$AS$48))</f>
        <v>17420251.047840498</v>
      </c>
      <c r="R81" cm="1">
        <f t="array" ref="R81">_xlfn.XLOOKUP($C81,$C$7:$C$48,_xlfn.XLOOKUP(R$61,$D$6:$AS$6,$D$7:$AS$48))</f>
        <v>1447646.24429034</v>
      </c>
      <c r="S81" cm="1">
        <f t="array" ref="S81">_xlfn.XLOOKUP($C81,$C$7:$C$48,_xlfn.XLOOKUP(S$61,$D$6:$AS$6,$D$7:$AS$48))</f>
        <v>565778.76574593596</v>
      </c>
      <c r="T81" cm="1">
        <f t="array" ref="T81">_xlfn.XLOOKUP($C81,$C$7:$C$48,_xlfn.XLOOKUP(T$61,$D$6:$AS$6,$D$7:$AS$48))</f>
        <v>269475.60754760302</v>
      </c>
      <c r="U81" cm="1">
        <f t="array" ref="U81">_xlfn.XLOOKUP($C81,$C$7:$C$48,_xlfn.XLOOKUP(U$61,$D$6:$AS$6,$D$7:$AS$48))</f>
        <v>1218352.28813117</v>
      </c>
      <c r="V81" cm="1">
        <f t="array" ref="V81">_xlfn.XLOOKUP($C81,$C$7:$C$48,_xlfn.XLOOKUP(V$61,$D$6:$AS$6,$D$7:$AS$48))</f>
        <v>56751423.251501299</v>
      </c>
      <c r="W81" cm="1">
        <f t="array" ref="W81">_xlfn.XLOOKUP($C81,$C$7:$C$48,_xlfn.XLOOKUP(W$61,$D$6:$AS$6,$D$7:$AS$48))</f>
        <v>117461126.23187301</v>
      </c>
      <c r="X81" cm="1">
        <f t="array" ref="X81">_xlfn.XLOOKUP($C81,$C$7:$C$48,_xlfn.XLOOKUP(X$61,$D$6:$AS$6,$D$7:$AS$48))</f>
        <v>30663801.736531898</v>
      </c>
      <c r="Y81" cm="1">
        <f t="array" ref="Y81">_xlfn.XLOOKUP($C81,$C$7:$C$48,_xlfn.XLOOKUP(Y$61,$D$6:$AS$6,$D$7:$AS$48))</f>
        <v>16970910.7034714</v>
      </c>
      <c r="Z81" cm="1">
        <f t="array" ref="Z81">_xlfn.XLOOKUP($C81,$C$7:$C$48,_xlfn.XLOOKUP(Z$61,$D$6:$AS$6,$D$7:$AS$48))</f>
        <v>16325888.3708768</v>
      </c>
      <c r="AA81" cm="1">
        <f t="array" ref="AA81">_xlfn.XLOOKUP($C81,$C$7:$C$48,_xlfn.XLOOKUP(AA$61,$D$6:$AS$6,$D$7:$AS$48))</f>
        <v>2060373.1156653999</v>
      </c>
      <c r="AB81" cm="1">
        <f t="array" ref="AB81">_xlfn.XLOOKUP($C81,$C$7:$C$48,_xlfn.XLOOKUP(AB$61,$D$6:$AS$6,$D$7:$AS$48))</f>
        <v>42504095.549183898</v>
      </c>
      <c r="AC81" cm="1">
        <f t="array" ref="AC81">_xlfn.XLOOKUP($C81,$C$7:$C$48,_xlfn.XLOOKUP(AC$61,$D$6:$AS$6,$D$7:$AS$48))</f>
        <v>79167.884545307403</v>
      </c>
      <c r="AD81" cm="1">
        <f t="array" ref="AD81">_xlfn.XLOOKUP($C81,$C$7:$C$48,_xlfn.XLOOKUP(AD$61,$D$6:$AS$6,$D$7:$AS$48))</f>
        <v>81672.392538750602</v>
      </c>
      <c r="AE81" cm="1">
        <f t="array" ref="AE81">_xlfn.XLOOKUP($C81,$C$7:$C$48,_xlfn.XLOOKUP(AE$61,$D$6:$AS$6,$D$7:$AS$48))</f>
        <v>93400845.831815302</v>
      </c>
      <c r="AF81" cm="1">
        <f t="array" ref="AF81">_xlfn.XLOOKUP($C81,$C$7:$C$48,_xlfn.XLOOKUP(AF$61,$D$6:$AS$6,$D$7:$AS$48))</f>
        <v>14542910.593776001</v>
      </c>
      <c r="AG81" cm="1">
        <f t="array" ref="AG81">_xlfn.XLOOKUP($C81,$C$7:$C$48,_xlfn.XLOOKUP(AG$61,$D$6:$AS$6,$D$7:$AS$48))</f>
        <v>5206775.2229577499</v>
      </c>
      <c r="AH81" cm="1">
        <f t="array" ref="AH81">_xlfn.XLOOKUP($C81,$C$7:$C$48,_xlfn.XLOOKUP(AH$61,$D$6:$AS$6,$D$7:$AS$48))</f>
        <v>522242.572353372</v>
      </c>
      <c r="AI81" cm="1">
        <f t="array" ref="AI81">_xlfn.XLOOKUP($C81,$C$7:$C$48,_xlfn.XLOOKUP(AI$61,$D$6:$AS$6,$D$7:$AS$48))</f>
        <v>10616440.492946099</v>
      </c>
      <c r="AJ81" cm="1">
        <f t="array" ref="AJ81">_xlfn.XLOOKUP($C81,$C$7:$C$48,_xlfn.XLOOKUP(AJ$61,$D$6:$AS$6,$D$7:$AS$48))</f>
        <v>12746420.9702527</v>
      </c>
      <c r="AK81" cm="1">
        <f t="array" ref="AK81">_xlfn.XLOOKUP($C81,$C$7:$C$48,_xlfn.XLOOKUP(AK$61,$D$6:$AS$6,$D$7:$AS$48))</f>
        <v>7320572.0469589699</v>
      </c>
      <c r="AL81" cm="1">
        <f t="array" ref="AL81">_xlfn.XLOOKUP($C81,$C$7:$C$48,_xlfn.XLOOKUP(AL$61,$D$6:$AS$6,$D$7:$AS$48))</f>
        <v>110440.953008636</v>
      </c>
      <c r="AM81" cm="1">
        <f t="array" ref="AM81">_xlfn.XLOOKUP($C81,$C$7:$C$48,_xlfn.XLOOKUP(AM$61,$D$6:$AS$6,$D$7:$AS$48))</f>
        <v>58084.791495129102</v>
      </c>
      <c r="AN81" cm="1">
        <f t="array" ref="AN81">_xlfn.XLOOKUP($C81,$C$7:$C$48,_xlfn.XLOOKUP(AN$61,$D$6:$AS$6,$D$7:$AS$48))</f>
        <v>9868972.9432907794</v>
      </c>
      <c r="AO81" cm="1">
        <f t="array" ref="AO81">_xlfn.XLOOKUP($C81,$C$7:$C$48,_xlfn.XLOOKUP(AO$61,$D$6:$AS$6,$D$7:$AS$48))</f>
        <v>3268322.84521895</v>
      </c>
      <c r="AP81" cm="1">
        <f t="array" ref="AP81">_xlfn.XLOOKUP($C81,$C$7:$C$48,_xlfn.XLOOKUP(AP$61,$D$6:$AS$6,$D$7:$AS$48))</f>
        <v>94102.024412990198</v>
      </c>
      <c r="AQ81" cm="1">
        <f t="array" ref="AQ81">_xlfn.XLOOKUP($C81,$C$7:$C$48,_xlfn.XLOOKUP(AQ$61,$D$6:$AS$6,$D$7:$AS$48))</f>
        <v>481029.797254609</v>
      </c>
      <c r="AR81" cm="1">
        <f t="array" ref="AR81">_xlfn.XLOOKUP($C81,$C$7:$C$48,_xlfn.XLOOKUP(AR$61,$D$6:$AS$6,$D$7:$AS$48))</f>
        <v>104873.43936141999</v>
      </c>
      <c r="AS81" cm="1">
        <f t="array" ref="AS81">_xlfn.XLOOKUP($C81,$C$7:$C$48,_xlfn.XLOOKUP(AS$61,$D$6:$AS$6,$D$7:$AS$48))</f>
        <v>3254772.8784903199</v>
      </c>
      <c r="AT81">
        <f t="shared" si="3"/>
        <v>472865900.04996902</v>
      </c>
      <c r="AU81" cm="1">
        <f t="array" ref="AU81">_xlfn.XLOOKUP(AU$60,$AU$6:$BF$6,_xlfn.XLOOKUP($C81,$C$7:$C$48,$AU$7:$BF$48))</f>
        <v>10878967.9395498</v>
      </c>
      <c r="AV81" cm="1">
        <f t="array" ref="AV81">_xlfn.XLOOKUP(AV$60,$AU$6:$BF$6,_xlfn.XLOOKUP($C81,$C$7:$C$48,$AU$7:$BF$48))</f>
        <v>29242602.743562698</v>
      </c>
      <c r="AW81" cm="1">
        <f t="array" ref="AW81">_xlfn.XLOOKUP(AW$60,$AU$6:$BF$6,_xlfn.XLOOKUP($C81,$C$7:$C$48,$AU$7:$BF$48))</f>
        <v>40121570.683112599</v>
      </c>
      <c r="AX81" cm="1">
        <f t="array" ref="AX81">_xlfn.XLOOKUP(AX$60,$AU$6:$BF$6,_xlfn.XLOOKUP($C81,$C$7:$C$48,$AU$7:$BF$48))</f>
        <v>0</v>
      </c>
      <c r="AY81" cm="1">
        <f t="array" ref="AY81">_xlfn.XLOOKUP(AY$60,$AU$6:$BF$6,_xlfn.XLOOKUP($C81,$C$7:$C$48,$AU$7:$BF$48))</f>
        <v>40121570.683112599</v>
      </c>
      <c r="AZ81" cm="1">
        <f t="array" ref="AZ81">_xlfn.XLOOKUP(AZ$60,$AU$6:$BF$6,_xlfn.XLOOKUP($C81,$C$7:$C$48,$AU$7:$BF$48))</f>
        <v>63813745.932882003</v>
      </c>
      <c r="BA81" cm="1">
        <f t="array" ref="BA81">_xlfn.XLOOKUP(BA$60,$AU$6:$BF$6,_xlfn.XLOOKUP($C81,$C$7:$C$48,$AU$7:$BF$48))</f>
        <v>752723.18437021005</v>
      </c>
      <c r="BB81" cm="1">
        <f t="array" ref="BB81">_xlfn.XLOOKUP(BB$60,$AU$6:$BF$6,_xlfn.XLOOKUP($C81,$C$7:$C$48,$AU$7:$BF$48))</f>
        <v>64566469.117252298</v>
      </c>
      <c r="BC81" cm="1">
        <f t="array" ref="BC81">_xlfn.XLOOKUP(BC$60,$AU$6:$BF$6,_xlfn.XLOOKUP($C81,$C$7:$C$48,$AU$7:$BF$48))</f>
        <v>170548525.74938399</v>
      </c>
      <c r="BD81" cm="1">
        <f t="array" ref="BD81">_xlfn.XLOOKUP(BD$60,$AU$6:$BF$6,_xlfn.XLOOKUP($C81,$C$7:$C$48,$AU$7:$BF$48))</f>
        <v>275236565.549748</v>
      </c>
      <c r="BE81" cm="1">
        <f t="array" ref="BE81">_xlfn.XLOOKUP(BE$60,$AU$6:$BF$6,_xlfn.XLOOKUP($C81,$C$7:$C$48,$AU$7:$BF$48))</f>
        <v>50436211.012560003</v>
      </c>
      <c r="BF81" cm="1">
        <f t="array" ref="BF81">_xlfn.XLOOKUP(BF$60,$AU$6:$BF$6,_xlfn.XLOOKUP($C81,$C$7:$C$48,$AU$7:$BF$48))</f>
        <v>697666254.58715796</v>
      </c>
      <c r="BH81">
        <f t="shared" si="2"/>
        <v>577553939.85033393</v>
      </c>
      <c r="BJ81">
        <f t="shared" si="4"/>
        <v>8.7327273753218498E-2</v>
      </c>
    </row>
    <row r="82" spans="3:62" x14ac:dyDescent="0.25">
      <c r="C82" s="36" t="s">
        <v>87</v>
      </c>
      <c r="D82" cm="1">
        <f t="array" ref="D82">_xlfn.XLOOKUP($C82,$C$7:$C$48,_xlfn.XLOOKUP(D$61,$D$6:$AS$6,$D$7:$AS$48))</f>
        <v>806226.18427011406</v>
      </c>
      <c r="E82" cm="1">
        <f t="array" ref="E82">_xlfn.XLOOKUP($C82,$C$7:$C$48,_xlfn.XLOOKUP(E$61,$D$6:$AS$6,$D$7:$AS$48))</f>
        <v>2843363.00046338</v>
      </c>
      <c r="F82" cm="1">
        <f t="array" ref="F82">_xlfn.XLOOKUP($C82,$C$7:$C$48,_xlfn.XLOOKUP(F$61,$D$6:$AS$6,$D$7:$AS$48))</f>
        <v>696909.96340312297</v>
      </c>
      <c r="G82" cm="1">
        <f t="array" ref="G82">_xlfn.XLOOKUP($C82,$C$7:$C$48,_xlfn.XLOOKUP(G$61,$D$6:$AS$6,$D$7:$AS$48))</f>
        <v>2538535.2640932701</v>
      </c>
      <c r="H82" cm="1">
        <f t="array" ref="H82">_xlfn.XLOOKUP($C82,$C$7:$C$48,_xlfn.XLOOKUP(H$61,$D$6:$AS$6,$D$7:$AS$48))</f>
        <v>114281.127685603</v>
      </c>
      <c r="I82" cm="1">
        <f t="array" ref="I82">_xlfn.XLOOKUP($C82,$C$7:$C$48,_xlfn.XLOOKUP(I$61,$D$6:$AS$6,$D$7:$AS$48))</f>
        <v>1454621.35317593</v>
      </c>
      <c r="J82" cm="1">
        <f t="array" ref="J82">_xlfn.XLOOKUP($C82,$C$7:$C$48,_xlfn.XLOOKUP(J$61,$D$6:$AS$6,$D$7:$AS$48))</f>
        <v>1829431.6301696899</v>
      </c>
      <c r="K82" cm="1">
        <f t="array" ref="K82">_xlfn.XLOOKUP($C82,$C$7:$C$48,_xlfn.XLOOKUP(K$61,$D$6:$AS$6,$D$7:$AS$48))</f>
        <v>1278520.9770092999</v>
      </c>
      <c r="L82" cm="1">
        <f t="array" ref="L82">_xlfn.XLOOKUP($C82,$C$7:$C$48,_xlfn.XLOOKUP(L$61,$D$6:$AS$6,$D$7:$AS$48))</f>
        <v>2428023.7047939198</v>
      </c>
      <c r="M82" cm="1">
        <f t="array" ref="M82">_xlfn.XLOOKUP($C82,$C$7:$C$48,_xlfn.XLOOKUP(M$61,$D$6:$AS$6,$D$7:$AS$48))</f>
        <v>2442105.7796665598</v>
      </c>
      <c r="N82" cm="1">
        <f t="array" ref="N82">_xlfn.XLOOKUP($C82,$C$7:$C$48,_xlfn.XLOOKUP(N$61,$D$6:$AS$6,$D$7:$AS$48))</f>
        <v>4521088.9240815099</v>
      </c>
      <c r="O82" cm="1">
        <f t="array" ref="O82">_xlfn.XLOOKUP($C82,$C$7:$C$48,_xlfn.XLOOKUP(O$61,$D$6:$AS$6,$D$7:$AS$48))</f>
        <v>549583.609396482</v>
      </c>
      <c r="P82" cm="1">
        <f t="array" ref="P82">_xlfn.XLOOKUP($C82,$C$7:$C$48,_xlfn.XLOOKUP(P$61,$D$6:$AS$6,$D$7:$AS$48))</f>
        <v>1114986.9222331999</v>
      </c>
      <c r="Q82" cm="1">
        <f t="array" ref="Q82">_xlfn.XLOOKUP($C82,$C$7:$C$48,_xlfn.XLOOKUP(Q$61,$D$6:$AS$6,$D$7:$AS$48))</f>
        <v>35452640.1347683</v>
      </c>
      <c r="R82" cm="1">
        <f t="array" ref="R82">_xlfn.XLOOKUP($C82,$C$7:$C$48,_xlfn.XLOOKUP(R$61,$D$6:$AS$6,$D$7:$AS$48))</f>
        <v>11173708.1146356</v>
      </c>
      <c r="S82" cm="1">
        <f t="array" ref="S82">_xlfn.XLOOKUP($C82,$C$7:$C$48,_xlfn.XLOOKUP(S$61,$D$6:$AS$6,$D$7:$AS$48))</f>
        <v>7711312.9210711699</v>
      </c>
      <c r="T82" cm="1">
        <f t="array" ref="T82">_xlfn.XLOOKUP($C82,$C$7:$C$48,_xlfn.XLOOKUP(T$61,$D$6:$AS$6,$D$7:$AS$48))</f>
        <v>949139.59365227295</v>
      </c>
      <c r="U82" cm="1">
        <f t="array" ref="U82">_xlfn.XLOOKUP($C82,$C$7:$C$48,_xlfn.XLOOKUP(U$61,$D$6:$AS$6,$D$7:$AS$48))</f>
        <v>13379131.6650398</v>
      </c>
      <c r="V82" cm="1">
        <f t="array" ref="V82">_xlfn.XLOOKUP($C82,$C$7:$C$48,_xlfn.XLOOKUP(V$61,$D$6:$AS$6,$D$7:$AS$48))</f>
        <v>9038625.3852601498</v>
      </c>
      <c r="W82" cm="1">
        <f t="array" ref="W82">_xlfn.XLOOKUP($C82,$C$7:$C$48,_xlfn.XLOOKUP(W$61,$D$6:$AS$6,$D$7:$AS$48))</f>
        <v>24040251.918908302</v>
      </c>
      <c r="X82" cm="1">
        <f t="array" ref="X82">_xlfn.XLOOKUP($C82,$C$7:$C$48,_xlfn.XLOOKUP(X$61,$D$6:$AS$6,$D$7:$AS$48))</f>
        <v>113487863.806767</v>
      </c>
      <c r="Y82" cm="1">
        <f t="array" ref="Y82">_xlfn.XLOOKUP($C82,$C$7:$C$48,_xlfn.XLOOKUP(Y$61,$D$6:$AS$6,$D$7:$AS$48))</f>
        <v>25719680.581695199</v>
      </c>
      <c r="Z82" cm="1">
        <f t="array" ref="Z82">_xlfn.XLOOKUP($C82,$C$7:$C$48,_xlfn.XLOOKUP(Z$61,$D$6:$AS$6,$D$7:$AS$48))</f>
        <v>11260438.380139099</v>
      </c>
      <c r="AA82" cm="1">
        <f t="array" ref="AA82">_xlfn.XLOOKUP($C82,$C$7:$C$48,_xlfn.XLOOKUP(AA$61,$D$6:$AS$6,$D$7:$AS$48))</f>
        <v>2159487.8262955402</v>
      </c>
      <c r="AB82" cm="1">
        <f t="array" ref="AB82">_xlfn.XLOOKUP($C82,$C$7:$C$48,_xlfn.XLOOKUP(AB$61,$D$6:$AS$6,$D$7:$AS$48))</f>
        <v>2748010.6879523299</v>
      </c>
      <c r="AC82" cm="1">
        <f t="array" ref="AC82">_xlfn.XLOOKUP($C82,$C$7:$C$48,_xlfn.XLOOKUP(AC$61,$D$6:$AS$6,$D$7:$AS$48))</f>
        <v>160562.279466362</v>
      </c>
      <c r="AD82" cm="1">
        <f t="array" ref="AD82">_xlfn.XLOOKUP($C82,$C$7:$C$48,_xlfn.XLOOKUP(AD$61,$D$6:$AS$6,$D$7:$AS$48))</f>
        <v>150061.209496772</v>
      </c>
      <c r="AE82" cm="1">
        <f t="array" ref="AE82">_xlfn.XLOOKUP($C82,$C$7:$C$48,_xlfn.XLOOKUP(AE$61,$D$6:$AS$6,$D$7:$AS$48))</f>
        <v>21074962.820468999</v>
      </c>
      <c r="AF82" cm="1">
        <f t="array" ref="AF82">_xlfn.XLOOKUP($C82,$C$7:$C$48,_xlfn.XLOOKUP(AF$61,$D$6:$AS$6,$D$7:$AS$48))</f>
        <v>243034.79239735601</v>
      </c>
      <c r="AG82" cm="1">
        <f t="array" ref="AG82">_xlfn.XLOOKUP($C82,$C$7:$C$48,_xlfn.XLOOKUP(AG$61,$D$6:$AS$6,$D$7:$AS$48))</f>
        <v>10091175.5281896</v>
      </c>
      <c r="AH82" cm="1">
        <f t="array" ref="AH82">_xlfn.XLOOKUP($C82,$C$7:$C$48,_xlfn.XLOOKUP(AH$61,$D$6:$AS$6,$D$7:$AS$48))</f>
        <v>297627.994707292</v>
      </c>
      <c r="AI82" cm="1">
        <f t="array" ref="AI82">_xlfn.XLOOKUP($C82,$C$7:$C$48,_xlfn.XLOOKUP(AI$61,$D$6:$AS$6,$D$7:$AS$48))</f>
        <v>403328.36474002502</v>
      </c>
      <c r="AJ82" cm="1">
        <f t="array" ref="AJ82">_xlfn.XLOOKUP($C82,$C$7:$C$48,_xlfn.XLOOKUP(AJ$61,$D$6:$AS$6,$D$7:$AS$48))</f>
        <v>296883.48786970699</v>
      </c>
      <c r="AK82" cm="1">
        <f t="array" ref="AK82">_xlfn.XLOOKUP($C82,$C$7:$C$48,_xlfn.XLOOKUP(AK$61,$D$6:$AS$6,$D$7:$AS$48))</f>
        <v>216508.4433095</v>
      </c>
      <c r="AL82" cm="1">
        <f t="array" ref="AL82">_xlfn.XLOOKUP($C82,$C$7:$C$48,_xlfn.XLOOKUP(AL$61,$D$6:$AS$6,$D$7:$AS$48))</f>
        <v>644747.67425622803</v>
      </c>
      <c r="AM82" cm="1">
        <f t="array" ref="AM82">_xlfn.XLOOKUP($C82,$C$7:$C$48,_xlfn.XLOOKUP(AM$61,$D$6:$AS$6,$D$7:$AS$48))</f>
        <v>308267.21312674601</v>
      </c>
      <c r="AN82" cm="1">
        <f t="array" ref="AN82">_xlfn.XLOOKUP($C82,$C$7:$C$48,_xlfn.XLOOKUP(AN$61,$D$6:$AS$6,$D$7:$AS$48))</f>
        <v>721127.50449931505</v>
      </c>
      <c r="AO82" cm="1">
        <f t="array" ref="AO82">_xlfn.XLOOKUP($C82,$C$7:$C$48,_xlfn.XLOOKUP(AO$61,$D$6:$AS$6,$D$7:$AS$48))</f>
        <v>375857.54939213098</v>
      </c>
      <c r="AP82" cm="1">
        <f t="array" ref="AP82">_xlfn.XLOOKUP($C82,$C$7:$C$48,_xlfn.XLOOKUP(AP$61,$D$6:$AS$6,$D$7:$AS$48))</f>
        <v>649463.41106906906</v>
      </c>
      <c r="AQ82" cm="1">
        <f t="array" ref="AQ82">_xlfn.XLOOKUP($C82,$C$7:$C$48,_xlfn.XLOOKUP(AQ$61,$D$6:$AS$6,$D$7:$AS$48))</f>
        <v>107743.552579729</v>
      </c>
      <c r="AR82" cm="1">
        <f t="array" ref="AR82">_xlfn.XLOOKUP($C82,$C$7:$C$48,_xlfn.XLOOKUP(AR$61,$D$6:$AS$6,$D$7:$AS$48))</f>
        <v>51761.111660537899</v>
      </c>
      <c r="AS82" cm="1">
        <f t="array" ref="AS82">_xlfn.XLOOKUP($C82,$C$7:$C$48,_xlfn.XLOOKUP(AS$61,$D$6:$AS$6,$D$7:$AS$48))</f>
        <v>131078.39591309801</v>
      </c>
      <c r="AT82">
        <f t="shared" si="3"/>
        <v>314383639.81276</v>
      </c>
      <c r="AU82" cm="1">
        <f t="array" ref="AU82">_xlfn.XLOOKUP(AU$60,$AU$6:$BF$6,_xlfn.XLOOKUP($C82,$C$7:$C$48,$AU$7:$BF$48))</f>
        <v>376403.35212190199</v>
      </c>
      <c r="AV82" cm="1">
        <f t="array" ref="AV82">_xlfn.XLOOKUP(AV$60,$AU$6:$BF$6,_xlfn.XLOOKUP($C82,$C$7:$C$48,$AU$7:$BF$48))</f>
        <v>1228363.5907578301</v>
      </c>
      <c r="AW82" cm="1">
        <f t="array" ref="AW82">_xlfn.XLOOKUP(AW$60,$AU$6:$BF$6,_xlfn.XLOOKUP($C82,$C$7:$C$48,$AU$7:$BF$48))</f>
        <v>1604766.9428797399</v>
      </c>
      <c r="AX82" cm="1">
        <f t="array" ref="AX82">_xlfn.XLOOKUP(AX$60,$AU$6:$BF$6,_xlfn.XLOOKUP($C82,$C$7:$C$48,$AU$7:$BF$48))</f>
        <v>0</v>
      </c>
      <c r="AY82" cm="1">
        <f t="array" ref="AY82">_xlfn.XLOOKUP(AY$60,$AU$6:$BF$6,_xlfn.XLOOKUP($C82,$C$7:$C$48,$AU$7:$BF$48))</f>
        <v>1604766.9428797399</v>
      </c>
      <c r="AZ82" cm="1">
        <f t="array" ref="AZ82">_xlfn.XLOOKUP(AZ$60,$AU$6:$BF$6,_xlfn.XLOOKUP($C82,$C$7:$C$48,$AU$7:$BF$48))</f>
        <v>170362145.94569999</v>
      </c>
      <c r="BA82" cm="1">
        <f t="array" ref="BA82">_xlfn.XLOOKUP(BA$60,$AU$6:$BF$6,_xlfn.XLOOKUP($C82,$C$7:$C$48,$AU$7:$BF$48))</f>
        <v>9413554.5502387397</v>
      </c>
      <c r="BB82" cm="1">
        <f t="array" ref="BB82">_xlfn.XLOOKUP(BB$60,$AU$6:$BF$6,_xlfn.XLOOKUP($C82,$C$7:$C$48,$AU$7:$BF$48))</f>
        <v>179775700.495938</v>
      </c>
      <c r="BC82" cm="1">
        <f t="array" ref="BC82">_xlfn.XLOOKUP(BC$60,$AU$6:$BF$6,_xlfn.XLOOKUP($C82,$C$7:$C$48,$AU$7:$BF$48))</f>
        <v>92569318.362554893</v>
      </c>
      <c r="BD82" cm="1">
        <f t="array" ref="BD82">_xlfn.XLOOKUP(BD$60,$AU$6:$BF$6,_xlfn.XLOOKUP($C82,$C$7:$C$48,$AU$7:$BF$48))</f>
        <v>273949785.801373</v>
      </c>
      <c r="BE82" cm="1">
        <f t="array" ref="BE82">_xlfn.XLOOKUP(BE$60,$AU$6:$BF$6,_xlfn.XLOOKUP($C82,$C$7:$C$48,$AU$7:$BF$48))</f>
        <v>55422439.185358502</v>
      </c>
      <c r="BF82" cm="1">
        <f t="array" ref="BF82">_xlfn.XLOOKUP(BF$60,$AU$6:$BF$6,_xlfn.XLOOKUP($C82,$C$7:$C$48,$AU$7:$BF$48))</f>
        <v>532910986.428774</v>
      </c>
      <c r="BH82">
        <f t="shared" si="2"/>
        <v>495764107.25157773</v>
      </c>
      <c r="BJ82">
        <f t="shared" si="4"/>
        <v>0.11179195584087361</v>
      </c>
    </row>
    <row r="83" spans="3:62" x14ac:dyDescent="0.25">
      <c r="C83" s="36" t="s">
        <v>89</v>
      </c>
      <c r="D83" cm="1">
        <f t="array" ref="D83">_xlfn.XLOOKUP($C83,$C$7:$C$48,_xlfn.XLOOKUP(D$61,$D$6:$AS$6,$D$7:$AS$48))</f>
        <v>1408919.4717485199</v>
      </c>
      <c r="E83" cm="1">
        <f t="array" ref="E83">_xlfn.XLOOKUP($C83,$C$7:$C$48,_xlfn.XLOOKUP(E$61,$D$6:$AS$6,$D$7:$AS$48))</f>
        <v>198746.70320897701</v>
      </c>
      <c r="F83" cm="1">
        <f t="array" ref="F83">_xlfn.XLOOKUP($C83,$C$7:$C$48,_xlfn.XLOOKUP(F$61,$D$6:$AS$6,$D$7:$AS$48))</f>
        <v>17829.499566618098</v>
      </c>
      <c r="G83" cm="1">
        <f t="array" ref="G83">_xlfn.XLOOKUP($C83,$C$7:$C$48,_xlfn.XLOOKUP(G$61,$D$6:$AS$6,$D$7:$AS$48))</f>
        <v>1022626.22236667</v>
      </c>
      <c r="H83" cm="1">
        <f t="array" ref="H83">_xlfn.XLOOKUP($C83,$C$7:$C$48,_xlfn.XLOOKUP(H$61,$D$6:$AS$6,$D$7:$AS$48))</f>
        <v>150879.72892678401</v>
      </c>
      <c r="I83" cm="1">
        <f t="array" ref="I83">_xlfn.XLOOKUP($C83,$C$7:$C$48,_xlfn.XLOOKUP(I$61,$D$6:$AS$6,$D$7:$AS$48))</f>
        <v>174622.0626038</v>
      </c>
      <c r="J83" cm="1">
        <f t="array" ref="J83">_xlfn.XLOOKUP($C83,$C$7:$C$48,_xlfn.XLOOKUP(J$61,$D$6:$AS$6,$D$7:$AS$48))</f>
        <v>253639.82760961601</v>
      </c>
      <c r="K83" cm="1">
        <f t="array" ref="K83">_xlfn.XLOOKUP($C83,$C$7:$C$48,_xlfn.XLOOKUP(K$61,$D$6:$AS$6,$D$7:$AS$48))</f>
        <v>118989.438174631</v>
      </c>
      <c r="L83" cm="1">
        <f t="array" ref="L83">_xlfn.XLOOKUP($C83,$C$7:$C$48,_xlfn.XLOOKUP(L$61,$D$6:$AS$6,$D$7:$AS$48))</f>
        <v>309975.01103406999</v>
      </c>
      <c r="M83" cm="1">
        <f t="array" ref="M83">_xlfn.XLOOKUP($C83,$C$7:$C$48,_xlfn.XLOOKUP(M$61,$D$6:$AS$6,$D$7:$AS$48))</f>
        <v>11160.7151198479</v>
      </c>
      <c r="N83" cm="1">
        <f t="array" ref="N83">_xlfn.XLOOKUP($C83,$C$7:$C$48,_xlfn.XLOOKUP(N$61,$D$6:$AS$6,$D$7:$AS$48))</f>
        <v>366530.84219789697</v>
      </c>
      <c r="O83" cm="1">
        <f t="array" ref="O83">_xlfn.XLOOKUP($C83,$C$7:$C$48,_xlfn.XLOOKUP(O$61,$D$6:$AS$6,$D$7:$AS$48))</f>
        <v>35280.411469775303</v>
      </c>
      <c r="P83" cm="1">
        <f t="array" ref="P83">_xlfn.XLOOKUP($C83,$C$7:$C$48,_xlfn.XLOOKUP(P$61,$D$6:$AS$6,$D$7:$AS$48))</f>
        <v>161696.96047242501</v>
      </c>
      <c r="Q83" cm="1">
        <f t="array" ref="Q83">_xlfn.XLOOKUP($C83,$C$7:$C$48,_xlfn.XLOOKUP(Q$61,$D$6:$AS$6,$D$7:$AS$48))</f>
        <v>8848095.2821246609</v>
      </c>
      <c r="R83" cm="1">
        <f t="array" ref="R83">_xlfn.XLOOKUP($C83,$C$7:$C$48,_xlfn.XLOOKUP(R$61,$D$6:$AS$6,$D$7:$AS$48))</f>
        <v>2370746.5846731002</v>
      </c>
      <c r="S83" cm="1">
        <f t="array" ref="S83">_xlfn.XLOOKUP($C83,$C$7:$C$48,_xlfn.XLOOKUP(S$61,$D$6:$AS$6,$D$7:$AS$48))</f>
        <v>187208.86335535001</v>
      </c>
      <c r="T83" cm="1">
        <f t="array" ref="T83">_xlfn.XLOOKUP($C83,$C$7:$C$48,_xlfn.XLOOKUP(T$61,$D$6:$AS$6,$D$7:$AS$48))</f>
        <v>60658.885042088303</v>
      </c>
      <c r="U83" cm="1">
        <f t="array" ref="U83">_xlfn.XLOOKUP($C83,$C$7:$C$48,_xlfn.XLOOKUP(U$61,$D$6:$AS$6,$D$7:$AS$48))</f>
        <v>593836.08689967403</v>
      </c>
      <c r="V83" cm="1">
        <f t="array" ref="V83">_xlfn.XLOOKUP($C83,$C$7:$C$48,_xlfn.XLOOKUP(V$61,$D$6:$AS$6,$D$7:$AS$48))</f>
        <v>694918.87258071196</v>
      </c>
      <c r="W83" cm="1">
        <f t="array" ref="W83">_xlfn.XLOOKUP($C83,$C$7:$C$48,_xlfn.XLOOKUP(W$61,$D$6:$AS$6,$D$7:$AS$48))</f>
        <v>1344462.3825576301</v>
      </c>
      <c r="X83" cm="1">
        <f t="array" ref="X83">_xlfn.XLOOKUP($C83,$C$7:$C$48,_xlfn.XLOOKUP(X$61,$D$6:$AS$6,$D$7:$AS$48))</f>
        <v>7563616.9372198097</v>
      </c>
      <c r="Y83" cm="1">
        <f t="array" ref="Y83">_xlfn.XLOOKUP($C83,$C$7:$C$48,_xlfn.XLOOKUP(Y$61,$D$6:$AS$6,$D$7:$AS$48))</f>
        <v>237540166.84993601</v>
      </c>
      <c r="Z83" cm="1">
        <f t="array" ref="Z83">_xlfn.XLOOKUP($C83,$C$7:$C$48,_xlfn.XLOOKUP(Z$61,$D$6:$AS$6,$D$7:$AS$48))</f>
        <v>988820.12635228306</v>
      </c>
      <c r="AA83" cm="1">
        <f t="array" ref="AA83">_xlfn.XLOOKUP($C83,$C$7:$C$48,_xlfn.XLOOKUP(AA$61,$D$6:$AS$6,$D$7:$AS$48))</f>
        <v>291795.62766576197</v>
      </c>
      <c r="AB83" cm="1">
        <f t="array" ref="AB83">_xlfn.XLOOKUP($C83,$C$7:$C$48,_xlfn.XLOOKUP(AB$61,$D$6:$AS$6,$D$7:$AS$48))</f>
        <v>58968.430252993501</v>
      </c>
      <c r="AC83" cm="1">
        <f t="array" ref="AC83">_xlfn.XLOOKUP($C83,$C$7:$C$48,_xlfn.XLOOKUP(AC$61,$D$6:$AS$6,$D$7:$AS$48))</f>
        <v>10597.370534223301</v>
      </c>
      <c r="AD83" cm="1">
        <f t="array" ref="AD83">_xlfn.XLOOKUP($C83,$C$7:$C$48,_xlfn.XLOOKUP(AD$61,$D$6:$AS$6,$D$7:$AS$48))</f>
        <v>10282.349596240199</v>
      </c>
      <c r="AE83" cm="1">
        <f t="array" ref="AE83">_xlfn.XLOOKUP($C83,$C$7:$C$48,_xlfn.XLOOKUP(AE$61,$D$6:$AS$6,$D$7:$AS$48))</f>
        <v>1111563.2263322801</v>
      </c>
      <c r="AF83" cm="1">
        <f t="array" ref="AF83">_xlfn.XLOOKUP($C83,$C$7:$C$48,_xlfn.XLOOKUP(AF$61,$D$6:$AS$6,$D$7:$AS$48))</f>
        <v>118840.414417673</v>
      </c>
      <c r="AG83" cm="1">
        <f t="array" ref="AG83">_xlfn.XLOOKUP($C83,$C$7:$C$48,_xlfn.XLOOKUP(AG$61,$D$6:$AS$6,$D$7:$AS$48))</f>
        <v>70012316.491765201</v>
      </c>
      <c r="AH83" cm="1">
        <f t="array" ref="AH83">_xlfn.XLOOKUP($C83,$C$7:$C$48,_xlfn.XLOOKUP(AH$61,$D$6:$AS$6,$D$7:$AS$48))</f>
        <v>471817.61011926399</v>
      </c>
      <c r="AI83" cm="1">
        <f t="array" ref="AI83">_xlfn.XLOOKUP($C83,$C$7:$C$48,_xlfn.XLOOKUP(AI$61,$D$6:$AS$6,$D$7:$AS$48))</f>
        <v>259987.74788360999</v>
      </c>
      <c r="AJ83" cm="1">
        <f t="array" ref="AJ83">_xlfn.XLOOKUP($C83,$C$7:$C$48,_xlfn.XLOOKUP(AJ$61,$D$6:$AS$6,$D$7:$AS$48))</f>
        <v>32334152.313072499</v>
      </c>
      <c r="AK83" cm="1">
        <f t="array" ref="AK83">_xlfn.XLOOKUP($C83,$C$7:$C$48,_xlfn.XLOOKUP(AK$61,$D$6:$AS$6,$D$7:$AS$48))</f>
        <v>356407.83469469397</v>
      </c>
      <c r="AL83" cm="1">
        <f t="array" ref="AL83">_xlfn.XLOOKUP($C83,$C$7:$C$48,_xlfn.XLOOKUP(AL$61,$D$6:$AS$6,$D$7:$AS$48))</f>
        <v>289071.47100823099</v>
      </c>
      <c r="AM83" cm="1">
        <f t="array" ref="AM83">_xlfn.XLOOKUP($C83,$C$7:$C$48,_xlfn.XLOOKUP(AM$61,$D$6:$AS$6,$D$7:$AS$48))</f>
        <v>28341.215566360999</v>
      </c>
      <c r="AN83" cm="1">
        <f t="array" ref="AN83">_xlfn.XLOOKUP($C83,$C$7:$C$48,_xlfn.XLOOKUP(AN$61,$D$6:$AS$6,$D$7:$AS$48))</f>
        <v>3427487.6863864302</v>
      </c>
      <c r="AO83" cm="1">
        <f t="array" ref="AO83">_xlfn.XLOOKUP($C83,$C$7:$C$48,_xlfn.XLOOKUP(AO$61,$D$6:$AS$6,$D$7:$AS$48))</f>
        <v>4080096.6803558799</v>
      </c>
      <c r="AP83" cm="1">
        <f t="array" ref="AP83">_xlfn.XLOOKUP($C83,$C$7:$C$48,_xlfn.XLOOKUP(AP$61,$D$6:$AS$6,$D$7:$AS$48))</f>
        <v>115094.30247296199</v>
      </c>
      <c r="AQ83" cm="1">
        <f t="array" ref="AQ83">_xlfn.XLOOKUP($C83,$C$7:$C$48,_xlfn.XLOOKUP(AQ$61,$D$6:$AS$6,$D$7:$AS$48))</f>
        <v>44551.655223810303</v>
      </c>
      <c r="AR83" cm="1">
        <f t="array" ref="AR83">_xlfn.XLOOKUP($C83,$C$7:$C$48,_xlfn.XLOOKUP(AR$61,$D$6:$AS$6,$D$7:$AS$48))</f>
        <v>91094.949710739296</v>
      </c>
      <c r="AS83" cm="1">
        <f t="array" ref="AS83">_xlfn.XLOOKUP($C83,$C$7:$C$48,_xlfn.XLOOKUP(AS$61,$D$6:$AS$6,$D$7:$AS$48))</f>
        <v>8061811.8950887304</v>
      </c>
      <c r="AT83">
        <f t="shared" si="3"/>
        <v>385478717.59921402</v>
      </c>
      <c r="AU83" cm="1">
        <f t="array" ref="AU83">_xlfn.XLOOKUP(AU$60,$AU$6:$BF$6,_xlfn.XLOOKUP($C83,$C$7:$C$48,$AU$7:$BF$48))</f>
        <v>21454358.9824</v>
      </c>
      <c r="AV83" cm="1">
        <f t="array" ref="AV83">_xlfn.XLOOKUP(AV$60,$AU$6:$BF$6,_xlfn.XLOOKUP($C83,$C$7:$C$48,$AU$7:$BF$48))</f>
        <v>126837276.97145499</v>
      </c>
      <c r="AW83" cm="1">
        <f t="array" ref="AW83">_xlfn.XLOOKUP(AW$60,$AU$6:$BF$6,_xlfn.XLOOKUP($C83,$C$7:$C$48,$AU$7:$BF$48))</f>
        <v>148291635.95385399</v>
      </c>
      <c r="AX83" cm="1">
        <f t="array" ref="AX83">_xlfn.XLOOKUP(AX$60,$AU$6:$BF$6,_xlfn.XLOOKUP($C83,$C$7:$C$48,$AU$7:$BF$48))</f>
        <v>0</v>
      </c>
      <c r="AY83" cm="1">
        <f t="array" ref="AY83">_xlfn.XLOOKUP(AY$60,$AU$6:$BF$6,_xlfn.XLOOKUP($C83,$C$7:$C$48,$AU$7:$BF$48))</f>
        <v>148291635.95385399</v>
      </c>
      <c r="AZ83" cm="1">
        <f t="array" ref="AZ83">_xlfn.XLOOKUP(AZ$60,$AU$6:$BF$6,_xlfn.XLOOKUP($C83,$C$7:$C$48,$AU$7:$BF$48))</f>
        <v>176416405.60986</v>
      </c>
      <c r="BA83" cm="1">
        <f t="array" ref="BA83">_xlfn.XLOOKUP(BA$60,$AU$6:$BF$6,_xlfn.XLOOKUP($C83,$C$7:$C$48,$AU$7:$BF$48))</f>
        <v>16277173.520149</v>
      </c>
      <c r="BB83" cm="1">
        <f t="array" ref="BB83">_xlfn.XLOOKUP(BB$60,$AU$6:$BF$6,_xlfn.XLOOKUP($C83,$C$7:$C$48,$AU$7:$BF$48))</f>
        <v>192693579.130009</v>
      </c>
      <c r="BC83" cm="1">
        <f t="array" ref="BC83">_xlfn.XLOOKUP(BC$60,$AU$6:$BF$6,_xlfn.XLOOKUP($C83,$C$7:$C$48,$AU$7:$BF$48))</f>
        <v>31524411.8740067</v>
      </c>
      <c r="BD83" cm="1">
        <f t="array" ref="BD83">_xlfn.XLOOKUP(BD$60,$AU$6:$BF$6,_xlfn.XLOOKUP($C83,$C$7:$C$48,$AU$7:$BF$48))</f>
        <v>372509626.95787001</v>
      </c>
      <c r="BE83" cm="1">
        <f t="array" ref="BE83">_xlfn.XLOOKUP(BE$60,$AU$6:$BF$6,_xlfn.XLOOKUP($C83,$C$7:$C$48,$AU$7:$BF$48))</f>
        <v>51530883.893830098</v>
      </c>
      <c r="BF83" cm="1">
        <f t="array" ref="BF83">_xlfn.XLOOKUP(BF$60,$AU$6:$BF$6,_xlfn.XLOOKUP($C83,$C$7:$C$48,$AU$7:$BF$48))</f>
        <v>706457460.66325498</v>
      </c>
      <c r="BH83">
        <f t="shared" si="2"/>
        <v>726463932.6830771</v>
      </c>
      <c r="BJ83">
        <f t="shared" si="4"/>
        <v>7.0933850361309905E-2</v>
      </c>
    </row>
    <row r="84" spans="3:62" x14ac:dyDescent="0.25">
      <c r="C84" s="36" t="s">
        <v>90</v>
      </c>
      <c r="D84" cm="1">
        <f t="array" ref="D84">_xlfn.XLOOKUP($C84,$C$7:$C$48,_xlfn.XLOOKUP(D$61,$D$6:$AS$6,$D$7:$AS$48))</f>
        <v>1633653.65806691</v>
      </c>
      <c r="E84" cm="1">
        <f t="array" ref="E84">_xlfn.XLOOKUP($C84,$C$7:$C$48,_xlfn.XLOOKUP(E$61,$D$6:$AS$6,$D$7:$AS$48))</f>
        <v>137377.205097078</v>
      </c>
      <c r="F84" cm="1">
        <f t="array" ref="F84">_xlfn.XLOOKUP($C84,$C$7:$C$48,_xlfn.XLOOKUP(F$61,$D$6:$AS$6,$D$7:$AS$48))</f>
        <v>3299.56189290866</v>
      </c>
      <c r="G84" cm="1">
        <f t="array" ref="G84">_xlfn.XLOOKUP($C84,$C$7:$C$48,_xlfn.XLOOKUP(G$61,$D$6:$AS$6,$D$7:$AS$48))</f>
        <v>67835.345997617202</v>
      </c>
      <c r="H84" cm="1">
        <f t="array" ref="H84">_xlfn.XLOOKUP($C84,$C$7:$C$48,_xlfn.XLOOKUP(H$61,$D$6:$AS$6,$D$7:$AS$48))</f>
        <v>4779.0758828880298</v>
      </c>
      <c r="I84" cm="1">
        <f t="array" ref="I84">_xlfn.XLOOKUP($C84,$C$7:$C$48,_xlfn.XLOOKUP(I$61,$D$6:$AS$6,$D$7:$AS$48))</f>
        <v>63498.750357734301</v>
      </c>
      <c r="J84" cm="1">
        <f t="array" ref="J84">_xlfn.XLOOKUP($C84,$C$7:$C$48,_xlfn.XLOOKUP(J$61,$D$6:$AS$6,$D$7:$AS$48))</f>
        <v>69505.485293589401</v>
      </c>
      <c r="K84" cm="1">
        <f t="array" ref="K84">_xlfn.XLOOKUP($C84,$C$7:$C$48,_xlfn.XLOOKUP(K$61,$D$6:$AS$6,$D$7:$AS$48))</f>
        <v>69778.941010616894</v>
      </c>
      <c r="L84" cm="1">
        <f t="array" ref="L84">_xlfn.XLOOKUP($C84,$C$7:$C$48,_xlfn.XLOOKUP(L$61,$D$6:$AS$6,$D$7:$AS$48))</f>
        <v>108012.372758994</v>
      </c>
      <c r="M84" cm="1">
        <f t="array" ref="M84">_xlfn.XLOOKUP($C84,$C$7:$C$48,_xlfn.XLOOKUP(M$61,$D$6:$AS$6,$D$7:$AS$48))</f>
        <v>42843.272878725897</v>
      </c>
      <c r="N84" cm="1">
        <f t="array" ref="N84">_xlfn.XLOOKUP($C84,$C$7:$C$48,_xlfn.XLOOKUP(N$61,$D$6:$AS$6,$D$7:$AS$48))</f>
        <v>152643.88033177101</v>
      </c>
      <c r="O84" cm="1">
        <f t="array" ref="O84">_xlfn.XLOOKUP($C84,$C$7:$C$48,_xlfn.XLOOKUP(O$61,$D$6:$AS$6,$D$7:$AS$48))</f>
        <v>41875.393603671699</v>
      </c>
      <c r="P84" cm="1">
        <f t="array" ref="P84">_xlfn.XLOOKUP($C84,$C$7:$C$48,_xlfn.XLOOKUP(P$61,$D$6:$AS$6,$D$7:$AS$48))</f>
        <v>24313.253380856</v>
      </c>
      <c r="Q84" cm="1">
        <f t="array" ref="Q84">_xlfn.XLOOKUP($C84,$C$7:$C$48,_xlfn.XLOOKUP(Q$61,$D$6:$AS$6,$D$7:$AS$48))</f>
        <v>1579977.0574509599</v>
      </c>
      <c r="R84" cm="1">
        <f t="array" ref="R84">_xlfn.XLOOKUP($C84,$C$7:$C$48,_xlfn.XLOOKUP(R$61,$D$6:$AS$6,$D$7:$AS$48))</f>
        <v>62621.1042461217</v>
      </c>
      <c r="S84" cm="1">
        <f t="array" ref="S84">_xlfn.XLOOKUP($C84,$C$7:$C$48,_xlfn.XLOOKUP(S$61,$D$6:$AS$6,$D$7:$AS$48))</f>
        <v>37696.937032711998</v>
      </c>
      <c r="T84" cm="1">
        <f t="array" ref="T84">_xlfn.XLOOKUP($C84,$C$7:$C$48,_xlfn.XLOOKUP(T$61,$D$6:$AS$6,$D$7:$AS$48))</f>
        <v>1730.54803290979</v>
      </c>
      <c r="U84" cm="1">
        <f t="array" ref="U84">_xlfn.XLOOKUP($C84,$C$7:$C$48,_xlfn.XLOOKUP(U$61,$D$6:$AS$6,$D$7:$AS$48))</f>
        <v>65866.299807706106</v>
      </c>
      <c r="V84" cm="1">
        <f t="array" ref="V84">_xlfn.XLOOKUP($C84,$C$7:$C$48,_xlfn.XLOOKUP(V$61,$D$6:$AS$6,$D$7:$AS$48))</f>
        <v>293311.21236644202</v>
      </c>
      <c r="W84" cm="1">
        <f t="array" ref="W84">_xlfn.XLOOKUP($C84,$C$7:$C$48,_xlfn.XLOOKUP(W$61,$D$6:$AS$6,$D$7:$AS$48))</f>
        <v>415016.33223081799</v>
      </c>
      <c r="X84" cm="1">
        <f t="array" ref="X84">_xlfn.XLOOKUP($C84,$C$7:$C$48,_xlfn.XLOOKUP(X$61,$D$6:$AS$6,$D$7:$AS$48))</f>
        <v>2010934.9536918199</v>
      </c>
      <c r="Y84" cm="1">
        <f t="array" ref="Y84">_xlfn.XLOOKUP($C84,$C$7:$C$48,_xlfn.XLOOKUP(Y$61,$D$6:$AS$6,$D$7:$AS$48))</f>
        <v>566701.38138896006</v>
      </c>
      <c r="Z84" cm="1">
        <f t="array" ref="Z84">_xlfn.XLOOKUP($C84,$C$7:$C$48,_xlfn.XLOOKUP(Z$61,$D$6:$AS$6,$D$7:$AS$48))</f>
        <v>26429459.433544502</v>
      </c>
      <c r="AA84" cm="1">
        <f t="array" ref="AA84">_xlfn.XLOOKUP($C84,$C$7:$C$48,_xlfn.XLOOKUP(AA$61,$D$6:$AS$6,$D$7:$AS$48))</f>
        <v>2270996.1002662899</v>
      </c>
      <c r="AB84" cm="1">
        <f t="array" ref="AB84">_xlfn.XLOOKUP($C84,$C$7:$C$48,_xlfn.XLOOKUP(AB$61,$D$6:$AS$6,$D$7:$AS$48))</f>
        <v>2147.5666799442502</v>
      </c>
      <c r="AC84" cm="1">
        <f t="array" ref="AC84">_xlfn.XLOOKUP($C84,$C$7:$C$48,_xlfn.XLOOKUP(AC$61,$D$6:$AS$6,$D$7:$AS$48))</f>
        <v>2909.1458383651898</v>
      </c>
      <c r="AD84" cm="1">
        <f t="array" ref="AD84">_xlfn.XLOOKUP($C84,$C$7:$C$48,_xlfn.XLOOKUP(AD$61,$D$6:$AS$6,$D$7:$AS$48))</f>
        <v>3349.1709272210301</v>
      </c>
      <c r="AE84" cm="1">
        <f t="array" ref="AE84">_xlfn.XLOOKUP($C84,$C$7:$C$48,_xlfn.XLOOKUP(AE$61,$D$6:$AS$6,$D$7:$AS$48))</f>
        <v>1342301.0627207099</v>
      </c>
      <c r="AF84" cm="1">
        <f t="array" ref="AF84">_xlfn.XLOOKUP($C84,$C$7:$C$48,_xlfn.XLOOKUP(AF$61,$D$6:$AS$6,$D$7:$AS$48))</f>
        <v>33836.107716070197</v>
      </c>
      <c r="AG84" cm="1">
        <f t="array" ref="AG84">_xlfn.XLOOKUP($C84,$C$7:$C$48,_xlfn.XLOOKUP(AG$61,$D$6:$AS$6,$D$7:$AS$48))</f>
        <v>17589480.278308801</v>
      </c>
      <c r="AH84" cm="1">
        <f t="array" ref="AH84">_xlfn.XLOOKUP($C84,$C$7:$C$48,_xlfn.XLOOKUP(AH$61,$D$6:$AS$6,$D$7:$AS$48))</f>
        <v>5954.9325288047003</v>
      </c>
      <c r="AI84" cm="1">
        <f t="array" ref="AI84">_xlfn.XLOOKUP($C84,$C$7:$C$48,_xlfn.XLOOKUP(AI$61,$D$6:$AS$6,$D$7:$AS$48))</f>
        <v>9733.5713622886906</v>
      </c>
      <c r="AJ84" cm="1">
        <f t="array" ref="AJ84">_xlfn.XLOOKUP($C84,$C$7:$C$48,_xlfn.XLOOKUP(AJ$61,$D$6:$AS$6,$D$7:$AS$48))</f>
        <v>30801.702328791798</v>
      </c>
      <c r="AK84" cm="1">
        <f t="array" ref="AK84">_xlfn.XLOOKUP($C84,$C$7:$C$48,_xlfn.XLOOKUP(AK$61,$D$6:$AS$6,$D$7:$AS$48))</f>
        <v>97615.365861826198</v>
      </c>
      <c r="AL84" cm="1">
        <f t="array" ref="AL84">_xlfn.XLOOKUP($C84,$C$7:$C$48,_xlfn.XLOOKUP(AL$61,$D$6:$AS$6,$D$7:$AS$48))</f>
        <v>37918.7506338776</v>
      </c>
      <c r="AM84" cm="1">
        <f t="array" ref="AM84">_xlfn.XLOOKUP($C84,$C$7:$C$48,_xlfn.XLOOKUP(AM$61,$D$6:$AS$6,$D$7:$AS$48))</f>
        <v>2136.2818403119099</v>
      </c>
      <c r="AN84" cm="1">
        <f t="array" ref="AN84">_xlfn.XLOOKUP($C84,$C$7:$C$48,_xlfn.XLOOKUP(AN$61,$D$6:$AS$6,$D$7:$AS$48))</f>
        <v>159496.18997423799</v>
      </c>
      <c r="AO84" cm="1">
        <f t="array" ref="AO84">_xlfn.XLOOKUP($C84,$C$7:$C$48,_xlfn.XLOOKUP(AO$61,$D$6:$AS$6,$D$7:$AS$48))</f>
        <v>630868.85632389295</v>
      </c>
      <c r="AP84" cm="1">
        <f t="array" ref="AP84">_xlfn.XLOOKUP($C84,$C$7:$C$48,_xlfn.XLOOKUP(AP$61,$D$6:$AS$6,$D$7:$AS$48))</f>
        <v>18162.665249341801</v>
      </c>
      <c r="AQ84" cm="1">
        <f t="array" ref="AQ84">_xlfn.XLOOKUP($C84,$C$7:$C$48,_xlfn.XLOOKUP(AQ$61,$D$6:$AS$6,$D$7:$AS$48))</f>
        <v>211712.63319013201</v>
      </c>
      <c r="AR84" cm="1">
        <f t="array" ref="AR84">_xlfn.XLOOKUP($C84,$C$7:$C$48,_xlfn.XLOOKUP(AR$61,$D$6:$AS$6,$D$7:$AS$48))</f>
        <v>18823.8901585928</v>
      </c>
      <c r="AS84" cm="1">
        <f t="array" ref="AS84">_xlfn.XLOOKUP($C84,$C$7:$C$48,_xlfn.XLOOKUP(AS$61,$D$6:$AS$6,$D$7:$AS$48))</f>
        <v>4542218.6420078604</v>
      </c>
      <c r="AT84">
        <f t="shared" si="3"/>
        <v>60823415.429253101</v>
      </c>
      <c r="AU84" cm="1">
        <f t="array" ref="AU84">_xlfn.XLOOKUP(AU$60,$AU$6:$BF$6,_xlfn.XLOOKUP($C84,$C$7:$C$48,$AU$7:$BF$48))</f>
        <v>5697629.1082278304</v>
      </c>
      <c r="AV84" cm="1">
        <f t="array" ref="AV84">_xlfn.XLOOKUP(AV$60,$AU$6:$BF$6,_xlfn.XLOOKUP($C84,$C$7:$C$48,$AU$7:$BF$48))</f>
        <v>9025381.5833560508</v>
      </c>
      <c r="AW84" cm="1">
        <f t="array" ref="AW84">_xlfn.XLOOKUP(AW$60,$AU$6:$BF$6,_xlfn.XLOOKUP($C84,$C$7:$C$48,$AU$7:$BF$48))</f>
        <v>14723010.6915839</v>
      </c>
      <c r="AX84" cm="1">
        <f t="array" ref="AX84">_xlfn.XLOOKUP(AX$60,$AU$6:$BF$6,_xlfn.XLOOKUP($C84,$C$7:$C$48,$AU$7:$BF$48))</f>
        <v>0</v>
      </c>
      <c r="AY84" cm="1">
        <f t="array" ref="AY84">_xlfn.XLOOKUP(AY$60,$AU$6:$BF$6,_xlfn.XLOOKUP($C84,$C$7:$C$48,$AU$7:$BF$48))</f>
        <v>14723010.6915839</v>
      </c>
      <c r="AZ84" cm="1">
        <f t="array" ref="AZ84">_xlfn.XLOOKUP(AZ$60,$AU$6:$BF$6,_xlfn.XLOOKUP($C84,$C$7:$C$48,$AU$7:$BF$48))</f>
        <v>60601018.913020499</v>
      </c>
      <c r="BA84" cm="1">
        <f t="array" ref="BA84">_xlfn.XLOOKUP(BA$60,$AU$6:$BF$6,_xlfn.XLOOKUP($C84,$C$7:$C$48,$AU$7:$BF$48))</f>
        <v>109528.026406031</v>
      </c>
      <c r="BB84" cm="1">
        <f t="array" ref="BB84">_xlfn.XLOOKUP(BB$60,$AU$6:$BF$6,_xlfn.XLOOKUP($C84,$C$7:$C$48,$AU$7:$BF$48))</f>
        <v>60710546.939426497</v>
      </c>
      <c r="BC84" cm="1">
        <f t="array" ref="BC84">_xlfn.XLOOKUP(BC$60,$AU$6:$BF$6,_xlfn.XLOOKUP($C84,$C$7:$C$48,$AU$7:$BF$48))</f>
        <v>28964418.0481885</v>
      </c>
      <c r="BD84" cm="1">
        <f t="array" ref="BD84">_xlfn.XLOOKUP(BD$60,$AU$6:$BF$6,_xlfn.XLOOKUP($C84,$C$7:$C$48,$AU$7:$BF$48))</f>
        <v>104397975.679199</v>
      </c>
      <c r="BE84" cm="1">
        <f t="array" ref="BE84">_xlfn.XLOOKUP(BE$60,$AU$6:$BF$6,_xlfn.XLOOKUP($C84,$C$7:$C$48,$AU$7:$BF$48))</f>
        <v>9207467.0758240409</v>
      </c>
      <c r="BF84" cm="1">
        <f t="array" ref="BF84">_xlfn.XLOOKUP(BF$60,$AU$6:$BF$6,_xlfn.XLOOKUP($C84,$C$7:$C$48,$AU$7:$BF$48))</f>
        <v>156013924.032628</v>
      </c>
      <c r="BH84">
        <f t="shared" si="2"/>
        <v>136256973.06026351</v>
      </c>
      <c r="BJ84">
        <f t="shared" si="4"/>
        <v>6.757428166081289E-2</v>
      </c>
    </row>
    <row r="85" spans="3:62" x14ac:dyDescent="0.25">
      <c r="C85" s="36" t="s">
        <v>93</v>
      </c>
      <c r="D85" cm="1">
        <f t="array" ref="D85">_xlfn.XLOOKUP($C85,$C$7:$C$48,_xlfn.XLOOKUP(D$61,$D$6:$AS$6,$D$7:$AS$48))</f>
        <v>164747.47787442</v>
      </c>
      <c r="E85" cm="1">
        <f t="array" ref="E85">_xlfn.XLOOKUP($C85,$C$7:$C$48,_xlfn.XLOOKUP(E$61,$D$6:$AS$6,$D$7:$AS$48))</f>
        <v>405514.02869687701</v>
      </c>
      <c r="F85" cm="1">
        <f t="array" ref="F85">_xlfn.XLOOKUP($C85,$C$7:$C$48,_xlfn.XLOOKUP(F$61,$D$6:$AS$6,$D$7:$AS$48))</f>
        <v>146894.390608488</v>
      </c>
      <c r="G85" cm="1">
        <f t="array" ref="G85">_xlfn.XLOOKUP($C85,$C$7:$C$48,_xlfn.XLOOKUP(G$61,$D$6:$AS$6,$D$7:$AS$48))</f>
        <v>199118.318682827</v>
      </c>
      <c r="H85" cm="1">
        <f t="array" ref="H85">_xlfn.XLOOKUP($C85,$C$7:$C$48,_xlfn.XLOOKUP(H$61,$D$6:$AS$6,$D$7:$AS$48))</f>
        <v>133740.27413289601</v>
      </c>
      <c r="I85" cm="1">
        <f t="array" ref="I85">_xlfn.XLOOKUP($C85,$C$7:$C$48,_xlfn.XLOOKUP(I$61,$D$6:$AS$6,$D$7:$AS$48))</f>
        <v>651164.66223560495</v>
      </c>
      <c r="J85" cm="1">
        <f t="array" ref="J85">_xlfn.XLOOKUP($C85,$C$7:$C$48,_xlfn.XLOOKUP(J$61,$D$6:$AS$6,$D$7:$AS$48))</f>
        <v>1365889.2419316201</v>
      </c>
      <c r="K85" cm="1">
        <f t="array" ref="K85">_xlfn.XLOOKUP($C85,$C$7:$C$48,_xlfn.XLOOKUP(K$61,$D$6:$AS$6,$D$7:$AS$48))</f>
        <v>242435.44420260299</v>
      </c>
      <c r="L85" cm="1">
        <f t="array" ref="L85">_xlfn.XLOOKUP($C85,$C$7:$C$48,_xlfn.XLOOKUP(L$61,$D$6:$AS$6,$D$7:$AS$48))</f>
        <v>13403852.7991249</v>
      </c>
      <c r="M85" cm="1">
        <f t="array" ref="M85">_xlfn.XLOOKUP($C85,$C$7:$C$48,_xlfn.XLOOKUP(M$61,$D$6:$AS$6,$D$7:$AS$48))</f>
        <v>563622.57549381198</v>
      </c>
      <c r="N85" cm="1">
        <f t="array" ref="N85">_xlfn.XLOOKUP($C85,$C$7:$C$48,_xlfn.XLOOKUP(N$61,$D$6:$AS$6,$D$7:$AS$48))</f>
        <v>2080644.8010068401</v>
      </c>
      <c r="O85" cm="1">
        <f t="array" ref="O85">_xlfn.XLOOKUP($C85,$C$7:$C$48,_xlfn.XLOOKUP(O$61,$D$6:$AS$6,$D$7:$AS$48))</f>
        <v>113887.729667525</v>
      </c>
      <c r="P85" cm="1">
        <f t="array" ref="P85">_xlfn.XLOOKUP($C85,$C$7:$C$48,_xlfn.XLOOKUP(P$61,$D$6:$AS$6,$D$7:$AS$48))</f>
        <v>2943239.5497239898</v>
      </c>
      <c r="Q85" cm="1">
        <f t="array" ref="Q85">_xlfn.XLOOKUP($C85,$C$7:$C$48,_xlfn.XLOOKUP(Q$61,$D$6:$AS$6,$D$7:$AS$48))</f>
        <v>861292.65728146199</v>
      </c>
      <c r="R85" cm="1">
        <f t="array" ref="R85">_xlfn.XLOOKUP($C85,$C$7:$C$48,_xlfn.XLOOKUP(R$61,$D$6:$AS$6,$D$7:$AS$48))</f>
        <v>3630070.67910031</v>
      </c>
      <c r="S85" cm="1">
        <f t="array" ref="S85">_xlfn.XLOOKUP($C85,$C$7:$C$48,_xlfn.XLOOKUP(S$61,$D$6:$AS$6,$D$7:$AS$48))</f>
        <v>53093165.586032197</v>
      </c>
      <c r="T85" cm="1">
        <f t="array" ref="T85">_xlfn.XLOOKUP($C85,$C$7:$C$48,_xlfn.XLOOKUP(T$61,$D$6:$AS$6,$D$7:$AS$48))</f>
        <v>13891355.113508901</v>
      </c>
      <c r="U85" cm="1">
        <f t="array" ref="U85">_xlfn.XLOOKUP($C85,$C$7:$C$48,_xlfn.XLOOKUP(U$61,$D$6:$AS$6,$D$7:$AS$48))</f>
        <v>8634157.3163604196</v>
      </c>
      <c r="V85" cm="1">
        <f t="array" ref="V85">_xlfn.XLOOKUP($C85,$C$7:$C$48,_xlfn.XLOOKUP(V$61,$D$6:$AS$6,$D$7:$AS$48))</f>
        <v>1492023.5335540599</v>
      </c>
      <c r="W85" cm="1">
        <f t="array" ref="W85">_xlfn.XLOOKUP($C85,$C$7:$C$48,_xlfn.XLOOKUP(W$61,$D$6:$AS$6,$D$7:$AS$48))</f>
        <v>953658.57623559504</v>
      </c>
      <c r="X85" cm="1">
        <f t="array" ref="X85">_xlfn.XLOOKUP($C85,$C$7:$C$48,_xlfn.XLOOKUP(X$61,$D$6:$AS$6,$D$7:$AS$48))</f>
        <v>880502.95925384597</v>
      </c>
      <c r="Y85" cm="1">
        <f t="array" ref="Y85">_xlfn.XLOOKUP($C85,$C$7:$C$48,_xlfn.XLOOKUP(Y$61,$D$6:$AS$6,$D$7:$AS$48))</f>
        <v>847818.19447725499</v>
      </c>
      <c r="Z85" cm="1">
        <f t="array" ref="Z85">_xlfn.XLOOKUP($C85,$C$7:$C$48,_xlfn.XLOOKUP(Z$61,$D$6:$AS$6,$D$7:$AS$48))</f>
        <v>612599.36564607301</v>
      </c>
      <c r="AA85" cm="1">
        <f t="array" ref="AA85">_xlfn.XLOOKUP($C85,$C$7:$C$48,_xlfn.XLOOKUP(AA$61,$D$6:$AS$6,$D$7:$AS$48))</f>
        <v>13185015.9538418</v>
      </c>
      <c r="AB85" cm="1">
        <f t="array" ref="AB85">_xlfn.XLOOKUP($C85,$C$7:$C$48,_xlfn.XLOOKUP(AB$61,$D$6:$AS$6,$D$7:$AS$48))</f>
        <v>3665815.02354141</v>
      </c>
      <c r="AC85" cm="1">
        <f t="array" ref="AC85">_xlfn.XLOOKUP($C85,$C$7:$C$48,_xlfn.XLOOKUP(AC$61,$D$6:$AS$6,$D$7:$AS$48))</f>
        <v>154857.195317682</v>
      </c>
      <c r="AD85" cm="1">
        <f t="array" ref="AD85">_xlfn.XLOOKUP($C85,$C$7:$C$48,_xlfn.XLOOKUP(AD$61,$D$6:$AS$6,$D$7:$AS$48))</f>
        <v>89102.353197733595</v>
      </c>
      <c r="AE85" cm="1">
        <f t="array" ref="AE85">_xlfn.XLOOKUP($C85,$C$7:$C$48,_xlfn.XLOOKUP(AE$61,$D$6:$AS$6,$D$7:$AS$48))</f>
        <v>3882686.3362354101</v>
      </c>
      <c r="AF85" cm="1">
        <f t="array" ref="AF85">_xlfn.XLOOKUP($C85,$C$7:$C$48,_xlfn.XLOOKUP(AF$61,$D$6:$AS$6,$D$7:$AS$48))</f>
        <v>133738.98332051601</v>
      </c>
      <c r="AG85" cm="1">
        <f t="array" ref="AG85">_xlfn.XLOOKUP($C85,$C$7:$C$48,_xlfn.XLOOKUP(AG$61,$D$6:$AS$6,$D$7:$AS$48))</f>
        <v>1407910.2921991199</v>
      </c>
      <c r="AH85" cm="1">
        <f t="array" ref="AH85">_xlfn.XLOOKUP($C85,$C$7:$C$48,_xlfn.XLOOKUP(AH$61,$D$6:$AS$6,$D$7:$AS$48))</f>
        <v>205188.88588644299</v>
      </c>
      <c r="AI85" cm="1">
        <f t="array" ref="AI85">_xlfn.XLOOKUP($C85,$C$7:$C$48,_xlfn.XLOOKUP(AI$61,$D$6:$AS$6,$D$7:$AS$48))</f>
        <v>462987.37195750099</v>
      </c>
      <c r="AJ85" cm="1">
        <f t="array" ref="AJ85">_xlfn.XLOOKUP($C85,$C$7:$C$48,_xlfn.XLOOKUP(AJ$61,$D$6:$AS$6,$D$7:$AS$48))</f>
        <v>8954361.7373353001</v>
      </c>
      <c r="AK85" cm="1">
        <f t="array" ref="AK85">_xlfn.XLOOKUP($C85,$C$7:$C$48,_xlfn.XLOOKUP(AK$61,$D$6:$AS$6,$D$7:$AS$48))</f>
        <v>1783852.69528289</v>
      </c>
      <c r="AL85" cm="1">
        <f t="array" ref="AL85">_xlfn.XLOOKUP($C85,$C$7:$C$48,_xlfn.XLOOKUP(AL$61,$D$6:$AS$6,$D$7:$AS$48))</f>
        <v>72347.132271356299</v>
      </c>
      <c r="AM85" cm="1">
        <f t="array" ref="AM85">_xlfn.XLOOKUP($C85,$C$7:$C$48,_xlfn.XLOOKUP(AM$61,$D$6:$AS$6,$D$7:$AS$48))</f>
        <v>1286923.14998262</v>
      </c>
      <c r="AN85" cm="1">
        <f t="array" ref="AN85">_xlfn.XLOOKUP($C85,$C$7:$C$48,_xlfn.XLOOKUP(AN$61,$D$6:$AS$6,$D$7:$AS$48))</f>
        <v>5440678.9545661397</v>
      </c>
      <c r="AO85" cm="1">
        <f t="array" ref="AO85">_xlfn.XLOOKUP($C85,$C$7:$C$48,_xlfn.XLOOKUP(AO$61,$D$6:$AS$6,$D$7:$AS$48))</f>
        <v>1384717.8866036299</v>
      </c>
      <c r="AP85" cm="1">
        <f t="array" ref="AP85">_xlfn.XLOOKUP($C85,$C$7:$C$48,_xlfn.XLOOKUP(AP$61,$D$6:$AS$6,$D$7:$AS$48))</f>
        <v>265892.83775368001</v>
      </c>
      <c r="AQ85" cm="1">
        <f t="array" ref="AQ85">_xlfn.XLOOKUP($C85,$C$7:$C$48,_xlfn.XLOOKUP(AQ$61,$D$6:$AS$6,$D$7:$AS$48))</f>
        <v>216482.433895731</v>
      </c>
      <c r="AR85" cm="1">
        <f t="array" ref="AR85">_xlfn.XLOOKUP($C85,$C$7:$C$48,_xlfn.XLOOKUP(AR$61,$D$6:$AS$6,$D$7:$AS$48))</f>
        <v>626246.26319446799</v>
      </c>
      <c r="AS85" cm="1">
        <f t="array" ref="AS85">_xlfn.XLOOKUP($C85,$C$7:$C$48,_xlfn.XLOOKUP(AS$61,$D$6:$AS$6,$D$7:$AS$48))</f>
        <v>2143669.9012925201</v>
      </c>
      <c r="AT85">
        <f t="shared" si="3"/>
        <v>152431435.21830601</v>
      </c>
      <c r="AU85" cm="1">
        <f t="array" ref="AU85">_xlfn.XLOOKUP(AU$60,$AU$6:$BF$6,_xlfn.XLOOKUP($C85,$C$7:$C$48,$AU$7:$BF$48))</f>
        <v>1188015.9589508199</v>
      </c>
      <c r="AV85" cm="1">
        <f t="array" ref="AV85">_xlfn.XLOOKUP(AV$60,$AU$6:$BF$6,_xlfn.XLOOKUP($C85,$C$7:$C$48,$AU$7:$BF$48))</f>
        <v>3366560.1635568701</v>
      </c>
      <c r="AW85" cm="1">
        <f t="array" ref="AW85">_xlfn.XLOOKUP(AW$60,$AU$6:$BF$6,_xlfn.XLOOKUP($C85,$C$7:$C$48,$AU$7:$BF$48))</f>
        <v>4554576.1225076802</v>
      </c>
      <c r="AX85" cm="1">
        <f t="array" ref="AX85">_xlfn.XLOOKUP(AX$60,$AU$6:$BF$6,_xlfn.XLOOKUP($C85,$C$7:$C$48,$AU$7:$BF$48))</f>
        <v>0</v>
      </c>
      <c r="AY85" cm="1">
        <f t="array" ref="AY85">_xlfn.XLOOKUP(AY$60,$AU$6:$BF$6,_xlfn.XLOOKUP($C85,$C$7:$C$48,$AU$7:$BF$48))</f>
        <v>0</v>
      </c>
      <c r="AZ85" cm="1">
        <f t="array" ref="AZ85">_xlfn.XLOOKUP(AZ$60,$AU$6:$BF$6,_xlfn.XLOOKUP($C85,$C$7:$C$48,$AU$7:$BF$48))</f>
        <v>1945824.4473167399</v>
      </c>
      <c r="BA85" cm="1">
        <f t="array" ref="BA85">_xlfn.XLOOKUP(BA$60,$AU$6:$BF$6,_xlfn.XLOOKUP($C85,$C$7:$C$48,$AU$7:$BF$48))</f>
        <v>0</v>
      </c>
      <c r="BB85" cm="1">
        <f t="array" ref="BB85">_xlfn.XLOOKUP(BB$60,$AU$6:$BF$6,_xlfn.XLOOKUP($C85,$C$7:$C$48,$AU$7:$BF$48))</f>
        <v>1945824.4473167399</v>
      </c>
      <c r="BC85" cm="1">
        <f t="array" ref="BC85">_xlfn.XLOOKUP(BC$60,$AU$6:$BF$6,_xlfn.XLOOKUP($C85,$C$7:$C$48,$AU$7:$BF$48))</f>
        <v>5279719.0121863401</v>
      </c>
      <c r="BD85" cm="1">
        <f t="array" ref="BD85">_xlfn.XLOOKUP(BD$60,$AU$6:$BF$6,_xlfn.XLOOKUP($C85,$C$7:$C$48,$AU$7:$BF$48))</f>
        <v>7225543.4595030798</v>
      </c>
      <c r="BE85" cm="1">
        <f t="array" ref="BE85">_xlfn.XLOOKUP(BE$60,$AU$6:$BF$6,_xlfn.XLOOKUP($C85,$C$7:$C$48,$AU$7:$BF$48))</f>
        <v>2317558.0961611802</v>
      </c>
      <c r="BF85" cm="1">
        <f t="array" ref="BF85">_xlfn.XLOOKUP(BF$60,$AU$6:$BF$6,_xlfn.XLOOKUP($C85,$C$7:$C$48,$AU$7:$BF$48))</f>
        <v>20697060.147269402</v>
      </c>
      <c r="BH85">
        <f t="shared" si="2"/>
        <v>154377259.66562274</v>
      </c>
      <c r="BJ85">
        <f t="shared" si="4"/>
        <v>1.5012302337669115E-2</v>
      </c>
    </row>
    <row r="86" spans="3:62" x14ac:dyDescent="0.25">
      <c r="C86" s="36" t="s">
        <v>94</v>
      </c>
      <c r="D86" cm="1">
        <f t="array" ref="D86">_xlfn.XLOOKUP($C86,$C$7:$C$48,_xlfn.XLOOKUP(D$61,$D$6:$AS$6,$D$7:$AS$48))</f>
        <v>10632509.685994901</v>
      </c>
      <c r="E86" cm="1">
        <f t="array" ref="E86">_xlfn.XLOOKUP($C86,$C$7:$C$48,_xlfn.XLOOKUP(E$61,$D$6:$AS$6,$D$7:$AS$48))</f>
        <v>8492039.3265241291</v>
      </c>
      <c r="F86" cm="1">
        <f t="array" ref="F86">_xlfn.XLOOKUP($C86,$C$7:$C$48,_xlfn.XLOOKUP(F$61,$D$6:$AS$6,$D$7:$AS$48))</f>
        <v>3827929.6782418001</v>
      </c>
      <c r="G86" cm="1">
        <f t="array" ref="G86">_xlfn.XLOOKUP($C86,$C$7:$C$48,_xlfn.XLOOKUP(G$61,$D$6:$AS$6,$D$7:$AS$48))</f>
        <v>14593431.6584963</v>
      </c>
      <c r="H86" cm="1">
        <f t="array" ref="H86">_xlfn.XLOOKUP($C86,$C$7:$C$48,_xlfn.XLOOKUP(H$61,$D$6:$AS$6,$D$7:$AS$48))</f>
        <v>481039.22682557401</v>
      </c>
      <c r="I86" cm="1">
        <f t="array" ref="I86">_xlfn.XLOOKUP($C86,$C$7:$C$48,_xlfn.XLOOKUP(I$61,$D$6:$AS$6,$D$7:$AS$48))</f>
        <v>8337210.0737607097</v>
      </c>
      <c r="J86" cm="1">
        <f t="array" ref="J86">_xlfn.XLOOKUP($C86,$C$7:$C$48,_xlfn.XLOOKUP(J$61,$D$6:$AS$6,$D$7:$AS$48))</f>
        <v>9271306.1659300793</v>
      </c>
      <c r="K86" cm="1">
        <f t="array" ref="K86">_xlfn.XLOOKUP($C86,$C$7:$C$48,_xlfn.XLOOKUP(K$61,$D$6:$AS$6,$D$7:$AS$48))</f>
        <v>5198622.9815821303</v>
      </c>
      <c r="L86" cm="1">
        <f t="array" ref="L86">_xlfn.XLOOKUP($C86,$C$7:$C$48,_xlfn.XLOOKUP(L$61,$D$6:$AS$6,$D$7:$AS$48))</f>
        <v>12650200.924738299</v>
      </c>
      <c r="M86" cm="1">
        <f t="array" ref="M86">_xlfn.XLOOKUP($C86,$C$7:$C$48,_xlfn.XLOOKUP(M$61,$D$6:$AS$6,$D$7:$AS$48))</f>
        <v>8918733.7900041603</v>
      </c>
      <c r="N86" cm="1">
        <f t="array" ref="N86">_xlfn.XLOOKUP($C86,$C$7:$C$48,_xlfn.XLOOKUP(N$61,$D$6:$AS$6,$D$7:$AS$48))</f>
        <v>41485169.034775697</v>
      </c>
      <c r="O86" cm="1">
        <f t="array" ref="O86">_xlfn.XLOOKUP($C86,$C$7:$C$48,_xlfn.XLOOKUP(O$61,$D$6:$AS$6,$D$7:$AS$48))</f>
        <v>4492909.9962751605</v>
      </c>
      <c r="P86" cm="1">
        <f t="array" ref="P86">_xlfn.XLOOKUP($C86,$C$7:$C$48,_xlfn.XLOOKUP(P$61,$D$6:$AS$6,$D$7:$AS$48))</f>
        <v>6429846.75502072</v>
      </c>
      <c r="Q86" cm="1">
        <f t="array" ref="Q86">_xlfn.XLOOKUP($C86,$C$7:$C$48,_xlfn.XLOOKUP(Q$61,$D$6:$AS$6,$D$7:$AS$48))</f>
        <v>5826705.6488526901</v>
      </c>
      <c r="R86" cm="1">
        <f t="array" ref="R86">_xlfn.XLOOKUP($C86,$C$7:$C$48,_xlfn.XLOOKUP(R$61,$D$6:$AS$6,$D$7:$AS$48))</f>
        <v>36511483.283643097</v>
      </c>
      <c r="S86" cm="1">
        <f t="array" ref="S86">_xlfn.XLOOKUP($C86,$C$7:$C$48,_xlfn.XLOOKUP(S$61,$D$6:$AS$6,$D$7:$AS$48))</f>
        <v>34770410.734096497</v>
      </c>
      <c r="T86" cm="1">
        <f t="array" ref="T86">_xlfn.XLOOKUP($C86,$C$7:$C$48,_xlfn.XLOOKUP(T$61,$D$6:$AS$6,$D$7:$AS$48))</f>
        <v>28693763.723575801</v>
      </c>
      <c r="U86" cm="1">
        <f t="array" ref="U86">_xlfn.XLOOKUP($C86,$C$7:$C$48,_xlfn.XLOOKUP(U$61,$D$6:$AS$6,$D$7:$AS$48))</f>
        <v>23642420.6271042</v>
      </c>
      <c r="V86" cm="1">
        <f t="array" ref="V86">_xlfn.XLOOKUP($C86,$C$7:$C$48,_xlfn.XLOOKUP(V$61,$D$6:$AS$6,$D$7:$AS$48))</f>
        <v>11503234.3090018</v>
      </c>
      <c r="W86" cm="1">
        <f t="array" ref="W86">_xlfn.XLOOKUP($C86,$C$7:$C$48,_xlfn.XLOOKUP(W$61,$D$6:$AS$6,$D$7:$AS$48))</f>
        <v>8301003.1445472101</v>
      </c>
      <c r="X86" cm="1">
        <f t="array" ref="X86">_xlfn.XLOOKUP($C86,$C$7:$C$48,_xlfn.XLOOKUP(X$61,$D$6:$AS$6,$D$7:$AS$48))</f>
        <v>9037398.2731788196</v>
      </c>
      <c r="Y86" cm="1">
        <f t="array" ref="Y86">_xlfn.XLOOKUP($C86,$C$7:$C$48,_xlfn.XLOOKUP(Y$61,$D$6:$AS$6,$D$7:$AS$48))</f>
        <v>5789468.1708769798</v>
      </c>
      <c r="Z86" cm="1">
        <f t="array" ref="Z86">_xlfn.XLOOKUP($C86,$C$7:$C$48,_xlfn.XLOOKUP(Z$61,$D$6:$AS$6,$D$7:$AS$48))</f>
        <v>1608516.3967347201</v>
      </c>
      <c r="AA86" cm="1">
        <f t="array" ref="AA86">_xlfn.XLOOKUP($C86,$C$7:$C$48,_xlfn.XLOOKUP(AA$61,$D$6:$AS$6,$D$7:$AS$48))</f>
        <v>2024340.4440145099</v>
      </c>
      <c r="AB86" cm="1">
        <f t="array" ref="AB86">_xlfn.XLOOKUP($C86,$C$7:$C$48,_xlfn.XLOOKUP(AB$61,$D$6:$AS$6,$D$7:$AS$48))</f>
        <v>207763089.590819</v>
      </c>
      <c r="AC86" cm="1">
        <f t="array" ref="AC86">_xlfn.XLOOKUP($C86,$C$7:$C$48,_xlfn.XLOOKUP(AC$61,$D$6:$AS$6,$D$7:$AS$48))</f>
        <v>1989258.6932657999</v>
      </c>
      <c r="AD86" cm="1">
        <f t="array" ref="AD86">_xlfn.XLOOKUP($C86,$C$7:$C$48,_xlfn.XLOOKUP(AD$61,$D$6:$AS$6,$D$7:$AS$48))</f>
        <v>5177395.5040959297</v>
      </c>
      <c r="AE86" cm="1">
        <f t="array" ref="AE86">_xlfn.XLOOKUP($C86,$C$7:$C$48,_xlfn.XLOOKUP(AE$61,$D$6:$AS$6,$D$7:$AS$48))</f>
        <v>41785891.453726701</v>
      </c>
      <c r="AF86" cm="1">
        <f t="array" ref="AF86">_xlfn.XLOOKUP($C86,$C$7:$C$48,_xlfn.XLOOKUP(AF$61,$D$6:$AS$6,$D$7:$AS$48))</f>
        <v>12653101.4524859</v>
      </c>
      <c r="AG86" cm="1">
        <f t="array" ref="AG86">_xlfn.XLOOKUP($C86,$C$7:$C$48,_xlfn.XLOOKUP(AG$61,$D$6:$AS$6,$D$7:$AS$48))</f>
        <v>16559627.487119701</v>
      </c>
      <c r="AH86" cm="1">
        <f t="array" ref="AH86">_xlfn.XLOOKUP($C86,$C$7:$C$48,_xlfn.XLOOKUP(AH$61,$D$6:$AS$6,$D$7:$AS$48))</f>
        <v>4171232.3615359901</v>
      </c>
      <c r="AI86" cm="1">
        <f t="array" ref="AI86">_xlfn.XLOOKUP($C86,$C$7:$C$48,_xlfn.XLOOKUP(AI$61,$D$6:$AS$6,$D$7:$AS$48))</f>
        <v>9487206.2947387099</v>
      </c>
      <c r="AJ86" cm="1">
        <f t="array" ref="AJ86">_xlfn.XLOOKUP($C86,$C$7:$C$48,_xlfn.XLOOKUP(AJ$61,$D$6:$AS$6,$D$7:$AS$48))</f>
        <v>3785533.7397023598</v>
      </c>
      <c r="AK86" cm="1">
        <f t="array" ref="AK86">_xlfn.XLOOKUP($C86,$C$7:$C$48,_xlfn.XLOOKUP(AK$61,$D$6:$AS$6,$D$7:$AS$48))</f>
        <v>3096348.0609721499</v>
      </c>
      <c r="AL86" cm="1">
        <f t="array" ref="AL86">_xlfn.XLOOKUP($C86,$C$7:$C$48,_xlfn.XLOOKUP(AL$61,$D$6:$AS$6,$D$7:$AS$48))</f>
        <v>4342106.1335527599</v>
      </c>
      <c r="AM86" cm="1">
        <f t="array" ref="AM86">_xlfn.XLOOKUP($C86,$C$7:$C$48,_xlfn.XLOOKUP(AM$61,$D$6:$AS$6,$D$7:$AS$48))</f>
        <v>4550954.1046263101</v>
      </c>
      <c r="AN86" cm="1">
        <f t="array" ref="AN86">_xlfn.XLOOKUP($C86,$C$7:$C$48,_xlfn.XLOOKUP(AN$61,$D$6:$AS$6,$D$7:$AS$48))</f>
        <v>2489328.2551162899</v>
      </c>
      <c r="AO86" cm="1">
        <f t="array" ref="AO86">_xlfn.XLOOKUP($C86,$C$7:$C$48,_xlfn.XLOOKUP(AO$61,$D$6:$AS$6,$D$7:$AS$48))</f>
        <v>10257739.6612089</v>
      </c>
      <c r="AP86" cm="1">
        <f t="array" ref="AP86">_xlfn.XLOOKUP($C86,$C$7:$C$48,_xlfn.XLOOKUP(AP$61,$D$6:$AS$6,$D$7:$AS$48))</f>
        <v>3442352.6814395399</v>
      </c>
      <c r="AQ86" cm="1">
        <f t="array" ref="AQ86">_xlfn.XLOOKUP($C86,$C$7:$C$48,_xlfn.XLOOKUP(AQ$61,$D$6:$AS$6,$D$7:$AS$48))</f>
        <v>3190635.0215070802</v>
      </c>
      <c r="AR86" cm="1">
        <f t="array" ref="AR86">_xlfn.XLOOKUP($C86,$C$7:$C$48,_xlfn.XLOOKUP(AR$61,$D$6:$AS$6,$D$7:$AS$48))</f>
        <v>1566849.4882740499</v>
      </c>
      <c r="AS86" cm="1">
        <f t="array" ref="AS86">_xlfn.XLOOKUP($C86,$C$7:$C$48,_xlfn.XLOOKUP(AS$61,$D$6:$AS$6,$D$7:$AS$48))</f>
        <v>3425610.48251737</v>
      </c>
      <c r="AT86">
        <f t="shared" si="3"/>
        <v>637055331.53891802</v>
      </c>
      <c r="AU86" cm="1">
        <f t="array" ref="AU86">_xlfn.XLOOKUP(AU$60,$AU$6:$BF$6,_xlfn.XLOOKUP($C86,$C$7:$C$48,$AU$7:$BF$48))</f>
        <v>12007734.9831194</v>
      </c>
      <c r="AV86" cm="1">
        <f t="array" ref="AV86">_xlfn.XLOOKUP(AV$60,$AU$6:$BF$6,_xlfn.XLOOKUP($C86,$C$7:$C$48,$AU$7:$BF$48))</f>
        <v>49517677.873736903</v>
      </c>
      <c r="AW86" cm="1">
        <f t="array" ref="AW86">_xlfn.XLOOKUP(AW$60,$AU$6:$BF$6,_xlfn.XLOOKUP($C86,$C$7:$C$48,$AU$7:$BF$48))</f>
        <v>61525412.856856301</v>
      </c>
      <c r="AX86" cm="1">
        <f t="array" ref="AX86">_xlfn.XLOOKUP(AX$60,$AU$6:$BF$6,_xlfn.XLOOKUP($C86,$C$7:$C$48,$AU$7:$BF$48))</f>
        <v>0</v>
      </c>
      <c r="AY86" cm="1">
        <f t="array" ref="AY86">_xlfn.XLOOKUP(AY$60,$AU$6:$BF$6,_xlfn.XLOOKUP($C86,$C$7:$C$48,$AU$7:$BF$48))</f>
        <v>61525412.856856301</v>
      </c>
      <c r="AZ86" cm="1">
        <f t="array" ref="AZ86">_xlfn.XLOOKUP(AZ$60,$AU$6:$BF$6,_xlfn.XLOOKUP($C86,$C$7:$C$48,$AU$7:$BF$48))</f>
        <v>0</v>
      </c>
      <c r="BA86" cm="1">
        <f t="array" ref="BA86">_xlfn.XLOOKUP(BA$60,$AU$6:$BF$6,_xlfn.XLOOKUP($C86,$C$7:$C$48,$AU$7:$BF$48))</f>
        <v>0</v>
      </c>
      <c r="BB86" cm="1">
        <f t="array" ref="BB86">_xlfn.XLOOKUP(BB$60,$AU$6:$BF$6,_xlfn.XLOOKUP($C86,$C$7:$C$48,$AU$7:$BF$48))</f>
        <v>0</v>
      </c>
      <c r="BC86" cm="1">
        <f t="array" ref="BC86">_xlfn.XLOOKUP(BC$60,$AU$6:$BF$6,_xlfn.XLOOKUP($C86,$C$7:$C$48,$AU$7:$BF$48))</f>
        <v>1045039.7484</v>
      </c>
      <c r="BD86" cm="1">
        <f t="array" ref="BD86">_xlfn.XLOOKUP(BD$60,$AU$6:$BF$6,_xlfn.XLOOKUP($C86,$C$7:$C$48,$AU$7:$BF$48))</f>
        <v>62570452.605256297</v>
      </c>
      <c r="BE86" cm="1">
        <f t="array" ref="BE86">_xlfn.XLOOKUP(BE$60,$AU$6:$BF$6,_xlfn.XLOOKUP($C86,$C$7:$C$48,$AU$7:$BF$48))</f>
        <v>123218.4412</v>
      </c>
      <c r="BF86" cm="1">
        <f t="array" ref="BF86">_xlfn.XLOOKUP(BF$60,$AU$6:$BF$6,_xlfn.XLOOKUP($C86,$C$7:$C$48,$AU$7:$BF$48))</f>
        <v>699502565.70297396</v>
      </c>
      <c r="BH86">
        <f t="shared" si="2"/>
        <v>698580744.39577436</v>
      </c>
      <c r="BJ86">
        <f t="shared" si="4"/>
        <v>1.7638396447153108E-4</v>
      </c>
    </row>
    <row r="87" spans="3:62" x14ac:dyDescent="0.25">
      <c r="C87" s="36" t="s">
        <v>95</v>
      </c>
      <c r="D87" cm="1">
        <f t="array" ref="D87">_xlfn.XLOOKUP($C87,$C$7:$C$48,_xlfn.XLOOKUP(D$61,$D$6:$AS$6,$D$7:$AS$48))</f>
        <v>158734.702636481</v>
      </c>
      <c r="E87" cm="1">
        <f t="array" ref="E87">_xlfn.XLOOKUP($C87,$C$7:$C$48,_xlfn.XLOOKUP(E$61,$D$6:$AS$6,$D$7:$AS$48))</f>
        <v>28901.4549832347</v>
      </c>
      <c r="F87" cm="1">
        <f t="array" ref="F87">_xlfn.XLOOKUP($C87,$C$7:$C$48,_xlfn.XLOOKUP(F$61,$D$6:$AS$6,$D$7:$AS$48))</f>
        <v>21479.904192603601</v>
      </c>
      <c r="G87" cm="1">
        <f t="array" ref="G87">_xlfn.XLOOKUP($C87,$C$7:$C$48,_xlfn.XLOOKUP(G$61,$D$6:$AS$6,$D$7:$AS$48))</f>
        <v>23210.4423339237</v>
      </c>
      <c r="H87" cm="1">
        <f t="array" ref="H87">_xlfn.XLOOKUP($C87,$C$7:$C$48,_xlfn.XLOOKUP(H$61,$D$6:$AS$6,$D$7:$AS$48))</f>
        <v>66417.539930823696</v>
      </c>
      <c r="I87" cm="1">
        <f t="array" ref="I87">_xlfn.XLOOKUP($C87,$C$7:$C$48,_xlfn.XLOOKUP(I$61,$D$6:$AS$6,$D$7:$AS$48))</f>
        <v>443352.99437906401</v>
      </c>
      <c r="J87" cm="1">
        <f t="array" ref="J87">_xlfn.XLOOKUP($C87,$C$7:$C$48,_xlfn.XLOOKUP(J$61,$D$6:$AS$6,$D$7:$AS$48))</f>
        <v>187804.34269080599</v>
      </c>
      <c r="K87" cm="1">
        <f t="array" ref="K87">_xlfn.XLOOKUP($C87,$C$7:$C$48,_xlfn.XLOOKUP(K$61,$D$6:$AS$6,$D$7:$AS$48))</f>
        <v>26205.230886828998</v>
      </c>
      <c r="L87" cm="1">
        <f t="array" ref="L87">_xlfn.XLOOKUP($C87,$C$7:$C$48,_xlfn.XLOOKUP(L$61,$D$6:$AS$6,$D$7:$AS$48))</f>
        <v>455864.76763070998</v>
      </c>
      <c r="M87" cm="1">
        <f t="array" ref="M87">_xlfn.XLOOKUP($C87,$C$7:$C$48,_xlfn.XLOOKUP(M$61,$D$6:$AS$6,$D$7:$AS$48))</f>
        <v>817644.24839578895</v>
      </c>
      <c r="N87" cm="1">
        <f t="array" ref="N87">_xlfn.XLOOKUP($C87,$C$7:$C$48,_xlfn.XLOOKUP(N$61,$D$6:$AS$6,$D$7:$AS$48))</f>
        <v>2010632.1788910399</v>
      </c>
      <c r="O87" cm="1">
        <f t="array" ref="O87">_xlfn.XLOOKUP($C87,$C$7:$C$48,_xlfn.XLOOKUP(O$61,$D$6:$AS$6,$D$7:$AS$48))</f>
        <v>3228.6624178986499</v>
      </c>
      <c r="P87" cm="1">
        <f t="array" ref="P87">_xlfn.XLOOKUP($C87,$C$7:$C$48,_xlfn.XLOOKUP(P$61,$D$6:$AS$6,$D$7:$AS$48))</f>
        <v>5038.3119184469597</v>
      </c>
      <c r="Q87" cm="1">
        <f t="array" ref="Q87">_xlfn.XLOOKUP($C87,$C$7:$C$48,_xlfn.XLOOKUP(Q$61,$D$6:$AS$6,$D$7:$AS$48))</f>
        <v>306402.22007457301</v>
      </c>
      <c r="R87" cm="1">
        <f t="array" ref="R87">_xlfn.XLOOKUP($C87,$C$7:$C$48,_xlfn.XLOOKUP(R$61,$D$6:$AS$6,$D$7:$AS$48))</f>
        <v>240915.818847029</v>
      </c>
      <c r="S87" cm="1">
        <f t="array" ref="S87">_xlfn.XLOOKUP($C87,$C$7:$C$48,_xlfn.XLOOKUP(S$61,$D$6:$AS$6,$D$7:$AS$48))</f>
        <v>233825.70539204401</v>
      </c>
      <c r="T87" cm="1">
        <f t="array" ref="T87">_xlfn.XLOOKUP($C87,$C$7:$C$48,_xlfn.XLOOKUP(T$61,$D$6:$AS$6,$D$7:$AS$48))</f>
        <v>69857.983572238896</v>
      </c>
      <c r="U87" cm="1">
        <f t="array" ref="U87">_xlfn.XLOOKUP($C87,$C$7:$C$48,_xlfn.XLOOKUP(U$61,$D$6:$AS$6,$D$7:$AS$48))</f>
        <v>440098.52054863202</v>
      </c>
      <c r="V87" cm="1">
        <f t="array" ref="V87">_xlfn.XLOOKUP($C87,$C$7:$C$48,_xlfn.XLOOKUP(V$61,$D$6:$AS$6,$D$7:$AS$48))</f>
        <v>139669.20555458</v>
      </c>
      <c r="W87" cm="1">
        <f t="array" ref="W87">_xlfn.XLOOKUP($C87,$C$7:$C$48,_xlfn.XLOOKUP(W$61,$D$6:$AS$6,$D$7:$AS$48))</f>
        <v>250330.61046927501</v>
      </c>
      <c r="X87" cm="1">
        <f t="array" ref="X87">_xlfn.XLOOKUP($C87,$C$7:$C$48,_xlfn.XLOOKUP(X$61,$D$6:$AS$6,$D$7:$AS$48))</f>
        <v>183042.98405176101</v>
      </c>
      <c r="Y87" cm="1">
        <f t="array" ref="Y87">_xlfn.XLOOKUP($C87,$C$7:$C$48,_xlfn.XLOOKUP(Y$61,$D$6:$AS$6,$D$7:$AS$48))</f>
        <v>104306.632854689</v>
      </c>
      <c r="Z87" cm="1">
        <f t="array" ref="Z87">_xlfn.XLOOKUP($C87,$C$7:$C$48,_xlfn.XLOOKUP(Z$61,$D$6:$AS$6,$D$7:$AS$48))</f>
        <v>136222.61171656</v>
      </c>
      <c r="AA87" cm="1">
        <f t="array" ref="AA87">_xlfn.XLOOKUP($C87,$C$7:$C$48,_xlfn.XLOOKUP(AA$61,$D$6:$AS$6,$D$7:$AS$48))</f>
        <v>421341.49805195199</v>
      </c>
      <c r="AB87" cm="1">
        <f t="array" ref="AB87">_xlfn.XLOOKUP($C87,$C$7:$C$48,_xlfn.XLOOKUP(AB$61,$D$6:$AS$6,$D$7:$AS$48))</f>
        <v>1999455.2125124999</v>
      </c>
      <c r="AC87" cm="1">
        <f t="array" ref="AC87">_xlfn.XLOOKUP($C87,$C$7:$C$48,_xlfn.XLOOKUP(AC$61,$D$6:$AS$6,$D$7:$AS$48))</f>
        <v>9988214.6152514108</v>
      </c>
      <c r="AD87" cm="1">
        <f t="array" ref="AD87">_xlfn.XLOOKUP($C87,$C$7:$C$48,_xlfn.XLOOKUP(AD$61,$D$6:$AS$6,$D$7:$AS$48))</f>
        <v>577.10973224771101</v>
      </c>
      <c r="AE87" cm="1">
        <f t="array" ref="AE87">_xlfn.XLOOKUP($C87,$C$7:$C$48,_xlfn.XLOOKUP(AE$61,$D$6:$AS$6,$D$7:$AS$48))</f>
        <v>43646.7161920363</v>
      </c>
      <c r="AF87" cm="1">
        <f t="array" ref="AF87">_xlfn.XLOOKUP($C87,$C$7:$C$48,_xlfn.XLOOKUP(AF$61,$D$6:$AS$6,$D$7:$AS$48))</f>
        <v>108729.406380966</v>
      </c>
      <c r="AG87" cm="1">
        <f t="array" ref="AG87">_xlfn.XLOOKUP($C87,$C$7:$C$48,_xlfn.XLOOKUP(AG$61,$D$6:$AS$6,$D$7:$AS$48))</f>
        <v>19661653.7984179</v>
      </c>
      <c r="AH87" cm="1">
        <f t="array" ref="AH87">_xlfn.XLOOKUP($C87,$C$7:$C$48,_xlfn.XLOOKUP(AH$61,$D$6:$AS$6,$D$7:$AS$48))</f>
        <v>2563138.31292585</v>
      </c>
      <c r="AI87" cm="1">
        <f t="array" ref="AI87">_xlfn.XLOOKUP($C87,$C$7:$C$48,_xlfn.XLOOKUP(AI$61,$D$6:$AS$6,$D$7:$AS$48))</f>
        <v>79885.205672357595</v>
      </c>
      <c r="AJ87" cm="1">
        <f t="array" ref="AJ87">_xlfn.XLOOKUP($C87,$C$7:$C$48,_xlfn.XLOOKUP(AJ$61,$D$6:$AS$6,$D$7:$AS$48))</f>
        <v>461291.884655495</v>
      </c>
      <c r="AK87" cm="1">
        <f t="array" ref="AK87">_xlfn.XLOOKUP($C87,$C$7:$C$48,_xlfn.XLOOKUP(AK$61,$D$6:$AS$6,$D$7:$AS$48))</f>
        <v>181897.00048366399</v>
      </c>
      <c r="AL87" cm="1">
        <f t="array" ref="AL87">_xlfn.XLOOKUP($C87,$C$7:$C$48,_xlfn.XLOOKUP(AL$61,$D$6:$AS$6,$D$7:$AS$48))</f>
        <v>29927.4073905187</v>
      </c>
      <c r="AM87" cm="1">
        <f t="array" ref="AM87">_xlfn.XLOOKUP($C87,$C$7:$C$48,_xlfn.XLOOKUP(AM$61,$D$6:$AS$6,$D$7:$AS$48))</f>
        <v>2003956.33127242</v>
      </c>
      <c r="AN87" cm="1">
        <f t="array" ref="AN87">_xlfn.XLOOKUP($C87,$C$7:$C$48,_xlfn.XLOOKUP(AN$61,$D$6:$AS$6,$D$7:$AS$48))</f>
        <v>211884.969231725</v>
      </c>
      <c r="AO87" cm="1">
        <f t="array" ref="AO87">_xlfn.XLOOKUP($C87,$C$7:$C$48,_xlfn.XLOOKUP(AO$61,$D$6:$AS$6,$D$7:$AS$48))</f>
        <v>347185.736217506</v>
      </c>
      <c r="AP87" cm="1">
        <f t="array" ref="AP87">_xlfn.XLOOKUP($C87,$C$7:$C$48,_xlfn.XLOOKUP(AP$61,$D$6:$AS$6,$D$7:$AS$48))</f>
        <v>533949.62356846302</v>
      </c>
      <c r="AQ87" cm="1">
        <f t="array" ref="AQ87">_xlfn.XLOOKUP($C87,$C$7:$C$48,_xlfn.XLOOKUP(AQ$61,$D$6:$AS$6,$D$7:$AS$48))</f>
        <v>253896.226234584</v>
      </c>
      <c r="AR87" cm="1">
        <f t="array" ref="AR87">_xlfn.XLOOKUP($C87,$C$7:$C$48,_xlfn.XLOOKUP(AR$61,$D$6:$AS$6,$D$7:$AS$48))</f>
        <v>279996.55674751702</v>
      </c>
      <c r="AS87" cm="1">
        <f t="array" ref="AS87">_xlfn.XLOOKUP($C87,$C$7:$C$48,_xlfn.XLOOKUP(AS$61,$D$6:$AS$6,$D$7:$AS$48))</f>
        <v>1107430.7801409401</v>
      </c>
      <c r="AT87">
        <f t="shared" si="3"/>
        <v>46605040.234562203</v>
      </c>
      <c r="AU87" cm="1">
        <f t="array" ref="AU87">_xlfn.XLOOKUP(AU$60,$AU$6:$BF$6,_xlfn.XLOOKUP($C87,$C$7:$C$48,$AU$7:$BF$48))</f>
        <v>1394219.1029457999</v>
      </c>
      <c r="AV87" cm="1">
        <f t="array" ref="AV87">_xlfn.XLOOKUP(AV$60,$AU$6:$BF$6,_xlfn.XLOOKUP($C87,$C$7:$C$48,$AU$7:$BF$48))</f>
        <v>32378337.354393002</v>
      </c>
      <c r="AW87" cm="1">
        <f t="array" ref="AW87">_xlfn.XLOOKUP(AW$60,$AU$6:$BF$6,_xlfn.XLOOKUP($C87,$C$7:$C$48,$AU$7:$BF$48))</f>
        <v>33772556.457338803</v>
      </c>
      <c r="AX87" cm="1">
        <f t="array" ref="AX87">_xlfn.XLOOKUP(AX$60,$AU$6:$BF$6,_xlfn.XLOOKUP($C87,$C$7:$C$48,$AU$7:$BF$48))</f>
        <v>0</v>
      </c>
      <c r="AY87" cm="1">
        <f t="array" ref="AY87">_xlfn.XLOOKUP(AY$60,$AU$6:$BF$6,_xlfn.XLOOKUP($C87,$C$7:$C$48,$AU$7:$BF$48))</f>
        <v>33772556.457338803</v>
      </c>
      <c r="AZ87" cm="1">
        <f t="array" ref="AZ87">_xlfn.XLOOKUP(AZ$60,$AU$6:$BF$6,_xlfn.XLOOKUP($C87,$C$7:$C$48,$AU$7:$BF$48))</f>
        <v>0</v>
      </c>
      <c r="BA87" cm="1">
        <f t="array" ref="BA87">_xlfn.XLOOKUP(BA$60,$AU$6:$BF$6,_xlfn.XLOOKUP($C87,$C$7:$C$48,$AU$7:$BF$48))</f>
        <v>893408.64044541295</v>
      </c>
      <c r="BB87" cm="1">
        <f t="array" ref="BB87">_xlfn.XLOOKUP(BB$60,$AU$6:$BF$6,_xlfn.XLOOKUP($C87,$C$7:$C$48,$AU$7:$BF$48))</f>
        <v>893408.64044541295</v>
      </c>
      <c r="BC87" cm="1">
        <f t="array" ref="BC87">_xlfn.XLOOKUP(BC$60,$AU$6:$BF$6,_xlfn.XLOOKUP($C87,$C$7:$C$48,$AU$7:$BF$48))</f>
        <v>0</v>
      </c>
      <c r="BD87" cm="1">
        <f t="array" ref="BD87">_xlfn.XLOOKUP(BD$60,$AU$6:$BF$6,_xlfn.XLOOKUP($C87,$C$7:$C$48,$AU$7:$BF$48))</f>
        <v>34665965.097784303</v>
      </c>
      <c r="BE87" cm="1">
        <f t="array" ref="BE87">_xlfn.XLOOKUP(BE$60,$AU$6:$BF$6,_xlfn.XLOOKUP($C87,$C$7:$C$48,$AU$7:$BF$48))</f>
        <v>0</v>
      </c>
      <c r="BF87" cm="1">
        <f t="array" ref="BF87">_xlfn.XLOOKUP(BF$60,$AU$6:$BF$6,_xlfn.XLOOKUP($C87,$C$7:$C$48,$AU$7:$BF$48))</f>
        <v>81271005.332346603</v>
      </c>
      <c r="BH87">
        <f t="shared" si="2"/>
        <v>81271005.33234641</v>
      </c>
      <c r="BJ87">
        <f t="shared" si="4"/>
        <v>0</v>
      </c>
    </row>
    <row r="88" spans="3:62" x14ac:dyDescent="0.25">
      <c r="C88" s="36" t="s">
        <v>96</v>
      </c>
      <c r="D88" cm="1">
        <f t="array" ref="D88">_xlfn.XLOOKUP($C88,$C$7:$C$48,_xlfn.XLOOKUP(D$61,$D$6:$AS$6,$D$7:$AS$48))</f>
        <v>41316.588252533198</v>
      </c>
      <c r="E88" cm="1">
        <f t="array" ref="E88">_xlfn.XLOOKUP($C88,$C$7:$C$48,_xlfn.XLOOKUP(E$61,$D$6:$AS$6,$D$7:$AS$48))</f>
        <v>56861.257707942998</v>
      </c>
      <c r="F88" cm="1">
        <f t="array" ref="F88">_xlfn.XLOOKUP($C88,$C$7:$C$48,_xlfn.XLOOKUP(F$61,$D$6:$AS$6,$D$7:$AS$48))</f>
        <v>66724.691130288003</v>
      </c>
      <c r="G88" cm="1">
        <f t="array" ref="G88">_xlfn.XLOOKUP($C88,$C$7:$C$48,_xlfn.XLOOKUP(G$61,$D$6:$AS$6,$D$7:$AS$48))</f>
        <v>75500.916232385003</v>
      </c>
      <c r="H88" cm="1">
        <f t="array" ref="H88">_xlfn.XLOOKUP($C88,$C$7:$C$48,_xlfn.XLOOKUP(H$61,$D$6:$AS$6,$D$7:$AS$48))</f>
        <v>15289.876303716201</v>
      </c>
      <c r="I88" cm="1">
        <f t="array" ref="I88">_xlfn.XLOOKUP($C88,$C$7:$C$48,_xlfn.XLOOKUP(I$61,$D$6:$AS$6,$D$7:$AS$48))</f>
        <v>1176862.5578435501</v>
      </c>
      <c r="J88" cm="1">
        <f t="array" ref="J88">_xlfn.XLOOKUP($C88,$C$7:$C$48,_xlfn.XLOOKUP(J$61,$D$6:$AS$6,$D$7:$AS$48))</f>
        <v>280582.66604564601</v>
      </c>
      <c r="K88" cm="1">
        <f t="array" ref="K88">_xlfn.XLOOKUP($C88,$C$7:$C$48,_xlfn.XLOOKUP(K$61,$D$6:$AS$6,$D$7:$AS$48))</f>
        <v>118367.57321422199</v>
      </c>
      <c r="L88" cm="1">
        <f t="array" ref="L88">_xlfn.XLOOKUP($C88,$C$7:$C$48,_xlfn.XLOOKUP(L$61,$D$6:$AS$6,$D$7:$AS$48))</f>
        <v>442167.91749623301</v>
      </c>
      <c r="M88" cm="1">
        <f t="array" ref="M88">_xlfn.XLOOKUP($C88,$C$7:$C$48,_xlfn.XLOOKUP(M$61,$D$6:$AS$6,$D$7:$AS$48))</f>
        <v>149328.75506023099</v>
      </c>
      <c r="N88" cm="1">
        <f t="array" ref="N88">_xlfn.XLOOKUP($C88,$C$7:$C$48,_xlfn.XLOOKUP(N$61,$D$6:$AS$6,$D$7:$AS$48))</f>
        <v>481011.19009596203</v>
      </c>
      <c r="O88" cm="1">
        <f t="array" ref="O88">_xlfn.XLOOKUP($C88,$C$7:$C$48,_xlfn.XLOOKUP(O$61,$D$6:$AS$6,$D$7:$AS$48))</f>
        <v>235131.24611225101</v>
      </c>
      <c r="P88" cm="1">
        <f t="array" ref="P88">_xlfn.XLOOKUP($C88,$C$7:$C$48,_xlfn.XLOOKUP(P$61,$D$6:$AS$6,$D$7:$AS$48))</f>
        <v>150793.20284570201</v>
      </c>
      <c r="Q88" cm="1">
        <f t="array" ref="Q88">_xlfn.XLOOKUP($C88,$C$7:$C$48,_xlfn.XLOOKUP(Q$61,$D$6:$AS$6,$D$7:$AS$48))</f>
        <v>185550.30952927901</v>
      </c>
      <c r="R88" cm="1">
        <f t="array" ref="R88">_xlfn.XLOOKUP($C88,$C$7:$C$48,_xlfn.XLOOKUP(R$61,$D$6:$AS$6,$D$7:$AS$48))</f>
        <v>532732.64514070202</v>
      </c>
      <c r="S88" cm="1">
        <f t="array" ref="S88">_xlfn.XLOOKUP($C88,$C$7:$C$48,_xlfn.XLOOKUP(S$61,$D$6:$AS$6,$D$7:$AS$48))</f>
        <v>313577.763558793</v>
      </c>
      <c r="T88" cm="1">
        <f t="array" ref="T88">_xlfn.XLOOKUP($C88,$C$7:$C$48,_xlfn.XLOOKUP(T$61,$D$6:$AS$6,$D$7:$AS$48))</f>
        <v>110786.029679926</v>
      </c>
      <c r="U88" cm="1">
        <f t="array" ref="U88">_xlfn.XLOOKUP($C88,$C$7:$C$48,_xlfn.XLOOKUP(U$61,$D$6:$AS$6,$D$7:$AS$48))</f>
        <v>157179.32835927201</v>
      </c>
      <c r="V88" cm="1">
        <f t="array" ref="V88">_xlfn.XLOOKUP($C88,$C$7:$C$48,_xlfn.XLOOKUP(V$61,$D$6:$AS$6,$D$7:$AS$48))</f>
        <v>532648.03583173396</v>
      </c>
      <c r="W88" cm="1">
        <f t="array" ref="W88">_xlfn.XLOOKUP($C88,$C$7:$C$48,_xlfn.XLOOKUP(W$61,$D$6:$AS$6,$D$7:$AS$48))</f>
        <v>405654.938503351</v>
      </c>
      <c r="X88" cm="1">
        <f t="array" ref="X88">_xlfn.XLOOKUP($C88,$C$7:$C$48,_xlfn.XLOOKUP(X$61,$D$6:$AS$6,$D$7:$AS$48))</f>
        <v>340480.59486597299</v>
      </c>
      <c r="Y88" cm="1">
        <f t="array" ref="Y88">_xlfn.XLOOKUP($C88,$C$7:$C$48,_xlfn.XLOOKUP(Y$61,$D$6:$AS$6,$D$7:$AS$48))</f>
        <v>167372.94243364499</v>
      </c>
      <c r="Z88" cm="1">
        <f t="array" ref="Z88">_xlfn.XLOOKUP($C88,$C$7:$C$48,_xlfn.XLOOKUP(Z$61,$D$6:$AS$6,$D$7:$AS$48))</f>
        <v>121137.104951136</v>
      </c>
      <c r="AA88" cm="1">
        <f t="array" ref="AA88">_xlfn.XLOOKUP($C88,$C$7:$C$48,_xlfn.XLOOKUP(AA$61,$D$6:$AS$6,$D$7:$AS$48))</f>
        <v>182154.691878221</v>
      </c>
      <c r="AB88" cm="1">
        <f t="array" ref="AB88">_xlfn.XLOOKUP($C88,$C$7:$C$48,_xlfn.XLOOKUP(AB$61,$D$6:$AS$6,$D$7:$AS$48))</f>
        <v>1234128.68752964</v>
      </c>
      <c r="AC88" cm="1">
        <f t="array" ref="AC88">_xlfn.XLOOKUP($C88,$C$7:$C$48,_xlfn.XLOOKUP(AC$61,$D$6:$AS$6,$D$7:$AS$48))</f>
        <v>36613.344005373401</v>
      </c>
      <c r="AD88" cm="1">
        <f t="array" ref="AD88">_xlfn.XLOOKUP($C88,$C$7:$C$48,_xlfn.XLOOKUP(AD$61,$D$6:$AS$6,$D$7:$AS$48))</f>
        <v>2092918.6371561601</v>
      </c>
      <c r="AE88" cm="1">
        <f t="array" ref="AE88">_xlfn.XLOOKUP($C88,$C$7:$C$48,_xlfn.XLOOKUP(AE$61,$D$6:$AS$6,$D$7:$AS$48))</f>
        <v>2894162.0483027301</v>
      </c>
      <c r="AF88" cm="1">
        <f t="array" ref="AF88">_xlfn.XLOOKUP($C88,$C$7:$C$48,_xlfn.XLOOKUP(AF$61,$D$6:$AS$6,$D$7:$AS$48))</f>
        <v>552057.35316751699</v>
      </c>
      <c r="AG88" cm="1">
        <f t="array" ref="AG88">_xlfn.XLOOKUP($C88,$C$7:$C$48,_xlfn.XLOOKUP(AG$61,$D$6:$AS$6,$D$7:$AS$48))</f>
        <v>496240.20191985503</v>
      </c>
      <c r="AH88" cm="1">
        <f t="array" ref="AH88">_xlfn.XLOOKUP($C88,$C$7:$C$48,_xlfn.XLOOKUP(AH$61,$D$6:$AS$6,$D$7:$AS$48))</f>
        <v>1161758.0917028401</v>
      </c>
      <c r="AI88" cm="1">
        <f t="array" ref="AI88">_xlfn.XLOOKUP($C88,$C$7:$C$48,_xlfn.XLOOKUP(AI$61,$D$6:$AS$6,$D$7:$AS$48))</f>
        <v>269693.69170390099</v>
      </c>
      <c r="AJ88" cm="1">
        <f t="array" ref="AJ88">_xlfn.XLOOKUP($C88,$C$7:$C$48,_xlfn.XLOOKUP(AJ$61,$D$6:$AS$6,$D$7:$AS$48))</f>
        <v>119223.28508387999</v>
      </c>
      <c r="AK88" cm="1">
        <f t="array" ref="AK88">_xlfn.XLOOKUP($C88,$C$7:$C$48,_xlfn.XLOOKUP(AK$61,$D$6:$AS$6,$D$7:$AS$48))</f>
        <v>505701.343195469</v>
      </c>
      <c r="AL88" cm="1">
        <f t="array" ref="AL88">_xlfn.XLOOKUP($C88,$C$7:$C$48,_xlfn.XLOOKUP(AL$61,$D$6:$AS$6,$D$7:$AS$48))</f>
        <v>367635.55861132202</v>
      </c>
      <c r="AM88" cm="1">
        <f t="array" ref="AM88">_xlfn.XLOOKUP($C88,$C$7:$C$48,_xlfn.XLOOKUP(AM$61,$D$6:$AS$6,$D$7:$AS$48))</f>
        <v>556423.34696311899</v>
      </c>
      <c r="AN88" cm="1">
        <f t="array" ref="AN88">_xlfn.XLOOKUP($C88,$C$7:$C$48,_xlfn.XLOOKUP(AN$61,$D$6:$AS$6,$D$7:$AS$48))</f>
        <v>125838.583104519</v>
      </c>
      <c r="AO88" cm="1">
        <f t="array" ref="AO88">_xlfn.XLOOKUP($C88,$C$7:$C$48,_xlfn.XLOOKUP(AO$61,$D$6:$AS$6,$D$7:$AS$48))</f>
        <v>903821.15177748597</v>
      </c>
      <c r="AP88" cm="1">
        <f t="array" ref="AP88">_xlfn.XLOOKUP($C88,$C$7:$C$48,_xlfn.XLOOKUP(AP$61,$D$6:$AS$6,$D$7:$AS$48))</f>
        <v>435482.55695067899</v>
      </c>
      <c r="AQ88" cm="1">
        <f t="array" ref="AQ88">_xlfn.XLOOKUP($C88,$C$7:$C$48,_xlfn.XLOOKUP(AQ$61,$D$6:$AS$6,$D$7:$AS$48))</f>
        <v>316913.101361849</v>
      </c>
      <c r="AR88" cm="1">
        <f t="array" ref="AR88">_xlfn.XLOOKUP($C88,$C$7:$C$48,_xlfn.XLOOKUP(AR$61,$D$6:$AS$6,$D$7:$AS$48))</f>
        <v>273234.61167785601</v>
      </c>
      <c r="AS88" cm="1">
        <f t="array" ref="AS88">_xlfn.XLOOKUP($C88,$C$7:$C$48,_xlfn.XLOOKUP(AS$61,$D$6:$AS$6,$D$7:$AS$48))</f>
        <v>426824.19165027101</v>
      </c>
      <c r="AT88">
        <f t="shared" si="3"/>
        <v>18989515.0357229</v>
      </c>
      <c r="AU88" cm="1">
        <f t="array" ref="AU88">_xlfn.XLOOKUP(AU$60,$AU$6:$BF$6,_xlfn.XLOOKUP($C88,$C$7:$C$48,$AU$7:$BF$48))</f>
        <v>2708952.0732222698</v>
      </c>
      <c r="AV88" cm="1">
        <f t="array" ref="AV88">_xlfn.XLOOKUP(AV$60,$AU$6:$BF$6,_xlfn.XLOOKUP($C88,$C$7:$C$48,$AU$7:$BF$48))</f>
        <v>18088343.402777299</v>
      </c>
      <c r="AW88" cm="1">
        <f t="array" ref="AW88">_xlfn.XLOOKUP(AW$60,$AU$6:$BF$6,_xlfn.XLOOKUP($C88,$C$7:$C$48,$AU$7:$BF$48))</f>
        <v>20797295.475999601</v>
      </c>
      <c r="AX88" cm="1">
        <f t="array" ref="AX88">_xlfn.XLOOKUP(AX$60,$AU$6:$BF$6,_xlfn.XLOOKUP($C88,$C$7:$C$48,$AU$7:$BF$48))</f>
        <v>0</v>
      </c>
      <c r="AY88" cm="1">
        <f t="array" ref="AY88">_xlfn.XLOOKUP(AY$60,$AU$6:$BF$6,_xlfn.XLOOKUP($C88,$C$7:$C$48,$AU$7:$BF$48))</f>
        <v>20797295.475999601</v>
      </c>
      <c r="AZ88" cm="1">
        <f t="array" ref="AZ88">_xlfn.XLOOKUP(AZ$60,$AU$6:$BF$6,_xlfn.XLOOKUP($C88,$C$7:$C$48,$AU$7:$BF$48))</f>
        <v>0</v>
      </c>
      <c r="BA88" cm="1">
        <f t="array" ref="BA88">_xlfn.XLOOKUP(BA$60,$AU$6:$BF$6,_xlfn.XLOOKUP($C88,$C$7:$C$48,$AU$7:$BF$48))</f>
        <v>891741.45750941802</v>
      </c>
      <c r="BB88" cm="1">
        <f t="array" ref="BB88">_xlfn.XLOOKUP(BB$60,$AU$6:$BF$6,_xlfn.XLOOKUP($C88,$C$7:$C$48,$AU$7:$BF$48))</f>
        <v>891741.45750941802</v>
      </c>
      <c r="BC88" cm="1">
        <f t="array" ref="BC88">_xlfn.XLOOKUP(BC$60,$AU$6:$BF$6,_xlfn.XLOOKUP($C88,$C$7:$C$48,$AU$7:$BF$48))</f>
        <v>0</v>
      </c>
      <c r="BD88" cm="1">
        <f t="array" ref="BD88">_xlfn.XLOOKUP(BD$60,$AU$6:$BF$6,_xlfn.XLOOKUP($C88,$C$7:$C$48,$AU$7:$BF$48))</f>
        <v>21689036.933509</v>
      </c>
      <c r="BE88" cm="1">
        <f t="array" ref="BE88">_xlfn.XLOOKUP(BE$60,$AU$6:$BF$6,_xlfn.XLOOKUP($C88,$C$7:$C$48,$AU$7:$BF$48))</f>
        <v>0</v>
      </c>
      <c r="BF88" cm="1">
        <f t="array" ref="BF88">_xlfn.XLOOKUP(BF$60,$AU$6:$BF$6,_xlfn.XLOOKUP($C88,$C$7:$C$48,$AU$7:$BF$48))</f>
        <v>40678551.969231904</v>
      </c>
      <c r="BH88">
        <f t="shared" si="2"/>
        <v>40678551.969231926</v>
      </c>
      <c r="BJ88">
        <f t="shared" si="4"/>
        <v>0</v>
      </c>
    </row>
    <row r="89" spans="3:62" x14ac:dyDescent="0.25">
      <c r="C89" s="36" t="s">
        <v>97</v>
      </c>
      <c r="D89" cm="1">
        <f t="array" ref="D89">_xlfn.XLOOKUP($C89,$C$7:$C$48,_xlfn.XLOOKUP(D$61,$D$6:$AS$6,$D$7:$AS$48))</f>
        <v>767866.27291258995</v>
      </c>
      <c r="E89" cm="1">
        <f t="array" ref="E89">_xlfn.XLOOKUP($C89,$C$7:$C$48,_xlfn.XLOOKUP(E$61,$D$6:$AS$6,$D$7:$AS$48))</f>
        <v>136712.76462960101</v>
      </c>
      <c r="F89" cm="1">
        <f t="array" ref="F89">_xlfn.XLOOKUP($C89,$C$7:$C$48,_xlfn.XLOOKUP(F$61,$D$6:$AS$6,$D$7:$AS$48))</f>
        <v>28483.4786058051</v>
      </c>
      <c r="G89" cm="1">
        <f t="array" ref="G89">_xlfn.XLOOKUP($C89,$C$7:$C$48,_xlfn.XLOOKUP(G$61,$D$6:$AS$6,$D$7:$AS$48))</f>
        <v>39555.2327590926</v>
      </c>
      <c r="H89" cm="1">
        <f t="array" ref="H89">_xlfn.XLOOKUP($C89,$C$7:$C$48,_xlfn.XLOOKUP(H$61,$D$6:$AS$6,$D$7:$AS$48))</f>
        <v>5924.7935314633096</v>
      </c>
      <c r="I89" cm="1">
        <f t="array" ref="I89">_xlfn.XLOOKUP($C89,$C$7:$C$48,_xlfn.XLOOKUP(I$61,$D$6:$AS$6,$D$7:$AS$48))</f>
        <v>215253.65315689999</v>
      </c>
      <c r="J89" cm="1">
        <f t="array" ref="J89">_xlfn.XLOOKUP($C89,$C$7:$C$48,_xlfn.XLOOKUP(J$61,$D$6:$AS$6,$D$7:$AS$48))</f>
        <v>226716.426076526</v>
      </c>
      <c r="K89" cm="1">
        <f t="array" ref="K89">_xlfn.XLOOKUP($C89,$C$7:$C$48,_xlfn.XLOOKUP(K$61,$D$6:$AS$6,$D$7:$AS$48))</f>
        <v>132624.129456814</v>
      </c>
      <c r="L89" cm="1">
        <f t="array" ref="L89">_xlfn.XLOOKUP($C89,$C$7:$C$48,_xlfn.XLOOKUP(L$61,$D$6:$AS$6,$D$7:$AS$48))</f>
        <v>238488.81530050599</v>
      </c>
      <c r="M89" cm="1">
        <f t="array" ref="M89">_xlfn.XLOOKUP($C89,$C$7:$C$48,_xlfn.XLOOKUP(M$61,$D$6:$AS$6,$D$7:$AS$48))</f>
        <v>50165.433194638303</v>
      </c>
      <c r="N89" cm="1">
        <f t="array" ref="N89">_xlfn.XLOOKUP($C89,$C$7:$C$48,_xlfn.XLOOKUP(N$61,$D$6:$AS$6,$D$7:$AS$48))</f>
        <v>339457.69367522199</v>
      </c>
      <c r="O89" cm="1">
        <f t="array" ref="O89">_xlfn.XLOOKUP($C89,$C$7:$C$48,_xlfn.XLOOKUP(O$61,$D$6:$AS$6,$D$7:$AS$48))</f>
        <v>62322.093986348002</v>
      </c>
      <c r="P89" cm="1">
        <f t="array" ref="P89">_xlfn.XLOOKUP($C89,$C$7:$C$48,_xlfn.XLOOKUP(P$61,$D$6:$AS$6,$D$7:$AS$48))</f>
        <v>93738.603114202997</v>
      </c>
      <c r="Q89" cm="1">
        <f t="array" ref="Q89">_xlfn.XLOOKUP($C89,$C$7:$C$48,_xlfn.XLOOKUP(Q$61,$D$6:$AS$6,$D$7:$AS$48))</f>
        <v>124690.040871795</v>
      </c>
      <c r="R89" cm="1">
        <f t="array" ref="R89">_xlfn.XLOOKUP($C89,$C$7:$C$48,_xlfn.XLOOKUP(R$61,$D$6:$AS$6,$D$7:$AS$48))</f>
        <v>162675.607305991</v>
      </c>
      <c r="S89" cm="1">
        <f t="array" ref="S89">_xlfn.XLOOKUP($C89,$C$7:$C$48,_xlfn.XLOOKUP(S$61,$D$6:$AS$6,$D$7:$AS$48))</f>
        <v>95544.614739968194</v>
      </c>
      <c r="T89" cm="1">
        <f t="array" ref="T89">_xlfn.XLOOKUP($C89,$C$7:$C$48,_xlfn.XLOOKUP(T$61,$D$6:$AS$6,$D$7:$AS$48))</f>
        <v>78767.820339656595</v>
      </c>
      <c r="U89" cm="1">
        <f t="array" ref="U89">_xlfn.XLOOKUP($C89,$C$7:$C$48,_xlfn.XLOOKUP(U$61,$D$6:$AS$6,$D$7:$AS$48))</f>
        <v>112818.398974717</v>
      </c>
      <c r="V89" cm="1">
        <f t="array" ref="V89">_xlfn.XLOOKUP($C89,$C$7:$C$48,_xlfn.XLOOKUP(V$61,$D$6:$AS$6,$D$7:$AS$48))</f>
        <v>667409.93998919497</v>
      </c>
      <c r="W89" cm="1">
        <f t="array" ref="W89">_xlfn.XLOOKUP($C89,$C$7:$C$48,_xlfn.XLOOKUP(W$61,$D$6:$AS$6,$D$7:$AS$48))</f>
        <v>180123.420648795</v>
      </c>
      <c r="X89" cm="1">
        <f t="array" ref="X89">_xlfn.XLOOKUP($C89,$C$7:$C$48,_xlfn.XLOOKUP(X$61,$D$6:$AS$6,$D$7:$AS$48))</f>
        <v>310533.93412080401</v>
      </c>
      <c r="Y89" cm="1">
        <f t="array" ref="Y89">_xlfn.XLOOKUP($C89,$C$7:$C$48,_xlfn.XLOOKUP(Y$61,$D$6:$AS$6,$D$7:$AS$48))</f>
        <v>139887.315349785</v>
      </c>
      <c r="Z89" cm="1">
        <f t="array" ref="Z89">_xlfn.XLOOKUP($C89,$C$7:$C$48,_xlfn.XLOOKUP(Z$61,$D$6:$AS$6,$D$7:$AS$48))</f>
        <v>47393.878590150103</v>
      </c>
      <c r="AA89" cm="1">
        <f t="array" ref="AA89">_xlfn.XLOOKUP($C89,$C$7:$C$48,_xlfn.XLOOKUP(AA$61,$D$6:$AS$6,$D$7:$AS$48))</f>
        <v>89637.304741633401</v>
      </c>
      <c r="AB89" cm="1">
        <f t="array" ref="AB89">_xlfn.XLOOKUP($C89,$C$7:$C$48,_xlfn.XLOOKUP(AB$61,$D$6:$AS$6,$D$7:$AS$48))</f>
        <v>2679712.7946501598</v>
      </c>
      <c r="AC89" cm="1">
        <f t="array" ref="AC89">_xlfn.XLOOKUP($C89,$C$7:$C$48,_xlfn.XLOOKUP(AC$61,$D$6:$AS$6,$D$7:$AS$48))</f>
        <v>28595.2440077961</v>
      </c>
      <c r="AD89" cm="1">
        <f t="array" ref="AD89">_xlfn.XLOOKUP($C89,$C$7:$C$48,_xlfn.XLOOKUP(AD$61,$D$6:$AS$6,$D$7:$AS$48))</f>
        <v>75522.733505083699</v>
      </c>
      <c r="AE89" cm="1">
        <f t="array" ref="AE89">_xlfn.XLOOKUP($C89,$C$7:$C$48,_xlfn.XLOOKUP(AE$61,$D$6:$AS$6,$D$7:$AS$48))</f>
        <v>102777626.861809</v>
      </c>
      <c r="AF89" cm="1">
        <f t="array" ref="AF89">_xlfn.XLOOKUP($C89,$C$7:$C$48,_xlfn.XLOOKUP(AF$61,$D$6:$AS$6,$D$7:$AS$48))</f>
        <v>1487150.4145561899</v>
      </c>
      <c r="AG89" cm="1">
        <f t="array" ref="AG89">_xlfn.XLOOKUP($C89,$C$7:$C$48,_xlfn.XLOOKUP(AG$61,$D$6:$AS$6,$D$7:$AS$48))</f>
        <v>2015285.3911783299</v>
      </c>
      <c r="AH89" cm="1">
        <f t="array" ref="AH89">_xlfn.XLOOKUP($C89,$C$7:$C$48,_xlfn.XLOOKUP(AH$61,$D$6:$AS$6,$D$7:$AS$48))</f>
        <v>901665.81305564696</v>
      </c>
      <c r="AI89" cm="1">
        <f t="array" ref="AI89">_xlfn.XLOOKUP($C89,$C$7:$C$48,_xlfn.XLOOKUP(AI$61,$D$6:$AS$6,$D$7:$AS$48))</f>
        <v>954151.50461212103</v>
      </c>
      <c r="AJ89" cm="1">
        <f t="array" ref="AJ89">_xlfn.XLOOKUP($C89,$C$7:$C$48,_xlfn.XLOOKUP(AJ$61,$D$6:$AS$6,$D$7:$AS$48))</f>
        <v>445793.24860177102</v>
      </c>
      <c r="AK89" cm="1">
        <f t="array" ref="AK89">_xlfn.XLOOKUP($C89,$C$7:$C$48,_xlfn.XLOOKUP(AK$61,$D$6:$AS$6,$D$7:$AS$48))</f>
        <v>424334.51161238598</v>
      </c>
      <c r="AL89" cm="1">
        <f t="array" ref="AL89">_xlfn.XLOOKUP($C89,$C$7:$C$48,_xlfn.XLOOKUP(AL$61,$D$6:$AS$6,$D$7:$AS$48))</f>
        <v>2489999.29194621</v>
      </c>
      <c r="AM89" cm="1">
        <f t="array" ref="AM89">_xlfn.XLOOKUP($C89,$C$7:$C$48,_xlfn.XLOOKUP(AM$61,$D$6:$AS$6,$D$7:$AS$48))</f>
        <v>14193938.3943872</v>
      </c>
      <c r="AN89" cm="1">
        <f t="array" ref="AN89">_xlfn.XLOOKUP($C89,$C$7:$C$48,_xlfn.XLOOKUP(AN$61,$D$6:$AS$6,$D$7:$AS$48))</f>
        <v>514616.38248372899</v>
      </c>
      <c r="AO89" cm="1">
        <f t="array" ref="AO89">_xlfn.XLOOKUP($C89,$C$7:$C$48,_xlfn.XLOOKUP(AO$61,$D$6:$AS$6,$D$7:$AS$48))</f>
        <v>10876464.686654501</v>
      </c>
      <c r="AP89" cm="1">
        <f t="array" ref="AP89">_xlfn.XLOOKUP($C89,$C$7:$C$48,_xlfn.XLOOKUP(AP$61,$D$6:$AS$6,$D$7:$AS$48))</f>
        <v>3319541.48031619</v>
      </c>
      <c r="AQ89" cm="1">
        <f t="array" ref="AQ89">_xlfn.XLOOKUP($C89,$C$7:$C$48,_xlfn.XLOOKUP(AQ$61,$D$6:$AS$6,$D$7:$AS$48))</f>
        <v>1071607.6873737201</v>
      </c>
      <c r="AR89" cm="1">
        <f t="array" ref="AR89">_xlfn.XLOOKUP($C89,$C$7:$C$48,_xlfn.XLOOKUP(AR$61,$D$6:$AS$6,$D$7:$AS$48))</f>
        <v>993565.57971969096</v>
      </c>
      <c r="AS89" cm="1">
        <f t="array" ref="AS89">_xlfn.XLOOKUP($C89,$C$7:$C$48,_xlfn.XLOOKUP(AS$61,$D$6:$AS$6,$D$7:$AS$48))</f>
        <v>528902.69084494305</v>
      </c>
      <c r="AT89">
        <f t="shared" si="3"/>
        <v>149992642.24792999</v>
      </c>
      <c r="AU89" cm="1">
        <f t="array" ref="AU89">_xlfn.XLOOKUP(AU$60,$AU$6:$BF$6,_xlfn.XLOOKUP($C89,$C$7:$C$48,$AU$7:$BF$48))</f>
        <v>0</v>
      </c>
      <c r="AV89" cm="1">
        <f t="array" ref="AV89">_xlfn.XLOOKUP(AV$60,$AU$6:$BF$6,_xlfn.XLOOKUP($C89,$C$7:$C$48,$AU$7:$BF$48))</f>
        <v>0</v>
      </c>
      <c r="AW89" cm="1">
        <f t="array" ref="AW89">_xlfn.XLOOKUP(AW$60,$AU$6:$BF$6,_xlfn.XLOOKUP($C89,$C$7:$C$48,$AU$7:$BF$48))</f>
        <v>0</v>
      </c>
      <c r="AX89" cm="1">
        <f t="array" ref="AX89">_xlfn.XLOOKUP(AX$60,$AU$6:$BF$6,_xlfn.XLOOKUP($C89,$C$7:$C$48,$AU$7:$BF$48))</f>
        <v>0</v>
      </c>
      <c r="AY89" cm="1">
        <f t="array" ref="AY89">_xlfn.XLOOKUP(AY$60,$AU$6:$BF$6,_xlfn.XLOOKUP($C89,$C$7:$C$48,$AU$7:$BF$48))</f>
        <v>0</v>
      </c>
      <c r="AZ89" cm="1">
        <f t="array" ref="AZ89">_xlfn.XLOOKUP(AZ$60,$AU$6:$BF$6,_xlfn.XLOOKUP($C89,$C$7:$C$48,$AU$7:$BF$48))</f>
        <v>2707176325.74966</v>
      </c>
      <c r="BA89" cm="1">
        <f t="array" ref="BA89">_xlfn.XLOOKUP(BA$60,$AU$6:$BF$6,_xlfn.XLOOKUP($C89,$C$7:$C$48,$AU$7:$BF$48))</f>
        <v>0</v>
      </c>
      <c r="BB89" cm="1">
        <f t="array" ref="BB89">_xlfn.XLOOKUP(BB$60,$AU$6:$BF$6,_xlfn.XLOOKUP($C89,$C$7:$C$48,$AU$7:$BF$48))</f>
        <v>2707176325.74966</v>
      </c>
      <c r="BC89" cm="1">
        <f t="array" ref="BC89">_xlfn.XLOOKUP(BC$60,$AU$6:$BF$6,_xlfn.XLOOKUP($C89,$C$7:$C$48,$AU$7:$BF$48))</f>
        <v>8681061.2808516994</v>
      </c>
      <c r="BD89" cm="1">
        <f t="array" ref="BD89">_xlfn.XLOOKUP(BD$60,$AU$6:$BF$6,_xlfn.XLOOKUP($C89,$C$7:$C$48,$AU$7:$BF$48))</f>
        <v>2715857387.03052</v>
      </c>
      <c r="BE89" cm="1">
        <f t="array" ref="BE89">_xlfn.XLOOKUP(BE$60,$AU$6:$BF$6,_xlfn.XLOOKUP($C89,$C$7:$C$48,$AU$7:$BF$48))</f>
        <v>5545047.8637640001</v>
      </c>
      <c r="BF89" cm="1">
        <f t="array" ref="BF89">_xlfn.XLOOKUP(BF$60,$AU$6:$BF$6,_xlfn.XLOOKUP($C89,$C$7:$C$48,$AU$7:$BF$48))</f>
        <v>2860304981.41468</v>
      </c>
      <c r="BH89">
        <f t="shared" si="2"/>
        <v>2857168967.9975901</v>
      </c>
      <c r="BJ89">
        <f t="shared" si="4"/>
        <v>1.9407490162019277E-3</v>
      </c>
    </row>
    <row r="90" spans="3:62" x14ac:dyDescent="0.25">
      <c r="C90" s="36" t="s">
        <v>98</v>
      </c>
      <c r="D90" cm="1">
        <f t="array" ref="D90">_xlfn.XLOOKUP($C90,$C$7:$C$48,_xlfn.XLOOKUP(D$61,$D$6:$AS$6,$D$7:$AS$48))</f>
        <v>32445341.8210967</v>
      </c>
      <c r="E90" cm="1">
        <f t="array" ref="E90">_xlfn.XLOOKUP($C90,$C$7:$C$48,_xlfn.XLOOKUP(E$61,$D$6:$AS$6,$D$7:$AS$48))</f>
        <v>6037786.7320662104</v>
      </c>
      <c r="F90" cm="1">
        <f t="array" ref="F90">_xlfn.XLOOKUP($C90,$C$7:$C$48,_xlfn.XLOOKUP(F$61,$D$6:$AS$6,$D$7:$AS$48))</f>
        <v>775392.27401589404</v>
      </c>
      <c r="G90" cm="1">
        <f t="array" ref="G90">_xlfn.XLOOKUP($C90,$C$7:$C$48,_xlfn.XLOOKUP(G$61,$D$6:$AS$6,$D$7:$AS$48))</f>
        <v>4137179.2881825902</v>
      </c>
      <c r="H90" cm="1">
        <f t="array" ref="H90">_xlfn.XLOOKUP($C90,$C$7:$C$48,_xlfn.XLOOKUP(H$61,$D$6:$AS$6,$D$7:$AS$48))</f>
        <v>811001.70867601898</v>
      </c>
      <c r="I90" cm="1">
        <f t="array" ref="I90">_xlfn.XLOOKUP($C90,$C$7:$C$48,_xlfn.XLOOKUP(I$61,$D$6:$AS$6,$D$7:$AS$48))</f>
        <v>81687886.060643494</v>
      </c>
      <c r="J90" cm="1">
        <f t="array" ref="J90">_xlfn.XLOOKUP($C90,$C$7:$C$48,_xlfn.XLOOKUP(J$61,$D$6:$AS$6,$D$7:$AS$48))</f>
        <v>49418319.526525803</v>
      </c>
      <c r="K90" cm="1">
        <f t="array" ref="K90">_xlfn.XLOOKUP($C90,$C$7:$C$48,_xlfn.XLOOKUP(K$61,$D$6:$AS$6,$D$7:$AS$48))</f>
        <v>23952570.404968601</v>
      </c>
      <c r="L90" cm="1">
        <f t="array" ref="L90">_xlfn.XLOOKUP($C90,$C$7:$C$48,_xlfn.XLOOKUP(L$61,$D$6:$AS$6,$D$7:$AS$48))</f>
        <v>51727062.722152598</v>
      </c>
      <c r="M90" cm="1">
        <f t="array" ref="M90">_xlfn.XLOOKUP($C90,$C$7:$C$48,_xlfn.XLOOKUP(M$61,$D$6:$AS$6,$D$7:$AS$48))</f>
        <v>10885899.5352103</v>
      </c>
      <c r="N90" cm="1">
        <f t="array" ref="N90">_xlfn.XLOOKUP($C90,$C$7:$C$48,_xlfn.XLOOKUP(N$61,$D$6:$AS$6,$D$7:$AS$48))</f>
        <v>35967199.2637394</v>
      </c>
      <c r="O90" cm="1">
        <f t="array" ref="O90">_xlfn.XLOOKUP($C90,$C$7:$C$48,_xlfn.XLOOKUP(O$61,$D$6:$AS$6,$D$7:$AS$48))</f>
        <v>19903155.950842701</v>
      </c>
      <c r="P90" cm="1">
        <f t="array" ref="P90">_xlfn.XLOOKUP($C90,$C$7:$C$48,_xlfn.XLOOKUP(P$61,$D$6:$AS$6,$D$7:$AS$48))</f>
        <v>19717113.371896099</v>
      </c>
      <c r="Q90" cm="1">
        <f t="array" ref="Q90">_xlfn.XLOOKUP($C90,$C$7:$C$48,_xlfn.XLOOKUP(Q$61,$D$6:$AS$6,$D$7:$AS$48))</f>
        <v>19596217.765617799</v>
      </c>
      <c r="R90" cm="1">
        <f t="array" ref="R90">_xlfn.XLOOKUP($C90,$C$7:$C$48,_xlfn.XLOOKUP(R$61,$D$6:$AS$6,$D$7:$AS$48))</f>
        <v>37090632.127917603</v>
      </c>
      <c r="S90" cm="1">
        <f t="array" ref="S90">_xlfn.XLOOKUP($C90,$C$7:$C$48,_xlfn.XLOOKUP(S$61,$D$6:$AS$6,$D$7:$AS$48))</f>
        <v>18088633.433522701</v>
      </c>
      <c r="T90" cm="1">
        <f t="array" ref="T90">_xlfn.XLOOKUP($C90,$C$7:$C$48,_xlfn.XLOOKUP(T$61,$D$6:$AS$6,$D$7:$AS$48))</f>
        <v>13482091.1086585</v>
      </c>
      <c r="U90" cm="1">
        <f t="array" ref="U90">_xlfn.XLOOKUP($C90,$C$7:$C$48,_xlfn.XLOOKUP(U$61,$D$6:$AS$6,$D$7:$AS$48))</f>
        <v>22175914.737617198</v>
      </c>
      <c r="V90" cm="1">
        <f t="array" ref="V90">_xlfn.XLOOKUP($C90,$C$7:$C$48,_xlfn.XLOOKUP(V$61,$D$6:$AS$6,$D$7:$AS$48))</f>
        <v>59473321.116125599</v>
      </c>
      <c r="W90" cm="1">
        <f t="array" ref="W90">_xlfn.XLOOKUP($C90,$C$7:$C$48,_xlfn.XLOOKUP(W$61,$D$6:$AS$6,$D$7:$AS$48))</f>
        <v>42723961.570809498</v>
      </c>
      <c r="X90" cm="1">
        <f t="array" ref="X90">_xlfn.XLOOKUP($C90,$C$7:$C$48,_xlfn.XLOOKUP(X$61,$D$6:$AS$6,$D$7:$AS$48))</f>
        <v>27687169.007828999</v>
      </c>
      <c r="Y90" cm="1">
        <f t="array" ref="Y90">_xlfn.XLOOKUP($C90,$C$7:$C$48,_xlfn.XLOOKUP(Y$61,$D$6:$AS$6,$D$7:$AS$48))</f>
        <v>54110905.513489</v>
      </c>
      <c r="Z90" cm="1">
        <f t="array" ref="Z90">_xlfn.XLOOKUP($C90,$C$7:$C$48,_xlfn.XLOOKUP(Z$61,$D$6:$AS$6,$D$7:$AS$48))</f>
        <v>10569374.970818</v>
      </c>
      <c r="AA90" cm="1">
        <f t="array" ref="AA90">_xlfn.XLOOKUP($C90,$C$7:$C$48,_xlfn.XLOOKUP(AA$61,$D$6:$AS$6,$D$7:$AS$48))</f>
        <v>4006169.6424203599</v>
      </c>
      <c r="AB90" cm="1">
        <f t="array" ref="AB90">_xlfn.XLOOKUP($C90,$C$7:$C$48,_xlfn.XLOOKUP(AB$61,$D$6:$AS$6,$D$7:$AS$48))</f>
        <v>15451656.157005301</v>
      </c>
      <c r="AC90" cm="1">
        <f t="array" ref="AC90">_xlfn.XLOOKUP($C90,$C$7:$C$48,_xlfn.XLOOKUP(AC$61,$D$6:$AS$6,$D$7:$AS$48))</f>
        <v>2301900.8425521599</v>
      </c>
      <c r="AD90" cm="1">
        <f t="array" ref="AD90">_xlfn.XLOOKUP($C90,$C$7:$C$48,_xlfn.XLOOKUP(AD$61,$D$6:$AS$6,$D$7:$AS$48))</f>
        <v>565625.06653206202</v>
      </c>
      <c r="AE90" cm="1">
        <f t="array" ref="AE90">_xlfn.XLOOKUP($C90,$C$7:$C$48,_xlfn.XLOOKUP(AE$61,$D$6:$AS$6,$D$7:$AS$48))</f>
        <v>143079872.33824301</v>
      </c>
      <c r="AF90" cm="1">
        <f t="array" ref="AF90">_xlfn.XLOOKUP($C90,$C$7:$C$48,_xlfn.XLOOKUP(AF$61,$D$6:$AS$6,$D$7:$AS$48))</f>
        <v>11226156.781745801</v>
      </c>
      <c r="AG90" cm="1">
        <f t="array" ref="AG90">_xlfn.XLOOKUP($C90,$C$7:$C$48,_xlfn.XLOOKUP(AG$61,$D$6:$AS$6,$D$7:$AS$48))</f>
        <v>35456523.308043502</v>
      </c>
      <c r="AH90" cm="1">
        <f t="array" ref="AH90">_xlfn.XLOOKUP($C90,$C$7:$C$48,_xlfn.XLOOKUP(AH$61,$D$6:$AS$6,$D$7:$AS$48))</f>
        <v>28035741.060201</v>
      </c>
      <c r="AI90" cm="1">
        <f t="array" ref="AI90">_xlfn.XLOOKUP($C90,$C$7:$C$48,_xlfn.XLOOKUP(AI$61,$D$6:$AS$6,$D$7:$AS$48))</f>
        <v>15872913.5323215</v>
      </c>
      <c r="AJ90" cm="1">
        <f t="array" ref="AJ90">_xlfn.XLOOKUP($C90,$C$7:$C$48,_xlfn.XLOOKUP(AJ$61,$D$6:$AS$6,$D$7:$AS$48))</f>
        <v>34868107.184738502</v>
      </c>
      <c r="AK90" cm="1">
        <f t="array" ref="AK90">_xlfn.XLOOKUP($C90,$C$7:$C$48,_xlfn.XLOOKUP(AK$61,$D$6:$AS$6,$D$7:$AS$48))</f>
        <v>7310894.07936115</v>
      </c>
      <c r="AL90" cm="1">
        <f t="array" ref="AL90">_xlfn.XLOOKUP($C90,$C$7:$C$48,_xlfn.XLOOKUP(AL$61,$D$6:$AS$6,$D$7:$AS$48))</f>
        <v>5735570.8359558098</v>
      </c>
      <c r="AM90" cm="1">
        <f t="array" ref="AM90">_xlfn.XLOOKUP($C90,$C$7:$C$48,_xlfn.XLOOKUP(AM$61,$D$6:$AS$6,$D$7:$AS$48))</f>
        <v>3311533.5759604299</v>
      </c>
      <c r="AN90" cm="1">
        <f t="array" ref="AN90">_xlfn.XLOOKUP($C90,$C$7:$C$48,_xlfn.XLOOKUP(AN$61,$D$6:$AS$6,$D$7:$AS$48))</f>
        <v>13897489.3645106</v>
      </c>
      <c r="AO90" cm="1">
        <f t="array" ref="AO90">_xlfn.XLOOKUP($C90,$C$7:$C$48,_xlfn.XLOOKUP(AO$61,$D$6:$AS$6,$D$7:$AS$48))</f>
        <v>15105573.595953301</v>
      </c>
      <c r="AP90" cm="1">
        <f t="array" ref="AP90">_xlfn.XLOOKUP($C90,$C$7:$C$48,_xlfn.XLOOKUP(AP$61,$D$6:$AS$6,$D$7:$AS$48))</f>
        <v>6371391.4748348603</v>
      </c>
      <c r="AQ90" cm="1">
        <f t="array" ref="AQ90">_xlfn.XLOOKUP($C90,$C$7:$C$48,_xlfn.XLOOKUP(AQ$61,$D$6:$AS$6,$D$7:$AS$48))</f>
        <v>34246220.181799702</v>
      </c>
      <c r="AR90" cm="1">
        <f t="array" ref="AR90">_xlfn.XLOOKUP($C90,$C$7:$C$48,_xlfn.XLOOKUP(AR$61,$D$6:$AS$6,$D$7:$AS$48))</f>
        <v>4838226.8271174803</v>
      </c>
      <c r="AS90" cm="1">
        <f t="array" ref="AS90">_xlfn.XLOOKUP($C90,$C$7:$C$48,_xlfn.XLOOKUP(AS$61,$D$6:$AS$6,$D$7:$AS$48))</f>
        <v>8483107.7031672597</v>
      </c>
      <c r="AT90">
        <f t="shared" si="3"/>
        <v>1008676233.15992</v>
      </c>
      <c r="AU90" cm="1">
        <f t="array" ref="AU90">_xlfn.XLOOKUP(AU$60,$AU$6:$BF$6,_xlfn.XLOOKUP($C90,$C$7:$C$48,$AU$7:$BF$48))</f>
        <v>51457511.092132501</v>
      </c>
      <c r="AV90" cm="1">
        <f t="array" ref="AV90">_xlfn.XLOOKUP(AV$60,$AU$6:$BF$6,_xlfn.XLOOKUP($C90,$C$7:$C$48,$AU$7:$BF$48))</f>
        <v>166522713.313402</v>
      </c>
      <c r="AW90" cm="1">
        <f t="array" ref="AW90">_xlfn.XLOOKUP(AW$60,$AU$6:$BF$6,_xlfn.XLOOKUP($C90,$C$7:$C$48,$AU$7:$BF$48))</f>
        <v>217980224.405534</v>
      </c>
      <c r="AX90" cm="1">
        <f t="array" ref="AX90">_xlfn.XLOOKUP(AX$60,$AU$6:$BF$6,_xlfn.XLOOKUP($C90,$C$7:$C$48,$AU$7:$BF$48))</f>
        <v>0</v>
      </c>
      <c r="AY90" cm="1">
        <f t="array" ref="AY90">_xlfn.XLOOKUP(AY$60,$AU$6:$BF$6,_xlfn.XLOOKUP($C90,$C$7:$C$48,$AU$7:$BF$48))</f>
        <v>217980224.405534</v>
      </c>
      <c r="AZ90" cm="1">
        <f t="array" ref="AZ90">_xlfn.XLOOKUP(AZ$60,$AU$6:$BF$6,_xlfn.XLOOKUP($C90,$C$7:$C$48,$AU$7:$BF$48))</f>
        <v>84921149.455762297</v>
      </c>
      <c r="BA90" cm="1">
        <f t="array" ref="BA90">_xlfn.XLOOKUP(BA$60,$AU$6:$BF$6,_xlfn.XLOOKUP($C90,$C$7:$C$48,$AU$7:$BF$48))</f>
        <v>8345553.6658840599</v>
      </c>
      <c r="BB90" cm="1">
        <f t="array" ref="BB90">_xlfn.XLOOKUP(BB$60,$AU$6:$BF$6,_xlfn.XLOOKUP($C90,$C$7:$C$48,$AU$7:$BF$48))</f>
        <v>93266703.121646494</v>
      </c>
      <c r="BC90" cm="1">
        <f t="array" ref="BC90">_xlfn.XLOOKUP(BC$60,$AU$6:$BF$6,_xlfn.XLOOKUP($C90,$C$7:$C$48,$AU$7:$BF$48))</f>
        <v>178591537.87247801</v>
      </c>
      <c r="BD90" cm="1">
        <f t="array" ref="BD90">_xlfn.XLOOKUP(BD$60,$AU$6:$BF$6,_xlfn.XLOOKUP($C90,$C$7:$C$48,$AU$7:$BF$48))</f>
        <v>489838465.39965898</v>
      </c>
      <c r="BE90" cm="1">
        <f t="array" ref="BE90">_xlfn.XLOOKUP(BE$60,$AU$6:$BF$6,_xlfn.XLOOKUP($C90,$C$7:$C$48,$AU$7:$BF$48))</f>
        <v>0</v>
      </c>
      <c r="BF90" cm="1">
        <f t="array" ref="BF90">_xlfn.XLOOKUP(BF$60,$AU$6:$BF$6,_xlfn.XLOOKUP($C90,$C$7:$C$48,$AU$7:$BF$48))</f>
        <v>1498514698.5595801</v>
      </c>
      <c r="BH90">
        <f t="shared" si="2"/>
        <v>1319923160.6871004</v>
      </c>
      <c r="BJ90">
        <f t="shared" si="4"/>
        <v>0</v>
      </c>
    </row>
    <row r="91" spans="3:62" x14ac:dyDescent="0.25">
      <c r="C91" s="36" t="s">
        <v>99</v>
      </c>
      <c r="D91" cm="1">
        <f t="array" ref="D91">_xlfn.XLOOKUP($C91,$C$7:$C$48,_xlfn.XLOOKUP(D$61,$D$6:$AS$6,$D$7:$AS$48))</f>
        <v>25502816.8995248</v>
      </c>
      <c r="E91" cm="1">
        <f t="array" ref="E91">_xlfn.XLOOKUP($C91,$C$7:$C$48,_xlfn.XLOOKUP(E$61,$D$6:$AS$6,$D$7:$AS$48))</f>
        <v>5466615.4697256703</v>
      </c>
      <c r="F91" cm="1">
        <f t="array" ref="F91">_xlfn.XLOOKUP($C91,$C$7:$C$48,_xlfn.XLOOKUP(F$61,$D$6:$AS$6,$D$7:$AS$48))</f>
        <v>662325.93177021295</v>
      </c>
      <c r="G91" cm="1">
        <f t="array" ref="G91">_xlfn.XLOOKUP($C91,$C$7:$C$48,_xlfn.XLOOKUP(G$61,$D$6:$AS$6,$D$7:$AS$48))</f>
        <v>3705387.6243679901</v>
      </c>
      <c r="H91" cm="1">
        <f t="array" ref="H91">_xlfn.XLOOKUP($C91,$C$7:$C$48,_xlfn.XLOOKUP(H$61,$D$6:$AS$6,$D$7:$AS$48))</f>
        <v>459922.389176214</v>
      </c>
      <c r="I91" cm="1">
        <f t="array" ref="I91">_xlfn.XLOOKUP($C91,$C$7:$C$48,_xlfn.XLOOKUP(I$61,$D$6:$AS$6,$D$7:$AS$48))</f>
        <v>33568250.7764825</v>
      </c>
      <c r="J91" cm="1">
        <f t="array" ref="J91">_xlfn.XLOOKUP($C91,$C$7:$C$48,_xlfn.XLOOKUP(J$61,$D$6:$AS$6,$D$7:$AS$48))</f>
        <v>30654371.8358142</v>
      </c>
      <c r="K91" cm="1">
        <f t="array" ref="K91">_xlfn.XLOOKUP($C91,$C$7:$C$48,_xlfn.XLOOKUP(K$61,$D$6:$AS$6,$D$7:$AS$48))</f>
        <v>8982067.3529972397</v>
      </c>
      <c r="L91" cm="1">
        <f t="array" ref="L91">_xlfn.XLOOKUP($C91,$C$7:$C$48,_xlfn.XLOOKUP(L$61,$D$6:$AS$6,$D$7:$AS$48))</f>
        <v>20843806.401541501</v>
      </c>
      <c r="M91" cm="1">
        <f t="array" ref="M91">_xlfn.XLOOKUP($C91,$C$7:$C$48,_xlfn.XLOOKUP(M$61,$D$6:$AS$6,$D$7:$AS$48))</f>
        <v>11193285.5741792</v>
      </c>
      <c r="N91" cm="1">
        <f t="array" ref="N91">_xlfn.XLOOKUP($C91,$C$7:$C$48,_xlfn.XLOOKUP(N$61,$D$6:$AS$6,$D$7:$AS$48))</f>
        <v>31172179.9123803</v>
      </c>
      <c r="O91" cm="1">
        <f t="array" ref="O91">_xlfn.XLOOKUP($C91,$C$7:$C$48,_xlfn.XLOOKUP(O$61,$D$6:$AS$6,$D$7:$AS$48))</f>
        <v>11209228.5782545</v>
      </c>
      <c r="P91" cm="1">
        <f t="array" ref="P91">_xlfn.XLOOKUP($C91,$C$7:$C$48,_xlfn.XLOOKUP(P$61,$D$6:$AS$6,$D$7:$AS$48))</f>
        <v>13733058.033603299</v>
      </c>
      <c r="Q91" cm="1">
        <f t="array" ref="Q91">_xlfn.XLOOKUP($C91,$C$7:$C$48,_xlfn.XLOOKUP(Q$61,$D$6:$AS$6,$D$7:$AS$48))</f>
        <v>14118443.387983499</v>
      </c>
      <c r="R91" cm="1">
        <f t="array" ref="R91">_xlfn.XLOOKUP($C91,$C$7:$C$48,_xlfn.XLOOKUP(R$61,$D$6:$AS$6,$D$7:$AS$48))</f>
        <v>25345785.753468301</v>
      </c>
      <c r="S91" cm="1">
        <f t="array" ref="S91">_xlfn.XLOOKUP($C91,$C$7:$C$48,_xlfn.XLOOKUP(S$61,$D$6:$AS$6,$D$7:$AS$48))</f>
        <v>19869246.551746801</v>
      </c>
      <c r="T91" cm="1">
        <f t="array" ref="T91">_xlfn.XLOOKUP($C91,$C$7:$C$48,_xlfn.XLOOKUP(T$61,$D$6:$AS$6,$D$7:$AS$48))</f>
        <v>13197425.411509201</v>
      </c>
      <c r="U91" cm="1">
        <f t="array" ref="U91">_xlfn.XLOOKUP($C91,$C$7:$C$48,_xlfn.XLOOKUP(U$61,$D$6:$AS$6,$D$7:$AS$48))</f>
        <v>15073279.3625574</v>
      </c>
      <c r="V91" cm="1">
        <f t="array" ref="V91">_xlfn.XLOOKUP($C91,$C$7:$C$48,_xlfn.XLOOKUP(V$61,$D$6:$AS$6,$D$7:$AS$48))</f>
        <v>18528288.710067999</v>
      </c>
      <c r="W91" cm="1">
        <f t="array" ref="W91">_xlfn.XLOOKUP($C91,$C$7:$C$48,_xlfn.XLOOKUP(W$61,$D$6:$AS$6,$D$7:$AS$48))</f>
        <v>22153380.483358599</v>
      </c>
      <c r="X91" cm="1">
        <f t="array" ref="X91">_xlfn.XLOOKUP($C91,$C$7:$C$48,_xlfn.XLOOKUP(X$61,$D$6:$AS$6,$D$7:$AS$48))</f>
        <v>16500075.924443601</v>
      </c>
      <c r="Y91" cm="1">
        <f t="array" ref="Y91">_xlfn.XLOOKUP($C91,$C$7:$C$48,_xlfn.XLOOKUP(Y$61,$D$6:$AS$6,$D$7:$AS$48))</f>
        <v>24769356.2474804</v>
      </c>
      <c r="Z91" cm="1">
        <f t="array" ref="Z91">_xlfn.XLOOKUP($C91,$C$7:$C$48,_xlfn.XLOOKUP(Z$61,$D$6:$AS$6,$D$7:$AS$48))</f>
        <v>4521511.0037380997</v>
      </c>
      <c r="AA91" cm="1">
        <f t="array" ref="AA91">_xlfn.XLOOKUP($C91,$C$7:$C$48,_xlfn.XLOOKUP(AA$61,$D$6:$AS$6,$D$7:$AS$48))</f>
        <v>2444020.0275438898</v>
      </c>
      <c r="AB91" cm="1">
        <f t="array" ref="AB91">_xlfn.XLOOKUP($C91,$C$7:$C$48,_xlfn.XLOOKUP(AB$61,$D$6:$AS$6,$D$7:$AS$48))</f>
        <v>12897844.057169201</v>
      </c>
      <c r="AC91" cm="1">
        <f t="array" ref="AC91">_xlfn.XLOOKUP($C91,$C$7:$C$48,_xlfn.XLOOKUP(AC$61,$D$6:$AS$6,$D$7:$AS$48))</f>
        <v>1690453.88206179</v>
      </c>
      <c r="AD91" cm="1">
        <f t="array" ref="AD91">_xlfn.XLOOKUP($C91,$C$7:$C$48,_xlfn.XLOOKUP(AD$61,$D$6:$AS$6,$D$7:$AS$48))</f>
        <v>399060.12304012902</v>
      </c>
      <c r="AE91" cm="1">
        <f t="array" ref="AE91">_xlfn.XLOOKUP($C91,$C$7:$C$48,_xlfn.XLOOKUP(AE$61,$D$6:$AS$6,$D$7:$AS$48))</f>
        <v>77457881.624707803</v>
      </c>
      <c r="AF91" cm="1">
        <f t="array" ref="AF91">_xlfn.XLOOKUP($C91,$C$7:$C$48,_xlfn.XLOOKUP(AF$61,$D$6:$AS$6,$D$7:$AS$48))</f>
        <v>90975726.641584098</v>
      </c>
      <c r="AG91" cm="1">
        <f t="array" ref="AG91">_xlfn.XLOOKUP($C91,$C$7:$C$48,_xlfn.XLOOKUP(AG$61,$D$6:$AS$6,$D$7:$AS$48))</f>
        <v>173252511.26195401</v>
      </c>
      <c r="AH91" cm="1">
        <f t="array" ref="AH91">_xlfn.XLOOKUP($C91,$C$7:$C$48,_xlfn.XLOOKUP(AH$61,$D$6:$AS$6,$D$7:$AS$48))</f>
        <v>15280892.5786233</v>
      </c>
      <c r="AI91" cm="1">
        <f t="array" ref="AI91">_xlfn.XLOOKUP($C91,$C$7:$C$48,_xlfn.XLOOKUP(AI$61,$D$6:$AS$6,$D$7:$AS$48))</f>
        <v>13780271.547948699</v>
      </c>
      <c r="AJ91" cm="1">
        <f t="array" ref="AJ91">_xlfn.XLOOKUP($C91,$C$7:$C$48,_xlfn.XLOOKUP(AJ$61,$D$6:$AS$6,$D$7:$AS$48))</f>
        <v>57539641.480696499</v>
      </c>
      <c r="AK91" cm="1">
        <f t="array" ref="AK91">_xlfn.XLOOKUP($C91,$C$7:$C$48,_xlfn.XLOOKUP(AK$61,$D$6:$AS$6,$D$7:$AS$48))</f>
        <v>9247844.2679492496</v>
      </c>
      <c r="AL91" cm="1">
        <f t="array" ref="AL91">_xlfn.XLOOKUP($C91,$C$7:$C$48,_xlfn.XLOOKUP(AL$61,$D$6:$AS$6,$D$7:$AS$48))</f>
        <v>13542347.8239497</v>
      </c>
      <c r="AM91" cm="1">
        <f t="array" ref="AM91">_xlfn.XLOOKUP($C91,$C$7:$C$48,_xlfn.XLOOKUP(AM$61,$D$6:$AS$6,$D$7:$AS$48))</f>
        <v>4279025.9934587199</v>
      </c>
      <c r="AN91" cm="1">
        <f t="array" ref="AN91">_xlfn.XLOOKUP($C91,$C$7:$C$48,_xlfn.XLOOKUP(AN$61,$D$6:$AS$6,$D$7:$AS$48))</f>
        <v>18900788.576480001</v>
      </c>
      <c r="AO91" cm="1">
        <f t="array" ref="AO91">_xlfn.XLOOKUP($C91,$C$7:$C$48,_xlfn.XLOOKUP(AO$61,$D$6:$AS$6,$D$7:$AS$48))</f>
        <v>30875236.414519198</v>
      </c>
      <c r="AP91" cm="1">
        <f t="array" ref="AP91">_xlfn.XLOOKUP($C91,$C$7:$C$48,_xlfn.XLOOKUP(AP$61,$D$6:$AS$6,$D$7:$AS$48))</f>
        <v>12170731.8832801</v>
      </c>
      <c r="AQ91" cm="1">
        <f t="array" ref="AQ91">_xlfn.XLOOKUP($C91,$C$7:$C$48,_xlfn.XLOOKUP(AQ$61,$D$6:$AS$6,$D$7:$AS$48))</f>
        <v>15774297.659290999</v>
      </c>
      <c r="AR91" cm="1">
        <f t="array" ref="AR91">_xlfn.XLOOKUP($C91,$C$7:$C$48,_xlfn.XLOOKUP(AR$61,$D$6:$AS$6,$D$7:$AS$48))</f>
        <v>5216650.8288543904</v>
      </c>
      <c r="AS91" cm="1">
        <f t="array" ref="AS91">_xlfn.XLOOKUP($C91,$C$7:$C$48,_xlfn.XLOOKUP(AS$61,$D$6:$AS$6,$D$7:$AS$48))</f>
        <v>7465876.5164753599</v>
      </c>
      <c r="AT91">
        <f t="shared" si="3"/>
        <v>925439145.45276201</v>
      </c>
      <c r="AU91" cm="1">
        <f t="array" ref="AU91">_xlfn.XLOOKUP(AU$60,$AU$6:$BF$6,_xlfn.XLOOKUP($C91,$C$7:$C$48,$AU$7:$BF$48))</f>
        <v>30607379.101441901</v>
      </c>
      <c r="AV91" cm="1">
        <f t="array" ref="AV91">_xlfn.XLOOKUP(AV$60,$AU$6:$BF$6,_xlfn.XLOOKUP($C91,$C$7:$C$48,$AU$7:$BF$48))</f>
        <v>107378578.754783</v>
      </c>
      <c r="AW91" cm="1">
        <f t="array" ref="AW91">_xlfn.XLOOKUP(AW$60,$AU$6:$BF$6,_xlfn.XLOOKUP($C91,$C$7:$C$48,$AU$7:$BF$48))</f>
        <v>137985957.85622501</v>
      </c>
      <c r="AX91" cm="1">
        <f t="array" ref="AX91">_xlfn.XLOOKUP(AX$60,$AU$6:$BF$6,_xlfn.XLOOKUP($C91,$C$7:$C$48,$AU$7:$BF$48))</f>
        <v>42787710.951599598</v>
      </c>
      <c r="AY91" cm="1">
        <f t="array" ref="AY91">_xlfn.XLOOKUP(AY$60,$AU$6:$BF$6,_xlfn.XLOOKUP($C91,$C$7:$C$48,$AU$7:$BF$48))</f>
        <v>180773668.807825</v>
      </c>
      <c r="AZ91" cm="1">
        <f t="array" ref="AZ91">_xlfn.XLOOKUP(AZ$60,$AU$6:$BF$6,_xlfn.XLOOKUP($C91,$C$7:$C$48,$AU$7:$BF$48))</f>
        <v>34380961.708352</v>
      </c>
      <c r="BA91" cm="1">
        <f t="array" ref="BA91">_xlfn.XLOOKUP(BA$60,$AU$6:$BF$6,_xlfn.XLOOKUP($C91,$C$7:$C$48,$AU$7:$BF$48))</f>
        <v>2787948.9429763998</v>
      </c>
      <c r="BB91" cm="1">
        <f t="array" ref="BB91">_xlfn.XLOOKUP(BB$60,$AU$6:$BF$6,_xlfn.XLOOKUP($C91,$C$7:$C$48,$AU$7:$BF$48))</f>
        <v>37168910.651328497</v>
      </c>
      <c r="BC91" cm="1">
        <f t="array" ref="BC91">_xlfn.XLOOKUP(BC$60,$AU$6:$BF$6,_xlfn.XLOOKUP($C91,$C$7:$C$48,$AU$7:$BF$48))</f>
        <v>95111712.935939193</v>
      </c>
      <c r="BD91" cm="1">
        <f t="array" ref="BD91">_xlfn.XLOOKUP(BD$60,$AU$6:$BF$6,_xlfn.XLOOKUP($C91,$C$7:$C$48,$AU$7:$BF$48))</f>
        <v>313054292.39509201</v>
      </c>
      <c r="BE91" cm="1">
        <f t="array" ref="BE91">_xlfn.XLOOKUP(BE$60,$AU$6:$BF$6,_xlfn.XLOOKUP($C91,$C$7:$C$48,$AU$7:$BF$48))</f>
        <v>39322169.213351302</v>
      </c>
      <c r="BF91" cm="1">
        <f t="array" ref="BF91">_xlfn.XLOOKUP(BF$60,$AU$6:$BF$6,_xlfn.XLOOKUP($C91,$C$7:$C$48,$AU$7:$BF$48))</f>
        <v>1199171268.6345</v>
      </c>
      <c r="BH91">
        <f t="shared" si="2"/>
        <v>1143381724.9119155</v>
      </c>
      <c r="BJ91">
        <f t="shared" si="4"/>
        <v>3.4391112221406742E-2</v>
      </c>
    </row>
    <row r="92" spans="3:62" x14ac:dyDescent="0.25">
      <c r="C92" s="36" t="s">
        <v>100</v>
      </c>
      <c r="D92" cm="1">
        <f t="array" ref="D92">_xlfn.XLOOKUP($C92,$C$7:$C$48,_xlfn.XLOOKUP(D$61,$D$6:$AS$6,$D$7:$AS$48))</f>
        <v>2365578.9880881701</v>
      </c>
      <c r="E92" cm="1">
        <f t="array" ref="E92">_xlfn.XLOOKUP($C92,$C$7:$C$48,_xlfn.XLOOKUP(E$61,$D$6:$AS$6,$D$7:$AS$48))</f>
        <v>762175.49667994701</v>
      </c>
      <c r="F92" cm="1">
        <f t="array" ref="F92">_xlfn.XLOOKUP($C92,$C$7:$C$48,_xlfn.XLOOKUP(F$61,$D$6:$AS$6,$D$7:$AS$48))</f>
        <v>199599.92691240201</v>
      </c>
      <c r="G92" cm="1">
        <f t="array" ref="G92">_xlfn.XLOOKUP($C92,$C$7:$C$48,_xlfn.XLOOKUP(G$61,$D$6:$AS$6,$D$7:$AS$48))</f>
        <v>842149.98613457906</v>
      </c>
      <c r="H92" cm="1">
        <f t="array" ref="H92">_xlfn.XLOOKUP($C92,$C$7:$C$48,_xlfn.XLOOKUP(H$61,$D$6:$AS$6,$D$7:$AS$48))</f>
        <v>109283.546670268</v>
      </c>
      <c r="I92" cm="1">
        <f t="array" ref="I92">_xlfn.XLOOKUP($C92,$C$7:$C$48,_xlfn.XLOOKUP(I$61,$D$6:$AS$6,$D$7:$AS$48))</f>
        <v>5081633.5890060896</v>
      </c>
      <c r="J92" cm="1">
        <f t="array" ref="J92">_xlfn.XLOOKUP($C92,$C$7:$C$48,_xlfn.XLOOKUP(J$61,$D$6:$AS$6,$D$7:$AS$48))</f>
        <v>2389261.74244902</v>
      </c>
      <c r="K92" cm="1">
        <f t="array" ref="K92">_xlfn.XLOOKUP($C92,$C$7:$C$48,_xlfn.XLOOKUP(K$61,$D$6:$AS$6,$D$7:$AS$48))</f>
        <v>1133676.64022426</v>
      </c>
      <c r="L92" cm="1">
        <f t="array" ref="L92">_xlfn.XLOOKUP($C92,$C$7:$C$48,_xlfn.XLOOKUP(L$61,$D$6:$AS$6,$D$7:$AS$48))</f>
        <v>3087924.9706234699</v>
      </c>
      <c r="M92" cm="1">
        <f t="array" ref="M92">_xlfn.XLOOKUP($C92,$C$7:$C$48,_xlfn.XLOOKUP(M$61,$D$6:$AS$6,$D$7:$AS$48))</f>
        <v>858498.177586523</v>
      </c>
      <c r="N92" cm="1">
        <f t="array" ref="N92">_xlfn.XLOOKUP($C92,$C$7:$C$48,_xlfn.XLOOKUP(N$61,$D$6:$AS$6,$D$7:$AS$48))</f>
        <v>3499576.9477412901</v>
      </c>
      <c r="O92" cm="1">
        <f t="array" ref="O92">_xlfn.XLOOKUP($C92,$C$7:$C$48,_xlfn.XLOOKUP(O$61,$D$6:$AS$6,$D$7:$AS$48))</f>
        <v>3967101.9921749802</v>
      </c>
      <c r="P92" cm="1">
        <f t="array" ref="P92">_xlfn.XLOOKUP($C92,$C$7:$C$48,_xlfn.XLOOKUP(P$61,$D$6:$AS$6,$D$7:$AS$48))</f>
        <v>1394763.17711906</v>
      </c>
      <c r="Q92" cm="1">
        <f t="array" ref="Q92">_xlfn.XLOOKUP($C92,$C$7:$C$48,_xlfn.XLOOKUP(Q$61,$D$6:$AS$6,$D$7:$AS$48))</f>
        <v>3475131.3451918298</v>
      </c>
      <c r="R92" cm="1">
        <f t="array" ref="R92">_xlfn.XLOOKUP($C92,$C$7:$C$48,_xlfn.XLOOKUP(R$61,$D$6:$AS$6,$D$7:$AS$48))</f>
        <v>4067231.6033907202</v>
      </c>
      <c r="S92" cm="1">
        <f t="array" ref="S92">_xlfn.XLOOKUP($C92,$C$7:$C$48,_xlfn.XLOOKUP(S$61,$D$6:$AS$6,$D$7:$AS$48))</f>
        <v>2414344.96716937</v>
      </c>
      <c r="T92" cm="1">
        <f t="array" ref="T92">_xlfn.XLOOKUP($C92,$C$7:$C$48,_xlfn.XLOOKUP(T$61,$D$6:$AS$6,$D$7:$AS$48))</f>
        <v>1033268.47012779</v>
      </c>
      <c r="U92" cm="1">
        <f t="array" ref="U92">_xlfn.XLOOKUP($C92,$C$7:$C$48,_xlfn.XLOOKUP(U$61,$D$6:$AS$6,$D$7:$AS$48))</f>
        <v>2894258.5718172202</v>
      </c>
      <c r="V92" cm="1">
        <f t="array" ref="V92">_xlfn.XLOOKUP($C92,$C$7:$C$48,_xlfn.XLOOKUP(V$61,$D$6:$AS$6,$D$7:$AS$48))</f>
        <v>4571761.3817649903</v>
      </c>
      <c r="W92" cm="1">
        <f t="array" ref="W92">_xlfn.XLOOKUP($C92,$C$7:$C$48,_xlfn.XLOOKUP(W$61,$D$6:$AS$6,$D$7:$AS$48))</f>
        <v>3803760.4041102901</v>
      </c>
      <c r="X92" cm="1">
        <f t="array" ref="X92">_xlfn.XLOOKUP($C92,$C$7:$C$48,_xlfn.XLOOKUP(X$61,$D$6:$AS$6,$D$7:$AS$48))</f>
        <v>2733036.73885831</v>
      </c>
      <c r="Y92" cm="1">
        <f t="array" ref="Y92">_xlfn.XLOOKUP($C92,$C$7:$C$48,_xlfn.XLOOKUP(Y$61,$D$6:$AS$6,$D$7:$AS$48))</f>
        <v>2884251.2143198401</v>
      </c>
      <c r="Z92" cm="1">
        <f t="array" ref="Z92">_xlfn.XLOOKUP($C92,$C$7:$C$48,_xlfn.XLOOKUP(Z$61,$D$6:$AS$6,$D$7:$AS$48))</f>
        <v>837981.49521439301</v>
      </c>
      <c r="AA92" cm="1">
        <f t="array" ref="AA92">_xlfn.XLOOKUP($C92,$C$7:$C$48,_xlfn.XLOOKUP(AA$61,$D$6:$AS$6,$D$7:$AS$48))</f>
        <v>553103.52908509702</v>
      </c>
      <c r="AB92" cm="1">
        <f t="array" ref="AB92">_xlfn.XLOOKUP($C92,$C$7:$C$48,_xlfn.XLOOKUP(AB$61,$D$6:$AS$6,$D$7:$AS$48))</f>
        <v>2051215.08631479</v>
      </c>
      <c r="AC92" cm="1">
        <f t="array" ref="AC92">_xlfn.XLOOKUP($C92,$C$7:$C$48,_xlfn.XLOOKUP(AC$61,$D$6:$AS$6,$D$7:$AS$48))</f>
        <v>224739.51470622499</v>
      </c>
      <c r="AD92" cm="1">
        <f t="array" ref="AD92">_xlfn.XLOOKUP($C92,$C$7:$C$48,_xlfn.XLOOKUP(AD$61,$D$6:$AS$6,$D$7:$AS$48))</f>
        <v>196672.810478203</v>
      </c>
      <c r="AE92" cm="1">
        <f t="array" ref="AE92">_xlfn.XLOOKUP($C92,$C$7:$C$48,_xlfn.XLOOKUP(AE$61,$D$6:$AS$6,$D$7:$AS$48))</f>
        <v>14884407.391132699</v>
      </c>
      <c r="AF92" cm="1">
        <f t="array" ref="AF92">_xlfn.XLOOKUP($C92,$C$7:$C$48,_xlfn.XLOOKUP(AF$61,$D$6:$AS$6,$D$7:$AS$48))</f>
        <v>7190141.5956000304</v>
      </c>
      <c r="AG92" cm="1">
        <f t="array" ref="AG92">_xlfn.XLOOKUP($C92,$C$7:$C$48,_xlfn.XLOOKUP(AG$61,$D$6:$AS$6,$D$7:$AS$48))</f>
        <v>21824752.656176601</v>
      </c>
      <c r="AH92" cm="1">
        <f t="array" ref="AH92">_xlfn.XLOOKUP($C92,$C$7:$C$48,_xlfn.XLOOKUP(AH$61,$D$6:$AS$6,$D$7:$AS$48))</f>
        <v>939543.14637547301</v>
      </c>
      <c r="AI92" cm="1">
        <f t="array" ref="AI92">_xlfn.XLOOKUP($C92,$C$7:$C$48,_xlfn.XLOOKUP(AI$61,$D$6:$AS$6,$D$7:$AS$48))</f>
        <v>5890208.15955415</v>
      </c>
      <c r="AJ92" cm="1">
        <f t="array" ref="AJ92">_xlfn.XLOOKUP($C92,$C$7:$C$48,_xlfn.XLOOKUP(AJ$61,$D$6:$AS$6,$D$7:$AS$48))</f>
        <v>46050709.454658702</v>
      </c>
      <c r="AK92" cm="1">
        <f t="array" ref="AK92">_xlfn.XLOOKUP($C92,$C$7:$C$48,_xlfn.XLOOKUP(AK$61,$D$6:$AS$6,$D$7:$AS$48))</f>
        <v>9505464.4839702006</v>
      </c>
      <c r="AL92" cm="1">
        <f t="array" ref="AL92">_xlfn.XLOOKUP($C92,$C$7:$C$48,_xlfn.XLOOKUP(AL$61,$D$6:$AS$6,$D$7:$AS$48))</f>
        <v>28451801.880011</v>
      </c>
      <c r="AM92" cm="1">
        <f t="array" ref="AM92">_xlfn.XLOOKUP($C92,$C$7:$C$48,_xlfn.XLOOKUP(AM$61,$D$6:$AS$6,$D$7:$AS$48))</f>
        <v>4188796.83246565</v>
      </c>
      <c r="AN92" cm="1">
        <f t="array" ref="AN92">_xlfn.XLOOKUP($C92,$C$7:$C$48,_xlfn.XLOOKUP(AN$61,$D$6:$AS$6,$D$7:$AS$48))</f>
        <v>17842364.908427902</v>
      </c>
      <c r="AO92" cm="1">
        <f t="array" ref="AO92">_xlfn.XLOOKUP($C92,$C$7:$C$48,_xlfn.XLOOKUP(AO$61,$D$6:$AS$6,$D$7:$AS$48))</f>
        <v>38154941.923845701</v>
      </c>
      <c r="AP92" cm="1">
        <f t="array" ref="AP92">_xlfn.XLOOKUP($C92,$C$7:$C$48,_xlfn.XLOOKUP(AP$61,$D$6:$AS$6,$D$7:$AS$48))</f>
        <v>12682565.3168176</v>
      </c>
      <c r="AQ92" cm="1">
        <f t="array" ref="AQ92">_xlfn.XLOOKUP($C92,$C$7:$C$48,_xlfn.XLOOKUP(AQ$61,$D$6:$AS$6,$D$7:$AS$48))</f>
        <v>1987214.01266115</v>
      </c>
      <c r="AR92" cm="1">
        <f t="array" ref="AR92">_xlfn.XLOOKUP($C92,$C$7:$C$48,_xlfn.XLOOKUP(AR$61,$D$6:$AS$6,$D$7:$AS$48))</f>
        <v>5104499.0634741597</v>
      </c>
      <c r="AS92" cm="1">
        <f t="array" ref="AS92">_xlfn.XLOOKUP($C92,$C$7:$C$48,_xlfn.XLOOKUP(AS$61,$D$6:$AS$6,$D$7:$AS$48))</f>
        <v>3362199.60532963</v>
      </c>
      <c r="AT92">
        <f t="shared" si="3"/>
        <v>274357916.10423601</v>
      </c>
      <c r="AU92" cm="1">
        <f t="array" ref="AU92">_xlfn.XLOOKUP(AU$60,$AU$6:$BF$6,_xlfn.XLOOKUP($C92,$C$7:$C$48,$AU$7:$BF$48))</f>
        <v>26632162.7816424</v>
      </c>
      <c r="AV92" cm="1">
        <f t="array" ref="AV92">_xlfn.XLOOKUP(AV$60,$AU$6:$BF$6,_xlfn.XLOOKUP($C92,$C$7:$C$48,$AU$7:$BF$48))</f>
        <v>156061116.80866599</v>
      </c>
      <c r="AW92" cm="1">
        <f t="array" ref="AW92">_xlfn.XLOOKUP(AW$60,$AU$6:$BF$6,_xlfn.XLOOKUP($C92,$C$7:$C$48,$AU$7:$BF$48))</f>
        <v>182693279.59030801</v>
      </c>
      <c r="AX92" cm="1">
        <f t="array" ref="AX92">_xlfn.XLOOKUP(AX$60,$AU$6:$BF$6,_xlfn.XLOOKUP($C92,$C$7:$C$48,$AU$7:$BF$48))</f>
        <v>0</v>
      </c>
      <c r="AY92" cm="1">
        <f t="array" ref="AY92">_xlfn.XLOOKUP(AY$60,$AU$6:$BF$6,_xlfn.XLOOKUP($C92,$C$7:$C$48,$AU$7:$BF$48))</f>
        <v>182693279.59030801</v>
      </c>
      <c r="AZ92" cm="1">
        <f t="array" ref="AZ92">_xlfn.XLOOKUP(AZ$60,$AU$6:$BF$6,_xlfn.XLOOKUP($C92,$C$7:$C$48,$AU$7:$BF$48))</f>
        <v>0</v>
      </c>
      <c r="BA92" cm="1">
        <f t="array" ref="BA92">_xlfn.XLOOKUP(BA$60,$AU$6:$BF$6,_xlfn.XLOOKUP($C92,$C$7:$C$48,$AU$7:$BF$48))</f>
        <v>0</v>
      </c>
      <c r="BB92" cm="1">
        <f t="array" ref="BB92">_xlfn.XLOOKUP(BB$60,$AU$6:$BF$6,_xlfn.XLOOKUP($C92,$C$7:$C$48,$AU$7:$BF$48))</f>
        <v>0</v>
      </c>
      <c r="BC92" cm="1">
        <f t="array" ref="BC92">_xlfn.XLOOKUP(BC$60,$AU$6:$BF$6,_xlfn.XLOOKUP($C92,$C$7:$C$48,$AU$7:$BF$48))</f>
        <v>2705954.49598409</v>
      </c>
      <c r="BD92" cm="1">
        <f t="array" ref="BD92">_xlfn.XLOOKUP(BD$60,$AU$6:$BF$6,_xlfn.XLOOKUP($C92,$C$7:$C$48,$AU$7:$BF$48))</f>
        <v>185399234.08629301</v>
      </c>
      <c r="BE92" cm="1">
        <f t="array" ref="BE92">_xlfn.XLOOKUP(BE$60,$AU$6:$BF$6,_xlfn.XLOOKUP($C92,$C$7:$C$48,$AU$7:$BF$48))</f>
        <v>27767390.085102599</v>
      </c>
      <c r="BF92" cm="1">
        <f t="array" ref="BF92">_xlfn.XLOOKUP(BF$60,$AU$6:$BF$6,_xlfn.XLOOKUP($C92,$C$7:$C$48,$AU$7:$BF$48))</f>
        <v>431989760.105425</v>
      </c>
      <c r="BH92">
        <f t="shared" si="2"/>
        <v>457051195.69454402</v>
      </c>
      <c r="BJ92">
        <f t="shared" si="4"/>
        <v>6.0753347429507817E-2</v>
      </c>
    </row>
    <row r="93" spans="3:62" x14ac:dyDescent="0.25">
      <c r="C93" s="36" t="s">
        <v>101</v>
      </c>
      <c r="D93" cm="1">
        <f t="array" ref="D93">_xlfn.XLOOKUP($C93,$C$7:$C$48,_xlfn.XLOOKUP(D$61,$D$6:$AS$6,$D$7:$AS$48))</f>
        <v>2380372.7882407499</v>
      </c>
      <c r="E93" cm="1">
        <f t="array" ref="E93">_xlfn.XLOOKUP($C93,$C$7:$C$48,_xlfn.XLOOKUP(E$61,$D$6:$AS$6,$D$7:$AS$48))</f>
        <v>321232.86135543702</v>
      </c>
      <c r="F93" cm="1">
        <f t="array" ref="F93">_xlfn.XLOOKUP($C93,$C$7:$C$48,_xlfn.XLOOKUP(F$61,$D$6:$AS$6,$D$7:$AS$48))</f>
        <v>130830.941198361</v>
      </c>
      <c r="G93" cm="1">
        <f t="array" ref="G93">_xlfn.XLOOKUP($C93,$C$7:$C$48,_xlfn.XLOOKUP(G$61,$D$6:$AS$6,$D$7:$AS$48))</f>
        <v>660885.16421326098</v>
      </c>
      <c r="H93" cm="1">
        <f t="array" ref="H93">_xlfn.XLOOKUP($C93,$C$7:$C$48,_xlfn.XLOOKUP(H$61,$D$6:$AS$6,$D$7:$AS$48))</f>
        <v>51314.843354326003</v>
      </c>
      <c r="I93" cm="1">
        <f t="array" ref="I93">_xlfn.XLOOKUP($C93,$C$7:$C$48,_xlfn.XLOOKUP(I$61,$D$6:$AS$6,$D$7:$AS$48))</f>
        <v>2985457.2071557702</v>
      </c>
      <c r="J93" cm="1">
        <f t="array" ref="J93">_xlfn.XLOOKUP($C93,$C$7:$C$48,_xlfn.XLOOKUP(J$61,$D$6:$AS$6,$D$7:$AS$48))</f>
        <v>2795304.3033230598</v>
      </c>
      <c r="K93" cm="1">
        <f t="array" ref="K93">_xlfn.XLOOKUP($C93,$C$7:$C$48,_xlfn.XLOOKUP(K$61,$D$6:$AS$6,$D$7:$AS$48))</f>
        <v>702160.28093722498</v>
      </c>
      <c r="L93" cm="1">
        <f t="array" ref="L93">_xlfn.XLOOKUP($C93,$C$7:$C$48,_xlfn.XLOOKUP(L$61,$D$6:$AS$6,$D$7:$AS$48))</f>
        <v>2870632.0237698499</v>
      </c>
      <c r="M93" cm="1">
        <f t="array" ref="M93">_xlfn.XLOOKUP($C93,$C$7:$C$48,_xlfn.XLOOKUP(M$61,$D$6:$AS$6,$D$7:$AS$48))</f>
        <v>297324.707152127</v>
      </c>
      <c r="N93" cm="1">
        <f t="array" ref="N93">_xlfn.XLOOKUP($C93,$C$7:$C$48,_xlfn.XLOOKUP(N$61,$D$6:$AS$6,$D$7:$AS$48))</f>
        <v>2928437.6155691799</v>
      </c>
      <c r="O93" cm="1">
        <f t="array" ref="O93">_xlfn.XLOOKUP($C93,$C$7:$C$48,_xlfn.XLOOKUP(O$61,$D$6:$AS$6,$D$7:$AS$48))</f>
        <v>1802778.23692655</v>
      </c>
      <c r="P93" cm="1">
        <f t="array" ref="P93">_xlfn.XLOOKUP($C93,$C$7:$C$48,_xlfn.XLOOKUP(P$61,$D$6:$AS$6,$D$7:$AS$48))</f>
        <v>1073247.9677768799</v>
      </c>
      <c r="Q93" cm="1">
        <f t="array" ref="Q93">_xlfn.XLOOKUP($C93,$C$7:$C$48,_xlfn.XLOOKUP(Q$61,$D$6:$AS$6,$D$7:$AS$48))</f>
        <v>2097447.4664449599</v>
      </c>
      <c r="R93" cm="1">
        <f t="array" ref="R93">_xlfn.XLOOKUP($C93,$C$7:$C$48,_xlfn.XLOOKUP(R$61,$D$6:$AS$6,$D$7:$AS$48))</f>
        <v>1879832.34809695</v>
      </c>
      <c r="S93" cm="1">
        <f t="array" ref="S93">_xlfn.XLOOKUP($C93,$C$7:$C$48,_xlfn.XLOOKUP(S$61,$D$6:$AS$6,$D$7:$AS$48))</f>
        <v>758487.52028575598</v>
      </c>
      <c r="T93" cm="1">
        <f t="array" ref="T93">_xlfn.XLOOKUP($C93,$C$7:$C$48,_xlfn.XLOOKUP(T$61,$D$6:$AS$6,$D$7:$AS$48))</f>
        <v>759639.70492993901</v>
      </c>
      <c r="U93" cm="1">
        <f t="array" ref="U93">_xlfn.XLOOKUP($C93,$C$7:$C$48,_xlfn.XLOOKUP(U$61,$D$6:$AS$6,$D$7:$AS$48))</f>
        <v>1666606.6070314299</v>
      </c>
      <c r="V93" cm="1">
        <f t="array" ref="V93">_xlfn.XLOOKUP($C93,$C$7:$C$48,_xlfn.XLOOKUP(V$61,$D$6:$AS$6,$D$7:$AS$48))</f>
        <v>26849254.1742833</v>
      </c>
      <c r="W93" cm="1">
        <f t="array" ref="W93">_xlfn.XLOOKUP($C93,$C$7:$C$48,_xlfn.XLOOKUP(W$61,$D$6:$AS$6,$D$7:$AS$48))</f>
        <v>3891181.9173671198</v>
      </c>
      <c r="X93" cm="1">
        <f t="array" ref="X93">_xlfn.XLOOKUP($C93,$C$7:$C$48,_xlfn.XLOOKUP(X$61,$D$6:$AS$6,$D$7:$AS$48))</f>
        <v>3216940.16125764</v>
      </c>
      <c r="Y93" cm="1">
        <f t="array" ref="Y93">_xlfn.XLOOKUP($C93,$C$7:$C$48,_xlfn.XLOOKUP(Y$61,$D$6:$AS$6,$D$7:$AS$48))</f>
        <v>2312784.1849024901</v>
      </c>
      <c r="Z93" cm="1">
        <f t="array" ref="Z93">_xlfn.XLOOKUP($C93,$C$7:$C$48,_xlfn.XLOOKUP(Z$61,$D$6:$AS$6,$D$7:$AS$48))</f>
        <v>739434.71481951897</v>
      </c>
      <c r="AA93" cm="1">
        <f t="array" ref="AA93">_xlfn.XLOOKUP($C93,$C$7:$C$48,_xlfn.XLOOKUP(AA$61,$D$6:$AS$6,$D$7:$AS$48))</f>
        <v>290368.47980838799</v>
      </c>
      <c r="AB93" cm="1">
        <f t="array" ref="AB93">_xlfn.XLOOKUP($C93,$C$7:$C$48,_xlfn.XLOOKUP(AB$61,$D$6:$AS$6,$D$7:$AS$48))</f>
        <v>4714676.0832067998</v>
      </c>
      <c r="AC93" cm="1">
        <f t="array" ref="AC93">_xlfn.XLOOKUP($C93,$C$7:$C$48,_xlfn.XLOOKUP(AC$61,$D$6:$AS$6,$D$7:$AS$48))</f>
        <v>378597.82045240502</v>
      </c>
      <c r="AD93" cm="1">
        <f t="array" ref="AD93">_xlfn.XLOOKUP($C93,$C$7:$C$48,_xlfn.XLOOKUP(AD$61,$D$6:$AS$6,$D$7:$AS$48))</f>
        <v>364023.25841085502</v>
      </c>
      <c r="AE93" cm="1">
        <f t="array" ref="AE93">_xlfn.XLOOKUP($C93,$C$7:$C$48,_xlfn.XLOOKUP(AE$61,$D$6:$AS$6,$D$7:$AS$48))</f>
        <v>39431330.986085199</v>
      </c>
      <c r="AF93" cm="1">
        <f t="array" ref="AF93">_xlfn.XLOOKUP($C93,$C$7:$C$48,_xlfn.XLOOKUP(AF$61,$D$6:$AS$6,$D$7:$AS$48))</f>
        <v>11266280.2419986</v>
      </c>
      <c r="AG93" cm="1">
        <f t="array" ref="AG93">_xlfn.XLOOKUP($C93,$C$7:$C$48,_xlfn.XLOOKUP(AG$61,$D$6:$AS$6,$D$7:$AS$48))</f>
        <v>36361881.152962402</v>
      </c>
      <c r="AH93" cm="1">
        <f t="array" ref="AH93">_xlfn.XLOOKUP($C93,$C$7:$C$48,_xlfn.XLOOKUP(AH$61,$D$6:$AS$6,$D$7:$AS$48))</f>
        <v>3189231.6805301402</v>
      </c>
      <c r="AI93" cm="1">
        <f t="array" ref="AI93">_xlfn.XLOOKUP($C93,$C$7:$C$48,_xlfn.XLOOKUP(AI$61,$D$6:$AS$6,$D$7:$AS$48))</f>
        <v>194104989.05070299</v>
      </c>
      <c r="AJ93" cm="1">
        <f t="array" ref="AJ93">_xlfn.XLOOKUP($C93,$C$7:$C$48,_xlfn.XLOOKUP(AJ$61,$D$6:$AS$6,$D$7:$AS$48))</f>
        <v>14421754.3457487</v>
      </c>
      <c r="AK93" cm="1">
        <f t="array" ref="AK93">_xlfn.XLOOKUP($C93,$C$7:$C$48,_xlfn.XLOOKUP(AK$61,$D$6:$AS$6,$D$7:$AS$48))</f>
        <v>3120866.5165921198</v>
      </c>
      <c r="AL93" cm="1">
        <f t="array" ref="AL93">_xlfn.XLOOKUP($C93,$C$7:$C$48,_xlfn.XLOOKUP(AL$61,$D$6:$AS$6,$D$7:$AS$48))</f>
        <v>41502192.8395724</v>
      </c>
      <c r="AM93" cm="1">
        <f t="array" ref="AM93">_xlfn.XLOOKUP($C93,$C$7:$C$48,_xlfn.XLOOKUP(AM$61,$D$6:$AS$6,$D$7:$AS$48))</f>
        <v>8707730.9318200592</v>
      </c>
      <c r="AN93" cm="1">
        <f t="array" ref="AN93">_xlfn.XLOOKUP($C93,$C$7:$C$48,_xlfn.XLOOKUP(AN$61,$D$6:$AS$6,$D$7:$AS$48))</f>
        <v>11332785.543717699</v>
      </c>
      <c r="AO93" cm="1">
        <f t="array" ref="AO93">_xlfn.XLOOKUP($C93,$C$7:$C$48,_xlfn.XLOOKUP(AO$61,$D$6:$AS$6,$D$7:$AS$48))</f>
        <v>51257794.8407465</v>
      </c>
      <c r="AP93" cm="1">
        <f t="array" ref="AP93">_xlfn.XLOOKUP($C93,$C$7:$C$48,_xlfn.XLOOKUP(AP$61,$D$6:$AS$6,$D$7:$AS$48))</f>
        <v>10760607.881895101</v>
      </c>
      <c r="AQ93" cm="1">
        <f t="array" ref="AQ93">_xlfn.XLOOKUP($C93,$C$7:$C$48,_xlfn.XLOOKUP(AQ$61,$D$6:$AS$6,$D$7:$AS$48))</f>
        <v>10365566.128374999</v>
      </c>
      <c r="AR93" cm="1">
        <f t="array" ref="AR93">_xlfn.XLOOKUP($C93,$C$7:$C$48,_xlfn.XLOOKUP(AR$61,$D$6:$AS$6,$D$7:$AS$48))</f>
        <v>2895577.2704651402</v>
      </c>
      <c r="AS93" cm="1">
        <f t="array" ref="AS93">_xlfn.XLOOKUP($C93,$C$7:$C$48,_xlfn.XLOOKUP(AS$61,$D$6:$AS$6,$D$7:$AS$48))</f>
        <v>1805080.1013281799</v>
      </c>
      <c r="AT93">
        <f t="shared" si="3"/>
        <v>508740762.61387402</v>
      </c>
      <c r="AU93" cm="1">
        <f t="array" ref="AU93">_xlfn.XLOOKUP(AU$60,$AU$6:$BF$6,_xlfn.XLOOKUP($C93,$C$7:$C$48,$AU$7:$BF$48))</f>
        <v>27729871.4639141</v>
      </c>
      <c r="AV93" cm="1">
        <f t="array" ref="AV93">_xlfn.XLOOKUP(AV$60,$AU$6:$BF$6,_xlfn.XLOOKUP($C93,$C$7:$C$48,$AU$7:$BF$48))</f>
        <v>96992063.336868405</v>
      </c>
      <c r="AW93" cm="1">
        <f t="array" ref="AW93">_xlfn.XLOOKUP(AW$60,$AU$6:$BF$6,_xlfn.XLOOKUP($C93,$C$7:$C$48,$AU$7:$BF$48))</f>
        <v>124721934.80078299</v>
      </c>
      <c r="AX93" cm="1">
        <f t="array" ref="AX93">_xlfn.XLOOKUP(AX$60,$AU$6:$BF$6,_xlfn.XLOOKUP($C93,$C$7:$C$48,$AU$7:$BF$48))</f>
        <v>0</v>
      </c>
      <c r="AY93" cm="1">
        <f t="array" ref="AY93">_xlfn.XLOOKUP(AY$60,$AU$6:$BF$6,_xlfn.XLOOKUP($C93,$C$7:$C$48,$AU$7:$BF$48))</f>
        <v>124721934.80078299</v>
      </c>
      <c r="AZ93" cm="1">
        <f t="array" ref="AZ93">_xlfn.XLOOKUP(AZ$60,$AU$6:$BF$6,_xlfn.XLOOKUP($C93,$C$7:$C$48,$AU$7:$BF$48))</f>
        <v>328686630.65903503</v>
      </c>
      <c r="BA93" cm="1">
        <f t="array" ref="BA93">_xlfn.XLOOKUP(BA$60,$AU$6:$BF$6,_xlfn.XLOOKUP($C93,$C$7:$C$48,$AU$7:$BF$48))</f>
        <v>0</v>
      </c>
      <c r="BB93" cm="1">
        <f t="array" ref="BB93">_xlfn.XLOOKUP(BB$60,$AU$6:$BF$6,_xlfn.XLOOKUP($C93,$C$7:$C$48,$AU$7:$BF$48))</f>
        <v>328686630.65903503</v>
      </c>
      <c r="BC93" cm="1">
        <f t="array" ref="BC93">_xlfn.XLOOKUP(BC$60,$AU$6:$BF$6,_xlfn.XLOOKUP($C93,$C$7:$C$48,$AU$7:$BF$48))</f>
        <v>30745009.333072402</v>
      </c>
      <c r="BD93" cm="1">
        <f t="array" ref="BD93">_xlfn.XLOOKUP(BD$60,$AU$6:$BF$6,_xlfn.XLOOKUP($C93,$C$7:$C$48,$AU$7:$BF$48))</f>
        <v>484153574.79289001</v>
      </c>
      <c r="BE93" cm="1">
        <f t="array" ref="BE93">_xlfn.XLOOKUP(BE$60,$AU$6:$BF$6,_xlfn.XLOOKUP($C93,$C$7:$C$48,$AU$7:$BF$48))</f>
        <v>27651547.580722298</v>
      </c>
      <c r="BF93" cm="1">
        <f t="array" ref="BF93">_xlfn.XLOOKUP(BF$60,$AU$6:$BF$6,_xlfn.XLOOKUP($C93,$C$7:$C$48,$AU$7:$BF$48))</f>
        <v>965242789.82604098</v>
      </c>
      <c r="BH93">
        <f t="shared" si="2"/>
        <v>962149328.07369208</v>
      </c>
      <c r="BJ93">
        <f t="shared" si="4"/>
        <v>2.8739351339654457E-2</v>
      </c>
    </row>
    <row r="94" spans="3:62" x14ac:dyDescent="0.25">
      <c r="C94" s="36" t="s">
        <v>104</v>
      </c>
      <c r="D94" cm="1">
        <f t="array" ref="D94">_xlfn.XLOOKUP($C94,$C$7:$C$48,_xlfn.XLOOKUP(D$61,$D$6:$AS$6,$D$7:$AS$48))</f>
        <v>3129882.2488734</v>
      </c>
      <c r="E94" cm="1">
        <f t="array" ref="E94">_xlfn.XLOOKUP($C94,$C$7:$C$48,_xlfn.XLOOKUP(E$61,$D$6:$AS$6,$D$7:$AS$48))</f>
        <v>7849725.1383739896</v>
      </c>
      <c r="F94" cm="1">
        <f t="array" ref="F94">_xlfn.XLOOKUP($C94,$C$7:$C$48,_xlfn.XLOOKUP(F$61,$D$6:$AS$6,$D$7:$AS$48))</f>
        <v>1555028.2144507901</v>
      </c>
      <c r="G94" cm="1">
        <f t="array" ref="G94">_xlfn.XLOOKUP($C94,$C$7:$C$48,_xlfn.XLOOKUP(G$61,$D$6:$AS$6,$D$7:$AS$48))</f>
        <v>4119545.5737890298</v>
      </c>
      <c r="H94" cm="1">
        <f t="array" ref="H94">_xlfn.XLOOKUP($C94,$C$7:$C$48,_xlfn.XLOOKUP(H$61,$D$6:$AS$6,$D$7:$AS$48))</f>
        <v>372693.72858292999</v>
      </c>
      <c r="I94" cm="1">
        <f t="array" ref="I94">_xlfn.XLOOKUP($C94,$C$7:$C$48,_xlfn.XLOOKUP(I$61,$D$6:$AS$6,$D$7:$AS$48))</f>
        <v>29453725.832132298</v>
      </c>
      <c r="J94" cm="1">
        <f t="array" ref="J94">_xlfn.XLOOKUP($C94,$C$7:$C$48,_xlfn.XLOOKUP(J$61,$D$6:$AS$6,$D$7:$AS$48))</f>
        <v>13137051.9205012</v>
      </c>
      <c r="K94" cm="1">
        <f t="array" ref="K94">_xlfn.XLOOKUP($C94,$C$7:$C$48,_xlfn.XLOOKUP(K$61,$D$6:$AS$6,$D$7:$AS$48))</f>
        <v>3192072.9113833299</v>
      </c>
      <c r="L94" cm="1">
        <f t="array" ref="L94">_xlfn.XLOOKUP($C94,$C$7:$C$48,_xlfn.XLOOKUP(L$61,$D$6:$AS$6,$D$7:$AS$48))</f>
        <v>13280152.6862859</v>
      </c>
      <c r="M94" cm="1">
        <f t="array" ref="M94">_xlfn.XLOOKUP($C94,$C$7:$C$48,_xlfn.XLOOKUP(M$61,$D$6:$AS$6,$D$7:$AS$48))</f>
        <v>5462401.4564253297</v>
      </c>
      <c r="N94" cm="1">
        <f t="array" ref="N94">_xlfn.XLOOKUP($C94,$C$7:$C$48,_xlfn.XLOOKUP(N$61,$D$6:$AS$6,$D$7:$AS$48))</f>
        <v>12564972.5615984</v>
      </c>
      <c r="O94" cm="1">
        <f t="array" ref="O94">_xlfn.XLOOKUP($C94,$C$7:$C$48,_xlfn.XLOOKUP(O$61,$D$6:$AS$6,$D$7:$AS$48))</f>
        <v>17577354.936966401</v>
      </c>
      <c r="P94" cm="1">
        <f t="array" ref="P94">_xlfn.XLOOKUP($C94,$C$7:$C$48,_xlfn.XLOOKUP(P$61,$D$6:$AS$6,$D$7:$AS$48))</f>
        <v>7884997.0104298303</v>
      </c>
      <c r="Q94" cm="1">
        <f t="array" ref="Q94">_xlfn.XLOOKUP($C94,$C$7:$C$48,_xlfn.XLOOKUP(Q$61,$D$6:$AS$6,$D$7:$AS$48))</f>
        <v>10242614.5158324</v>
      </c>
      <c r="R94" cm="1">
        <f t="array" ref="R94">_xlfn.XLOOKUP($C94,$C$7:$C$48,_xlfn.XLOOKUP(R$61,$D$6:$AS$6,$D$7:$AS$48))</f>
        <v>12561166.321784901</v>
      </c>
      <c r="S94" cm="1">
        <f t="array" ref="S94">_xlfn.XLOOKUP($C94,$C$7:$C$48,_xlfn.XLOOKUP(S$61,$D$6:$AS$6,$D$7:$AS$48))</f>
        <v>4776147.5989378104</v>
      </c>
      <c r="T94" cm="1">
        <f t="array" ref="T94">_xlfn.XLOOKUP($C94,$C$7:$C$48,_xlfn.XLOOKUP(T$61,$D$6:$AS$6,$D$7:$AS$48))</f>
        <v>2689490.4995318698</v>
      </c>
      <c r="U94" cm="1">
        <f t="array" ref="U94">_xlfn.XLOOKUP($C94,$C$7:$C$48,_xlfn.XLOOKUP(U$61,$D$6:$AS$6,$D$7:$AS$48))</f>
        <v>8356979.5537029998</v>
      </c>
      <c r="V94" cm="1">
        <f t="array" ref="V94">_xlfn.XLOOKUP($C94,$C$7:$C$48,_xlfn.XLOOKUP(V$61,$D$6:$AS$6,$D$7:$AS$48))</f>
        <v>20098279.286866501</v>
      </c>
      <c r="W94" cm="1">
        <f t="array" ref="W94">_xlfn.XLOOKUP($C94,$C$7:$C$48,_xlfn.XLOOKUP(W$61,$D$6:$AS$6,$D$7:$AS$48))</f>
        <v>13481919.167808199</v>
      </c>
      <c r="X94" cm="1">
        <f t="array" ref="X94">_xlfn.XLOOKUP($C94,$C$7:$C$48,_xlfn.XLOOKUP(X$61,$D$6:$AS$6,$D$7:$AS$48))</f>
        <v>11688945.121528801</v>
      </c>
      <c r="Y94" cm="1">
        <f t="array" ref="Y94">_xlfn.XLOOKUP($C94,$C$7:$C$48,_xlfn.XLOOKUP(Y$61,$D$6:$AS$6,$D$7:$AS$48))</f>
        <v>17330624.9111703</v>
      </c>
      <c r="Z94" cm="1">
        <f t="array" ref="Z94">_xlfn.XLOOKUP($C94,$C$7:$C$48,_xlfn.XLOOKUP(Z$61,$D$6:$AS$6,$D$7:$AS$48))</f>
        <v>2164350.08201198</v>
      </c>
      <c r="AA94" cm="1">
        <f t="array" ref="AA94">_xlfn.XLOOKUP($C94,$C$7:$C$48,_xlfn.XLOOKUP(AA$61,$D$6:$AS$6,$D$7:$AS$48))</f>
        <v>1727034.3058073199</v>
      </c>
      <c r="AB94" cm="1">
        <f t="array" ref="AB94">_xlfn.XLOOKUP($C94,$C$7:$C$48,_xlfn.XLOOKUP(AB$61,$D$6:$AS$6,$D$7:$AS$48))</f>
        <v>4572205.4078474399</v>
      </c>
      <c r="AC94" cm="1">
        <f t="array" ref="AC94">_xlfn.XLOOKUP($C94,$C$7:$C$48,_xlfn.XLOOKUP(AC$61,$D$6:$AS$6,$D$7:$AS$48))</f>
        <v>1778231.98856279</v>
      </c>
      <c r="AD94" cm="1">
        <f t="array" ref="AD94">_xlfn.XLOOKUP($C94,$C$7:$C$48,_xlfn.XLOOKUP(AD$61,$D$6:$AS$6,$D$7:$AS$48))</f>
        <v>496311.83405932301</v>
      </c>
      <c r="AE94" cm="1">
        <f t="array" ref="AE94">_xlfn.XLOOKUP($C94,$C$7:$C$48,_xlfn.XLOOKUP(AE$61,$D$6:$AS$6,$D$7:$AS$48))</f>
        <v>52549966.346371099</v>
      </c>
      <c r="AF94" cm="1">
        <f t="array" ref="AF94">_xlfn.XLOOKUP($C94,$C$7:$C$48,_xlfn.XLOOKUP(AF$61,$D$6:$AS$6,$D$7:$AS$48))</f>
        <v>159935089.74753299</v>
      </c>
      <c r="AG94" cm="1">
        <f t="array" ref="AG94">_xlfn.XLOOKUP($C94,$C$7:$C$48,_xlfn.XLOOKUP(AG$61,$D$6:$AS$6,$D$7:$AS$48))</f>
        <v>36186483.1966158</v>
      </c>
      <c r="AH94" cm="1">
        <f t="array" ref="AH94">_xlfn.XLOOKUP($C94,$C$7:$C$48,_xlfn.XLOOKUP(AH$61,$D$6:$AS$6,$D$7:$AS$48))</f>
        <v>8687960.0839802604</v>
      </c>
      <c r="AI94" cm="1">
        <f t="array" ref="AI94">_xlfn.XLOOKUP($C94,$C$7:$C$48,_xlfn.XLOOKUP(AI$61,$D$6:$AS$6,$D$7:$AS$48))</f>
        <v>74215811.333413094</v>
      </c>
      <c r="AJ94" cm="1">
        <f t="array" ref="AJ94">_xlfn.XLOOKUP($C94,$C$7:$C$48,_xlfn.XLOOKUP(AJ$61,$D$6:$AS$6,$D$7:$AS$48))</f>
        <v>104609027.14887901</v>
      </c>
      <c r="AK94" cm="1">
        <f t="array" ref="AK94">_xlfn.XLOOKUP($C94,$C$7:$C$48,_xlfn.XLOOKUP(AK$61,$D$6:$AS$6,$D$7:$AS$48))</f>
        <v>8846749.5698839799</v>
      </c>
      <c r="AL94" cm="1">
        <f t="array" ref="AL94">_xlfn.XLOOKUP($C94,$C$7:$C$48,_xlfn.XLOOKUP(AL$61,$D$6:$AS$6,$D$7:$AS$48))</f>
        <v>77042668.512262002</v>
      </c>
      <c r="AM94" cm="1">
        <f t="array" ref="AM94">_xlfn.XLOOKUP($C94,$C$7:$C$48,_xlfn.XLOOKUP(AM$61,$D$6:$AS$6,$D$7:$AS$48))</f>
        <v>65627876.7691359</v>
      </c>
      <c r="AN94" cm="1">
        <f t="array" ref="AN94">_xlfn.XLOOKUP($C94,$C$7:$C$48,_xlfn.XLOOKUP(AN$61,$D$6:$AS$6,$D$7:$AS$48))</f>
        <v>27453542.088415399</v>
      </c>
      <c r="AO94" cm="1">
        <f t="array" ref="AO94">_xlfn.XLOOKUP($C94,$C$7:$C$48,_xlfn.XLOOKUP(AO$61,$D$6:$AS$6,$D$7:$AS$48))</f>
        <v>28124552.034899201</v>
      </c>
      <c r="AP94" cm="1">
        <f t="array" ref="AP94">_xlfn.XLOOKUP($C94,$C$7:$C$48,_xlfn.XLOOKUP(AP$61,$D$6:$AS$6,$D$7:$AS$48))</f>
        <v>5708290.1259355703</v>
      </c>
      <c r="AQ94" cm="1">
        <f t="array" ref="AQ94">_xlfn.XLOOKUP($C94,$C$7:$C$48,_xlfn.XLOOKUP(AQ$61,$D$6:$AS$6,$D$7:$AS$48))</f>
        <v>2729915.7078018002</v>
      </c>
      <c r="AR94" cm="1">
        <f t="array" ref="AR94">_xlfn.XLOOKUP($C94,$C$7:$C$48,_xlfn.XLOOKUP(AR$61,$D$6:$AS$6,$D$7:$AS$48))</f>
        <v>7213133.8737245798</v>
      </c>
      <c r="AS94" cm="1">
        <f t="array" ref="AS94">_xlfn.XLOOKUP($C94,$C$7:$C$48,_xlfn.XLOOKUP(AS$61,$D$6:$AS$6,$D$7:$AS$48))</f>
        <v>7215213.4638893995</v>
      </c>
      <c r="AT94">
        <f t="shared" si="3"/>
        <v>894498111.90660298</v>
      </c>
      <c r="AU94" cm="1">
        <f t="array" ref="AU94">_xlfn.XLOOKUP(AU$60,$AU$6:$BF$6,_xlfn.XLOOKUP($C94,$C$7:$C$48,$AU$7:$BF$48))</f>
        <v>1757638.98538596</v>
      </c>
      <c r="AV94" cm="1">
        <f t="array" ref="AV94">_xlfn.XLOOKUP(AV$60,$AU$6:$BF$6,_xlfn.XLOOKUP($C94,$C$7:$C$48,$AU$7:$BF$48))</f>
        <v>34063051.8751361</v>
      </c>
      <c r="AW94" cm="1">
        <f t="array" ref="AW94">_xlfn.XLOOKUP(AW$60,$AU$6:$BF$6,_xlfn.XLOOKUP($C94,$C$7:$C$48,$AU$7:$BF$48))</f>
        <v>35820690.860522099</v>
      </c>
      <c r="AX94" cm="1">
        <f t="array" ref="AX94">_xlfn.XLOOKUP(AX$60,$AU$6:$BF$6,_xlfn.XLOOKUP($C94,$C$7:$C$48,$AU$7:$BF$48))</f>
        <v>22155634.737713002</v>
      </c>
      <c r="AY94" cm="1">
        <f t="array" ref="AY94">_xlfn.XLOOKUP(AY$60,$AU$6:$BF$6,_xlfn.XLOOKUP($C94,$C$7:$C$48,$AU$7:$BF$48))</f>
        <v>57976325.598235101</v>
      </c>
      <c r="AZ94" cm="1">
        <f t="array" ref="AZ94">_xlfn.XLOOKUP(AZ$60,$AU$6:$BF$6,_xlfn.XLOOKUP($C94,$C$7:$C$48,$AU$7:$BF$48))</f>
        <v>0</v>
      </c>
      <c r="BA94" cm="1">
        <f t="array" ref="BA94">_xlfn.XLOOKUP(BA$60,$AU$6:$BF$6,_xlfn.XLOOKUP($C94,$C$7:$C$48,$AU$7:$BF$48))</f>
        <v>0</v>
      </c>
      <c r="BB94" cm="1">
        <f t="array" ref="BB94">_xlfn.XLOOKUP(BB$60,$AU$6:$BF$6,_xlfn.XLOOKUP($C94,$C$7:$C$48,$AU$7:$BF$48))</f>
        <v>0</v>
      </c>
      <c r="BC94" cm="1">
        <f t="array" ref="BC94">_xlfn.XLOOKUP(BC$60,$AU$6:$BF$6,_xlfn.XLOOKUP($C94,$C$7:$C$48,$AU$7:$BF$48))</f>
        <v>40525349.164613903</v>
      </c>
      <c r="BD94" cm="1">
        <f t="array" ref="BD94">_xlfn.XLOOKUP(BD$60,$AU$6:$BF$6,_xlfn.XLOOKUP($C94,$C$7:$C$48,$AU$7:$BF$48))</f>
        <v>98501674.762849003</v>
      </c>
      <c r="BE94" cm="1">
        <f t="array" ref="BE94">_xlfn.XLOOKUP(BE$60,$AU$6:$BF$6,_xlfn.XLOOKUP($C94,$C$7:$C$48,$AU$7:$BF$48))</f>
        <v>30437186.0607545</v>
      </c>
      <c r="BF94" cm="1">
        <f t="array" ref="BF94">_xlfn.XLOOKUP(BF$60,$AU$6:$BF$6,_xlfn.XLOOKUP($C94,$C$7:$C$48,$AU$7:$BF$48))</f>
        <v>962562600.60869706</v>
      </c>
      <c r="BH94">
        <f t="shared" si="2"/>
        <v>952474437.50483811</v>
      </c>
      <c r="BJ94">
        <f t="shared" si="4"/>
        <v>3.1955908591614977E-2</v>
      </c>
    </row>
    <row r="95" spans="3:62" x14ac:dyDescent="0.25">
      <c r="C95" s="36" t="s">
        <v>105</v>
      </c>
      <c r="D95" cm="1">
        <f t="array" ref="D95">_xlfn.XLOOKUP($C95,$C$7:$C$48,_xlfn.XLOOKUP(D$61,$D$6:$AS$6,$D$7:$AS$48))</f>
        <v>0</v>
      </c>
      <c r="E95" cm="1">
        <f t="array" ref="E95">_xlfn.XLOOKUP($C95,$C$7:$C$48,_xlfn.XLOOKUP(E$61,$D$6:$AS$6,$D$7:$AS$48))</f>
        <v>0</v>
      </c>
      <c r="F95" cm="1">
        <f t="array" ref="F95">_xlfn.XLOOKUP($C95,$C$7:$C$48,_xlfn.XLOOKUP(F$61,$D$6:$AS$6,$D$7:$AS$48))</f>
        <v>0</v>
      </c>
      <c r="G95" cm="1">
        <f t="array" ref="G95">_xlfn.XLOOKUP($C95,$C$7:$C$48,_xlfn.XLOOKUP(G$61,$D$6:$AS$6,$D$7:$AS$48))</f>
        <v>0</v>
      </c>
      <c r="H95" cm="1">
        <f t="array" ref="H95">_xlfn.XLOOKUP($C95,$C$7:$C$48,_xlfn.XLOOKUP(H$61,$D$6:$AS$6,$D$7:$AS$48))</f>
        <v>0</v>
      </c>
      <c r="I95" cm="1">
        <f t="array" ref="I95">_xlfn.XLOOKUP($C95,$C$7:$C$48,_xlfn.XLOOKUP(I$61,$D$6:$AS$6,$D$7:$AS$48))</f>
        <v>0</v>
      </c>
      <c r="J95" cm="1">
        <f t="array" ref="J95">_xlfn.XLOOKUP($C95,$C$7:$C$48,_xlfn.XLOOKUP(J$61,$D$6:$AS$6,$D$7:$AS$48))</f>
        <v>0</v>
      </c>
      <c r="K95" cm="1">
        <f t="array" ref="K95">_xlfn.XLOOKUP($C95,$C$7:$C$48,_xlfn.XLOOKUP(K$61,$D$6:$AS$6,$D$7:$AS$48))</f>
        <v>0</v>
      </c>
      <c r="L95" cm="1">
        <f t="array" ref="L95">_xlfn.XLOOKUP($C95,$C$7:$C$48,_xlfn.XLOOKUP(L$61,$D$6:$AS$6,$D$7:$AS$48))</f>
        <v>0</v>
      </c>
      <c r="M95" cm="1">
        <f t="array" ref="M95">_xlfn.XLOOKUP($C95,$C$7:$C$48,_xlfn.XLOOKUP(M$61,$D$6:$AS$6,$D$7:$AS$48))</f>
        <v>0</v>
      </c>
      <c r="N95" cm="1">
        <f t="array" ref="N95">_xlfn.XLOOKUP($C95,$C$7:$C$48,_xlfn.XLOOKUP(N$61,$D$6:$AS$6,$D$7:$AS$48))</f>
        <v>0</v>
      </c>
      <c r="O95" cm="1">
        <f t="array" ref="O95">_xlfn.XLOOKUP($C95,$C$7:$C$48,_xlfn.XLOOKUP(O$61,$D$6:$AS$6,$D$7:$AS$48))</f>
        <v>0</v>
      </c>
      <c r="P95" cm="1">
        <f t="array" ref="P95">_xlfn.XLOOKUP($C95,$C$7:$C$48,_xlfn.XLOOKUP(P$61,$D$6:$AS$6,$D$7:$AS$48))</f>
        <v>0</v>
      </c>
      <c r="Q95" cm="1">
        <f t="array" ref="Q95">_xlfn.XLOOKUP($C95,$C$7:$C$48,_xlfn.XLOOKUP(Q$61,$D$6:$AS$6,$D$7:$AS$48))</f>
        <v>0</v>
      </c>
      <c r="R95" cm="1">
        <f t="array" ref="R95">_xlfn.XLOOKUP($C95,$C$7:$C$48,_xlfn.XLOOKUP(R$61,$D$6:$AS$6,$D$7:$AS$48))</f>
        <v>0</v>
      </c>
      <c r="S95" cm="1">
        <f t="array" ref="S95">_xlfn.XLOOKUP($C95,$C$7:$C$48,_xlfn.XLOOKUP(S$61,$D$6:$AS$6,$D$7:$AS$48))</f>
        <v>0</v>
      </c>
      <c r="T95" cm="1">
        <f t="array" ref="T95">_xlfn.XLOOKUP($C95,$C$7:$C$48,_xlfn.XLOOKUP(T$61,$D$6:$AS$6,$D$7:$AS$48))</f>
        <v>0</v>
      </c>
      <c r="U95" cm="1">
        <f t="array" ref="U95">_xlfn.XLOOKUP($C95,$C$7:$C$48,_xlfn.XLOOKUP(U$61,$D$6:$AS$6,$D$7:$AS$48))</f>
        <v>0</v>
      </c>
      <c r="V95" cm="1">
        <f t="array" ref="V95">_xlfn.XLOOKUP($C95,$C$7:$C$48,_xlfn.XLOOKUP(V$61,$D$6:$AS$6,$D$7:$AS$48))</f>
        <v>0</v>
      </c>
      <c r="W95" cm="1">
        <f t="array" ref="W95">_xlfn.XLOOKUP($C95,$C$7:$C$48,_xlfn.XLOOKUP(W$61,$D$6:$AS$6,$D$7:$AS$48))</f>
        <v>0</v>
      </c>
      <c r="X95" cm="1">
        <f t="array" ref="X95">_xlfn.XLOOKUP($C95,$C$7:$C$48,_xlfn.XLOOKUP(X$61,$D$6:$AS$6,$D$7:$AS$48))</f>
        <v>0</v>
      </c>
      <c r="Y95" cm="1">
        <f t="array" ref="Y95">_xlfn.XLOOKUP($C95,$C$7:$C$48,_xlfn.XLOOKUP(Y$61,$D$6:$AS$6,$D$7:$AS$48))</f>
        <v>0</v>
      </c>
      <c r="Z95" cm="1">
        <f t="array" ref="Z95">_xlfn.XLOOKUP($C95,$C$7:$C$48,_xlfn.XLOOKUP(Z$61,$D$6:$AS$6,$D$7:$AS$48))</f>
        <v>0</v>
      </c>
      <c r="AA95" cm="1">
        <f t="array" ref="AA95">_xlfn.XLOOKUP($C95,$C$7:$C$48,_xlfn.XLOOKUP(AA$61,$D$6:$AS$6,$D$7:$AS$48))</f>
        <v>0</v>
      </c>
      <c r="AB95" cm="1">
        <f t="array" ref="AB95">_xlfn.XLOOKUP($C95,$C$7:$C$48,_xlfn.XLOOKUP(AB$61,$D$6:$AS$6,$D$7:$AS$48))</f>
        <v>0</v>
      </c>
      <c r="AC95" cm="1">
        <f t="array" ref="AC95">_xlfn.XLOOKUP($C95,$C$7:$C$48,_xlfn.XLOOKUP(AC$61,$D$6:$AS$6,$D$7:$AS$48))</f>
        <v>0</v>
      </c>
      <c r="AD95" cm="1">
        <f t="array" ref="AD95">_xlfn.XLOOKUP($C95,$C$7:$C$48,_xlfn.XLOOKUP(AD$61,$D$6:$AS$6,$D$7:$AS$48))</f>
        <v>0</v>
      </c>
      <c r="AE95" cm="1">
        <f t="array" ref="AE95">_xlfn.XLOOKUP($C95,$C$7:$C$48,_xlfn.XLOOKUP(AE$61,$D$6:$AS$6,$D$7:$AS$48))</f>
        <v>0</v>
      </c>
      <c r="AF95" cm="1">
        <f t="array" ref="AF95">_xlfn.XLOOKUP($C95,$C$7:$C$48,_xlfn.XLOOKUP(AF$61,$D$6:$AS$6,$D$7:$AS$48))</f>
        <v>0</v>
      </c>
      <c r="AG95" cm="1">
        <f t="array" ref="AG95">_xlfn.XLOOKUP($C95,$C$7:$C$48,_xlfn.XLOOKUP(AG$61,$D$6:$AS$6,$D$7:$AS$48))</f>
        <v>0</v>
      </c>
      <c r="AH95" cm="1">
        <f t="array" ref="AH95">_xlfn.XLOOKUP($C95,$C$7:$C$48,_xlfn.XLOOKUP(AH$61,$D$6:$AS$6,$D$7:$AS$48))</f>
        <v>0</v>
      </c>
      <c r="AI95" cm="1">
        <f t="array" ref="AI95">_xlfn.XLOOKUP($C95,$C$7:$C$48,_xlfn.XLOOKUP(AI$61,$D$6:$AS$6,$D$7:$AS$48))</f>
        <v>0</v>
      </c>
      <c r="AJ95" cm="1">
        <f t="array" ref="AJ95">_xlfn.XLOOKUP($C95,$C$7:$C$48,_xlfn.XLOOKUP(AJ$61,$D$6:$AS$6,$D$7:$AS$48))</f>
        <v>0</v>
      </c>
      <c r="AK95" cm="1">
        <f t="array" ref="AK95">_xlfn.XLOOKUP($C95,$C$7:$C$48,_xlfn.XLOOKUP(AK$61,$D$6:$AS$6,$D$7:$AS$48))</f>
        <v>860250.38824139803</v>
      </c>
      <c r="AL95" cm="1">
        <f t="array" ref="AL95">_xlfn.XLOOKUP($C95,$C$7:$C$48,_xlfn.XLOOKUP(AL$61,$D$6:$AS$6,$D$7:$AS$48))</f>
        <v>0</v>
      </c>
      <c r="AM95" cm="1">
        <f t="array" ref="AM95">_xlfn.XLOOKUP($C95,$C$7:$C$48,_xlfn.XLOOKUP(AM$61,$D$6:$AS$6,$D$7:$AS$48))</f>
        <v>0</v>
      </c>
      <c r="AN95" cm="1">
        <f t="array" ref="AN95">_xlfn.XLOOKUP($C95,$C$7:$C$48,_xlfn.XLOOKUP(AN$61,$D$6:$AS$6,$D$7:$AS$48))</f>
        <v>0</v>
      </c>
      <c r="AO95" cm="1">
        <f t="array" ref="AO95">_xlfn.XLOOKUP($C95,$C$7:$C$48,_xlfn.XLOOKUP(AO$61,$D$6:$AS$6,$D$7:$AS$48))</f>
        <v>0</v>
      </c>
      <c r="AP95" cm="1">
        <f t="array" ref="AP95">_xlfn.XLOOKUP($C95,$C$7:$C$48,_xlfn.XLOOKUP(AP$61,$D$6:$AS$6,$D$7:$AS$48))</f>
        <v>0</v>
      </c>
      <c r="AQ95" cm="1">
        <f t="array" ref="AQ95">_xlfn.XLOOKUP($C95,$C$7:$C$48,_xlfn.XLOOKUP(AQ$61,$D$6:$AS$6,$D$7:$AS$48))</f>
        <v>0</v>
      </c>
      <c r="AR95" cm="1">
        <f t="array" ref="AR95">_xlfn.XLOOKUP($C95,$C$7:$C$48,_xlfn.XLOOKUP(AR$61,$D$6:$AS$6,$D$7:$AS$48))</f>
        <v>0</v>
      </c>
      <c r="AS95" cm="1">
        <f t="array" ref="AS95">_xlfn.XLOOKUP($C95,$C$7:$C$48,_xlfn.XLOOKUP(AS$61,$D$6:$AS$6,$D$7:$AS$48))</f>
        <v>0</v>
      </c>
      <c r="AT95">
        <f t="shared" si="3"/>
        <v>860250.38824139803</v>
      </c>
      <c r="AU95" cm="1">
        <f t="array" ref="AU95">_xlfn.XLOOKUP(AU$60,$AU$6:$BF$6,_xlfn.XLOOKUP($C95,$C$7:$C$48,$AU$7:$BF$48))</f>
        <v>0</v>
      </c>
      <c r="AV95" cm="1">
        <f t="array" ref="AV95">_xlfn.XLOOKUP(AV$60,$AU$6:$BF$6,_xlfn.XLOOKUP($C95,$C$7:$C$48,$AU$7:$BF$48))</f>
        <v>0</v>
      </c>
      <c r="AW95" cm="1">
        <f t="array" ref="AW95">_xlfn.XLOOKUP(AW$60,$AU$6:$BF$6,_xlfn.XLOOKUP($C95,$C$7:$C$48,$AU$7:$BF$48))</f>
        <v>0</v>
      </c>
      <c r="AX95" cm="1">
        <f t="array" ref="AX95">_xlfn.XLOOKUP(AX$60,$AU$6:$BF$6,_xlfn.XLOOKUP($C95,$C$7:$C$48,$AU$7:$BF$48))</f>
        <v>60926779.103685901</v>
      </c>
      <c r="AY95" cm="1">
        <f t="array" ref="AY95">_xlfn.XLOOKUP(AY$60,$AU$6:$BF$6,_xlfn.XLOOKUP($C95,$C$7:$C$48,$AU$7:$BF$48))</f>
        <v>60926779.103685901</v>
      </c>
      <c r="AZ95" cm="1">
        <f t="array" ref="AZ95">_xlfn.XLOOKUP(AZ$60,$AU$6:$BF$6,_xlfn.XLOOKUP($C95,$C$7:$C$48,$AU$7:$BF$48))</f>
        <v>187839985.89905101</v>
      </c>
      <c r="BA95" cm="1">
        <f t="array" ref="BA95">_xlfn.XLOOKUP(BA$60,$AU$6:$BF$6,_xlfn.XLOOKUP($C95,$C$7:$C$48,$AU$7:$BF$48))</f>
        <v>0</v>
      </c>
      <c r="BB95" cm="1">
        <f t="array" ref="BB95">_xlfn.XLOOKUP(BB$60,$AU$6:$BF$6,_xlfn.XLOOKUP($C95,$C$7:$C$48,$AU$7:$BF$48))</f>
        <v>187839985.89905101</v>
      </c>
      <c r="BC95" cm="1">
        <f t="array" ref="BC95">_xlfn.XLOOKUP(BC$60,$AU$6:$BF$6,_xlfn.XLOOKUP($C95,$C$7:$C$48,$AU$7:$BF$48))</f>
        <v>9676778.9460403305</v>
      </c>
      <c r="BD95" cm="1">
        <f t="array" ref="BD95">_xlfn.XLOOKUP(BD$60,$AU$6:$BF$6,_xlfn.XLOOKUP($C95,$C$7:$C$48,$AU$7:$BF$48))</f>
        <v>258443543.94877699</v>
      </c>
      <c r="BE95" cm="1">
        <f t="array" ref="BE95">_xlfn.XLOOKUP(BE$60,$AU$6:$BF$6,_xlfn.XLOOKUP($C95,$C$7:$C$48,$AU$7:$BF$48))</f>
        <v>27747226.1777905</v>
      </c>
      <c r="BF95" cm="1">
        <f t="array" ref="BF95">_xlfn.XLOOKUP(BF$60,$AU$6:$BF$6,_xlfn.XLOOKUP($C95,$C$7:$C$48,$AU$7:$BF$48))</f>
        <v>231556568.159228</v>
      </c>
      <c r="BH95">
        <f t="shared" si="2"/>
        <v>249627015.39097831</v>
      </c>
      <c r="BJ95">
        <f t="shared" si="4"/>
        <v>0.1111547407412271</v>
      </c>
    </row>
    <row r="96" spans="3:62" x14ac:dyDescent="0.25">
      <c r="C96" s="36" t="s">
        <v>102</v>
      </c>
      <c r="D96" cm="1">
        <f t="array" ref="D96">_xlfn.XLOOKUP($C96,$C$7:$C$48,_xlfn.XLOOKUP(D$61,$D$6:$AS$6,$D$7:$AS$48))</f>
        <v>15766818.180193</v>
      </c>
      <c r="E96" cm="1">
        <f t="array" ref="E96">_xlfn.XLOOKUP($C96,$C$7:$C$48,_xlfn.XLOOKUP(E$61,$D$6:$AS$6,$D$7:$AS$48))</f>
        <v>11355297.9950202</v>
      </c>
      <c r="F96" cm="1">
        <f t="array" ref="F96">_xlfn.XLOOKUP($C96,$C$7:$C$48,_xlfn.XLOOKUP(F$61,$D$6:$AS$6,$D$7:$AS$48))</f>
        <v>3523955.0546134901</v>
      </c>
      <c r="G96" cm="1">
        <f t="array" ref="G96">_xlfn.XLOOKUP($C96,$C$7:$C$48,_xlfn.XLOOKUP(G$61,$D$6:$AS$6,$D$7:$AS$48))</f>
        <v>5093818.7846388901</v>
      </c>
      <c r="H96" cm="1">
        <f t="array" ref="H96">_xlfn.XLOOKUP($C96,$C$7:$C$48,_xlfn.XLOOKUP(H$61,$D$6:$AS$6,$D$7:$AS$48))</f>
        <v>364840.56967419299</v>
      </c>
      <c r="I96" cm="1">
        <f t="array" ref="I96">_xlfn.XLOOKUP($C96,$C$7:$C$48,_xlfn.XLOOKUP(I$61,$D$6:$AS$6,$D$7:$AS$48))</f>
        <v>6436987.4079373898</v>
      </c>
      <c r="J96" cm="1">
        <f t="array" ref="J96">_xlfn.XLOOKUP($C96,$C$7:$C$48,_xlfn.XLOOKUP(J$61,$D$6:$AS$6,$D$7:$AS$48))</f>
        <v>6249925.8013545396</v>
      </c>
      <c r="K96" cm="1">
        <f t="array" ref="K96">_xlfn.XLOOKUP($C96,$C$7:$C$48,_xlfn.XLOOKUP(K$61,$D$6:$AS$6,$D$7:$AS$48))</f>
        <v>2488537.4583907099</v>
      </c>
      <c r="L96" cm="1">
        <f t="array" ref="L96">_xlfn.XLOOKUP($C96,$C$7:$C$48,_xlfn.XLOOKUP(L$61,$D$6:$AS$6,$D$7:$AS$48))</f>
        <v>8811327.1266631093</v>
      </c>
      <c r="M96" cm="1">
        <f t="array" ref="M96">_xlfn.XLOOKUP($C96,$C$7:$C$48,_xlfn.XLOOKUP(M$61,$D$6:$AS$6,$D$7:$AS$48))</f>
        <v>5416578.4359622402</v>
      </c>
      <c r="N96" cm="1">
        <f t="array" ref="N96">_xlfn.XLOOKUP($C96,$C$7:$C$48,_xlfn.XLOOKUP(N$61,$D$6:$AS$6,$D$7:$AS$48))</f>
        <v>13092551.2328758</v>
      </c>
      <c r="O96" cm="1">
        <f t="array" ref="O96">_xlfn.XLOOKUP($C96,$C$7:$C$48,_xlfn.XLOOKUP(O$61,$D$6:$AS$6,$D$7:$AS$48))</f>
        <v>6602747.3756686496</v>
      </c>
      <c r="P96" cm="1">
        <f t="array" ref="P96">_xlfn.XLOOKUP($C96,$C$7:$C$48,_xlfn.XLOOKUP(P$61,$D$6:$AS$6,$D$7:$AS$48))</f>
        <v>4242624.0443470702</v>
      </c>
      <c r="Q96" cm="1">
        <f t="array" ref="Q96">_xlfn.XLOOKUP($C96,$C$7:$C$48,_xlfn.XLOOKUP(Q$61,$D$6:$AS$6,$D$7:$AS$48))</f>
        <v>7663645.7644708296</v>
      </c>
      <c r="R96" cm="1">
        <f t="array" ref="R96">_xlfn.XLOOKUP($C96,$C$7:$C$48,_xlfn.XLOOKUP(R$61,$D$6:$AS$6,$D$7:$AS$48))</f>
        <v>14297153.9563694</v>
      </c>
      <c r="S96" cm="1">
        <f t="array" ref="S96">_xlfn.XLOOKUP($C96,$C$7:$C$48,_xlfn.XLOOKUP(S$61,$D$6:$AS$6,$D$7:$AS$48))</f>
        <v>20570210.4352994</v>
      </c>
      <c r="T96" cm="1">
        <f t="array" ref="T96">_xlfn.XLOOKUP($C96,$C$7:$C$48,_xlfn.XLOOKUP(T$61,$D$6:$AS$6,$D$7:$AS$48))</f>
        <v>12597606.312720601</v>
      </c>
      <c r="U96" cm="1">
        <f t="array" ref="U96">_xlfn.XLOOKUP($C96,$C$7:$C$48,_xlfn.XLOOKUP(U$61,$D$6:$AS$6,$D$7:$AS$48))</f>
        <v>9590467.50565698</v>
      </c>
      <c r="V96" cm="1">
        <f t="array" ref="V96">_xlfn.XLOOKUP($C96,$C$7:$C$48,_xlfn.XLOOKUP(V$61,$D$6:$AS$6,$D$7:$AS$48))</f>
        <v>19032060.787423901</v>
      </c>
      <c r="W96" cm="1">
        <f t="array" ref="W96">_xlfn.XLOOKUP($C96,$C$7:$C$48,_xlfn.XLOOKUP(W$61,$D$6:$AS$6,$D$7:$AS$48))</f>
        <v>9787171.45932322</v>
      </c>
      <c r="X96" cm="1">
        <f t="array" ref="X96">_xlfn.XLOOKUP($C96,$C$7:$C$48,_xlfn.XLOOKUP(X$61,$D$6:$AS$6,$D$7:$AS$48))</f>
        <v>7295027.1000640998</v>
      </c>
      <c r="Y96" cm="1">
        <f t="array" ref="Y96">_xlfn.XLOOKUP($C96,$C$7:$C$48,_xlfn.XLOOKUP(Y$61,$D$6:$AS$6,$D$7:$AS$48))</f>
        <v>5381052.8415667396</v>
      </c>
      <c r="Z96" cm="1">
        <f t="array" ref="Z96">_xlfn.XLOOKUP($C96,$C$7:$C$48,_xlfn.XLOOKUP(Z$61,$D$6:$AS$6,$D$7:$AS$48))</f>
        <v>1960594.08092552</v>
      </c>
      <c r="AA96" cm="1">
        <f t="array" ref="AA96">_xlfn.XLOOKUP($C96,$C$7:$C$48,_xlfn.XLOOKUP(AA$61,$D$6:$AS$6,$D$7:$AS$48))</f>
        <v>1872017.3346531701</v>
      </c>
      <c r="AB96" cm="1">
        <f t="array" ref="AB96">_xlfn.XLOOKUP($C96,$C$7:$C$48,_xlfn.XLOOKUP(AB$61,$D$6:$AS$6,$D$7:$AS$48))</f>
        <v>30701715.880519599</v>
      </c>
      <c r="AC96" cm="1">
        <f t="array" ref="AC96">_xlfn.XLOOKUP($C96,$C$7:$C$48,_xlfn.XLOOKUP(AC$61,$D$6:$AS$6,$D$7:$AS$48))</f>
        <v>2949098.61340047</v>
      </c>
      <c r="AD96" cm="1">
        <f t="array" ref="AD96">_xlfn.XLOOKUP($C96,$C$7:$C$48,_xlfn.XLOOKUP(AD$61,$D$6:$AS$6,$D$7:$AS$48))</f>
        <v>2337898.0729335099</v>
      </c>
      <c r="AE96" cm="1">
        <f t="array" ref="AE96">_xlfn.XLOOKUP($C96,$C$7:$C$48,_xlfn.XLOOKUP(AE$61,$D$6:$AS$6,$D$7:$AS$48))</f>
        <v>104688408.690953</v>
      </c>
      <c r="AF96" cm="1">
        <f t="array" ref="AF96">_xlfn.XLOOKUP($C96,$C$7:$C$48,_xlfn.XLOOKUP(AF$61,$D$6:$AS$6,$D$7:$AS$48))</f>
        <v>66615980.037014998</v>
      </c>
      <c r="AG96" cm="1">
        <f t="array" ref="AG96">_xlfn.XLOOKUP($C96,$C$7:$C$48,_xlfn.XLOOKUP(AG$61,$D$6:$AS$6,$D$7:$AS$48))</f>
        <v>112449320.143672</v>
      </c>
      <c r="AH96" cm="1">
        <f t="array" ref="AH96">_xlfn.XLOOKUP($C96,$C$7:$C$48,_xlfn.XLOOKUP(AH$61,$D$6:$AS$6,$D$7:$AS$48))</f>
        <v>4074223.4112146799</v>
      </c>
      <c r="AI96" cm="1">
        <f t="array" ref="AI96">_xlfn.XLOOKUP($C96,$C$7:$C$48,_xlfn.XLOOKUP(AI$61,$D$6:$AS$6,$D$7:$AS$48))</f>
        <v>19132082.7698179</v>
      </c>
      <c r="AJ96" cm="1">
        <f t="array" ref="AJ96">_xlfn.XLOOKUP($C96,$C$7:$C$48,_xlfn.XLOOKUP(AJ$61,$D$6:$AS$6,$D$7:$AS$48))</f>
        <v>66178193.697203703</v>
      </c>
      <c r="AK96" cm="1">
        <f t="array" ref="AK96">_xlfn.XLOOKUP($C96,$C$7:$C$48,_xlfn.XLOOKUP(AK$61,$D$6:$AS$6,$D$7:$AS$48))</f>
        <v>2215790.5328792399</v>
      </c>
      <c r="AL96" cm="1">
        <f t="array" ref="AL96">_xlfn.XLOOKUP($C96,$C$7:$C$48,_xlfn.XLOOKUP(AL$61,$D$6:$AS$6,$D$7:$AS$48))</f>
        <v>88119497.319638893</v>
      </c>
      <c r="AM96" cm="1">
        <f t="array" ref="AM96">_xlfn.XLOOKUP($C96,$C$7:$C$48,_xlfn.XLOOKUP(AM$61,$D$6:$AS$6,$D$7:$AS$48))</f>
        <v>120667640.234183</v>
      </c>
      <c r="AN96" cm="1">
        <f t="array" ref="AN96">_xlfn.XLOOKUP($C96,$C$7:$C$48,_xlfn.XLOOKUP(AN$61,$D$6:$AS$6,$D$7:$AS$48))</f>
        <v>20409284.7257853</v>
      </c>
      <c r="AO96" cm="1">
        <f t="array" ref="AO96">_xlfn.XLOOKUP($C96,$C$7:$C$48,_xlfn.XLOOKUP(AO$61,$D$6:$AS$6,$D$7:$AS$48))</f>
        <v>24922671.979609702</v>
      </c>
      <c r="AP96" cm="1">
        <f t="array" ref="AP96">_xlfn.XLOOKUP($C96,$C$7:$C$48,_xlfn.XLOOKUP(AP$61,$D$6:$AS$6,$D$7:$AS$48))</f>
        <v>14202032.2973217</v>
      </c>
      <c r="AQ96" cm="1">
        <f t="array" ref="AQ96">_xlfn.XLOOKUP($C96,$C$7:$C$48,_xlfn.XLOOKUP(AQ$61,$D$6:$AS$6,$D$7:$AS$48))</f>
        <v>3588207.51262978</v>
      </c>
      <c r="AR96" cm="1">
        <f t="array" ref="AR96">_xlfn.XLOOKUP($C96,$C$7:$C$48,_xlfn.XLOOKUP(AR$61,$D$6:$AS$6,$D$7:$AS$48))</f>
        <v>3870128.1601535399</v>
      </c>
      <c r="AS96" cm="1">
        <f t="array" ref="AS96">_xlfn.XLOOKUP($C96,$C$7:$C$48,_xlfn.XLOOKUP(AS$61,$D$6:$AS$6,$D$7:$AS$48))</f>
        <v>3820089.7894017198</v>
      </c>
      <c r="AT96">
        <f t="shared" si="3"/>
        <v>887946743.45575595</v>
      </c>
      <c r="AU96" cm="1">
        <f t="array" ref="AU96">_xlfn.XLOOKUP(AU$60,$AU$6:$BF$6,_xlfn.XLOOKUP($C96,$C$7:$C$48,$AU$7:$BF$48))</f>
        <v>42322847.945521198</v>
      </c>
      <c r="AV96" cm="1">
        <f t="array" ref="AV96">_xlfn.XLOOKUP(AV$60,$AU$6:$BF$6,_xlfn.XLOOKUP($C96,$C$7:$C$48,$AU$7:$BF$48))</f>
        <v>257666069.66063899</v>
      </c>
      <c r="AW96" cm="1">
        <f t="array" ref="AW96">_xlfn.XLOOKUP(AW$60,$AU$6:$BF$6,_xlfn.XLOOKUP($C96,$C$7:$C$48,$AU$7:$BF$48))</f>
        <v>299988917.606161</v>
      </c>
      <c r="AX96" cm="1">
        <f t="array" ref="AX96">_xlfn.XLOOKUP(AX$60,$AU$6:$BF$6,_xlfn.XLOOKUP($C96,$C$7:$C$48,$AU$7:$BF$48))</f>
        <v>45102452.991895698</v>
      </c>
      <c r="AY96" cm="1">
        <f t="array" ref="AY96">_xlfn.XLOOKUP(AY$60,$AU$6:$BF$6,_xlfn.XLOOKUP($C96,$C$7:$C$48,$AU$7:$BF$48))</f>
        <v>345091370.59805697</v>
      </c>
      <c r="AZ96" cm="1">
        <f t="array" ref="AZ96">_xlfn.XLOOKUP(AZ$60,$AU$6:$BF$6,_xlfn.XLOOKUP($C96,$C$7:$C$48,$AU$7:$BF$48))</f>
        <v>0</v>
      </c>
      <c r="BA96" cm="1">
        <f t="array" ref="BA96">_xlfn.XLOOKUP(BA$60,$AU$6:$BF$6,_xlfn.XLOOKUP($C96,$C$7:$C$48,$AU$7:$BF$48))</f>
        <v>0</v>
      </c>
      <c r="BB96" cm="1">
        <f t="array" ref="BB96">_xlfn.XLOOKUP(BB$60,$AU$6:$BF$6,_xlfn.XLOOKUP($C96,$C$7:$C$48,$AU$7:$BF$48))</f>
        <v>0</v>
      </c>
      <c r="BC96" cm="1">
        <f t="array" ref="BC96">_xlfn.XLOOKUP(BC$60,$AU$6:$BF$6,_xlfn.XLOOKUP($C96,$C$7:$C$48,$AU$7:$BF$48))</f>
        <v>6895161.3437699499</v>
      </c>
      <c r="BD96" cm="1">
        <f t="array" ref="BD96">_xlfn.XLOOKUP(BD$60,$AU$6:$BF$6,_xlfn.XLOOKUP($C96,$C$7:$C$48,$AU$7:$BF$48))</f>
        <v>351986531.94182599</v>
      </c>
      <c r="BE96" cm="1">
        <f t="array" ref="BE96">_xlfn.XLOOKUP(BE$60,$AU$6:$BF$6,_xlfn.XLOOKUP($C96,$C$7:$C$48,$AU$7:$BF$48))</f>
        <v>10563119.925339</v>
      </c>
      <c r="BF96" cm="1">
        <f t="array" ref="BF96">_xlfn.XLOOKUP(BF$60,$AU$6:$BF$6,_xlfn.XLOOKUP($C96,$C$7:$C$48,$AU$7:$BF$48))</f>
        <v>1229370155.47224</v>
      </c>
      <c r="BH96">
        <f t="shared" si="2"/>
        <v>1233038114.053813</v>
      </c>
      <c r="BJ96">
        <f t="shared" si="4"/>
        <v>8.5667424266481339E-3</v>
      </c>
    </row>
    <row r="97" spans="1:62" x14ac:dyDescent="0.25">
      <c r="C97" s="36" t="s">
        <v>103</v>
      </c>
      <c r="D97" cm="1">
        <f t="array" ref="D97">_xlfn.XLOOKUP($C97,$C$7:$C$48,_xlfn.XLOOKUP(D$61,$D$6:$AS$6,$D$7:$AS$48))</f>
        <v>20082.659692497</v>
      </c>
      <c r="E97" cm="1">
        <f t="array" ref="E97">_xlfn.XLOOKUP($C97,$C$7:$C$48,_xlfn.XLOOKUP(E$61,$D$6:$AS$6,$D$7:$AS$48))</f>
        <v>154368.02123161001</v>
      </c>
      <c r="F97" cm="1">
        <f t="array" ref="F97">_xlfn.XLOOKUP($C97,$C$7:$C$48,_xlfn.XLOOKUP(F$61,$D$6:$AS$6,$D$7:$AS$48))</f>
        <v>30567.8260411511</v>
      </c>
      <c r="G97" cm="1">
        <f t="array" ref="G97">_xlfn.XLOOKUP($C97,$C$7:$C$48,_xlfn.XLOOKUP(G$61,$D$6:$AS$6,$D$7:$AS$48))</f>
        <v>19898.1266009709</v>
      </c>
      <c r="H97" cm="1">
        <f t="array" ref="H97">_xlfn.XLOOKUP($C97,$C$7:$C$48,_xlfn.XLOOKUP(H$61,$D$6:$AS$6,$D$7:$AS$48))</f>
        <v>23226.7155544534</v>
      </c>
      <c r="I97" cm="1">
        <f t="array" ref="I97">_xlfn.XLOOKUP($C97,$C$7:$C$48,_xlfn.XLOOKUP(I$61,$D$6:$AS$6,$D$7:$AS$48))</f>
        <v>368861.65740346297</v>
      </c>
      <c r="J97" cm="1">
        <f t="array" ref="J97">_xlfn.XLOOKUP($C97,$C$7:$C$48,_xlfn.XLOOKUP(J$61,$D$6:$AS$6,$D$7:$AS$48))</f>
        <v>288885.35468097398</v>
      </c>
      <c r="K97" cm="1">
        <f t="array" ref="K97">_xlfn.XLOOKUP($C97,$C$7:$C$48,_xlfn.XLOOKUP(K$61,$D$6:$AS$6,$D$7:$AS$48))</f>
        <v>231530.11877910901</v>
      </c>
      <c r="L97" cm="1">
        <f t="array" ref="L97">_xlfn.XLOOKUP($C97,$C$7:$C$48,_xlfn.XLOOKUP(L$61,$D$6:$AS$6,$D$7:$AS$48))</f>
        <v>416231.79099395499</v>
      </c>
      <c r="M97" cm="1">
        <f t="array" ref="M97">_xlfn.XLOOKUP($C97,$C$7:$C$48,_xlfn.XLOOKUP(M$61,$D$6:$AS$6,$D$7:$AS$48))</f>
        <v>11998.50796184</v>
      </c>
      <c r="N97" cm="1">
        <f t="array" ref="N97">_xlfn.XLOOKUP($C97,$C$7:$C$48,_xlfn.XLOOKUP(N$61,$D$6:$AS$6,$D$7:$AS$48))</f>
        <v>162231.238773794</v>
      </c>
      <c r="O97" cm="1">
        <f t="array" ref="O97">_xlfn.XLOOKUP($C97,$C$7:$C$48,_xlfn.XLOOKUP(O$61,$D$6:$AS$6,$D$7:$AS$48))</f>
        <v>83152.339185095101</v>
      </c>
      <c r="P97" cm="1">
        <f t="array" ref="P97">_xlfn.XLOOKUP($C97,$C$7:$C$48,_xlfn.XLOOKUP(P$61,$D$6:$AS$6,$D$7:$AS$48))</f>
        <v>382335.98193726502</v>
      </c>
      <c r="Q97" cm="1">
        <f t="array" ref="Q97">_xlfn.XLOOKUP($C97,$C$7:$C$48,_xlfn.XLOOKUP(Q$61,$D$6:$AS$6,$D$7:$AS$48))</f>
        <v>219130.96665667699</v>
      </c>
      <c r="R97" cm="1">
        <f t="array" ref="R97">_xlfn.XLOOKUP($C97,$C$7:$C$48,_xlfn.XLOOKUP(R$61,$D$6:$AS$6,$D$7:$AS$48))</f>
        <v>308749.03082849999</v>
      </c>
      <c r="S97" cm="1">
        <f t="array" ref="S97">_xlfn.XLOOKUP($C97,$C$7:$C$48,_xlfn.XLOOKUP(S$61,$D$6:$AS$6,$D$7:$AS$48))</f>
        <v>13759.602691317399</v>
      </c>
      <c r="T97" cm="1">
        <f t="array" ref="T97">_xlfn.XLOOKUP($C97,$C$7:$C$48,_xlfn.XLOOKUP(T$61,$D$6:$AS$6,$D$7:$AS$48))</f>
        <v>26366.781774939202</v>
      </c>
      <c r="U97" cm="1">
        <f t="array" ref="U97">_xlfn.XLOOKUP($C97,$C$7:$C$48,_xlfn.XLOOKUP(U$61,$D$6:$AS$6,$D$7:$AS$48))</f>
        <v>274687.64752175601</v>
      </c>
      <c r="V97" cm="1">
        <f t="array" ref="V97">_xlfn.XLOOKUP($C97,$C$7:$C$48,_xlfn.XLOOKUP(V$61,$D$6:$AS$6,$D$7:$AS$48))</f>
        <v>699524.37305979105</v>
      </c>
      <c r="W97" cm="1">
        <f t="array" ref="W97">_xlfn.XLOOKUP($C97,$C$7:$C$48,_xlfn.XLOOKUP(W$61,$D$6:$AS$6,$D$7:$AS$48))</f>
        <v>470907.96131708898</v>
      </c>
      <c r="X97" cm="1">
        <f t="array" ref="X97">_xlfn.XLOOKUP($C97,$C$7:$C$48,_xlfn.XLOOKUP(X$61,$D$6:$AS$6,$D$7:$AS$48))</f>
        <v>363253.37029321102</v>
      </c>
      <c r="Y97" cm="1">
        <f t="array" ref="Y97">_xlfn.XLOOKUP($C97,$C$7:$C$48,_xlfn.XLOOKUP(Y$61,$D$6:$AS$6,$D$7:$AS$48))</f>
        <v>250810.52486964199</v>
      </c>
      <c r="Z97" cm="1">
        <f t="array" ref="Z97">_xlfn.XLOOKUP($C97,$C$7:$C$48,_xlfn.XLOOKUP(Z$61,$D$6:$AS$6,$D$7:$AS$48))</f>
        <v>146868.164765758</v>
      </c>
      <c r="AA97" cm="1">
        <f t="array" ref="AA97">_xlfn.XLOOKUP($C97,$C$7:$C$48,_xlfn.XLOOKUP(AA$61,$D$6:$AS$6,$D$7:$AS$48))</f>
        <v>307943.65353746398</v>
      </c>
      <c r="AB97" cm="1">
        <f t="array" ref="AB97">_xlfn.XLOOKUP($C97,$C$7:$C$48,_xlfn.XLOOKUP(AB$61,$D$6:$AS$6,$D$7:$AS$48))</f>
        <v>142396.25576479899</v>
      </c>
      <c r="AC97" cm="1">
        <f t="array" ref="AC97">_xlfn.XLOOKUP($C97,$C$7:$C$48,_xlfn.XLOOKUP(AC$61,$D$6:$AS$6,$D$7:$AS$48))</f>
        <v>67003.995144613596</v>
      </c>
      <c r="AD97" cm="1">
        <f t="array" ref="AD97">_xlfn.XLOOKUP($C97,$C$7:$C$48,_xlfn.XLOOKUP(AD$61,$D$6:$AS$6,$D$7:$AS$48))</f>
        <v>57196.021567538002</v>
      </c>
      <c r="AE97" cm="1">
        <f t="array" ref="AE97">_xlfn.XLOOKUP($C97,$C$7:$C$48,_xlfn.XLOOKUP(AE$61,$D$6:$AS$6,$D$7:$AS$48))</f>
        <v>529996.06552817405</v>
      </c>
      <c r="AF97" cm="1">
        <f t="array" ref="AF97">_xlfn.XLOOKUP($C97,$C$7:$C$48,_xlfn.XLOOKUP(AF$61,$D$6:$AS$6,$D$7:$AS$48))</f>
        <v>109562548.179287</v>
      </c>
      <c r="AG97" cm="1">
        <f t="array" ref="AG97">_xlfn.XLOOKUP($C97,$C$7:$C$48,_xlfn.XLOOKUP(AG$61,$D$6:$AS$6,$D$7:$AS$48))</f>
        <v>15294260.5489939</v>
      </c>
      <c r="AH97" cm="1">
        <f t="array" ref="AH97">_xlfn.XLOOKUP($C97,$C$7:$C$48,_xlfn.XLOOKUP(AH$61,$D$6:$AS$6,$D$7:$AS$48))</f>
        <v>18203225.337623</v>
      </c>
      <c r="AI97" cm="1">
        <f t="array" ref="AI97">_xlfn.XLOOKUP($C97,$C$7:$C$48,_xlfn.XLOOKUP(AI$61,$D$6:$AS$6,$D$7:$AS$48))</f>
        <v>63369467.412171103</v>
      </c>
      <c r="AJ97" cm="1">
        <f t="array" ref="AJ97">_xlfn.XLOOKUP($C97,$C$7:$C$48,_xlfn.XLOOKUP(AJ$61,$D$6:$AS$6,$D$7:$AS$48))</f>
        <v>58013520.616728298</v>
      </c>
      <c r="AK97" cm="1">
        <f t="array" ref="AK97">_xlfn.XLOOKUP($C97,$C$7:$C$48,_xlfn.XLOOKUP(AK$61,$D$6:$AS$6,$D$7:$AS$48))</f>
        <v>3738744.5800551898</v>
      </c>
      <c r="AL97" cm="1">
        <f t="array" ref="AL97">_xlfn.XLOOKUP($C97,$C$7:$C$48,_xlfn.XLOOKUP(AL$61,$D$6:$AS$6,$D$7:$AS$48))</f>
        <v>74704849.541175306</v>
      </c>
      <c r="AM97" cm="1">
        <f t="array" ref="AM97">_xlfn.XLOOKUP($C97,$C$7:$C$48,_xlfn.XLOOKUP(AM$61,$D$6:$AS$6,$D$7:$AS$48))</f>
        <v>44133548.918102302</v>
      </c>
      <c r="AN97" cm="1">
        <f t="array" ref="AN97">_xlfn.XLOOKUP($C97,$C$7:$C$48,_xlfn.XLOOKUP(AN$61,$D$6:$AS$6,$D$7:$AS$48))</f>
        <v>8758746.6943565309</v>
      </c>
      <c r="AO97" cm="1">
        <f t="array" ref="AO97">_xlfn.XLOOKUP($C97,$C$7:$C$48,_xlfn.XLOOKUP(AO$61,$D$6:$AS$6,$D$7:$AS$48))</f>
        <v>16933128.687311999</v>
      </c>
      <c r="AP97" cm="1">
        <f t="array" ref="AP97">_xlfn.XLOOKUP($C97,$C$7:$C$48,_xlfn.XLOOKUP(AP$61,$D$6:$AS$6,$D$7:$AS$48))</f>
        <v>21605085.831631999</v>
      </c>
      <c r="AQ97" cm="1">
        <f t="array" ref="AQ97">_xlfn.XLOOKUP($C97,$C$7:$C$48,_xlfn.XLOOKUP(AQ$61,$D$6:$AS$6,$D$7:$AS$48))</f>
        <v>7425864.63189016</v>
      </c>
      <c r="AR97" cm="1">
        <f t="array" ref="AR97">_xlfn.XLOOKUP($C97,$C$7:$C$48,_xlfn.XLOOKUP(AR$61,$D$6:$AS$6,$D$7:$AS$48))</f>
        <v>6106378.2433424303</v>
      </c>
      <c r="AS97" cm="1">
        <f t="array" ref="AS97">_xlfn.XLOOKUP($C97,$C$7:$C$48,_xlfn.XLOOKUP(AS$61,$D$6:$AS$6,$D$7:$AS$48))</f>
        <v>30523399.633694999</v>
      </c>
      <c r="AT97">
        <f t="shared" si="3"/>
        <v>484213203.49174303</v>
      </c>
      <c r="AU97" cm="1">
        <f t="array" ref="AU97">_xlfn.XLOOKUP(AU$60,$AU$6:$BF$6,_xlfn.XLOOKUP($C97,$C$7:$C$48,$AU$7:$BF$48))</f>
        <v>106799901.48438001</v>
      </c>
      <c r="AV97" cm="1">
        <f t="array" ref="AV97">_xlfn.XLOOKUP(AV$60,$AU$6:$BF$6,_xlfn.XLOOKUP($C97,$C$7:$C$48,$AU$7:$BF$48))</f>
        <v>442660375.35766399</v>
      </c>
      <c r="AW97" cm="1">
        <f t="array" ref="AW97">_xlfn.XLOOKUP(AW$60,$AU$6:$BF$6,_xlfn.XLOOKUP($C97,$C$7:$C$48,$AU$7:$BF$48))</f>
        <v>549460276.842044</v>
      </c>
      <c r="AX97" cm="1">
        <f t="array" ref="AX97">_xlfn.XLOOKUP(AX$60,$AU$6:$BF$6,_xlfn.XLOOKUP($C97,$C$7:$C$48,$AU$7:$BF$48))</f>
        <v>0</v>
      </c>
      <c r="AY97" cm="1">
        <f t="array" ref="AY97">_xlfn.XLOOKUP(AY$60,$AU$6:$BF$6,_xlfn.XLOOKUP($C97,$C$7:$C$48,$AU$7:$BF$48))</f>
        <v>549460276.842044</v>
      </c>
      <c r="AZ97" cm="1">
        <f t="array" ref="AZ97">_xlfn.XLOOKUP(AZ$60,$AU$6:$BF$6,_xlfn.XLOOKUP($C97,$C$7:$C$48,$AU$7:$BF$48))</f>
        <v>32960000</v>
      </c>
      <c r="BA97" cm="1">
        <f t="array" ref="BA97">_xlfn.XLOOKUP(BA$60,$AU$6:$BF$6,_xlfn.XLOOKUP($C97,$C$7:$C$48,$AU$7:$BF$48))</f>
        <v>0</v>
      </c>
      <c r="BB97" cm="1">
        <f t="array" ref="BB97">_xlfn.XLOOKUP(BB$60,$AU$6:$BF$6,_xlfn.XLOOKUP($C97,$C$7:$C$48,$AU$7:$BF$48))</f>
        <v>32960000</v>
      </c>
      <c r="BC97" cm="1">
        <f t="array" ref="BC97">_xlfn.XLOOKUP(BC$60,$AU$6:$BF$6,_xlfn.XLOOKUP($C97,$C$7:$C$48,$AU$7:$BF$48))</f>
        <v>0</v>
      </c>
      <c r="BD97" cm="1">
        <f t="array" ref="BD97">_xlfn.XLOOKUP(BD$60,$AU$6:$BF$6,_xlfn.XLOOKUP($C97,$C$7:$C$48,$AU$7:$BF$48))</f>
        <v>582420276.842044</v>
      </c>
      <c r="BE97" cm="1">
        <f t="array" ref="BE97">_xlfn.XLOOKUP(BE$60,$AU$6:$BF$6,_xlfn.XLOOKUP($C97,$C$7:$C$48,$AU$7:$BF$48))</f>
        <v>0</v>
      </c>
      <c r="BF97" cm="1">
        <f t="array" ref="BF97">_xlfn.XLOOKUP(BF$60,$AU$6:$BF$6,_xlfn.XLOOKUP($C97,$C$7:$C$48,$AU$7:$BF$48))</f>
        <v>1066633480.3337899</v>
      </c>
      <c r="BH97">
        <f t="shared" si="2"/>
        <v>1066633480.333787</v>
      </c>
      <c r="BJ97">
        <f t="shared" si="4"/>
        <v>0</v>
      </c>
    </row>
    <row r="98" spans="1:62" x14ac:dyDescent="0.25">
      <c r="C98" s="36" t="s">
        <v>106</v>
      </c>
      <c r="D98" cm="1">
        <f t="array" ref="D98">_xlfn.XLOOKUP($C98,$C$7:$C$48,_xlfn.XLOOKUP(D$61,$D$6:$AS$6,$D$7:$AS$48))</f>
        <v>8183686.4984879</v>
      </c>
      <c r="E98" cm="1">
        <f t="array" ref="E98">_xlfn.XLOOKUP($C98,$C$7:$C$48,_xlfn.XLOOKUP(E$61,$D$6:$AS$6,$D$7:$AS$48))</f>
        <v>2051462.5413861801</v>
      </c>
      <c r="F98" cm="1">
        <f t="array" ref="F98">_xlfn.XLOOKUP($C98,$C$7:$C$48,_xlfn.XLOOKUP(F$61,$D$6:$AS$6,$D$7:$AS$48))</f>
        <v>439977.22522319399</v>
      </c>
      <c r="G98" cm="1">
        <f t="array" ref="G98">_xlfn.XLOOKUP($C98,$C$7:$C$48,_xlfn.XLOOKUP(G$61,$D$6:$AS$6,$D$7:$AS$48))</f>
        <v>2152967.3999973601</v>
      </c>
      <c r="H98" cm="1">
        <f t="array" ref="H98">_xlfn.XLOOKUP($C98,$C$7:$C$48,_xlfn.XLOOKUP(H$61,$D$6:$AS$6,$D$7:$AS$48))</f>
        <v>231921.08252613299</v>
      </c>
      <c r="I98" cm="1">
        <f t="array" ref="I98">_xlfn.XLOOKUP($C98,$C$7:$C$48,_xlfn.XLOOKUP(I$61,$D$6:$AS$6,$D$7:$AS$48))</f>
        <v>1676472.6376771899</v>
      </c>
      <c r="J98" cm="1">
        <f t="array" ref="J98">_xlfn.XLOOKUP($C98,$C$7:$C$48,_xlfn.XLOOKUP(J$61,$D$6:$AS$6,$D$7:$AS$48))</f>
        <v>1471681.3707582799</v>
      </c>
      <c r="K98" cm="1">
        <f t="array" ref="K98">_xlfn.XLOOKUP($C98,$C$7:$C$48,_xlfn.XLOOKUP(K$61,$D$6:$AS$6,$D$7:$AS$48))</f>
        <v>953469.34393643099</v>
      </c>
      <c r="L98" cm="1">
        <f t="array" ref="L98">_xlfn.XLOOKUP($C98,$C$7:$C$48,_xlfn.XLOOKUP(L$61,$D$6:$AS$6,$D$7:$AS$48))</f>
        <v>2297490.7446818901</v>
      </c>
      <c r="M98" cm="1">
        <f t="array" ref="M98">_xlfn.XLOOKUP($C98,$C$7:$C$48,_xlfn.XLOOKUP(M$61,$D$6:$AS$6,$D$7:$AS$48))</f>
        <v>231164.630889436</v>
      </c>
      <c r="N98" cm="1">
        <f t="array" ref="N98">_xlfn.XLOOKUP($C98,$C$7:$C$48,_xlfn.XLOOKUP(N$61,$D$6:$AS$6,$D$7:$AS$48))</f>
        <v>7275667.2874377202</v>
      </c>
      <c r="O98" cm="1">
        <f t="array" ref="O98">_xlfn.XLOOKUP($C98,$C$7:$C$48,_xlfn.XLOOKUP(O$61,$D$6:$AS$6,$D$7:$AS$48))</f>
        <v>1930217.26939713</v>
      </c>
      <c r="P98" cm="1">
        <f t="array" ref="P98">_xlfn.XLOOKUP($C98,$C$7:$C$48,_xlfn.XLOOKUP(P$61,$D$6:$AS$6,$D$7:$AS$48))</f>
        <v>1274308.3404329901</v>
      </c>
      <c r="Q98" cm="1">
        <f t="array" ref="Q98">_xlfn.XLOOKUP($C98,$C$7:$C$48,_xlfn.XLOOKUP(Q$61,$D$6:$AS$6,$D$7:$AS$48))</f>
        <v>3941338.7136013</v>
      </c>
      <c r="R98" cm="1">
        <f t="array" ref="R98">_xlfn.XLOOKUP($C98,$C$7:$C$48,_xlfn.XLOOKUP(R$61,$D$6:$AS$6,$D$7:$AS$48))</f>
        <v>2805612.4768574801</v>
      </c>
      <c r="S98" cm="1">
        <f t="array" ref="S98">_xlfn.XLOOKUP($C98,$C$7:$C$48,_xlfn.XLOOKUP(S$61,$D$6:$AS$6,$D$7:$AS$48))</f>
        <v>2192418.97039587</v>
      </c>
      <c r="T98" cm="1">
        <f t="array" ref="T98">_xlfn.XLOOKUP($C98,$C$7:$C$48,_xlfn.XLOOKUP(T$61,$D$6:$AS$6,$D$7:$AS$48))</f>
        <v>1092155.93932901</v>
      </c>
      <c r="U98" cm="1">
        <f t="array" ref="U98">_xlfn.XLOOKUP($C98,$C$7:$C$48,_xlfn.XLOOKUP(U$61,$D$6:$AS$6,$D$7:$AS$48))</f>
        <v>2353821.5669880202</v>
      </c>
      <c r="V98" cm="1">
        <f t="array" ref="V98">_xlfn.XLOOKUP($C98,$C$7:$C$48,_xlfn.XLOOKUP(V$61,$D$6:$AS$6,$D$7:$AS$48))</f>
        <v>10154751.005095899</v>
      </c>
      <c r="W98" cm="1">
        <f t="array" ref="W98">_xlfn.XLOOKUP($C98,$C$7:$C$48,_xlfn.XLOOKUP(W$61,$D$6:$AS$6,$D$7:$AS$48))</f>
        <v>3565826.6950027798</v>
      </c>
      <c r="X98" cm="1">
        <f t="array" ref="X98">_xlfn.XLOOKUP($C98,$C$7:$C$48,_xlfn.XLOOKUP(X$61,$D$6:$AS$6,$D$7:$AS$48))</f>
        <v>2501260.76717408</v>
      </c>
      <c r="Y98" cm="1">
        <f t="array" ref="Y98">_xlfn.XLOOKUP($C98,$C$7:$C$48,_xlfn.XLOOKUP(Y$61,$D$6:$AS$6,$D$7:$AS$48))</f>
        <v>7517546.71555347</v>
      </c>
      <c r="Z98" cm="1">
        <f t="array" ref="Z98">_xlfn.XLOOKUP($C98,$C$7:$C$48,_xlfn.XLOOKUP(Z$61,$D$6:$AS$6,$D$7:$AS$48))</f>
        <v>1917876.8857104699</v>
      </c>
      <c r="AA98" cm="1">
        <f t="array" ref="AA98">_xlfn.XLOOKUP($C98,$C$7:$C$48,_xlfn.XLOOKUP(AA$61,$D$6:$AS$6,$D$7:$AS$48))</f>
        <v>228523.154110395</v>
      </c>
      <c r="AB98" cm="1">
        <f t="array" ref="AB98">_xlfn.XLOOKUP($C98,$C$7:$C$48,_xlfn.XLOOKUP(AB$61,$D$6:$AS$6,$D$7:$AS$48))</f>
        <v>3652469.7056428902</v>
      </c>
      <c r="AC98" cm="1">
        <f t="array" ref="AC98">_xlfn.XLOOKUP($C98,$C$7:$C$48,_xlfn.XLOOKUP(AC$61,$D$6:$AS$6,$D$7:$AS$48))</f>
        <v>10048.662790447601</v>
      </c>
      <c r="AD98" cm="1">
        <f t="array" ref="AD98">_xlfn.XLOOKUP($C98,$C$7:$C$48,_xlfn.XLOOKUP(AD$61,$D$6:$AS$6,$D$7:$AS$48))</f>
        <v>43760.738152455699</v>
      </c>
      <c r="AE98" cm="1">
        <f t="array" ref="AE98">_xlfn.XLOOKUP($C98,$C$7:$C$48,_xlfn.XLOOKUP(AE$61,$D$6:$AS$6,$D$7:$AS$48))</f>
        <v>240915312.73825899</v>
      </c>
      <c r="AF98" cm="1">
        <f t="array" ref="AF98">_xlfn.XLOOKUP($C98,$C$7:$C$48,_xlfn.XLOOKUP(AF$61,$D$6:$AS$6,$D$7:$AS$48))</f>
        <v>11282048.0261098</v>
      </c>
      <c r="AG98" cm="1">
        <f t="array" ref="AG98">_xlfn.XLOOKUP($C98,$C$7:$C$48,_xlfn.XLOOKUP(AG$61,$D$6:$AS$6,$D$7:$AS$48))</f>
        <v>3801996.45327027</v>
      </c>
      <c r="AH98" cm="1">
        <f t="array" ref="AH98">_xlfn.XLOOKUP($C98,$C$7:$C$48,_xlfn.XLOOKUP(AH$61,$D$6:$AS$6,$D$7:$AS$48))</f>
        <v>167826.700410252</v>
      </c>
      <c r="AI98" cm="1">
        <f t="array" ref="AI98">_xlfn.XLOOKUP($C98,$C$7:$C$48,_xlfn.XLOOKUP(AI$61,$D$6:$AS$6,$D$7:$AS$48))</f>
        <v>3281325.0035332399</v>
      </c>
      <c r="AJ98" cm="1">
        <f t="array" ref="AJ98">_xlfn.XLOOKUP($C98,$C$7:$C$48,_xlfn.XLOOKUP(AJ$61,$D$6:$AS$6,$D$7:$AS$48))</f>
        <v>123358.933337507</v>
      </c>
      <c r="AK98" cm="1">
        <f t="array" ref="AK98">_xlfn.XLOOKUP($C98,$C$7:$C$48,_xlfn.XLOOKUP(AK$61,$D$6:$AS$6,$D$7:$AS$48))</f>
        <v>13591265.8409639</v>
      </c>
      <c r="AL98" cm="1">
        <f t="array" ref="AL98">_xlfn.XLOOKUP($C98,$C$7:$C$48,_xlfn.XLOOKUP(AL$61,$D$6:$AS$6,$D$7:$AS$48))</f>
        <v>841145.41304402298</v>
      </c>
      <c r="AM98" cm="1">
        <f t="array" ref="AM98">_xlfn.XLOOKUP($C98,$C$7:$C$48,_xlfn.XLOOKUP(AM$61,$D$6:$AS$6,$D$7:$AS$48))</f>
        <v>886848.71732186596</v>
      </c>
      <c r="AN98" cm="1">
        <f t="array" ref="AN98">_xlfn.XLOOKUP($C98,$C$7:$C$48,_xlfn.XLOOKUP(AN$61,$D$6:$AS$6,$D$7:$AS$48))</f>
        <v>72827591.494632795</v>
      </c>
      <c r="AO98" cm="1">
        <f t="array" ref="AO98">_xlfn.XLOOKUP($C98,$C$7:$C$48,_xlfn.XLOOKUP(AO$61,$D$6:$AS$6,$D$7:$AS$48))</f>
        <v>690117.10367164598</v>
      </c>
      <c r="AP98" cm="1">
        <f t="array" ref="AP98">_xlfn.XLOOKUP($C98,$C$7:$C$48,_xlfn.XLOOKUP(AP$61,$D$6:$AS$6,$D$7:$AS$48))</f>
        <v>1373597.44737479</v>
      </c>
      <c r="AQ98" cm="1">
        <f t="array" ref="AQ98">_xlfn.XLOOKUP($C98,$C$7:$C$48,_xlfn.XLOOKUP(AQ$61,$D$6:$AS$6,$D$7:$AS$48))</f>
        <v>250745.104060527</v>
      </c>
      <c r="AR98" cm="1">
        <f t="array" ref="AR98">_xlfn.XLOOKUP($C98,$C$7:$C$48,_xlfn.XLOOKUP(AR$61,$D$6:$AS$6,$D$7:$AS$48))</f>
        <v>31778.2614969229</v>
      </c>
      <c r="AS98" cm="1">
        <f t="array" ref="AS98">_xlfn.XLOOKUP($C98,$C$7:$C$48,_xlfn.XLOOKUP(AS$61,$D$6:$AS$6,$D$7:$AS$48))</f>
        <v>14101.0968310876</v>
      </c>
      <c r="AT98">
        <f t="shared" si="3"/>
        <v>421273487.35961699</v>
      </c>
      <c r="AU98" cm="1">
        <f t="array" ref="AU98">_xlfn.XLOOKUP(AU$60,$AU$6:$BF$6,_xlfn.XLOOKUP($C98,$C$7:$C$48,$AU$7:$BF$48))</f>
        <v>845712.72625391802</v>
      </c>
      <c r="AV98" cm="1">
        <f t="array" ref="AV98">_xlfn.XLOOKUP(AV$60,$AU$6:$BF$6,_xlfn.XLOOKUP($C98,$C$7:$C$48,$AU$7:$BF$48))</f>
        <v>3554225.2271068501</v>
      </c>
      <c r="AW98" cm="1">
        <f t="array" ref="AW98">_xlfn.XLOOKUP(AW$60,$AU$6:$BF$6,_xlfn.XLOOKUP($C98,$C$7:$C$48,$AU$7:$BF$48))</f>
        <v>4399937.9533607699</v>
      </c>
      <c r="AX98" cm="1">
        <f t="array" ref="AX98">_xlfn.XLOOKUP(AX$60,$AU$6:$BF$6,_xlfn.XLOOKUP($C98,$C$7:$C$48,$AU$7:$BF$48))</f>
        <v>85393018.048174903</v>
      </c>
      <c r="AY98" cm="1">
        <f t="array" ref="AY98">_xlfn.XLOOKUP(AY$60,$AU$6:$BF$6,_xlfn.XLOOKUP($C98,$C$7:$C$48,$AU$7:$BF$48))</f>
        <v>89792956.001535699</v>
      </c>
      <c r="AZ98" cm="1">
        <f t="array" ref="AZ98">_xlfn.XLOOKUP(AZ$60,$AU$6:$BF$6,_xlfn.XLOOKUP($C98,$C$7:$C$48,$AU$7:$BF$48))</f>
        <v>8718585.0500000007</v>
      </c>
      <c r="BA98" cm="1">
        <f t="array" ref="BA98">_xlfn.XLOOKUP(BA$60,$AU$6:$BF$6,_xlfn.XLOOKUP($C98,$C$7:$C$48,$AU$7:$BF$48))</f>
        <v>0</v>
      </c>
      <c r="BB98" cm="1">
        <f t="array" ref="BB98">_xlfn.XLOOKUP(BB$60,$AU$6:$BF$6,_xlfn.XLOOKUP($C98,$C$7:$C$48,$AU$7:$BF$48))</f>
        <v>8718585.0500000007</v>
      </c>
      <c r="BC98" cm="1">
        <f t="array" ref="BC98">_xlfn.XLOOKUP(BC$60,$AU$6:$BF$6,_xlfn.XLOOKUP($C98,$C$7:$C$48,$AU$7:$BF$48))</f>
        <v>1387.71592662749</v>
      </c>
      <c r="BD98" cm="1">
        <f t="array" ref="BD98">_xlfn.XLOOKUP(BD$60,$AU$6:$BF$6,_xlfn.XLOOKUP($C98,$C$7:$C$48,$AU$7:$BF$48))</f>
        <v>98512928.767462298</v>
      </c>
      <c r="BE98" cm="1">
        <f t="array" ref="BE98">_xlfn.XLOOKUP(BE$60,$AU$6:$BF$6,_xlfn.XLOOKUP($C98,$C$7:$C$48,$AU$7:$BF$48))</f>
        <v>546.59866212170198</v>
      </c>
      <c r="BF98" cm="1">
        <f t="array" ref="BF98">_xlfn.XLOOKUP(BF$60,$AU$6:$BF$6,_xlfn.XLOOKUP($C98,$C$7:$C$48,$AU$7:$BF$48))</f>
        <v>519785869.52841699</v>
      </c>
      <c r="BH98">
        <f t="shared" si="2"/>
        <v>519785028.41115272</v>
      </c>
      <c r="BJ98">
        <f t="shared" si="4"/>
        <v>1.051586006223595E-6</v>
      </c>
    </row>
    <row r="99" spans="1:62" x14ac:dyDescent="0.25">
      <c r="C99" s="36" t="s">
        <v>111</v>
      </c>
      <c r="D99" cm="1">
        <f t="array" ref="D99">_xlfn.XLOOKUP($C99,$C$7:$C$48,_xlfn.XLOOKUP(D$61,$D$6:$AS$6,$D$7:$AS$48))</f>
        <v>2218338.16994897</v>
      </c>
      <c r="E99" cm="1">
        <f t="array" ref="E99">_xlfn.XLOOKUP($C99,$C$7:$C$48,_xlfn.XLOOKUP(E$61,$D$6:$AS$6,$D$7:$AS$48))</f>
        <v>170589.800633999</v>
      </c>
      <c r="F99" cm="1">
        <f t="array" ref="F99">_xlfn.XLOOKUP($C99,$C$7:$C$48,_xlfn.XLOOKUP(F$61,$D$6:$AS$6,$D$7:$AS$48))</f>
        <v>68564.346294652496</v>
      </c>
      <c r="G99" cm="1">
        <f t="array" ref="G99">_xlfn.XLOOKUP($C99,$C$7:$C$48,_xlfn.XLOOKUP(G$61,$D$6:$AS$6,$D$7:$AS$48))</f>
        <v>381286.092953121</v>
      </c>
      <c r="H99" cm="1">
        <f t="array" ref="H99">_xlfn.XLOOKUP($C99,$C$7:$C$48,_xlfn.XLOOKUP(H$61,$D$6:$AS$6,$D$7:$AS$48))</f>
        <v>6404.45782702217</v>
      </c>
      <c r="I99" cm="1">
        <f t="array" ref="I99">_xlfn.XLOOKUP($C99,$C$7:$C$48,_xlfn.XLOOKUP(I$61,$D$6:$AS$6,$D$7:$AS$48))</f>
        <v>744385.28616053297</v>
      </c>
      <c r="J99" cm="1">
        <f t="array" ref="J99">_xlfn.XLOOKUP($C99,$C$7:$C$48,_xlfn.XLOOKUP(J$61,$D$6:$AS$6,$D$7:$AS$48))</f>
        <v>1061636.42096733</v>
      </c>
      <c r="K99" cm="1">
        <f t="array" ref="K99">_xlfn.XLOOKUP($C99,$C$7:$C$48,_xlfn.XLOOKUP(K$61,$D$6:$AS$6,$D$7:$AS$48))</f>
        <v>206439.772357999</v>
      </c>
      <c r="L99" cm="1">
        <f t="array" ref="L99">_xlfn.XLOOKUP($C99,$C$7:$C$48,_xlfn.XLOOKUP(L$61,$D$6:$AS$6,$D$7:$AS$48))</f>
        <v>1142978.60926435</v>
      </c>
      <c r="M99" cm="1">
        <f t="array" ref="M99">_xlfn.XLOOKUP($C99,$C$7:$C$48,_xlfn.XLOOKUP(M$61,$D$6:$AS$6,$D$7:$AS$48))</f>
        <v>311356.10523940402</v>
      </c>
      <c r="N99" cm="1">
        <f t="array" ref="N99">_xlfn.XLOOKUP($C99,$C$7:$C$48,_xlfn.XLOOKUP(N$61,$D$6:$AS$6,$D$7:$AS$48))</f>
        <v>791949.19199301605</v>
      </c>
      <c r="O99" cm="1">
        <f t="array" ref="O99">_xlfn.XLOOKUP($C99,$C$7:$C$48,_xlfn.XLOOKUP(O$61,$D$6:$AS$6,$D$7:$AS$48))</f>
        <v>435720.76876894699</v>
      </c>
      <c r="P99" cm="1">
        <f t="array" ref="P99">_xlfn.XLOOKUP($C99,$C$7:$C$48,_xlfn.XLOOKUP(P$61,$D$6:$AS$6,$D$7:$AS$48))</f>
        <v>309871.61828668701</v>
      </c>
      <c r="Q99" cm="1">
        <f t="array" ref="Q99">_xlfn.XLOOKUP($C99,$C$7:$C$48,_xlfn.XLOOKUP(Q$61,$D$6:$AS$6,$D$7:$AS$48))</f>
        <v>527225.18052168202</v>
      </c>
      <c r="R99" cm="1">
        <f t="array" ref="R99">_xlfn.XLOOKUP($C99,$C$7:$C$48,_xlfn.XLOOKUP(R$61,$D$6:$AS$6,$D$7:$AS$48))</f>
        <v>856417.18560591305</v>
      </c>
      <c r="S99" cm="1">
        <f t="array" ref="S99">_xlfn.XLOOKUP($C99,$C$7:$C$48,_xlfn.XLOOKUP(S$61,$D$6:$AS$6,$D$7:$AS$48))</f>
        <v>784447.27819461201</v>
      </c>
      <c r="T99" cm="1">
        <f t="array" ref="T99">_xlfn.XLOOKUP($C99,$C$7:$C$48,_xlfn.XLOOKUP(T$61,$D$6:$AS$6,$D$7:$AS$48))</f>
        <v>306087.66247642698</v>
      </c>
      <c r="U99" cm="1">
        <f t="array" ref="U99">_xlfn.XLOOKUP($C99,$C$7:$C$48,_xlfn.XLOOKUP(U$61,$D$6:$AS$6,$D$7:$AS$48))</f>
        <v>464907.68478573702</v>
      </c>
      <c r="V99" cm="1">
        <f t="array" ref="V99">_xlfn.XLOOKUP($C99,$C$7:$C$48,_xlfn.XLOOKUP(V$61,$D$6:$AS$6,$D$7:$AS$48))</f>
        <v>693755.09776254999</v>
      </c>
      <c r="W99" cm="1">
        <f t="array" ref="W99">_xlfn.XLOOKUP($C99,$C$7:$C$48,_xlfn.XLOOKUP(W$61,$D$6:$AS$6,$D$7:$AS$48))</f>
        <v>491132.18928094301</v>
      </c>
      <c r="X99" cm="1">
        <f t="array" ref="X99">_xlfn.XLOOKUP($C99,$C$7:$C$48,_xlfn.XLOOKUP(X$61,$D$6:$AS$6,$D$7:$AS$48))</f>
        <v>572919.98814629402</v>
      </c>
      <c r="Y99" cm="1">
        <f t="array" ref="Y99">_xlfn.XLOOKUP($C99,$C$7:$C$48,_xlfn.XLOOKUP(Y$61,$D$6:$AS$6,$D$7:$AS$48))</f>
        <v>475969.02719961503</v>
      </c>
      <c r="Z99" cm="1">
        <f t="array" ref="Z99">_xlfn.XLOOKUP($C99,$C$7:$C$48,_xlfn.XLOOKUP(Z$61,$D$6:$AS$6,$D$7:$AS$48))</f>
        <v>150409.71021635999</v>
      </c>
      <c r="AA99" cm="1">
        <f t="array" ref="AA99">_xlfn.XLOOKUP($C99,$C$7:$C$48,_xlfn.XLOOKUP(AA$61,$D$6:$AS$6,$D$7:$AS$48))</f>
        <v>255387.07343101999</v>
      </c>
      <c r="AB99" cm="1">
        <f t="array" ref="AB99">_xlfn.XLOOKUP($C99,$C$7:$C$48,_xlfn.XLOOKUP(AB$61,$D$6:$AS$6,$D$7:$AS$48))</f>
        <v>2290386.2312107701</v>
      </c>
      <c r="AC99" cm="1">
        <f t="array" ref="AC99">_xlfn.XLOOKUP($C99,$C$7:$C$48,_xlfn.XLOOKUP(AC$61,$D$6:$AS$6,$D$7:$AS$48))</f>
        <v>42898.682570969402</v>
      </c>
      <c r="AD99" cm="1">
        <f t="array" ref="AD99">_xlfn.XLOOKUP($C99,$C$7:$C$48,_xlfn.XLOOKUP(AD$61,$D$6:$AS$6,$D$7:$AS$48))</f>
        <v>2249050.71523877</v>
      </c>
      <c r="AE99" cm="1">
        <f t="array" ref="AE99">_xlfn.XLOOKUP($C99,$C$7:$C$48,_xlfn.XLOOKUP(AE$61,$D$6:$AS$6,$D$7:$AS$48))</f>
        <v>1559132.3260945501</v>
      </c>
      <c r="AF99" cm="1">
        <f t="array" ref="AF99">_xlfn.XLOOKUP($C99,$C$7:$C$48,_xlfn.XLOOKUP(AF$61,$D$6:$AS$6,$D$7:$AS$48))</f>
        <v>2371629.7879335298</v>
      </c>
      <c r="AG99" cm="1">
        <f t="array" ref="AG99">_xlfn.XLOOKUP($C99,$C$7:$C$48,_xlfn.XLOOKUP(AG$61,$D$6:$AS$6,$D$7:$AS$48))</f>
        <v>2600955.7611404499</v>
      </c>
      <c r="AH99" cm="1">
        <f t="array" ref="AH99">_xlfn.XLOOKUP($C99,$C$7:$C$48,_xlfn.XLOOKUP(AH$61,$D$6:$AS$6,$D$7:$AS$48))</f>
        <v>438174.50092017598</v>
      </c>
      <c r="AI99" cm="1">
        <f t="array" ref="AI99">_xlfn.XLOOKUP($C99,$C$7:$C$48,_xlfn.XLOOKUP(AI$61,$D$6:$AS$6,$D$7:$AS$48))</f>
        <v>1620394.8104171399</v>
      </c>
      <c r="AJ99" cm="1">
        <f t="array" ref="AJ99">_xlfn.XLOOKUP($C99,$C$7:$C$48,_xlfn.XLOOKUP(AJ$61,$D$6:$AS$6,$D$7:$AS$48))</f>
        <v>5069918.3359142998</v>
      </c>
      <c r="AK99" cm="1">
        <f t="array" ref="AK99">_xlfn.XLOOKUP($C99,$C$7:$C$48,_xlfn.XLOOKUP(AK$61,$D$6:$AS$6,$D$7:$AS$48))</f>
        <v>882539.290159881</v>
      </c>
      <c r="AL99" cm="1">
        <f t="array" ref="AL99">_xlfn.XLOOKUP($C99,$C$7:$C$48,_xlfn.XLOOKUP(AL$61,$D$6:$AS$6,$D$7:$AS$48))</f>
        <v>2570161.0492694802</v>
      </c>
      <c r="AM99" cm="1">
        <f t="array" ref="AM99">_xlfn.XLOOKUP($C99,$C$7:$C$48,_xlfn.XLOOKUP(AM$61,$D$6:$AS$6,$D$7:$AS$48))</f>
        <v>1739467.0457202799</v>
      </c>
      <c r="AN99" cm="1">
        <f t="array" ref="AN99">_xlfn.XLOOKUP($C99,$C$7:$C$48,_xlfn.XLOOKUP(AN$61,$D$6:$AS$6,$D$7:$AS$48))</f>
        <v>1181929.4120684301</v>
      </c>
      <c r="AO99" cm="1">
        <f t="array" ref="AO99">_xlfn.XLOOKUP($C99,$C$7:$C$48,_xlfn.XLOOKUP(AO$61,$D$6:$AS$6,$D$7:$AS$48))</f>
        <v>26343336.572392602</v>
      </c>
      <c r="AP99" cm="1">
        <f t="array" ref="AP99">_xlfn.XLOOKUP($C99,$C$7:$C$48,_xlfn.XLOOKUP(AP$61,$D$6:$AS$6,$D$7:$AS$48))</f>
        <v>1484594.00087425</v>
      </c>
      <c r="AQ99" cm="1">
        <f t="array" ref="AQ99">_xlfn.XLOOKUP($C99,$C$7:$C$48,_xlfn.XLOOKUP(AQ$61,$D$6:$AS$6,$D$7:$AS$48))</f>
        <v>564644.29917350505</v>
      </c>
      <c r="AR99" cm="1">
        <f t="array" ref="AR99">_xlfn.XLOOKUP($C99,$C$7:$C$48,_xlfn.XLOOKUP(AR$61,$D$6:$AS$6,$D$7:$AS$48))</f>
        <v>505031.57338165899</v>
      </c>
      <c r="AS99" cm="1">
        <f t="array" ref="AS99">_xlfn.XLOOKUP($C99,$C$7:$C$48,_xlfn.XLOOKUP(AS$61,$D$6:$AS$6,$D$7:$AS$48))</f>
        <v>698723.42318731395</v>
      </c>
      <c r="AT99">
        <f t="shared" si="3"/>
        <v>67434706.763627201</v>
      </c>
      <c r="AU99" cm="1">
        <f t="array" ref="AU99">_xlfn.XLOOKUP(AU$60,$AU$6:$BF$6,_xlfn.XLOOKUP($C99,$C$7:$C$48,$AU$7:$BF$48))</f>
        <v>1372114.9414001999</v>
      </c>
      <c r="AV99" cm="1">
        <f t="array" ref="AV99">_xlfn.XLOOKUP(AV$60,$AU$6:$BF$6,_xlfn.XLOOKUP($C99,$C$7:$C$48,$AU$7:$BF$48))</f>
        <v>10228084.0427323</v>
      </c>
      <c r="AW99" cm="1">
        <f t="array" ref="AW99">_xlfn.XLOOKUP(AW$60,$AU$6:$BF$6,_xlfn.XLOOKUP($C99,$C$7:$C$48,$AU$7:$BF$48))</f>
        <v>11600198.9841325</v>
      </c>
      <c r="AX99" cm="1">
        <f t="array" ref="AX99">_xlfn.XLOOKUP(AX$60,$AU$6:$BF$6,_xlfn.XLOOKUP($C99,$C$7:$C$48,$AU$7:$BF$48))</f>
        <v>831789109.69228995</v>
      </c>
      <c r="AY99" cm="1">
        <f t="array" ref="AY99">_xlfn.XLOOKUP(AY$60,$AU$6:$BF$6,_xlfn.XLOOKUP($C99,$C$7:$C$48,$AU$7:$BF$48))</f>
        <v>843389308.67642295</v>
      </c>
      <c r="AZ99" cm="1">
        <f t="array" ref="AZ99">_xlfn.XLOOKUP(AZ$60,$AU$6:$BF$6,_xlfn.XLOOKUP($C99,$C$7:$C$48,$AU$7:$BF$48))</f>
        <v>0</v>
      </c>
      <c r="BA99" cm="1">
        <f t="array" ref="BA99">_xlfn.XLOOKUP(BA$60,$AU$6:$BF$6,_xlfn.XLOOKUP($C99,$C$7:$C$48,$AU$7:$BF$48))</f>
        <v>0</v>
      </c>
      <c r="BB99" cm="1">
        <f t="array" ref="BB99">_xlfn.XLOOKUP(BB$60,$AU$6:$BF$6,_xlfn.XLOOKUP($C99,$C$7:$C$48,$AU$7:$BF$48))</f>
        <v>0</v>
      </c>
      <c r="BC99" cm="1">
        <f t="array" ref="BC99">_xlfn.XLOOKUP(BC$60,$AU$6:$BF$6,_xlfn.XLOOKUP($C99,$C$7:$C$48,$AU$7:$BF$48))</f>
        <v>2027457.97120951</v>
      </c>
      <c r="BD99" cm="1">
        <f t="array" ref="BD99">_xlfn.XLOOKUP(BD$60,$AU$6:$BF$6,_xlfn.XLOOKUP($C99,$C$7:$C$48,$AU$7:$BF$48))</f>
        <v>845416766.647632</v>
      </c>
      <c r="BE99" cm="1">
        <f t="array" ref="BE99">_xlfn.XLOOKUP(BE$60,$AU$6:$BF$6,_xlfn.XLOOKUP($C99,$C$7:$C$48,$AU$7:$BF$48))</f>
        <v>5145286.0546714598</v>
      </c>
      <c r="BF99" cm="1">
        <f t="array" ref="BF99">_xlfn.XLOOKUP(BF$60,$AU$6:$BF$6,_xlfn.XLOOKUP($C99,$C$7:$C$48,$AU$7:$BF$48))</f>
        <v>907706187.35658896</v>
      </c>
      <c r="BH99">
        <f t="shared" si="2"/>
        <v>910824015.44005013</v>
      </c>
      <c r="BJ99">
        <f t="shared" si="4"/>
        <v>5.6490452243791543E-3</v>
      </c>
    </row>
    <row r="100" spans="1:62" x14ac:dyDescent="0.25">
      <c r="C100" s="36" t="s">
        <v>108</v>
      </c>
      <c r="D100" cm="1">
        <f t="array" ref="D100">_xlfn.XLOOKUP($C100,$C$7:$C$48,_xlfn.XLOOKUP(D$61,$D$6:$AS$6,$D$7:$AS$48))</f>
        <v>167081.06331998101</v>
      </c>
      <c r="E100" cm="1">
        <f t="array" ref="E100">_xlfn.XLOOKUP($C100,$C$7:$C$48,_xlfn.XLOOKUP(E$61,$D$6:$AS$6,$D$7:$AS$48))</f>
        <v>84289.854237092994</v>
      </c>
      <c r="F100" cm="1">
        <f t="array" ref="F100">_xlfn.XLOOKUP($C100,$C$7:$C$48,_xlfn.XLOOKUP(F$61,$D$6:$AS$6,$D$7:$AS$48))</f>
        <v>10224.641401065899</v>
      </c>
      <c r="G100" cm="1">
        <f t="array" ref="G100">_xlfn.XLOOKUP($C100,$C$7:$C$48,_xlfn.XLOOKUP(G$61,$D$6:$AS$6,$D$7:$AS$48))</f>
        <v>24879.367741705501</v>
      </c>
      <c r="H100" cm="1">
        <f t="array" ref="H100">_xlfn.XLOOKUP($C100,$C$7:$C$48,_xlfn.XLOOKUP(H$61,$D$6:$AS$6,$D$7:$AS$48))</f>
        <v>2741.1637729004301</v>
      </c>
      <c r="I100" cm="1">
        <f t="array" ref="I100">_xlfn.XLOOKUP($C100,$C$7:$C$48,_xlfn.XLOOKUP(I$61,$D$6:$AS$6,$D$7:$AS$48))</f>
        <v>142405.141809283</v>
      </c>
      <c r="J100" cm="1">
        <f t="array" ref="J100">_xlfn.XLOOKUP($C100,$C$7:$C$48,_xlfn.XLOOKUP(J$61,$D$6:$AS$6,$D$7:$AS$48))</f>
        <v>107412.081915253</v>
      </c>
      <c r="K100" cm="1">
        <f t="array" ref="K100">_xlfn.XLOOKUP($C100,$C$7:$C$48,_xlfn.XLOOKUP(K$61,$D$6:$AS$6,$D$7:$AS$48))</f>
        <v>64124.256356654798</v>
      </c>
      <c r="L100" cm="1">
        <f t="array" ref="L100">_xlfn.XLOOKUP($C100,$C$7:$C$48,_xlfn.XLOOKUP(L$61,$D$6:$AS$6,$D$7:$AS$48))</f>
        <v>108319.73984558</v>
      </c>
      <c r="M100" cm="1">
        <f t="array" ref="M100">_xlfn.XLOOKUP($C100,$C$7:$C$48,_xlfn.XLOOKUP(M$61,$D$6:$AS$6,$D$7:$AS$48))</f>
        <v>38711.843107244502</v>
      </c>
      <c r="N100" cm="1">
        <f t="array" ref="N100">_xlfn.XLOOKUP($C100,$C$7:$C$48,_xlfn.XLOOKUP(N$61,$D$6:$AS$6,$D$7:$AS$48))</f>
        <v>101524.864179033</v>
      </c>
      <c r="O100" cm="1">
        <f t="array" ref="O100">_xlfn.XLOOKUP($C100,$C$7:$C$48,_xlfn.XLOOKUP(O$61,$D$6:$AS$6,$D$7:$AS$48))</f>
        <v>107005.794391859</v>
      </c>
      <c r="P100" cm="1">
        <f t="array" ref="P100">_xlfn.XLOOKUP($C100,$C$7:$C$48,_xlfn.XLOOKUP(P$61,$D$6:$AS$6,$D$7:$AS$48))</f>
        <v>53348.195398323602</v>
      </c>
      <c r="Q100" cm="1">
        <f t="array" ref="Q100">_xlfn.XLOOKUP($C100,$C$7:$C$48,_xlfn.XLOOKUP(Q$61,$D$6:$AS$6,$D$7:$AS$48))</f>
        <v>99155.720747533502</v>
      </c>
      <c r="R100" cm="1">
        <f t="array" ref="R100">_xlfn.XLOOKUP($C100,$C$7:$C$48,_xlfn.XLOOKUP(R$61,$D$6:$AS$6,$D$7:$AS$48))</f>
        <v>126924.069557151</v>
      </c>
      <c r="S100" cm="1">
        <f t="array" ref="S100">_xlfn.XLOOKUP($C100,$C$7:$C$48,_xlfn.XLOOKUP(S$61,$D$6:$AS$6,$D$7:$AS$48))</f>
        <v>33654.308581612502</v>
      </c>
      <c r="T100" cm="1">
        <f t="array" ref="T100">_xlfn.XLOOKUP($C100,$C$7:$C$48,_xlfn.XLOOKUP(T$61,$D$6:$AS$6,$D$7:$AS$48))</f>
        <v>28190.028241189699</v>
      </c>
      <c r="U100" cm="1">
        <f t="array" ref="U100">_xlfn.XLOOKUP($C100,$C$7:$C$48,_xlfn.XLOOKUP(U$61,$D$6:$AS$6,$D$7:$AS$48))</f>
        <v>113665.885247161</v>
      </c>
      <c r="V100" cm="1">
        <f t="array" ref="V100">_xlfn.XLOOKUP($C100,$C$7:$C$48,_xlfn.XLOOKUP(V$61,$D$6:$AS$6,$D$7:$AS$48))</f>
        <v>136697.887802376</v>
      </c>
      <c r="W100" cm="1">
        <f t="array" ref="W100">_xlfn.XLOOKUP($C100,$C$7:$C$48,_xlfn.XLOOKUP(W$61,$D$6:$AS$6,$D$7:$AS$48))</f>
        <v>91487.399886738101</v>
      </c>
      <c r="X100" cm="1">
        <f t="array" ref="X100">_xlfn.XLOOKUP($C100,$C$7:$C$48,_xlfn.XLOOKUP(X$61,$D$6:$AS$6,$D$7:$AS$48))</f>
        <v>153989.56078336501</v>
      </c>
      <c r="Y100" cm="1">
        <f t="array" ref="Y100">_xlfn.XLOOKUP($C100,$C$7:$C$48,_xlfn.XLOOKUP(Y$61,$D$6:$AS$6,$D$7:$AS$48))</f>
        <v>104298.948935405</v>
      </c>
      <c r="Z100" cm="1">
        <f t="array" ref="Z100">_xlfn.XLOOKUP($C100,$C$7:$C$48,_xlfn.XLOOKUP(Z$61,$D$6:$AS$6,$D$7:$AS$48))</f>
        <v>28793.430408637301</v>
      </c>
      <c r="AA100" cm="1">
        <f t="array" ref="AA100">_xlfn.XLOOKUP($C100,$C$7:$C$48,_xlfn.XLOOKUP(AA$61,$D$6:$AS$6,$D$7:$AS$48))</f>
        <v>37989.488503676097</v>
      </c>
      <c r="AB100" cm="1">
        <f t="array" ref="AB100">_xlfn.XLOOKUP($C100,$C$7:$C$48,_xlfn.XLOOKUP(AB$61,$D$6:$AS$6,$D$7:$AS$48))</f>
        <v>21622.444301002401</v>
      </c>
      <c r="AC100" cm="1">
        <f t="array" ref="AC100">_xlfn.XLOOKUP($C100,$C$7:$C$48,_xlfn.XLOOKUP(AC$61,$D$6:$AS$6,$D$7:$AS$48))</f>
        <v>20627.188815816298</v>
      </c>
      <c r="AD100" cm="1">
        <f t="array" ref="AD100">_xlfn.XLOOKUP($C100,$C$7:$C$48,_xlfn.XLOOKUP(AD$61,$D$6:$AS$6,$D$7:$AS$48))</f>
        <v>25220.108459746101</v>
      </c>
      <c r="AE100" cm="1">
        <f t="array" ref="AE100">_xlfn.XLOOKUP($C100,$C$7:$C$48,_xlfn.XLOOKUP(AE$61,$D$6:$AS$6,$D$7:$AS$48))</f>
        <v>864553.12834388402</v>
      </c>
      <c r="AF100" cm="1">
        <f t="array" ref="AF100">_xlfn.XLOOKUP($C100,$C$7:$C$48,_xlfn.XLOOKUP(AF$61,$D$6:$AS$6,$D$7:$AS$48))</f>
        <v>1556026.8212163199</v>
      </c>
      <c r="AG100" cm="1">
        <f t="array" ref="AG100">_xlfn.XLOOKUP($C100,$C$7:$C$48,_xlfn.XLOOKUP(AG$61,$D$6:$AS$6,$D$7:$AS$48))</f>
        <v>1314848.2779828501</v>
      </c>
      <c r="AH100" cm="1">
        <f t="array" ref="AH100">_xlfn.XLOOKUP($C100,$C$7:$C$48,_xlfn.XLOOKUP(AH$61,$D$6:$AS$6,$D$7:$AS$48))</f>
        <v>298521.32652886497</v>
      </c>
      <c r="AI100" cm="1">
        <f t="array" ref="AI100">_xlfn.XLOOKUP($C100,$C$7:$C$48,_xlfn.XLOOKUP(AI$61,$D$6:$AS$6,$D$7:$AS$48))</f>
        <v>578304.51939634897</v>
      </c>
      <c r="AJ100" cm="1">
        <f t="array" ref="AJ100">_xlfn.XLOOKUP($C100,$C$7:$C$48,_xlfn.XLOOKUP(AJ$61,$D$6:$AS$6,$D$7:$AS$48))</f>
        <v>576898.76788159704</v>
      </c>
      <c r="AK100" cm="1">
        <f t="array" ref="AK100">_xlfn.XLOOKUP($C100,$C$7:$C$48,_xlfn.XLOOKUP(AK$61,$D$6:$AS$6,$D$7:$AS$48))</f>
        <v>142839.265608974</v>
      </c>
      <c r="AL100" cm="1">
        <f t="array" ref="AL100">_xlfn.XLOOKUP($C100,$C$7:$C$48,_xlfn.XLOOKUP(AL$61,$D$6:$AS$6,$D$7:$AS$48))</f>
        <v>3102120.9427249501</v>
      </c>
      <c r="AM100" cm="1">
        <f t="array" ref="AM100">_xlfn.XLOOKUP($C100,$C$7:$C$48,_xlfn.XLOOKUP(AM$61,$D$6:$AS$6,$D$7:$AS$48))</f>
        <v>274596.44974074</v>
      </c>
      <c r="AN100" cm="1">
        <f t="array" ref="AN100">_xlfn.XLOOKUP($C100,$C$7:$C$48,_xlfn.XLOOKUP(AN$61,$D$6:$AS$6,$D$7:$AS$48))</f>
        <v>492632.15666866698</v>
      </c>
      <c r="AO100" cm="1">
        <f t="array" ref="AO100">_xlfn.XLOOKUP($C100,$C$7:$C$48,_xlfn.XLOOKUP(AO$61,$D$6:$AS$6,$D$7:$AS$48))</f>
        <v>7577069.9852550402</v>
      </c>
      <c r="AP100" cm="1">
        <f t="array" ref="AP100">_xlfn.XLOOKUP($C100,$C$7:$C$48,_xlfn.XLOOKUP(AP$61,$D$6:$AS$6,$D$7:$AS$48))</f>
        <v>7696008.6095650997</v>
      </c>
      <c r="AQ100" cm="1">
        <f t="array" ref="AQ100">_xlfn.XLOOKUP($C100,$C$7:$C$48,_xlfn.XLOOKUP(AQ$61,$D$6:$AS$6,$D$7:$AS$48))</f>
        <v>792734.63606964098</v>
      </c>
      <c r="AR100" cm="1">
        <f t="array" ref="AR100">_xlfn.XLOOKUP($C100,$C$7:$C$48,_xlfn.XLOOKUP(AR$61,$D$6:$AS$6,$D$7:$AS$48))</f>
        <v>245179.80757904201</v>
      </c>
      <c r="AS100" cm="1">
        <f t="array" ref="AS100">_xlfn.XLOOKUP($C100,$C$7:$C$48,_xlfn.XLOOKUP(AS$61,$D$6:$AS$6,$D$7:$AS$48))</f>
        <v>189130.321780453</v>
      </c>
      <c r="AT100">
        <f t="shared" si="3"/>
        <v>27671725.2377332</v>
      </c>
      <c r="AU100" cm="1">
        <f t="array" ref="AU100">_xlfn.XLOOKUP(AU$60,$AU$6:$BF$6,_xlfn.XLOOKUP($C100,$C$7:$C$48,$AU$7:$BF$48))</f>
        <v>51147978.3054616</v>
      </c>
      <c r="AV100" cm="1">
        <f t="array" ref="AV100">_xlfn.XLOOKUP(AV$60,$AU$6:$BF$6,_xlfn.XLOOKUP($C100,$C$7:$C$48,$AU$7:$BF$48))</f>
        <v>183950274.18251199</v>
      </c>
      <c r="AW100" cm="1">
        <f t="array" ref="AW100">_xlfn.XLOOKUP(AW$60,$AU$6:$BF$6,_xlfn.XLOOKUP($C100,$C$7:$C$48,$AU$7:$BF$48))</f>
        <v>235098252.48797399</v>
      </c>
      <c r="AX100" cm="1">
        <f t="array" ref="AX100">_xlfn.XLOOKUP(AX$60,$AU$6:$BF$6,_xlfn.XLOOKUP($C100,$C$7:$C$48,$AU$7:$BF$48))</f>
        <v>269717581.40908903</v>
      </c>
      <c r="AY100" cm="1">
        <f t="array" ref="AY100">_xlfn.XLOOKUP(AY$60,$AU$6:$BF$6,_xlfn.XLOOKUP($C100,$C$7:$C$48,$AU$7:$BF$48))</f>
        <v>504815833.89706302</v>
      </c>
      <c r="AZ100" cm="1">
        <f t="array" ref="AZ100">_xlfn.XLOOKUP(AZ$60,$AU$6:$BF$6,_xlfn.XLOOKUP($C100,$C$7:$C$48,$AU$7:$BF$48))</f>
        <v>0</v>
      </c>
      <c r="BA100" cm="1">
        <f t="array" ref="BA100">_xlfn.XLOOKUP(BA$60,$AU$6:$BF$6,_xlfn.XLOOKUP($C100,$C$7:$C$48,$AU$7:$BF$48))</f>
        <v>0</v>
      </c>
      <c r="BB100" cm="1">
        <f t="array" ref="BB100">_xlfn.XLOOKUP(BB$60,$AU$6:$BF$6,_xlfn.XLOOKUP($C100,$C$7:$C$48,$AU$7:$BF$48))</f>
        <v>0</v>
      </c>
      <c r="BC100" cm="1">
        <f t="array" ref="BC100">_xlfn.XLOOKUP(BC$60,$AU$6:$BF$6,_xlfn.XLOOKUP($C100,$C$7:$C$48,$AU$7:$BF$48))</f>
        <v>0</v>
      </c>
      <c r="BD100" cm="1">
        <f t="array" ref="BD100">_xlfn.XLOOKUP(BD$60,$AU$6:$BF$6,_xlfn.XLOOKUP($C100,$C$7:$C$48,$AU$7:$BF$48))</f>
        <v>504815833.89706302</v>
      </c>
      <c r="BE100" cm="1">
        <f t="array" ref="BE100">_xlfn.XLOOKUP(BE$60,$AU$6:$BF$6,_xlfn.XLOOKUP($C100,$C$7:$C$48,$AU$7:$BF$48))</f>
        <v>0</v>
      </c>
      <c r="BF100" cm="1">
        <f t="array" ref="BF100">_xlfn.XLOOKUP(BF$60,$AU$6:$BF$6,_xlfn.XLOOKUP($C100,$C$7:$C$48,$AU$7:$BF$48))</f>
        <v>532487559.13479602</v>
      </c>
      <c r="BH100">
        <f t="shared" si="2"/>
        <v>532487559.1347962</v>
      </c>
      <c r="BJ100">
        <f t="shared" si="4"/>
        <v>0</v>
      </c>
    </row>
    <row r="101" spans="1:62" x14ac:dyDescent="0.25">
      <c r="C101" s="36" t="s">
        <v>109</v>
      </c>
      <c r="D101" cm="1">
        <f t="array" ref="D101">_xlfn.XLOOKUP($C101,$C$7:$C$48,_xlfn.XLOOKUP(D$61,$D$6:$AS$6,$D$7:$AS$48))</f>
        <v>106215.237680217</v>
      </c>
      <c r="E101" cm="1">
        <f t="array" ref="E101">_xlfn.XLOOKUP($C101,$C$7:$C$48,_xlfn.XLOOKUP(E$61,$D$6:$AS$6,$D$7:$AS$48))</f>
        <v>145358.06994113699</v>
      </c>
      <c r="F101" cm="1">
        <f t="array" ref="F101">_xlfn.XLOOKUP($C101,$C$7:$C$48,_xlfn.XLOOKUP(F$61,$D$6:$AS$6,$D$7:$AS$48))</f>
        <v>13148.4182333425</v>
      </c>
      <c r="G101" cm="1">
        <f t="array" ref="G101">_xlfn.XLOOKUP($C101,$C$7:$C$48,_xlfn.XLOOKUP(G$61,$D$6:$AS$6,$D$7:$AS$48))</f>
        <v>97022.232795075601</v>
      </c>
      <c r="H101" cm="1">
        <f t="array" ref="H101">_xlfn.XLOOKUP($C101,$C$7:$C$48,_xlfn.XLOOKUP(H$61,$D$6:$AS$6,$D$7:$AS$48))</f>
        <v>0</v>
      </c>
      <c r="I101" cm="1">
        <f t="array" ref="I101">_xlfn.XLOOKUP($C101,$C$7:$C$48,_xlfn.XLOOKUP(I$61,$D$6:$AS$6,$D$7:$AS$48))</f>
        <v>74031.800856356902</v>
      </c>
      <c r="J101" cm="1">
        <f t="array" ref="J101">_xlfn.XLOOKUP($C101,$C$7:$C$48,_xlfn.XLOOKUP(J$61,$D$6:$AS$6,$D$7:$AS$48))</f>
        <v>124131.532760006</v>
      </c>
      <c r="K101" cm="1">
        <f t="array" ref="K101">_xlfn.XLOOKUP($C101,$C$7:$C$48,_xlfn.XLOOKUP(K$61,$D$6:$AS$6,$D$7:$AS$48))</f>
        <v>48373.441422995304</v>
      </c>
      <c r="L101" cm="1">
        <f t="array" ref="L101">_xlfn.XLOOKUP($C101,$C$7:$C$48,_xlfn.XLOOKUP(L$61,$D$6:$AS$6,$D$7:$AS$48))</f>
        <v>136284.37427054701</v>
      </c>
      <c r="M101" cm="1">
        <f t="array" ref="M101">_xlfn.XLOOKUP($C101,$C$7:$C$48,_xlfn.XLOOKUP(M$61,$D$6:$AS$6,$D$7:$AS$48))</f>
        <v>838032.64446160104</v>
      </c>
      <c r="N101" cm="1">
        <f t="array" ref="N101">_xlfn.XLOOKUP($C101,$C$7:$C$48,_xlfn.XLOOKUP(N$61,$D$6:$AS$6,$D$7:$AS$48))</f>
        <v>95879.754534086795</v>
      </c>
      <c r="O101" cm="1">
        <f t="array" ref="O101">_xlfn.XLOOKUP($C101,$C$7:$C$48,_xlfn.XLOOKUP(O$61,$D$6:$AS$6,$D$7:$AS$48))</f>
        <v>62106.358939058096</v>
      </c>
      <c r="P101" cm="1">
        <f t="array" ref="P101">_xlfn.XLOOKUP($C101,$C$7:$C$48,_xlfn.XLOOKUP(P$61,$D$6:$AS$6,$D$7:$AS$48))</f>
        <v>11596.239364290401</v>
      </c>
      <c r="Q101" cm="1">
        <f t="array" ref="Q101">_xlfn.XLOOKUP($C101,$C$7:$C$48,_xlfn.XLOOKUP(Q$61,$D$6:$AS$6,$D$7:$AS$48))</f>
        <v>261703.144700056</v>
      </c>
      <c r="R101" cm="1">
        <f t="array" ref="R101">_xlfn.XLOOKUP($C101,$C$7:$C$48,_xlfn.XLOOKUP(R$61,$D$6:$AS$6,$D$7:$AS$48))</f>
        <v>239737.57158259401</v>
      </c>
      <c r="S101" cm="1">
        <f t="array" ref="S101">_xlfn.XLOOKUP($C101,$C$7:$C$48,_xlfn.XLOOKUP(S$61,$D$6:$AS$6,$D$7:$AS$48))</f>
        <v>295395.38169873803</v>
      </c>
      <c r="T101" cm="1">
        <f t="array" ref="T101">_xlfn.XLOOKUP($C101,$C$7:$C$48,_xlfn.XLOOKUP(T$61,$D$6:$AS$6,$D$7:$AS$48))</f>
        <v>97498.299766050404</v>
      </c>
      <c r="U101" cm="1">
        <f t="array" ref="U101">_xlfn.XLOOKUP($C101,$C$7:$C$48,_xlfn.XLOOKUP(U$61,$D$6:$AS$6,$D$7:$AS$48))</f>
        <v>270233.491610175</v>
      </c>
      <c r="V101" cm="1">
        <f t="array" ref="V101">_xlfn.XLOOKUP($C101,$C$7:$C$48,_xlfn.XLOOKUP(V$61,$D$6:$AS$6,$D$7:$AS$48))</f>
        <v>179407.08534904299</v>
      </c>
      <c r="W101" cm="1">
        <f t="array" ref="W101">_xlfn.XLOOKUP($C101,$C$7:$C$48,_xlfn.XLOOKUP(W$61,$D$6:$AS$6,$D$7:$AS$48))</f>
        <v>307450.819624611</v>
      </c>
      <c r="X101" cm="1">
        <f t="array" ref="X101">_xlfn.XLOOKUP($C101,$C$7:$C$48,_xlfn.XLOOKUP(X$61,$D$6:$AS$6,$D$7:$AS$48))</f>
        <v>412737.91321225301</v>
      </c>
      <c r="Y101" cm="1">
        <f t="array" ref="Y101">_xlfn.XLOOKUP($C101,$C$7:$C$48,_xlfn.XLOOKUP(Y$61,$D$6:$AS$6,$D$7:$AS$48))</f>
        <v>235573.381728295</v>
      </c>
      <c r="Z101" cm="1">
        <f t="array" ref="Z101">_xlfn.XLOOKUP($C101,$C$7:$C$48,_xlfn.XLOOKUP(Z$61,$D$6:$AS$6,$D$7:$AS$48))</f>
        <v>109811.424117341</v>
      </c>
      <c r="AA101" cm="1">
        <f t="array" ref="AA101">_xlfn.XLOOKUP($C101,$C$7:$C$48,_xlfn.XLOOKUP(AA$61,$D$6:$AS$6,$D$7:$AS$48))</f>
        <v>18328.046797860901</v>
      </c>
      <c r="AB101" cm="1">
        <f t="array" ref="AB101">_xlfn.XLOOKUP($C101,$C$7:$C$48,_xlfn.XLOOKUP(AB$61,$D$6:$AS$6,$D$7:$AS$48))</f>
        <v>352667.83560781798</v>
      </c>
      <c r="AC101" cm="1">
        <f t="array" ref="AC101">_xlfn.XLOOKUP($C101,$C$7:$C$48,_xlfn.XLOOKUP(AC$61,$D$6:$AS$6,$D$7:$AS$48))</f>
        <v>37394.683584889899</v>
      </c>
      <c r="AD101" cm="1">
        <f t="array" ref="AD101">_xlfn.XLOOKUP($C101,$C$7:$C$48,_xlfn.XLOOKUP(AD$61,$D$6:$AS$6,$D$7:$AS$48))</f>
        <v>1848.0922850486199</v>
      </c>
      <c r="AE101" cm="1">
        <f t="array" ref="AE101">_xlfn.XLOOKUP($C101,$C$7:$C$48,_xlfn.XLOOKUP(AE$61,$D$6:$AS$6,$D$7:$AS$48))</f>
        <v>1215493.8554378501</v>
      </c>
      <c r="AF101" cm="1">
        <f t="array" ref="AF101">_xlfn.XLOOKUP($C101,$C$7:$C$48,_xlfn.XLOOKUP(AF$61,$D$6:$AS$6,$D$7:$AS$48))</f>
        <v>406174.54678361397</v>
      </c>
      <c r="AG101" cm="1">
        <f t="array" ref="AG101">_xlfn.XLOOKUP($C101,$C$7:$C$48,_xlfn.XLOOKUP(AG$61,$D$6:$AS$6,$D$7:$AS$48))</f>
        <v>587224.05550180702</v>
      </c>
      <c r="AH101" cm="1">
        <f t="array" ref="AH101">_xlfn.XLOOKUP($C101,$C$7:$C$48,_xlfn.XLOOKUP(AH$61,$D$6:$AS$6,$D$7:$AS$48))</f>
        <v>11028.5522628691</v>
      </c>
      <c r="AI101" cm="1">
        <f t="array" ref="AI101">_xlfn.XLOOKUP($C101,$C$7:$C$48,_xlfn.XLOOKUP(AI$61,$D$6:$AS$6,$D$7:$AS$48))</f>
        <v>25143.2503734001</v>
      </c>
      <c r="AJ101" cm="1">
        <f t="array" ref="AJ101">_xlfn.XLOOKUP($C101,$C$7:$C$48,_xlfn.XLOOKUP(AJ$61,$D$6:$AS$6,$D$7:$AS$48))</f>
        <v>6425.4900946637299</v>
      </c>
      <c r="AK101" cm="1">
        <f t="array" ref="AK101">_xlfn.XLOOKUP($C101,$C$7:$C$48,_xlfn.XLOOKUP(AK$61,$D$6:$AS$6,$D$7:$AS$48))</f>
        <v>19498.6720649739</v>
      </c>
      <c r="AL101" cm="1">
        <f t="array" ref="AL101">_xlfn.XLOOKUP($C101,$C$7:$C$48,_xlfn.XLOOKUP(AL$61,$D$6:$AS$6,$D$7:$AS$48))</f>
        <v>276897.04805117298</v>
      </c>
      <c r="AM101" cm="1">
        <f t="array" ref="AM101">_xlfn.XLOOKUP($C101,$C$7:$C$48,_xlfn.XLOOKUP(AM$61,$D$6:$AS$6,$D$7:$AS$48))</f>
        <v>2491.9250806641799</v>
      </c>
      <c r="AN101" cm="1">
        <f t="array" ref="AN101">_xlfn.XLOOKUP($C101,$C$7:$C$48,_xlfn.XLOOKUP(AN$61,$D$6:$AS$6,$D$7:$AS$48))</f>
        <v>42542.071286025603</v>
      </c>
      <c r="AO101" cm="1">
        <f t="array" ref="AO101">_xlfn.XLOOKUP($C101,$C$7:$C$48,_xlfn.XLOOKUP(AO$61,$D$6:$AS$6,$D$7:$AS$48))</f>
        <v>2428769.2972212601</v>
      </c>
      <c r="AP101" cm="1">
        <f t="array" ref="AP101">_xlfn.XLOOKUP($C101,$C$7:$C$48,_xlfn.XLOOKUP(AP$61,$D$6:$AS$6,$D$7:$AS$48))</f>
        <v>205486.83568988601</v>
      </c>
      <c r="AQ101" cm="1">
        <f t="array" ref="AQ101">_xlfn.XLOOKUP($C101,$C$7:$C$48,_xlfn.XLOOKUP(AQ$61,$D$6:$AS$6,$D$7:$AS$48))</f>
        <v>2877366.5264608702</v>
      </c>
      <c r="AR101" cm="1">
        <f t="array" ref="AR101">_xlfn.XLOOKUP($C101,$C$7:$C$48,_xlfn.XLOOKUP(AR$61,$D$6:$AS$6,$D$7:$AS$48))</f>
        <v>50119.284817291198</v>
      </c>
      <c r="AS101" cm="1">
        <f t="array" ref="AS101">_xlfn.XLOOKUP($C101,$C$7:$C$48,_xlfn.XLOOKUP(AS$61,$D$6:$AS$6,$D$7:$AS$48))</f>
        <v>73930.962060457401</v>
      </c>
      <c r="AT101">
        <f t="shared" si="3"/>
        <v>12752186.2086873</v>
      </c>
      <c r="AU101" cm="1">
        <f t="array" ref="AU101">_xlfn.XLOOKUP(AU$60,$AU$6:$BF$6,_xlfn.XLOOKUP($C101,$C$7:$C$48,$AU$7:$BF$48))</f>
        <v>42485967.983507901</v>
      </c>
      <c r="AV101" cm="1">
        <f t="array" ref="AV101">_xlfn.XLOOKUP(AV$60,$AU$6:$BF$6,_xlfn.XLOOKUP($C101,$C$7:$C$48,$AU$7:$BF$48))</f>
        <v>129168822.75693101</v>
      </c>
      <c r="AW101" cm="1">
        <f t="array" ref="AW101">_xlfn.XLOOKUP(AW$60,$AU$6:$BF$6,_xlfn.XLOOKUP($C101,$C$7:$C$48,$AU$7:$BF$48))</f>
        <v>171654790.740439</v>
      </c>
      <c r="AX101" cm="1">
        <f t="array" ref="AX101">_xlfn.XLOOKUP(AX$60,$AU$6:$BF$6,_xlfn.XLOOKUP($C101,$C$7:$C$48,$AU$7:$BF$48))</f>
        <v>316703292.12673497</v>
      </c>
      <c r="AY101" cm="1">
        <f t="array" ref="AY101">_xlfn.XLOOKUP(AY$60,$AU$6:$BF$6,_xlfn.XLOOKUP($C101,$C$7:$C$48,$AU$7:$BF$48))</f>
        <v>488358082.86717498</v>
      </c>
      <c r="AZ101" cm="1">
        <f t="array" ref="AZ101">_xlfn.XLOOKUP(AZ$60,$AU$6:$BF$6,_xlfn.XLOOKUP($C101,$C$7:$C$48,$AU$7:$BF$48))</f>
        <v>0</v>
      </c>
      <c r="BA101" cm="1">
        <f t="array" ref="BA101">_xlfn.XLOOKUP(BA$60,$AU$6:$BF$6,_xlfn.XLOOKUP($C101,$C$7:$C$48,$AU$7:$BF$48))</f>
        <v>0</v>
      </c>
      <c r="BB101" cm="1">
        <f t="array" ref="BB101">_xlfn.XLOOKUP(BB$60,$AU$6:$BF$6,_xlfn.XLOOKUP($C101,$C$7:$C$48,$AU$7:$BF$48))</f>
        <v>0</v>
      </c>
      <c r="BC101" cm="1">
        <f t="array" ref="BC101">_xlfn.XLOOKUP(BC$60,$AU$6:$BF$6,_xlfn.XLOOKUP($C101,$C$7:$C$48,$AU$7:$BF$48))</f>
        <v>156974.417010226</v>
      </c>
      <c r="BD101" cm="1">
        <f t="array" ref="BD101">_xlfn.XLOOKUP(BD$60,$AU$6:$BF$6,_xlfn.XLOOKUP($C101,$C$7:$C$48,$AU$7:$BF$48))</f>
        <v>488515057.28418499</v>
      </c>
      <c r="BE101" cm="1">
        <f t="array" ref="BE101">_xlfn.XLOOKUP(BE$60,$AU$6:$BF$6,_xlfn.XLOOKUP($C101,$C$7:$C$48,$AU$7:$BF$48))</f>
        <v>1195045.7535647999</v>
      </c>
      <c r="BF101" cm="1">
        <f t="array" ref="BF101">_xlfn.XLOOKUP(BF$60,$AU$6:$BF$6,_xlfn.XLOOKUP($C101,$C$7:$C$48,$AU$7:$BF$48))</f>
        <v>500072197.73930699</v>
      </c>
      <c r="BH101">
        <f t="shared" si="2"/>
        <v>501110269.07586229</v>
      </c>
      <c r="BJ101">
        <f t="shared" si="4"/>
        <v>2.3847959766793042E-3</v>
      </c>
    </row>
    <row r="102" spans="1:62" x14ac:dyDescent="0.25">
      <c r="C102" s="36" t="s">
        <v>110</v>
      </c>
      <c r="D102" cm="1">
        <f t="array" ref="D102">_xlfn.XLOOKUP($C102,$C$7:$C$48,_xlfn.XLOOKUP(D$61,$D$6:$AS$6,$D$7:$AS$48))</f>
        <v>101045.02514810501</v>
      </c>
      <c r="E102" cm="1">
        <f t="array" ref="E102">_xlfn.XLOOKUP($C102,$C$7:$C$48,_xlfn.XLOOKUP(E$61,$D$6:$AS$6,$D$7:$AS$48))</f>
        <v>272786.24574653298</v>
      </c>
      <c r="F102" cm="1">
        <f t="array" ref="F102">_xlfn.XLOOKUP($C102,$C$7:$C$48,_xlfn.XLOOKUP(F$61,$D$6:$AS$6,$D$7:$AS$48))</f>
        <v>124921.03606311799</v>
      </c>
      <c r="G102" cm="1">
        <f t="array" ref="G102">_xlfn.XLOOKUP($C102,$C$7:$C$48,_xlfn.XLOOKUP(G$61,$D$6:$AS$6,$D$7:$AS$48))</f>
        <v>173463.23050387</v>
      </c>
      <c r="H102" cm="1">
        <f t="array" ref="H102">_xlfn.XLOOKUP($C102,$C$7:$C$48,_xlfn.XLOOKUP(H$61,$D$6:$AS$6,$D$7:$AS$48))</f>
        <v>14812.9162275039</v>
      </c>
      <c r="I102" cm="1">
        <f t="array" ref="I102">_xlfn.XLOOKUP($C102,$C$7:$C$48,_xlfn.XLOOKUP(I$61,$D$6:$AS$6,$D$7:$AS$48))</f>
        <v>892690.76597648195</v>
      </c>
      <c r="J102" cm="1">
        <f t="array" ref="J102">_xlfn.XLOOKUP($C102,$C$7:$C$48,_xlfn.XLOOKUP(J$61,$D$6:$AS$6,$D$7:$AS$48))</f>
        <v>884858.03298067697</v>
      </c>
      <c r="K102" cm="1">
        <f t="array" ref="K102">_xlfn.XLOOKUP($C102,$C$7:$C$48,_xlfn.XLOOKUP(K$61,$D$6:$AS$6,$D$7:$AS$48))</f>
        <v>293822.58571970498</v>
      </c>
      <c r="L102" cm="1">
        <f t="array" ref="L102">_xlfn.XLOOKUP($C102,$C$7:$C$48,_xlfn.XLOOKUP(L$61,$D$6:$AS$6,$D$7:$AS$48))</f>
        <v>602336.95172100305</v>
      </c>
      <c r="M102" cm="1">
        <f t="array" ref="M102">_xlfn.XLOOKUP($C102,$C$7:$C$48,_xlfn.XLOOKUP(M$61,$D$6:$AS$6,$D$7:$AS$48))</f>
        <v>314077.591861205</v>
      </c>
      <c r="N102" cm="1">
        <f t="array" ref="N102">_xlfn.XLOOKUP($C102,$C$7:$C$48,_xlfn.XLOOKUP(N$61,$D$6:$AS$6,$D$7:$AS$48))</f>
        <v>651094.05702456005</v>
      </c>
      <c r="O102" cm="1">
        <f t="array" ref="O102">_xlfn.XLOOKUP($C102,$C$7:$C$48,_xlfn.XLOOKUP(O$61,$D$6:$AS$6,$D$7:$AS$48))</f>
        <v>589693.41626355704</v>
      </c>
      <c r="P102" cm="1">
        <f t="array" ref="P102">_xlfn.XLOOKUP($C102,$C$7:$C$48,_xlfn.XLOOKUP(P$61,$D$6:$AS$6,$D$7:$AS$48))</f>
        <v>512136.73889198498</v>
      </c>
      <c r="Q102" cm="1">
        <f t="array" ref="Q102">_xlfn.XLOOKUP($C102,$C$7:$C$48,_xlfn.XLOOKUP(Q$61,$D$6:$AS$6,$D$7:$AS$48))</f>
        <v>537971.46867107402</v>
      </c>
      <c r="R102" cm="1">
        <f t="array" ref="R102">_xlfn.XLOOKUP($C102,$C$7:$C$48,_xlfn.XLOOKUP(R$61,$D$6:$AS$6,$D$7:$AS$48))</f>
        <v>908100.80465258402</v>
      </c>
      <c r="S102" cm="1">
        <f t="array" ref="S102">_xlfn.XLOOKUP($C102,$C$7:$C$48,_xlfn.XLOOKUP(S$61,$D$6:$AS$6,$D$7:$AS$48))</f>
        <v>616659.72771512298</v>
      </c>
      <c r="T102" cm="1">
        <f t="array" ref="T102">_xlfn.XLOOKUP($C102,$C$7:$C$48,_xlfn.XLOOKUP(T$61,$D$6:$AS$6,$D$7:$AS$48))</f>
        <v>354148.93016056699</v>
      </c>
      <c r="U102" cm="1">
        <f t="array" ref="U102">_xlfn.XLOOKUP($C102,$C$7:$C$48,_xlfn.XLOOKUP(U$61,$D$6:$AS$6,$D$7:$AS$48))</f>
        <v>453650.45673186501</v>
      </c>
      <c r="V102" cm="1">
        <f t="array" ref="V102">_xlfn.XLOOKUP($C102,$C$7:$C$48,_xlfn.XLOOKUP(V$61,$D$6:$AS$6,$D$7:$AS$48))</f>
        <v>1170344.7401956799</v>
      </c>
      <c r="W102" cm="1">
        <f t="array" ref="W102">_xlfn.XLOOKUP($C102,$C$7:$C$48,_xlfn.XLOOKUP(W$61,$D$6:$AS$6,$D$7:$AS$48))</f>
        <v>840454.18709472299</v>
      </c>
      <c r="X102" cm="1">
        <f t="array" ref="X102">_xlfn.XLOOKUP($C102,$C$7:$C$48,_xlfn.XLOOKUP(X$61,$D$6:$AS$6,$D$7:$AS$48))</f>
        <v>1050252.89346804</v>
      </c>
      <c r="Y102" cm="1">
        <f t="array" ref="Y102">_xlfn.XLOOKUP($C102,$C$7:$C$48,_xlfn.XLOOKUP(Y$61,$D$6:$AS$6,$D$7:$AS$48))</f>
        <v>1486140.9349438499</v>
      </c>
      <c r="Z102" cm="1">
        <f t="array" ref="Z102">_xlfn.XLOOKUP($C102,$C$7:$C$48,_xlfn.XLOOKUP(Z$61,$D$6:$AS$6,$D$7:$AS$48))</f>
        <v>118962.458864416</v>
      </c>
      <c r="AA102" cm="1">
        <f t="array" ref="AA102">_xlfn.XLOOKUP($C102,$C$7:$C$48,_xlfn.XLOOKUP(AA$61,$D$6:$AS$6,$D$7:$AS$48))</f>
        <v>133269.637445689</v>
      </c>
      <c r="AB102" cm="1">
        <f t="array" ref="AB102">_xlfn.XLOOKUP($C102,$C$7:$C$48,_xlfn.XLOOKUP(AB$61,$D$6:$AS$6,$D$7:$AS$48))</f>
        <v>1003080.19417144</v>
      </c>
      <c r="AC102" cm="1">
        <f t="array" ref="AC102">_xlfn.XLOOKUP($C102,$C$7:$C$48,_xlfn.XLOOKUP(AC$61,$D$6:$AS$6,$D$7:$AS$48))</f>
        <v>100502.293601321</v>
      </c>
      <c r="AD102" cm="1">
        <f t="array" ref="AD102">_xlfn.XLOOKUP($C102,$C$7:$C$48,_xlfn.XLOOKUP(AD$61,$D$6:$AS$6,$D$7:$AS$48))</f>
        <v>133827.511142723</v>
      </c>
      <c r="AE102" cm="1">
        <f t="array" ref="AE102">_xlfn.XLOOKUP($C102,$C$7:$C$48,_xlfn.XLOOKUP(AE$61,$D$6:$AS$6,$D$7:$AS$48))</f>
        <v>2820755.1566284001</v>
      </c>
      <c r="AF102" cm="1">
        <f t="array" ref="AF102">_xlfn.XLOOKUP($C102,$C$7:$C$48,_xlfn.XLOOKUP(AF$61,$D$6:$AS$6,$D$7:$AS$48))</f>
        <v>1726967.78773693</v>
      </c>
      <c r="AG102" cm="1">
        <f t="array" ref="AG102">_xlfn.XLOOKUP($C102,$C$7:$C$48,_xlfn.XLOOKUP(AG$61,$D$6:$AS$6,$D$7:$AS$48))</f>
        <v>2556352.1957594301</v>
      </c>
      <c r="AH102" cm="1">
        <f t="array" ref="AH102">_xlfn.XLOOKUP($C102,$C$7:$C$48,_xlfn.XLOOKUP(AH$61,$D$6:$AS$6,$D$7:$AS$48))</f>
        <v>673854.67137308198</v>
      </c>
      <c r="AI102" cm="1">
        <f t="array" ref="AI102">_xlfn.XLOOKUP($C102,$C$7:$C$48,_xlfn.XLOOKUP(AI$61,$D$6:$AS$6,$D$7:$AS$48))</f>
        <v>3618427.7880632998</v>
      </c>
      <c r="AJ102" cm="1">
        <f t="array" ref="AJ102">_xlfn.XLOOKUP($C102,$C$7:$C$48,_xlfn.XLOOKUP(AJ$61,$D$6:$AS$6,$D$7:$AS$48))</f>
        <v>3954591.75091724</v>
      </c>
      <c r="AK102" cm="1">
        <f t="array" ref="AK102">_xlfn.XLOOKUP($C102,$C$7:$C$48,_xlfn.XLOOKUP(AK$61,$D$6:$AS$6,$D$7:$AS$48))</f>
        <v>1136981.26714152</v>
      </c>
      <c r="AL102" cm="1">
        <f t="array" ref="AL102">_xlfn.XLOOKUP($C102,$C$7:$C$48,_xlfn.XLOOKUP(AL$61,$D$6:$AS$6,$D$7:$AS$48))</f>
        <v>10689187.563694401</v>
      </c>
      <c r="AM102" cm="1">
        <f t="array" ref="AM102">_xlfn.XLOOKUP($C102,$C$7:$C$48,_xlfn.XLOOKUP(AM$61,$D$6:$AS$6,$D$7:$AS$48))</f>
        <v>1317653.5526413701</v>
      </c>
      <c r="AN102" cm="1">
        <f t="array" ref="AN102">_xlfn.XLOOKUP($C102,$C$7:$C$48,_xlfn.XLOOKUP(AN$61,$D$6:$AS$6,$D$7:$AS$48))</f>
        <v>1310351.5431092801</v>
      </c>
      <c r="AO102" cm="1">
        <f t="array" ref="AO102">_xlfn.XLOOKUP($C102,$C$7:$C$48,_xlfn.XLOOKUP(AO$61,$D$6:$AS$6,$D$7:$AS$48))</f>
        <v>7009132.01954374</v>
      </c>
      <c r="AP102" cm="1">
        <f t="array" ref="AP102">_xlfn.XLOOKUP($C102,$C$7:$C$48,_xlfn.XLOOKUP(AP$61,$D$6:$AS$6,$D$7:$AS$48))</f>
        <v>2393374.7948408402</v>
      </c>
      <c r="AQ102" cm="1">
        <f t="array" ref="AQ102">_xlfn.XLOOKUP($C102,$C$7:$C$48,_xlfn.XLOOKUP(AQ$61,$D$6:$AS$6,$D$7:$AS$48))</f>
        <v>320154.61876981898</v>
      </c>
      <c r="AR102" cm="1">
        <f t="array" ref="AR102">_xlfn.XLOOKUP($C102,$C$7:$C$48,_xlfn.XLOOKUP(AR$61,$D$6:$AS$6,$D$7:$AS$48))</f>
        <v>9232824.9229271002</v>
      </c>
      <c r="AS102" cm="1">
        <f t="array" ref="AS102">_xlfn.XLOOKUP($C102,$C$7:$C$48,_xlfn.XLOOKUP(AS$61,$D$6:$AS$6,$D$7:$AS$48))</f>
        <v>1135591.42365731</v>
      </c>
      <c r="AT102">
        <f t="shared" si="3"/>
        <v>63937483.304071501</v>
      </c>
      <c r="AU102" cm="1">
        <f t="array" ref="AU102">_xlfn.XLOOKUP(AU$60,$AU$6:$BF$6,_xlfn.XLOOKUP($C102,$C$7:$C$48,$AU$7:$BF$48))</f>
        <v>6949619.4697179999</v>
      </c>
      <c r="AV102" cm="1">
        <f t="array" ref="AV102">_xlfn.XLOOKUP(AV$60,$AU$6:$BF$6,_xlfn.XLOOKUP($C102,$C$7:$C$48,$AU$7:$BF$48))</f>
        <v>46077777.730733201</v>
      </c>
      <c r="AW102" cm="1">
        <f t="array" ref="AW102">_xlfn.XLOOKUP(AW$60,$AU$6:$BF$6,_xlfn.XLOOKUP($C102,$C$7:$C$48,$AU$7:$BF$48))</f>
        <v>53027397.2004513</v>
      </c>
      <c r="AX102" cm="1">
        <f t="array" ref="AX102">_xlfn.XLOOKUP(AX$60,$AU$6:$BF$6,_xlfn.XLOOKUP($C102,$C$7:$C$48,$AU$7:$BF$48))</f>
        <v>42038587.777548403</v>
      </c>
      <c r="AY102" cm="1">
        <f t="array" ref="AY102">_xlfn.XLOOKUP(AY$60,$AU$6:$BF$6,_xlfn.XLOOKUP($C102,$C$7:$C$48,$AU$7:$BF$48))</f>
        <v>95065984.977999702</v>
      </c>
      <c r="AZ102" cm="1">
        <f t="array" ref="AZ102">_xlfn.XLOOKUP(AZ$60,$AU$6:$BF$6,_xlfn.XLOOKUP($C102,$C$7:$C$48,$AU$7:$BF$48))</f>
        <v>5234595.2386050001</v>
      </c>
      <c r="BA102" cm="1">
        <f t="array" ref="BA102">_xlfn.XLOOKUP(BA$60,$AU$6:$BF$6,_xlfn.XLOOKUP($C102,$C$7:$C$48,$AU$7:$BF$48))</f>
        <v>0</v>
      </c>
      <c r="BB102" cm="1">
        <f t="array" ref="BB102">_xlfn.XLOOKUP(BB$60,$AU$6:$BF$6,_xlfn.XLOOKUP($C102,$C$7:$C$48,$AU$7:$BF$48))</f>
        <v>5234595.2386050001</v>
      </c>
      <c r="BC102" cm="1">
        <f t="array" ref="BC102">_xlfn.XLOOKUP(BC$60,$AU$6:$BF$6,_xlfn.XLOOKUP($C102,$C$7:$C$48,$AU$7:$BF$48))</f>
        <v>2845384.0510386499</v>
      </c>
      <c r="BD102" cm="1">
        <f t="array" ref="BD102">_xlfn.XLOOKUP(BD$60,$AU$6:$BF$6,_xlfn.XLOOKUP($C102,$C$7:$C$48,$AU$7:$BF$48))</f>
        <v>103145964.267643</v>
      </c>
      <c r="BE102" cm="1">
        <f t="array" ref="BE102">_xlfn.XLOOKUP(BE$60,$AU$6:$BF$6,_xlfn.XLOOKUP($C102,$C$7:$C$48,$AU$7:$BF$48))</f>
        <v>11240037.806422999</v>
      </c>
      <c r="BF102" cm="1">
        <f t="array" ref="BF102">_xlfn.XLOOKUP(BF$60,$AU$6:$BF$6,_xlfn.XLOOKUP($C102,$C$7:$C$48,$AU$7:$BF$48))</f>
        <v>155843409.76529199</v>
      </c>
      <c r="BH102">
        <f t="shared" si="2"/>
        <v>164238063.5206762</v>
      </c>
      <c r="BJ102">
        <f t="shared" si="4"/>
        <v>6.8437471591401053E-2</v>
      </c>
    </row>
    <row r="103" spans="1:62" x14ac:dyDescent="0.25">
      <c r="C103" s="36" t="s">
        <v>107</v>
      </c>
      <c r="D103" cm="1">
        <f t="array" ref="D103">_xlfn.XLOOKUP($C103,$C$7:$C$48,_xlfn.XLOOKUP(D$61,$D$6:$AS$6,$D$7:$AS$48))</f>
        <v>1162397.39834427</v>
      </c>
      <c r="E103" cm="1">
        <f t="array" ref="E103">_xlfn.XLOOKUP($C103,$C$7:$C$48,_xlfn.XLOOKUP(E$61,$D$6:$AS$6,$D$7:$AS$48))</f>
        <v>1569830.502662</v>
      </c>
      <c r="F103" cm="1">
        <f t="array" ref="F103">_xlfn.XLOOKUP($C103,$C$7:$C$48,_xlfn.XLOOKUP(F$61,$D$6:$AS$6,$D$7:$AS$48))</f>
        <v>159386.41042071499</v>
      </c>
      <c r="G103" cm="1">
        <f t="array" ref="G103">_xlfn.XLOOKUP($C103,$C$7:$C$48,_xlfn.XLOOKUP(G$61,$D$6:$AS$6,$D$7:$AS$48))</f>
        <v>318946.29647918901</v>
      </c>
      <c r="H103" cm="1">
        <f t="array" ref="H103">_xlfn.XLOOKUP($C103,$C$7:$C$48,_xlfn.XLOOKUP(H$61,$D$6:$AS$6,$D$7:$AS$48))</f>
        <v>31443.2389671735</v>
      </c>
      <c r="I103" cm="1">
        <f t="array" ref="I103">_xlfn.XLOOKUP($C103,$C$7:$C$48,_xlfn.XLOOKUP(I$61,$D$6:$AS$6,$D$7:$AS$48))</f>
        <v>1801970.03318312</v>
      </c>
      <c r="J103" cm="1">
        <f t="array" ref="J103">_xlfn.XLOOKUP($C103,$C$7:$C$48,_xlfn.XLOOKUP(J$61,$D$6:$AS$6,$D$7:$AS$48))</f>
        <v>1266265.8232640999</v>
      </c>
      <c r="K103" cm="1">
        <f t="array" ref="K103">_xlfn.XLOOKUP($C103,$C$7:$C$48,_xlfn.XLOOKUP(K$61,$D$6:$AS$6,$D$7:$AS$48))</f>
        <v>748904.04015807004</v>
      </c>
      <c r="L103" cm="1">
        <f t="array" ref="L103">_xlfn.XLOOKUP($C103,$C$7:$C$48,_xlfn.XLOOKUP(L$61,$D$6:$AS$6,$D$7:$AS$48))</f>
        <v>1959896.55437019</v>
      </c>
      <c r="M103" cm="1">
        <f t="array" ref="M103">_xlfn.XLOOKUP($C103,$C$7:$C$48,_xlfn.XLOOKUP(M$61,$D$6:$AS$6,$D$7:$AS$48))</f>
        <v>696299.77172118402</v>
      </c>
      <c r="N103" cm="1">
        <f t="array" ref="N103">_xlfn.XLOOKUP($C103,$C$7:$C$48,_xlfn.XLOOKUP(N$61,$D$6:$AS$6,$D$7:$AS$48))</f>
        <v>1882933.6113621099</v>
      </c>
      <c r="O103" cm="1">
        <f t="array" ref="O103">_xlfn.XLOOKUP($C103,$C$7:$C$48,_xlfn.XLOOKUP(O$61,$D$6:$AS$6,$D$7:$AS$48))</f>
        <v>1374331.9906798201</v>
      </c>
      <c r="P103" cm="1">
        <f t="array" ref="P103">_xlfn.XLOOKUP($C103,$C$7:$C$48,_xlfn.XLOOKUP(P$61,$D$6:$AS$6,$D$7:$AS$48))</f>
        <v>1144520.54790092</v>
      </c>
      <c r="Q103" cm="1">
        <f t="array" ref="Q103">_xlfn.XLOOKUP($C103,$C$7:$C$48,_xlfn.XLOOKUP(Q$61,$D$6:$AS$6,$D$7:$AS$48))</f>
        <v>1440596.56517176</v>
      </c>
      <c r="R103" cm="1">
        <f t="array" ref="R103">_xlfn.XLOOKUP($C103,$C$7:$C$48,_xlfn.XLOOKUP(R$61,$D$6:$AS$6,$D$7:$AS$48))</f>
        <v>2152188.0837502601</v>
      </c>
      <c r="S103" cm="1">
        <f t="array" ref="S103">_xlfn.XLOOKUP($C103,$C$7:$C$48,_xlfn.XLOOKUP(S$61,$D$6:$AS$6,$D$7:$AS$48))</f>
        <v>1142727.12728802</v>
      </c>
      <c r="T103" cm="1">
        <f t="array" ref="T103">_xlfn.XLOOKUP($C103,$C$7:$C$48,_xlfn.XLOOKUP(T$61,$D$6:$AS$6,$D$7:$AS$48))</f>
        <v>369600.17646541999</v>
      </c>
      <c r="U103" cm="1">
        <f t="array" ref="U103">_xlfn.XLOOKUP($C103,$C$7:$C$48,_xlfn.XLOOKUP(U$61,$D$6:$AS$6,$D$7:$AS$48))</f>
        <v>1871053.2094211699</v>
      </c>
      <c r="V103" cm="1">
        <f t="array" ref="V103">_xlfn.XLOOKUP($C103,$C$7:$C$48,_xlfn.XLOOKUP(V$61,$D$6:$AS$6,$D$7:$AS$48))</f>
        <v>3183056.1609925302</v>
      </c>
      <c r="W103" cm="1">
        <f t="array" ref="W103">_xlfn.XLOOKUP($C103,$C$7:$C$48,_xlfn.XLOOKUP(W$61,$D$6:$AS$6,$D$7:$AS$48))</f>
        <v>2650589.9530470702</v>
      </c>
      <c r="X103" cm="1">
        <f t="array" ref="X103">_xlfn.XLOOKUP($C103,$C$7:$C$48,_xlfn.XLOOKUP(X$61,$D$6:$AS$6,$D$7:$AS$48))</f>
        <v>2177435.0947761</v>
      </c>
      <c r="Y103" cm="1">
        <f t="array" ref="Y103">_xlfn.XLOOKUP($C103,$C$7:$C$48,_xlfn.XLOOKUP(Y$61,$D$6:$AS$6,$D$7:$AS$48))</f>
        <v>3661165.3887218498</v>
      </c>
      <c r="Z103" cm="1">
        <f t="array" ref="Z103">_xlfn.XLOOKUP($C103,$C$7:$C$48,_xlfn.XLOOKUP(Z$61,$D$6:$AS$6,$D$7:$AS$48))</f>
        <v>475779.72318513901</v>
      </c>
      <c r="AA103" cm="1">
        <f t="array" ref="AA103">_xlfn.XLOOKUP($C103,$C$7:$C$48,_xlfn.XLOOKUP(AA$61,$D$6:$AS$6,$D$7:$AS$48))</f>
        <v>353088.74108188797</v>
      </c>
      <c r="AB103" cm="1">
        <f t="array" ref="AB103">_xlfn.XLOOKUP($C103,$C$7:$C$48,_xlfn.XLOOKUP(AB$61,$D$6:$AS$6,$D$7:$AS$48))</f>
        <v>2395782.91856207</v>
      </c>
      <c r="AC103" cm="1">
        <f t="array" ref="AC103">_xlfn.XLOOKUP($C103,$C$7:$C$48,_xlfn.XLOOKUP(AC$61,$D$6:$AS$6,$D$7:$AS$48))</f>
        <v>247361.96540363299</v>
      </c>
      <c r="AD103" cm="1">
        <f t="array" ref="AD103">_xlfn.XLOOKUP($C103,$C$7:$C$48,_xlfn.XLOOKUP(AD$61,$D$6:$AS$6,$D$7:$AS$48))</f>
        <v>377392.45383433398</v>
      </c>
      <c r="AE103" cm="1">
        <f t="array" ref="AE103">_xlfn.XLOOKUP($C103,$C$7:$C$48,_xlfn.XLOOKUP(AE$61,$D$6:$AS$6,$D$7:$AS$48))</f>
        <v>18589278.348517202</v>
      </c>
      <c r="AF103" cm="1">
        <f t="array" ref="AF103">_xlfn.XLOOKUP($C103,$C$7:$C$48,_xlfn.XLOOKUP(AF$61,$D$6:$AS$6,$D$7:$AS$48))</f>
        <v>10936817.248268301</v>
      </c>
      <c r="AG103" cm="1">
        <f t="array" ref="AG103">_xlfn.XLOOKUP($C103,$C$7:$C$48,_xlfn.XLOOKUP(AG$61,$D$6:$AS$6,$D$7:$AS$48))</f>
        <v>17956064.926748902</v>
      </c>
      <c r="AH103" cm="1">
        <f t="array" ref="AH103">_xlfn.XLOOKUP($C103,$C$7:$C$48,_xlfn.XLOOKUP(AH$61,$D$6:$AS$6,$D$7:$AS$48))</f>
        <v>2370048.7500258801</v>
      </c>
      <c r="AI103" cm="1">
        <f t="array" ref="AI103">_xlfn.XLOOKUP($C103,$C$7:$C$48,_xlfn.XLOOKUP(AI$61,$D$6:$AS$6,$D$7:$AS$48))</f>
        <v>2165345.5165395201</v>
      </c>
      <c r="AJ103" cm="1">
        <f t="array" ref="AJ103">_xlfn.XLOOKUP($C103,$C$7:$C$48,_xlfn.XLOOKUP(AJ$61,$D$6:$AS$6,$D$7:$AS$48))</f>
        <v>7553140.62261423</v>
      </c>
      <c r="AK103" cm="1">
        <f t="array" ref="AK103">_xlfn.XLOOKUP($C103,$C$7:$C$48,_xlfn.XLOOKUP(AK$61,$D$6:$AS$6,$D$7:$AS$48))</f>
        <v>3501305.2251438298</v>
      </c>
      <c r="AL103" cm="1">
        <f t="array" ref="AL103">_xlfn.XLOOKUP($C103,$C$7:$C$48,_xlfn.XLOOKUP(AL$61,$D$6:$AS$6,$D$7:$AS$48))</f>
        <v>3686570.7058681101</v>
      </c>
      <c r="AM103" cm="1">
        <f t="array" ref="AM103">_xlfn.XLOOKUP($C103,$C$7:$C$48,_xlfn.XLOOKUP(AM$61,$D$6:$AS$6,$D$7:$AS$48))</f>
        <v>1817217.87257167</v>
      </c>
      <c r="AN103" cm="1">
        <f t="array" ref="AN103">_xlfn.XLOOKUP($C103,$C$7:$C$48,_xlfn.XLOOKUP(AN$61,$D$6:$AS$6,$D$7:$AS$48))</f>
        <v>6088183.5300455596</v>
      </c>
      <c r="AO103" cm="1">
        <f t="array" ref="AO103">_xlfn.XLOOKUP($C103,$C$7:$C$48,_xlfn.XLOOKUP(AO$61,$D$6:$AS$6,$D$7:$AS$48))</f>
        <v>21334218.202364098</v>
      </c>
      <c r="AP103" cm="1">
        <f t="array" ref="AP103">_xlfn.XLOOKUP($C103,$C$7:$C$48,_xlfn.XLOOKUP(AP$61,$D$6:$AS$6,$D$7:$AS$48))</f>
        <v>6387727.0345332203</v>
      </c>
      <c r="AQ103" cm="1">
        <f t="array" ref="AQ103">_xlfn.XLOOKUP($C103,$C$7:$C$48,_xlfn.XLOOKUP(AQ$61,$D$6:$AS$6,$D$7:$AS$48))</f>
        <v>3728248.68452788</v>
      </c>
      <c r="AR103" cm="1">
        <f t="array" ref="AR103">_xlfn.XLOOKUP($C103,$C$7:$C$48,_xlfn.XLOOKUP(AR$61,$D$6:$AS$6,$D$7:$AS$48))</f>
        <v>2160584.8214631998</v>
      </c>
      <c r="AS103" cm="1">
        <f t="array" ref="AS103">_xlfn.XLOOKUP($C103,$C$7:$C$48,_xlfn.XLOOKUP(AS$61,$D$6:$AS$6,$D$7:$AS$48))</f>
        <v>5478387.8782970803</v>
      </c>
      <c r="AT103">
        <f t="shared" si="3"/>
        <v>149619179.108585</v>
      </c>
      <c r="AU103" cm="1">
        <f t="array" ref="AU103">_xlfn.XLOOKUP(AU$60,$AU$6:$BF$6,_xlfn.XLOOKUP($C103,$C$7:$C$48,$AU$7:$BF$48))</f>
        <v>25532574.6362359</v>
      </c>
      <c r="AV103" cm="1">
        <f t="array" ref="AV103">_xlfn.XLOOKUP(AV$60,$AU$6:$BF$6,_xlfn.XLOOKUP($C103,$C$7:$C$48,$AU$7:$BF$48))</f>
        <v>126223906.314163</v>
      </c>
      <c r="AW103" cm="1">
        <f t="array" ref="AW103">_xlfn.XLOOKUP(AW$60,$AU$6:$BF$6,_xlfn.XLOOKUP($C103,$C$7:$C$48,$AU$7:$BF$48))</f>
        <v>151756480.95039901</v>
      </c>
      <c r="AX103" cm="1">
        <f t="array" ref="AX103">_xlfn.XLOOKUP(AX$60,$AU$6:$BF$6,_xlfn.XLOOKUP($C103,$C$7:$C$48,$AU$7:$BF$48))</f>
        <v>0</v>
      </c>
      <c r="AY103" cm="1">
        <f t="array" ref="AY103">_xlfn.XLOOKUP(AY$60,$AU$6:$BF$6,_xlfn.XLOOKUP($C103,$C$7:$C$48,$AU$7:$BF$48))</f>
        <v>151756480.95039901</v>
      </c>
      <c r="AZ103" cm="1">
        <f t="array" ref="AZ103">_xlfn.XLOOKUP(AZ$60,$AU$6:$BF$6,_xlfn.XLOOKUP($C103,$C$7:$C$48,$AU$7:$BF$48))</f>
        <v>0</v>
      </c>
      <c r="BA103" cm="1">
        <f t="array" ref="BA103">_xlfn.XLOOKUP(BA$60,$AU$6:$BF$6,_xlfn.XLOOKUP($C103,$C$7:$C$48,$AU$7:$BF$48))</f>
        <v>0</v>
      </c>
      <c r="BB103" cm="1">
        <f t="array" ref="BB103">_xlfn.XLOOKUP(BB$60,$AU$6:$BF$6,_xlfn.XLOOKUP($C103,$C$7:$C$48,$AU$7:$BF$48))</f>
        <v>0</v>
      </c>
      <c r="BC103" cm="1">
        <f t="array" ref="BC103">_xlfn.XLOOKUP(BC$60,$AU$6:$BF$6,_xlfn.XLOOKUP($C103,$C$7:$C$48,$AU$7:$BF$48))</f>
        <v>97675.720235379995</v>
      </c>
      <c r="BD103" cm="1">
        <f t="array" ref="BD103">_xlfn.XLOOKUP(BD$60,$AU$6:$BF$6,_xlfn.XLOOKUP($C103,$C$7:$C$48,$AU$7:$BF$48))</f>
        <v>151854156.670634</v>
      </c>
      <c r="BE103" cm="1">
        <f t="array" ref="BE103">_xlfn.XLOOKUP(BE$60,$AU$6:$BF$6,_xlfn.XLOOKUP($C103,$C$7:$C$48,$AU$7:$BF$48))</f>
        <v>1135747.05678996</v>
      </c>
      <c r="BF103" cm="1">
        <f t="array" ref="BF103">_xlfn.XLOOKUP(BF$60,$AU$6:$BF$6,_xlfn.XLOOKUP($C103,$C$7:$C$48,$AU$7:$BF$48))</f>
        <v>300337588.72242898</v>
      </c>
      <c r="BH103">
        <f t="shared" si="2"/>
        <v>301375660.05898404</v>
      </c>
      <c r="BJ103">
        <f t="shared" si="4"/>
        <v>3.7685427435237341E-3</v>
      </c>
    </row>
    <row r="104" spans="1:62" x14ac:dyDescent="0.25">
      <c r="C104" s="75"/>
    </row>
    <row r="105" spans="1:62" x14ac:dyDescent="0.25">
      <c r="A105" s="98" t="s">
        <v>138</v>
      </c>
      <c r="B105" s="99"/>
      <c r="C105" s="32" t="s">
        <v>139</v>
      </c>
      <c r="D105">
        <f>_xlfn.XLOOKUP(D$61,$D$6:$AS$6,$D$55:$AS$55)</f>
        <v>1331683250.2709701</v>
      </c>
      <c r="E105">
        <f t="shared" ref="E105:AS105" si="5">_xlfn.XLOOKUP(E$61,$D$6:$AS$6,$D$55:$AS$55)</f>
        <v>235072612.00295901</v>
      </c>
      <c r="F105">
        <f t="shared" si="5"/>
        <v>107689567.27617</v>
      </c>
      <c r="G105">
        <f t="shared" si="5"/>
        <v>193534599.23827901</v>
      </c>
      <c r="H105">
        <f t="shared" si="5"/>
        <v>20236774.422584798</v>
      </c>
      <c r="I105">
        <f t="shared" si="5"/>
        <v>1251362798.1711099</v>
      </c>
      <c r="J105">
        <f t="shared" si="5"/>
        <v>757386926.81410897</v>
      </c>
      <c r="K105">
        <f t="shared" si="5"/>
        <v>265413179.90955001</v>
      </c>
      <c r="L105">
        <f t="shared" si="5"/>
        <v>693805946.29288495</v>
      </c>
      <c r="M105">
        <f t="shared" si="5"/>
        <v>409333284.47485602</v>
      </c>
      <c r="N105">
        <f t="shared" si="5"/>
        <v>855096592.92702794</v>
      </c>
      <c r="O105">
        <f t="shared" si="5"/>
        <v>300056136.80325001</v>
      </c>
      <c r="P105">
        <f t="shared" si="5"/>
        <v>358191579.35939801</v>
      </c>
      <c r="Q105">
        <f t="shared" si="5"/>
        <v>387351083.80461699</v>
      </c>
      <c r="R105">
        <f t="shared" si="5"/>
        <v>733031886.55090594</v>
      </c>
      <c r="S105">
        <f t="shared" si="5"/>
        <v>683509940.91067898</v>
      </c>
      <c r="T105">
        <f t="shared" si="5"/>
        <v>524670022.755983</v>
      </c>
      <c r="U105">
        <f t="shared" si="5"/>
        <v>519481674.11646301</v>
      </c>
      <c r="V105">
        <f t="shared" si="5"/>
        <v>1188521951.48262</v>
      </c>
      <c r="W105">
        <f t="shared" si="5"/>
        <v>697666254.58715701</v>
      </c>
      <c r="X105">
        <f t="shared" si="5"/>
        <v>532910986.428774</v>
      </c>
      <c r="Y105">
        <f t="shared" si="5"/>
        <v>706457460.66325498</v>
      </c>
      <c r="Z105">
        <f t="shared" si="5"/>
        <v>156013924.032628</v>
      </c>
      <c r="AA105">
        <f t="shared" si="5"/>
        <v>164181553.680022</v>
      </c>
      <c r="AB105">
        <f t="shared" si="5"/>
        <v>699502565.70297396</v>
      </c>
      <c r="AC105">
        <f t="shared" si="5"/>
        <v>81271005.332346603</v>
      </c>
      <c r="AD105">
        <f t="shared" si="5"/>
        <v>40678551.969231904</v>
      </c>
      <c r="AE105">
        <f t="shared" si="5"/>
        <v>2860304981.41469</v>
      </c>
      <c r="AF105">
        <f t="shared" si="5"/>
        <v>1498514698.5595801</v>
      </c>
      <c r="AG105">
        <f t="shared" si="5"/>
        <v>1199171268.6345</v>
      </c>
      <c r="AH105">
        <f t="shared" si="5"/>
        <v>431989760.105425</v>
      </c>
      <c r="AI105">
        <f t="shared" si="5"/>
        <v>965242789.82604098</v>
      </c>
      <c r="AJ105">
        <f t="shared" si="5"/>
        <v>962562600.60869706</v>
      </c>
      <c r="AK105">
        <f t="shared" si="5"/>
        <v>231556568.159228</v>
      </c>
      <c r="AL105">
        <f t="shared" si="5"/>
        <v>1229370155.47224</v>
      </c>
      <c r="AM105">
        <f t="shared" si="5"/>
        <v>1066633480.3337899</v>
      </c>
      <c r="AN105">
        <f t="shared" si="5"/>
        <v>519785869.52841699</v>
      </c>
      <c r="AO105">
        <f t="shared" si="5"/>
        <v>907706187.35658896</v>
      </c>
      <c r="AP105">
        <f t="shared" si="5"/>
        <v>532487559.13479602</v>
      </c>
      <c r="AQ105">
        <f t="shared" si="5"/>
        <v>500072197.73930699</v>
      </c>
      <c r="AR105">
        <f t="shared" si="5"/>
        <v>155843409.76529199</v>
      </c>
      <c r="AS105">
        <f t="shared" si="5"/>
        <v>300337588.72242802</v>
      </c>
    </row>
    <row r="107" spans="1:62" x14ac:dyDescent="0.25">
      <c r="B107" s="1" t="s">
        <v>151</v>
      </c>
      <c r="C107" s="34" t="s">
        <v>144</v>
      </c>
      <c r="D107" s="35" t="s">
        <v>70</v>
      </c>
      <c r="E107" s="35" t="s">
        <v>71</v>
      </c>
      <c r="F107" s="35" t="s">
        <v>72</v>
      </c>
      <c r="G107" s="35" t="s">
        <v>73</v>
      </c>
      <c r="H107" s="35" t="s">
        <v>74</v>
      </c>
      <c r="I107" s="35" t="s">
        <v>75</v>
      </c>
      <c r="J107" s="35" t="s">
        <v>76</v>
      </c>
      <c r="K107" s="35" t="s">
        <v>77</v>
      </c>
      <c r="L107" s="35" t="s">
        <v>78</v>
      </c>
      <c r="M107" s="35" t="s">
        <v>79</v>
      </c>
      <c r="N107" s="35" t="s">
        <v>80</v>
      </c>
      <c r="O107" s="35" t="s">
        <v>81</v>
      </c>
      <c r="P107" s="35" t="s">
        <v>82</v>
      </c>
      <c r="Q107" s="35" t="s">
        <v>88</v>
      </c>
      <c r="R107" s="35" t="s">
        <v>83</v>
      </c>
      <c r="S107" s="35" t="s">
        <v>84</v>
      </c>
      <c r="T107" s="35" t="s">
        <v>85</v>
      </c>
      <c r="U107" s="35" t="s">
        <v>86</v>
      </c>
      <c r="V107" s="35" t="s">
        <v>92</v>
      </c>
      <c r="W107" s="35" t="s">
        <v>91</v>
      </c>
      <c r="X107" s="35" t="s">
        <v>87</v>
      </c>
      <c r="Y107" s="35" t="s">
        <v>89</v>
      </c>
      <c r="Z107" s="35" t="s">
        <v>90</v>
      </c>
      <c r="AA107" s="35" t="s">
        <v>93</v>
      </c>
      <c r="AB107" s="35" t="s">
        <v>94</v>
      </c>
      <c r="AC107" s="35" t="s">
        <v>95</v>
      </c>
      <c r="AD107" s="35" t="s">
        <v>96</v>
      </c>
      <c r="AE107" s="35" t="s">
        <v>97</v>
      </c>
      <c r="AF107" s="35" t="s">
        <v>98</v>
      </c>
      <c r="AG107" s="35" t="s">
        <v>99</v>
      </c>
      <c r="AH107" s="35" t="s">
        <v>100</v>
      </c>
      <c r="AI107" s="35" t="s">
        <v>101</v>
      </c>
      <c r="AJ107" s="35" t="s">
        <v>104</v>
      </c>
      <c r="AK107" s="35" t="s">
        <v>105</v>
      </c>
      <c r="AL107" s="35" t="s">
        <v>102</v>
      </c>
      <c r="AM107" s="35" t="s">
        <v>103</v>
      </c>
      <c r="AN107" s="35" t="s">
        <v>106</v>
      </c>
      <c r="AO107" s="35" t="s">
        <v>111</v>
      </c>
      <c r="AP107" s="35" t="s">
        <v>108</v>
      </c>
      <c r="AQ107" s="35" t="s">
        <v>109</v>
      </c>
      <c r="AR107" s="35" t="s">
        <v>110</v>
      </c>
      <c r="AS107" s="35" t="s">
        <v>107</v>
      </c>
    </row>
    <row r="108" spans="1:62" x14ac:dyDescent="0.25">
      <c r="C108" s="36" t="s">
        <v>70</v>
      </c>
      <c r="D108">
        <f>IFERROR(D62/D$105,0)</f>
        <v>0.13752051696326364</v>
      </c>
      <c r="E108">
        <f t="shared" ref="E108:AS108" si="6">IFERROR(E62/E$105,0)</f>
        <v>8.6565032970268587E-4</v>
      </c>
      <c r="F108">
        <f t="shared" si="6"/>
        <v>2.0718131536868129E-5</v>
      </c>
      <c r="G108">
        <f t="shared" si="6"/>
        <v>1.5690278688433565E-4</v>
      </c>
      <c r="H108">
        <f t="shared" si="6"/>
        <v>5.8580928211802444E-6</v>
      </c>
      <c r="I108">
        <f t="shared" si="6"/>
        <v>0.37366199552188123</v>
      </c>
      <c r="J108">
        <f t="shared" si="6"/>
        <v>0.1082751320138578</v>
      </c>
      <c r="K108">
        <f t="shared" si="6"/>
        <v>0.12046674870819193</v>
      </c>
      <c r="L108">
        <f t="shared" si="6"/>
        <v>7.745114749295523E-2</v>
      </c>
      <c r="M108">
        <f t="shared" si="6"/>
        <v>3.8610005630123413E-5</v>
      </c>
      <c r="N108">
        <f t="shared" si="6"/>
        <v>1.3464833636991297E-2</v>
      </c>
      <c r="O108">
        <f t="shared" si="6"/>
        <v>0.14937813094272304</v>
      </c>
      <c r="P108">
        <f t="shared" si="6"/>
        <v>2.144347910122121E-2</v>
      </c>
      <c r="Q108">
        <f t="shared" si="6"/>
        <v>2.0534261656163471E-4</v>
      </c>
      <c r="R108">
        <f t="shared" si="6"/>
        <v>2.9859708931406987E-4</v>
      </c>
      <c r="S108">
        <f t="shared" si="6"/>
        <v>3.0178290420305471E-5</v>
      </c>
      <c r="T108">
        <f t="shared" si="6"/>
        <v>3.0491786458272675E-5</v>
      </c>
      <c r="U108">
        <f t="shared" si="6"/>
        <v>1.873247255570898E-4</v>
      </c>
      <c r="V108">
        <f t="shared" si="6"/>
        <v>1.8304866694171228E-6</v>
      </c>
      <c r="W108">
        <f t="shared" si="6"/>
        <v>9.7573532302467535E-5</v>
      </c>
      <c r="X108">
        <f t="shared" si="6"/>
        <v>5.1438010754506976E-5</v>
      </c>
      <c r="Y108">
        <f t="shared" si="6"/>
        <v>3.7694566801004252E-5</v>
      </c>
      <c r="Z108">
        <f t="shared" si="6"/>
        <v>8.0542964581059085E-5</v>
      </c>
      <c r="AA108">
        <f t="shared" si="6"/>
        <v>2.1019627995798471E-2</v>
      </c>
      <c r="AB108">
        <f t="shared" si="6"/>
        <v>1.4541938360757256E-4</v>
      </c>
      <c r="AC108">
        <f t="shared" si="6"/>
        <v>1.6128592530846727E-5</v>
      </c>
      <c r="AD108">
        <f t="shared" si="6"/>
        <v>0</v>
      </c>
      <c r="AE108">
        <f t="shared" si="6"/>
        <v>6.5846726411777703E-3</v>
      </c>
      <c r="AF108">
        <f t="shared" si="6"/>
        <v>9.1881602896969317E-6</v>
      </c>
      <c r="AG108">
        <f t="shared" si="6"/>
        <v>1.2874721875147268E-4</v>
      </c>
      <c r="AH108">
        <f t="shared" si="6"/>
        <v>0.12467211855318779</v>
      </c>
      <c r="AI108">
        <f t="shared" si="6"/>
        <v>5.2788264317721659E-4</v>
      </c>
      <c r="AJ108">
        <f t="shared" si="6"/>
        <v>7.6495631290879303E-3</v>
      </c>
      <c r="AK108">
        <f t="shared" si="6"/>
        <v>1.8269366573487714E-2</v>
      </c>
      <c r="AL108">
        <f t="shared" si="6"/>
        <v>5.4726998911874452E-5</v>
      </c>
      <c r="AM108">
        <f t="shared" si="6"/>
        <v>3.1589213636146912E-4</v>
      </c>
      <c r="AN108">
        <f t="shared" si="6"/>
        <v>2.2119869670306842E-3</v>
      </c>
      <c r="AO108">
        <f t="shared" si="6"/>
        <v>1.0487551811248748E-2</v>
      </c>
      <c r="AP108">
        <f t="shared" si="6"/>
        <v>1.1498285301593868E-3</v>
      </c>
      <c r="AQ108">
        <f t="shared" si="6"/>
        <v>1.2110443401771353E-3</v>
      </c>
      <c r="AR108">
        <f t="shared" si="6"/>
        <v>3.0656148473844958E-3</v>
      </c>
      <c r="AS108">
        <f t="shared" si="6"/>
        <v>7.5531375175411338E-3</v>
      </c>
    </row>
    <row r="109" spans="1:62" x14ac:dyDescent="0.25">
      <c r="C109" s="36" t="s">
        <v>71</v>
      </c>
      <c r="D109">
        <f t="shared" ref="D109:D143" si="7">IFERROR(D63/D$105,0)</f>
        <v>4.5180829471167297E-4</v>
      </c>
      <c r="E109">
        <f t="shared" ref="E109:E143" si="8">IFERROR(E63/E$105,0)</f>
        <v>0.15401536305719854</v>
      </c>
      <c r="F109">
        <f t="shared" ref="F109:F143" si="9">IFERROR(F63/F$105,0)</f>
        <v>5.9230519165441608E-4</v>
      </c>
      <c r="G109">
        <f t="shared" ref="G109:G143" si="10">IFERROR(G63/G$105,0)</f>
        <v>8.915480112729187E-3</v>
      </c>
      <c r="H109">
        <f t="shared" ref="H109:H143" si="11">IFERROR(H63/H$105,0)</f>
        <v>2.9902383297087097E-3</v>
      </c>
      <c r="I109">
        <f t="shared" ref="I109:I143" si="12">IFERROR(I63/I$105,0)</f>
        <v>1.7320717506311429E-3</v>
      </c>
      <c r="J109">
        <f t="shared" ref="J109:J143" si="13">IFERROR(J63/J$105,0)</f>
        <v>2.3891166677413294E-3</v>
      </c>
      <c r="K109">
        <f t="shared" ref="K109:K143" si="14">IFERROR(K63/K$105,0)</f>
        <v>1.0552834441800946E-3</v>
      </c>
      <c r="L109">
        <f t="shared" ref="L109:L143" si="15">IFERROR(L63/L$105,0)</f>
        <v>5.33123982554831E-3</v>
      </c>
      <c r="M109">
        <f t="shared" ref="M109:M143" si="16">IFERROR(M63/M$105,0)</f>
        <v>5.3748670492241767E-2</v>
      </c>
      <c r="N109">
        <f t="shared" ref="N109:N143" si="17">IFERROR(N63/N$105,0)</f>
        <v>2.5487911242402652E-2</v>
      </c>
      <c r="O109">
        <f t="shared" ref="O109:O143" si="18">IFERROR(O63/O$105,0)</f>
        <v>1.4531268131582581E-3</v>
      </c>
      <c r="P109">
        <f t="shared" ref="P109:P143" si="19">IFERROR(P63/P$105,0)</f>
        <v>1.5694023165953573E-3</v>
      </c>
      <c r="Q109">
        <f t="shared" ref="Q109:Q143" si="20">IFERROR(Q63/Q$105,0)</f>
        <v>6.518832274551706E-4</v>
      </c>
      <c r="R109">
        <f t="shared" ref="R109:R143" si="21">IFERROR(R63/R$105,0)</f>
        <v>4.6611729836067491E-2</v>
      </c>
      <c r="S109">
        <f t="shared" ref="S109:S143" si="22">IFERROR(S63/S$105,0)</f>
        <v>3.1135879160652455E-2</v>
      </c>
      <c r="T109">
        <f t="shared" ref="T109:T143" si="23">IFERROR(T63/T$105,0)</f>
        <v>6.2937869472792255E-3</v>
      </c>
      <c r="U109">
        <f t="shared" ref="U109:U143" si="24">IFERROR(U63/U$105,0)</f>
        <v>9.5234833049094743E-4</v>
      </c>
      <c r="V109">
        <f t="shared" ref="V109:V143" si="25">IFERROR(V63/V$105,0)</f>
        <v>1.688704127271468E-5</v>
      </c>
      <c r="W109">
        <f t="shared" ref="W109:W143" si="26">IFERROR(W63/W$105,0)</f>
        <v>3.070668940975731E-4</v>
      </c>
      <c r="X109">
        <f t="shared" ref="X109:X143" si="27">IFERROR(X63/X$105,0)</f>
        <v>6.7686310354519823E-4</v>
      </c>
      <c r="Y109">
        <f t="shared" ref="Y109:Y143" si="28">IFERROR(Y63/Y$105,0)</f>
        <v>6.8394967321660661E-5</v>
      </c>
      <c r="Z109">
        <f t="shared" ref="Z109:Z143" si="29">IFERROR(Z63/Z$105,0)</f>
        <v>3.1986917802193673E-4</v>
      </c>
      <c r="AA109">
        <f t="shared" ref="AA109:AA143" si="30">IFERROR(AA63/AA$105,0)</f>
        <v>1.0846841886795156E-3</v>
      </c>
      <c r="AB109">
        <f t="shared" ref="AB109:AB143" si="31">IFERROR(AB63/AB$105,0)</f>
        <v>0.13409575167481033</v>
      </c>
      <c r="AC109">
        <f t="shared" ref="AC109:AC143" si="32">IFERROR(AC63/AC$105,0)</f>
        <v>2.9044989383653078E-2</v>
      </c>
      <c r="AD109">
        <f t="shared" ref="AD109:AD143" si="33">IFERROR(AD63/AD$105,0)</f>
        <v>0</v>
      </c>
      <c r="AE109">
        <f t="shared" ref="AE109:AE143" si="34">IFERROR(AE63/AE$105,0)</f>
        <v>2.9480885070168247E-4</v>
      </c>
      <c r="AF109">
        <f t="shared" ref="AF109:AF143" si="35">IFERROR(AF63/AF$105,0)</f>
        <v>3.0406015509175541E-5</v>
      </c>
      <c r="AG109">
        <f t="shared" ref="AG109:AG143" si="36">IFERROR(AG63/AG$105,0)</f>
        <v>1.0681586707852087E-4</v>
      </c>
      <c r="AH109">
        <f t="shared" ref="AH109:AH143" si="37">IFERROR(AH63/AH$105,0)</f>
        <v>1.1673843943251722E-4</v>
      </c>
      <c r="AI109">
        <f t="shared" ref="AI109:AI143" si="38">IFERROR(AI63/AI$105,0)</f>
        <v>0</v>
      </c>
      <c r="AJ109">
        <f t="shared" ref="AJ109:AJ143" si="39">IFERROR(AJ63/AJ$105,0)</f>
        <v>6.6802852508484756E-8</v>
      </c>
      <c r="AK109">
        <f t="shared" ref="AK109:AK143" si="40">IFERROR(AK63/AK$105,0)</f>
        <v>1.0129242718222274E-3</v>
      </c>
      <c r="AL109">
        <f t="shared" ref="AL109:AL143" si="41">IFERROR(AL63/AL$105,0)</f>
        <v>1.4005732584006836E-5</v>
      </c>
      <c r="AM109">
        <f t="shared" ref="AM109:AM143" si="42">IFERROR(AM63/AM$105,0)</f>
        <v>5.9352805666966528E-5</v>
      </c>
      <c r="AN109">
        <f t="shared" ref="AN109:AN143" si="43">IFERROR(AN63/AN$105,0)</f>
        <v>3.2721539289858769E-4</v>
      </c>
      <c r="AO109">
        <f t="shared" ref="AO109:AO143" si="44">IFERROR(AO63/AO$105,0)</f>
        <v>6.6506338034170835E-4</v>
      </c>
      <c r="AP109">
        <f t="shared" ref="AP109:AP143" si="45">IFERROR(AP63/AP$105,0)</f>
        <v>1.141408480697664E-3</v>
      </c>
      <c r="AQ109">
        <f t="shared" ref="AQ109:AQ143" si="46">IFERROR(AQ63/AQ$105,0)</f>
        <v>7.2141661603276181E-4</v>
      </c>
      <c r="AR109">
        <f t="shared" ref="AR109:AR143" si="47">IFERROR(AR63/AR$105,0)</f>
        <v>2.6701600798482463E-4</v>
      </c>
      <c r="AS109">
        <f t="shared" ref="AS109:AS143" si="48">IFERROR(AS63/AS$105,0)</f>
        <v>1.0879681411284702E-3</v>
      </c>
    </row>
    <row r="110" spans="1:62" x14ac:dyDescent="0.25">
      <c r="C110" s="36" t="s">
        <v>72</v>
      </c>
      <c r="D110">
        <f t="shared" si="7"/>
        <v>0</v>
      </c>
      <c r="E110">
        <f t="shared" si="8"/>
        <v>1.8878170801196482E-4</v>
      </c>
      <c r="F110">
        <f t="shared" si="9"/>
        <v>4.9722029904714325E-3</v>
      </c>
      <c r="G110">
        <f t="shared" si="10"/>
        <v>1.6288828637252731E-4</v>
      </c>
      <c r="H110">
        <f t="shared" si="11"/>
        <v>7.7407239230894585E-4</v>
      </c>
      <c r="I110">
        <f t="shared" si="12"/>
        <v>0</v>
      </c>
      <c r="J110">
        <f t="shared" si="13"/>
        <v>0</v>
      </c>
      <c r="K110">
        <f t="shared" si="14"/>
        <v>0</v>
      </c>
      <c r="L110">
        <f t="shared" si="15"/>
        <v>8.5415732084284004E-5</v>
      </c>
      <c r="M110">
        <f t="shared" si="16"/>
        <v>0.45900565841619267</v>
      </c>
      <c r="N110">
        <f t="shared" si="17"/>
        <v>1.9751405601110845E-2</v>
      </c>
      <c r="O110">
        <f t="shared" si="18"/>
        <v>8.8929397143705673E-5</v>
      </c>
      <c r="P110">
        <f t="shared" si="19"/>
        <v>2.2973685105616465E-3</v>
      </c>
      <c r="Q110">
        <f t="shared" si="20"/>
        <v>9.615779829611371E-4</v>
      </c>
      <c r="R110">
        <f t="shared" si="21"/>
        <v>1.8603899910651499E-3</v>
      </c>
      <c r="S110">
        <f t="shared" si="22"/>
        <v>5.447042629664234E-4</v>
      </c>
      <c r="T110">
        <f t="shared" si="23"/>
        <v>1.4340618510993021E-3</v>
      </c>
      <c r="U110">
        <f t="shared" si="24"/>
        <v>1.1298987645751535E-3</v>
      </c>
      <c r="V110">
        <f t="shared" si="25"/>
        <v>0</v>
      </c>
      <c r="W110">
        <f t="shared" si="26"/>
        <v>9.7564421723973874E-5</v>
      </c>
      <c r="X110">
        <f t="shared" si="27"/>
        <v>1.0592275428831818E-3</v>
      </c>
      <c r="Y110">
        <f t="shared" si="28"/>
        <v>6.0193507830361441E-4</v>
      </c>
      <c r="Z110">
        <f t="shared" si="29"/>
        <v>9.222452237292101E-4</v>
      </c>
      <c r="AA110">
        <f t="shared" si="30"/>
        <v>0</v>
      </c>
      <c r="AB110">
        <f t="shared" si="31"/>
        <v>9.6286796895365193E-3</v>
      </c>
      <c r="AC110">
        <f t="shared" si="32"/>
        <v>0.41620703070104037</v>
      </c>
      <c r="AD110">
        <f t="shared" si="33"/>
        <v>0</v>
      </c>
      <c r="AE110">
        <f t="shared" si="34"/>
        <v>0</v>
      </c>
      <c r="AF110">
        <f t="shared" si="35"/>
        <v>0</v>
      </c>
      <c r="AG110">
        <f t="shared" si="36"/>
        <v>4.0688060251732639E-7</v>
      </c>
      <c r="AH110">
        <f t="shared" si="37"/>
        <v>0</v>
      </c>
      <c r="AI110">
        <f t="shared" si="38"/>
        <v>0</v>
      </c>
      <c r="AJ110">
        <f t="shared" si="39"/>
        <v>0</v>
      </c>
      <c r="AK110">
        <f t="shared" si="40"/>
        <v>1.082740686199639E-5</v>
      </c>
      <c r="AL110">
        <f t="shared" si="41"/>
        <v>0</v>
      </c>
      <c r="AM110">
        <f t="shared" si="42"/>
        <v>0</v>
      </c>
      <c r="AN110">
        <f t="shared" si="43"/>
        <v>0</v>
      </c>
      <c r="AO110">
        <f t="shared" si="44"/>
        <v>5.3219745389857225E-5</v>
      </c>
      <c r="AP110">
        <f t="shared" si="45"/>
        <v>0</v>
      </c>
      <c r="AQ110">
        <f t="shared" si="46"/>
        <v>6.9149795837563572E-5</v>
      </c>
      <c r="AR110">
        <f t="shared" si="47"/>
        <v>1.1267885693890573E-5</v>
      </c>
      <c r="AS110">
        <f t="shared" si="48"/>
        <v>0</v>
      </c>
    </row>
    <row r="111" spans="1:62" x14ac:dyDescent="0.25">
      <c r="C111" s="36" t="s">
        <v>73</v>
      </c>
      <c r="D111">
        <f t="shared" si="7"/>
        <v>1.7330033385229994E-6</v>
      </c>
      <c r="E111">
        <f t="shared" si="8"/>
        <v>1.9257898829937262E-4</v>
      </c>
      <c r="F111">
        <f t="shared" si="9"/>
        <v>1.9082691441189034E-4</v>
      </c>
      <c r="G111">
        <f t="shared" si="10"/>
        <v>6.2312191236814002E-2</v>
      </c>
      <c r="H111">
        <f t="shared" si="11"/>
        <v>3.6798483331700956E-3</v>
      </c>
      <c r="I111">
        <f t="shared" si="12"/>
        <v>4.9934602545625455E-5</v>
      </c>
      <c r="J111">
        <f t="shared" si="13"/>
        <v>2.7615901013371002E-5</v>
      </c>
      <c r="K111">
        <f t="shared" si="14"/>
        <v>5.3240012211928055E-5</v>
      </c>
      <c r="L111">
        <f t="shared" si="15"/>
        <v>1.3228726173891922E-3</v>
      </c>
      <c r="M111">
        <f t="shared" si="16"/>
        <v>8.5911917122228471E-4</v>
      </c>
      <c r="N111">
        <f t="shared" si="17"/>
        <v>1.5979410417984615E-2</v>
      </c>
      <c r="O111">
        <f t="shared" si="18"/>
        <v>7.2839974240811352E-4</v>
      </c>
      <c r="P111">
        <f t="shared" si="19"/>
        <v>1.6126382372809664E-4</v>
      </c>
      <c r="Q111">
        <f t="shared" si="20"/>
        <v>3.1628412965153995E-4</v>
      </c>
      <c r="R111">
        <f t="shared" si="21"/>
        <v>6.9698944222228332E-2</v>
      </c>
      <c r="S111">
        <f t="shared" si="22"/>
        <v>0.19376285700182097</v>
      </c>
      <c r="T111">
        <f t="shared" si="23"/>
        <v>0.14962345749965683</v>
      </c>
      <c r="U111">
        <f t="shared" si="24"/>
        <v>1.251973426505408E-2</v>
      </c>
      <c r="V111">
        <f t="shared" si="25"/>
        <v>7.6162034120725702E-5</v>
      </c>
      <c r="W111">
        <f t="shared" si="26"/>
        <v>8.813352336898135E-4</v>
      </c>
      <c r="X111">
        <f t="shared" si="27"/>
        <v>1.216702491291209E-4</v>
      </c>
      <c r="Y111">
        <f t="shared" si="28"/>
        <v>2.3419340657403922E-4</v>
      </c>
      <c r="Z111">
        <f t="shared" si="29"/>
        <v>3.2961807160919058E-4</v>
      </c>
      <c r="AA111">
        <f t="shared" si="30"/>
        <v>3.4564162485657565E-4</v>
      </c>
      <c r="AB111">
        <f t="shared" si="31"/>
        <v>1.5237801898089712E-4</v>
      </c>
      <c r="AC111">
        <f t="shared" si="32"/>
        <v>0</v>
      </c>
      <c r="AD111">
        <f t="shared" si="33"/>
        <v>0</v>
      </c>
      <c r="AE111">
        <f t="shared" si="34"/>
        <v>8.4305060676712687E-3</v>
      </c>
      <c r="AF111">
        <f t="shared" si="35"/>
        <v>4.0410319313680024E-5</v>
      </c>
      <c r="AG111">
        <f t="shared" si="36"/>
        <v>1.4949336516165384E-4</v>
      </c>
      <c r="AH111">
        <f t="shared" si="37"/>
        <v>9.2984908386998491E-6</v>
      </c>
      <c r="AI111">
        <f t="shared" si="38"/>
        <v>9.0250528528738136E-8</v>
      </c>
      <c r="AJ111">
        <f t="shared" si="39"/>
        <v>1.7441477415585151E-6</v>
      </c>
      <c r="AK111">
        <f t="shared" si="40"/>
        <v>1.4404711475627745E-3</v>
      </c>
      <c r="AL111">
        <f t="shared" si="41"/>
        <v>6.0782248961955884E-7</v>
      </c>
      <c r="AM111">
        <f t="shared" si="42"/>
        <v>3.5333152904706733E-7</v>
      </c>
      <c r="AN111">
        <f t="shared" si="43"/>
        <v>7.4657518506644704E-6</v>
      </c>
      <c r="AO111">
        <f t="shared" si="44"/>
        <v>3.4748638578811317E-5</v>
      </c>
      <c r="AP111">
        <f t="shared" si="45"/>
        <v>5.5684263076218998E-6</v>
      </c>
      <c r="AQ111">
        <f t="shared" si="46"/>
        <v>2.0458154791245557E-6</v>
      </c>
      <c r="AR111">
        <f t="shared" si="47"/>
        <v>3.4874930327686787E-5</v>
      </c>
      <c r="AS111">
        <f t="shared" si="48"/>
        <v>1.2411512467593452E-5</v>
      </c>
    </row>
    <row r="112" spans="1:62" x14ac:dyDescent="0.25">
      <c r="C112" s="36" t="s">
        <v>74</v>
      </c>
      <c r="D112">
        <f t="shared" si="7"/>
        <v>0</v>
      </c>
      <c r="E112">
        <f t="shared" si="8"/>
        <v>5.8376540942140301E-3</v>
      </c>
      <c r="F112">
        <f t="shared" si="9"/>
        <v>0.15732691462019369</v>
      </c>
      <c r="G112">
        <f t="shared" si="10"/>
        <v>5.4148337602964143E-3</v>
      </c>
      <c r="H112">
        <f t="shared" si="11"/>
        <v>8.7470766979377921E-3</v>
      </c>
      <c r="I112">
        <f t="shared" si="12"/>
        <v>3.7243123184510664E-4</v>
      </c>
      <c r="J112">
        <f t="shared" si="13"/>
        <v>0</v>
      </c>
      <c r="K112">
        <f t="shared" si="14"/>
        <v>0</v>
      </c>
      <c r="L112">
        <f t="shared" si="15"/>
        <v>0</v>
      </c>
      <c r="M112">
        <f t="shared" si="16"/>
        <v>0</v>
      </c>
      <c r="N112">
        <f t="shared" si="17"/>
        <v>0</v>
      </c>
      <c r="O112">
        <f t="shared" si="18"/>
        <v>0</v>
      </c>
      <c r="P112">
        <f t="shared" si="19"/>
        <v>0</v>
      </c>
      <c r="Q112">
        <f t="shared" si="20"/>
        <v>0</v>
      </c>
      <c r="R112">
        <f t="shared" si="21"/>
        <v>0</v>
      </c>
      <c r="S112">
        <f t="shared" si="22"/>
        <v>0</v>
      </c>
      <c r="T112">
        <f t="shared" si="23"/>
        <v>0</v>
      </c>
      <c r="U112">
        <f t="shared" si="24"/>
        <v>0</v>
      </c>
      <c r="V112">
        <f t="shared" si="25"/>
        <v>1.0662182052824717E-8</v>
      </c>
      <c r="W112">
        <f t="shared" si="26"/>
        <v>0</v>
      </c>
      <c r="X112">
        <f t="shared" si="27"/>
        <v>0</v>
      </c>
      <c r="Y112">
        <f t="shared" si="28"/>
        <v>0</v>
      </c>
      <c r="Z112">
        <f t="shared" si="29"/>
        <v>0</v>
      </c>
      <c r="AA112">
        <f t="shared" si="30"/>
        <v>0</v>
      </c>
      <c r="AB112">
        <f t="shared" si="31"/>
        <v>3.3024169072609286E-4</v>
      </c>
      <c r="AC112">
        <f t="shared" si="32"/>
        <v>0</v>
      </c>
      <c r="AD112">
        <f t="shared" si="33"/>
        <v>0</v>
      </c>
      <c r="AE112">
        <f t="shared" si="34"/>
        <v>0</v>
      </c>
      <c r="AF112">
        <f t="shared" si="35"/>
        <v>0</v>
      </c>
      <c r="AG112">
        <f t="shared" si="36"/>
        <v>0</v>
      </c>
      <c r="AH112">
        <f t="shared" si="37"/>
        <v>0</v>
      </c>
      <c r="AI112">
        <f t="shared" si="38"/>
        <v>0</v>
      </c>
      <c r="AJ112">
        <f t="shared" si="39"/>
        <v>0</v>
      </c>
      <c r="AK112">
        <f t="shared" si="40"/>
        <v>0</v>
      </c>
      <c r="AL112">
        <f t="shared" si="41"/>
        <v>0</v>
      </c>
      <c r="AM112">
        <f t="shared" si="42"/>
        <v>0</v>
      </c>
      <c r="AN112">
        <f t="shared" si="43"/>
        <v>0</v>
      </c>
      <c r="AO112">
        <f t="shared" si="44"/>
        <v>0</v>
      </c>
      <c r="AP112">
        <f t="shared" si="45"/>
        <v>0</v>
      </c>
      <c r="AQ112">
        <f t="shared" si="46"/>
        <v>0</v>
      </c>
      <c r="AR112">
        <f t="shared" si="47"/>
        <v>0</v>
      </c>
      <c r="AS112">
        <f t="shared" si="48"/>
        <v>0</v>
      </c>
    </row>
    <row r="113" spans="3:45" x14ac:dyDescent="0.25">
      <c r="C113" s="36" t="s">
        <v>75</v>
      </c>
      <c r="D113">
        <f t="shared" si="7"/>
        <v>8.1239189199383263E-2</v>
      </c>
      <c r="E113">
        <f t="shared" si="8"/>
        <v>1.7580595838964212E-3</v>
      </c>
      <c r="F113">
        <f t="shared" si="9"/>
        <v>7.3663706982379589E-4</v>
      </c>
      <c r="G113">
        <f t="shared" si="10"/>
        <v>4.8674017447648899E-3</v>
      </c>
      <c r="H113">
        <f t="shared" si="11"/>
        <v>7.6450142722749286E-4</v>
      </c>
      <c r="I113">
        <f t="shared" si="12"/>
        <v>0.19928073142456573</v>
      </c>
      <c r="J113">
        <f t="shared" si="13"/>
        <v>1.8654522640447039E-2</v>
      </c>
      <c r="K113">
        <f t="shared" si="14"/>
        <v>4.6999837735600897E-3</v>
      </c>
      <c r="L113">
        <f t="shared" si="15"/>
        <v>4.3471667935026173E-3</v>
      </c>
      <c r="M113">
        <f t="shared" si="16"/>
        <v>7.9544045825917318E-3</v>
      </c>
      <c r="N113">
        <f t="shared" si="17"/>
        <v>2.9370173389167396E-2</v>
      </c>
      <c r="O113">
        <f t="shared" si="18"/>
        <v>2.5197538625691251E-2</v>
      </c>
      <c r="P113">
        <f t="shared" si="19"/>
        <v>2.0959848475777323E-3</v>
      </c>
      <c r="Q113">
        <f t="shared" si="20"/>
        <v>6.3279584619817548E-3</v>
      </c>
      <c r="R113">
        <f t="shared" si="21"/>
        <v>2.4092172727349106E-3</v>
      </c>
      <c r="S113">
        <f t="shared" si="22"/>
        <v>5.5921855732128552E-3</v>
      </c>
      <c r="T113">
        <f t="shared" si="23"/>
        <v>7.9515319004223907E-3</v>
      </c>
      <c r="U113">
        <f t="shared" si="24"/>
        <v>5.4801311268548765E-3</v>
      </c>
      <c r="V113">
        <f t="shared" si="25"/>
        <v>6.1451824999952161E-3</v>
      </c>
      <c r="W113">
        <f t="shared" si="26"/>
        <v>6.4846086643192968E-3</v>
      </c>
      <c r="X113">
        <f t="shared" si="27"/>
        <v>8.2618992592632962E-3</v>
      </c>
      <c r="Y113">
        <f t="shared" si="28"/>
        <v>3.0541773547815769E-3</v>
      </c>
      <c r="Z113">
        <f t="shared" si="29"/>
        <v>7.9798337236933036E-3</v>
      </c>
      <c r="AA113">
        <f t="shared" si="30"/>
        <v>3.7657695899123689E-3</v>
      </c>
      <c r="AB113">
        <f t="shared" si="31"/>
        <v>7.1571704484534324E-3</v>
      </c>
      <c r="AC113">
        <f t="shared" si="32"/>
        <v>6.6231432283246384E-3</v>
      </c>
      <c r="AD113">
        <f t="shared" si="33"/>
        <v>1.0631021178294529E-2</v>
      </c>
      <c r="AE113">
        <f t="shared" si="34"/>
        <v>2.0078654073173705E-3</v>
      </c>
      <c r="AF113">
        <f t="shared" si="35"/>
        <v>1.5359636086296202E-3</v>
      </c>
      <c r="AG113">
        <f t="shared" si="36"/>
        <v>6.3803336504545975E-3</v>
      </c>
      <c r="AH113">
        <f t="shared" si="37"/>
        <v>0.29571014061293899</v>
      </c>
      <c r="AI113">
        <f t="shared" si="38"/>
        <v>5.79689669612543E-3</v>
      </c>
      <c r="AJ113">
        <f t="shared" si="39"/>
        <v>1.7213364606461414E-2</v>
      </c>
      <c r="AK113">
        <f t="shared" si="40"/>
        <v>2.0655305291893716E-2</v>
      </c>
      <c r="AL113">
        <f t="shared" si="41"/>
        <v>2.3233359274521981E-3</v>
      </c>
      <c r="AM113">
        <f t="shared" si="42"/>
        <v>4.3816257551797808E-3</v>
      </c>
      <c r="AN113">
        <f t="shared" si="43"/>
        <v>6.3292435529784868E-3</v>
      </c>
      <c r="AO113">
        <f t="shared" si="44"/>
        <v>8.4251419893428443E-3</v>
      </c>
      <c r="AP113">
        <f t="shared" si="45"/>
        <v>2.3480681643683617E-2</v>
      </c>
      <c r="AQ113">
        <f t="shared" si="46"/>
        <v>1.4010292316978049E-2</v>
      </c>
      <c r="AR113">
        <f t="shared" si="47"/>
        <v>6.2059522532589714E-2</v>
      </c>
      <c r="AS113">
        <f t="shared" si="48"/>
        <v>2.5015842142165616E-2</v>
      </c>
    </row>
    <row r="114" spans="3:45" x14ac:dyDescent="0.25">
      <c r="C114" s="36" t="s">
        <v>76</v>
      </c>
      <c r="D114">
        <f t="shared" si="7"/>
        <v>1.9150390559271295E-4</v>
      </c>
      <c r="E114">
        <f t="shared" si="8"/>
        <v>6.5371990742592182E-3</v>
      </c>
      <c r="F114">
        <f t="shared" si="9"/>
        <v>1.605458649083086E-3</v>
      </c>
      <c r="G114">
        <f t="shared" si="10"/>
        <v>2.2289407284133531E-3</v>
      </c>
      <c r="H114">
        <f t="shared" si="11"/>
        <v>1.477808281482695E-2</v>
      </c>
      <c r="I114">
        <f t="shared" si="12"/>
        <v>2.9540307420386062E-3</v>
      </c>
      <c r="J114">
        <f t="shared" si="13"/>
        <v>0.4157005635708616</v>
      </c>
      <c r="K114">
        <f t="shared" si="14"/>
        <v>3.0554533537499297E-2</v>
      </c>
      <c r="L114">
        <f t="shared" si="15"/>
        <v>3.0471647696385572E-2</v>
      </c>
      <c r="M114">
        <f t="shared" si="16"/>
        <v>2.1805417017194202E-3</v>
      </c>
      <c r="N114">
        <f t="shared" si="17"/>
        <v>4.3179063632175834E-3</v>
      </c>
      <c r="O114">
        <f t="shared" si="18"/>
        <v>1.3551547321522729E-2</v>
      </c>
      <c r="P114">
        <f t="shared" si="19"/>
        <v>9.3997132840384617E-3</v>
      </c>
      <c r="Q114">
        <f t="shared" si="20"/>
        <v>5.0612824229625455E-3</v>
      </c>
      <c r="R114">
        <f t="shared" si="21"/>
        <v>5.5254061553620748E-3</v>
      </c>
      <c r="S114">
        <f t="shared" si="22"/>
        <v>9.4959944504407025E-4</v>
      </c>
      <c r="T114">
        <f t="shared" si="23"/>
        <v>8.497884938897354E-4</v>
      </c>
      <c r="U114">
        <f t="shared" si="24"/>
        <v>3.8991422584217362E-3</v>
      </c>
      <c r="V114">
        <f t="shared" si="25"/>
        <v>2.5544042558186403E-3</v>
      </c>
      <c r="W114">
        <f t="shared" si="26"/>
        <v>4.3568870076112114E-3</v>
      </c>
      <c r="X114">
        <f t="shared" si="27"/>
        <v>3.6627291716748674E-3</v>
      </c>
      <c r="Y114">
        <f t="shared" si="28"/>
        <v>7.9824769738249517E-3</v>
      </c>
      <c r="Z114">
        <f t="shared" si="29"/>
        <v>8.813056414431494E-3</v>
      </c>
      <c r="AA114">
        <f t="shared" si="30"/>
        <v>2.5504581440961478E-2</v>
      </c>
      <c r="AB114">
        <f t="shared" si="31"/>
        <v>1.236251604327397E-3</v>
      </c>
      <c r="AC114">
        <f t="shared" si="32"/>
        <v>4.2281018263434509E-3</v>
      </c>
      <c r="AD114">
        <f t="shared" si="33"/>
        <v>9.6333636142256311E-3</v>
      </c>
      <c r="AE114">
        <f t="shared" si="34"/>
        <v>1.5876200369117804E-3</v>
      </c>
      <c r="AF114">
        <f t="shared" si="35"/>
        <v>2.1484575868374002E-3</v>
      </c>
      <c r="AG114">
        <f t="shared" si="36"/>
        <v>4.2652194457735446E-3</v>
      </c>
      <c r="AH114">
        <f t="shared" si="37"/>
        <v>8.1245102494572168E-3</v>
      </c>
      <c r="AI114">
        <f t="shared" si="38"/>
        <v>1.0354855778515601E-3</v>
      </c>
      <c r="AJ114">
        <f t="shared" si="39"/>
        <v>1.7329402438004703E-2</v>
      </c>
      <c r="AK114">
        <f t="shared" si="40"/>
        <v>1.1257694612103897E-2</v>
      </c>
      <c r="AL114">
        <f t="shared" si="41"/>
        <v>3.8297744174816965E-3</v>
      </c>
      <c r="AM114">
        <f t="shared" si="42"/>
        <v>1.9744981540296041E-3</v>
      </c>
      <c r="AN114">
        <f t="shared" si="43"/>
        <v>2.9331276416324726E-3</v>
      </c>
      <c r="AO114">
        <f t="shared" si="44"/>
        <v>2.7889073266978915E-2</v>
      </c>
      <c r="AP114">
        <f t="shared" si="45"/>
        <v>2.9105100027993231E-3</v>
      </c>
      <c r="AQ114">
        <f t="shared" si="46"/>
        <v>1.9064884805052074E-2</v>
      </c>
      <c r="AR114">
        <f t="shared" si="47"/>
        <v>3.0377795749593917E-2</v>
      </c>
      <c r="AS114">
        <f t="shared" si="48"/>
        <v>8.3352557168386715E-3</v>
      </c>
    </row>
    <row r="115" spans="3:45" x14ac:dyDescent="0.25">
      <c r="C115" s="36" t="s">
        <v>77</v>
      </c>
      <c r="D115">
        <f t="shared" si="7"/>
        <v>2.524541391106124E-4</v>
      </c>
      <c r="E115">
        <f t="shared" si="8"/>
        <v>1.5140162161745921E-2</v>
      </c>
      <c r="F115">
        <f t="shared" si="9"/>
        <v>1.4568848123136767E-3</v>
      </c>
      <c r="G115">
        <f t="shared" si="10"/>
        <v>1.315652973142438E-3</v>
      </c>
      <c r="H115">
        <f t="shared" si="11"/>
        <v>3.1268397498790645E-4</v>
      </c>
      <c r="I115">
        <f t="shared" si="12"/>
        <v>6.7545562279532371E-4</v>
      </c>
      <c r="J115">
        <f t="shared" si="13"/>
        <v>1.2126972206137135E-3</v>
      </c>
      <c r="K115">
        <f t="shared" si="14"/>
        <v>0.30812586931167768</v>
      </c>
      <c r="L115">
        <f t="shared" si="15"/>
        <v>0.12984173821796852</v>
      </c>
      <c r="M115">
        <f t="shared" si="16"/>
        <v>4.5608361167560457E-4</v>
      </c>
      <c r="N115">
        <f t="shared" si="17"/>
        <v>1.5229710004138379E-3</v>
      </c>
      <c r="O115">
        <f t="shared" si="18"/>
        <v>3.8224868315687679E-4</v>
      </c>
      <c r="P115">
        <f t="shared" si="19"/>
        <v>1.9778791130837699E-3</v>
      </c>
      <c r="Q115">
        <f t="shared" si="20"/>
        <v>1.6449077865375045E-3</v>
      </c>
      <c r="R115">
        <f t="shared" si="21"/>
        <v>2.6700437576356903E-3</v>
      </c>
      <c r="S115">
        <f t="shared" si="22"/>
        <v>7.1788649633823743E-5</v>
      </c>
      <c r="T115">
        <f t="shared" si="23"/>
        <v>3.5310243740258626E-4</v>
      </c>
      <c r="U115">
        <f t="shared" si="24"/>
        <v>9.2254993287958602E-3</v>
      </c>
      <c r="V115">
        <f t="shared" si="25"/>
        <v>8.5791432431206601E-4</v>
      </c>
      <c r="W115">
        <f t="shared" si="26"/>
        <v>1.6881264238877815E-3</v>
      </c>
      <c r="X115">
        <f t="shared" si="27"/>
        <v>1.7479790323880902E-3</v>
      </c>
      <c r="Y115">
        <f t="shared" si="28"/>
        <v>8.3892994415630286E-3</v>
      </c>
      <c r="Z115">
        <f t="shared" si="29"/>
        <v>4.1838107240728117E-3</v>
      </c>
      <c r="AA115">
        <f t="shared" si="30"/>
        <v>7.8908027090085486E-3</v>
      </c>
      <c r="AB115">
        <f t="shared" si="31"/>
        <v>2.8837321019518659E-4</v>
      </c>
      <c r="AC115">
        <f t="shared" si="32"/>
        <v>4.9363974505264219E-5</v>
      </c>
      <c r="AD115">
        <f t="shared" si="33"/>
        <v>8.1529658793797101E-5</v>
      </c>
      <c r="AE115">
        <f t="shared" si="34"/>
        <v>2.0014162670811964E-2</v>
      </c>
      <c r="AF115">
        <f t="shared" si="35"/>
        <v>2.8271426595767216E-4</v>
      </c>
      <c r="AG115">
        <f t="shared" si="36"/>
        <v>7.7963831887873454E-4</v>
      </c>
      <c r="AH115">
        <f t="shared" si="37"/>
        <v>4.5378952243244893E-4</v>
      </c>
      <c r="AI115">
        <f t="shared" si="38"/>
        <v>9.5567224609048552E-4</v>
      </c>
      <c r="AJ115">
        <f t="shared" si="39"/>
        <v>6.231095518425203E-4</v>
      </c>
      <c r="AK115">
        <f t="shared" si="40"/>
        <v>2.1835788970927706E-4</v>
      </c>
      <c r="AL115">
        <f t="shared" si="41"/>
        <v>3.8616850804949526E-4</v>
      </c>
      <c r="AM115">
        <f t="shared" si="42"/>
        <v>5.1234690374740515E-4</v>
      </c>
      <c r="AN115">
        <f t="shared" si="43"/>
        <v>7.7166804417616141E-4</v>
      </c>
      <c r="AO115">
        <f t="shared" si="44"/>
        <v>4.3880532749497369E-3</v>
      </c>
      <c r="AP115">
        <f t="shared" si="45"/>
        <v>6.439206208131166E-4</v>
      </c>
      <c r="AQ115">
        <f t="shared" si="46"/>
        <v>1.5025035704939273E-4</v>
      </c>
      <c r="AR115">
        <f t="shared" si="47"/>
        <v>2.051722204959033E-3</v>
      </c>
      <c r="AS115">
        <f t="shared" si="48"/>
        <v>2.1172694266812057E-3</v>
      </c>
    </row>
    <row r="116" spans="3:45" x14ac:dyDescent="0.25">
      <c r="C116" s="36" t="s">
        <v>78</v>
      </c>
      <c r="D116">
        <f t="shared" si="7"/>
        <v>7.7021492067057599E-4</v>
      </c>
      <c r="E116">
        <f t="shared" si="8"/>
        <v>1.3216716967233858E-4</v>
      </c>
      <c r="F116">
        <f t="shared" si="9"/>
        <v>8.9968189253476663E-5</v>
      </c>
      <c r="G116">
        <f t="shared" si="10"/>
        <v>1.6283084971145611E-3</v>
      </c>
      <c r="H116">
        <f t="shared" si="11"/>
        <v>8.9156542590095164E-4</v>
      </c>
      <c r="I116">
        <f t="shared" si="12"/>
        <v>1.0560038682091516E-2</v>
      </c>
      <c r="J116">
        <f t="shared" si="13"/>
        <v>4.7522676748566637E-3</v>
      </c>
      <c r="K116">
        <f t="shared" si="14"/>
        <v>9.4701992529141136E-3</v>
      </c>
      <c r="L116">
        <f t="shared" si="15"/>
        <v>0.15158687065102133</v>
      </c>
      <c r="M116">
        <f t="shared" si="16"/>
        <v>8.7340961729340878E-4</v>
      </c>
      <c r="N116">
        <f t="shared" si="17"/>
        <v>4.7496442429215734E-3</v>
      </c>
      <c r="O116">
        <f t="shared" si="18"/>
        <v>1.635683066474523E-2</v>
      </c>
      <c r="P116">
        <f t="shared" si="19"/>
        <v>4.9756542121421558E-3</v>
      </c>
      <c r="Q116">
        <f t="shared" si="20"/>
        <v>4.7551799939024083E-3</v>
      </c>
      <c r="R116">
        <f t="shared" si="21"/>
        <v>1.2162812677181171E-2</v>
      </c>
      <c r="S116">
        <f t="shared" si="22"/>
        <v>1.3083533236790662E-4</v>
      </c>
      <c r="T116">
        <f t="shared" si="23"/>
        <v>6.4166114126009864E-4</v>
      </c>
      <c r="U116">
        <f t="shared" si="24"/>
        <v>3.6898526446150991E-3</v>
      </c>
      <c r="V116">
        <f t="shared" si="25"/>
        <v>4.5013594984377146E-3</v>
      </c>
      <c r="W116">
        <f t="shared" si="26"/>
        <v>7.9018935503071906E-3</v>
      </c>
      <c r="X116">
        <f t="shared" si="27"/>
        <v>3.6146542010552776E-3</v>
      </c>
      <c r="Y116">
        <f t="shared" si="28"/>
        <v>2.2611021630089558E-3</v>
      </c>
      <c r="Z116">
        <f t="shared" si="29"/>
        <v>2.2090686111473326E-3</v>
      </c>
      <c r="AA116">
        <f t="shared" si="30"/>
        <v>4.9209380986890705E-3</v>
      </c>
      <c r="AB116">
        <f t="shared" si="31"/>
        <v>6.5487760601923609E-4</v>
      </c>
      <c r="AC116">
        <f t="shared" si="32"/>
        <v>1.6092594003239792E-4</v>
      </c>
      <c r="AD116">
        <f t="shared" si="33"/>
        <v>5.2066716168301262E-4</v>
      </c>
      <c r="AE116">
        <f t="shared" si="34"/>
        <v>1.8577903354123455E-3</v>
      </c>
      <c r="AF116">
        <f t="shared" si="35"/>
        <v>5.8653884312947638E-3</v>
      </c>
      <c r="AG116">
        <f t="shared" si="36"/>
        <v>3.6090956848128211E-3</v>
      </c>
      <c r="AH116">
        <f t="shared" si="37"/>
        <v>4.0108052872551902E-3</v>
      </c>
      <c r="AI116">
        <f t="shared" si="38"/>
        <v>2.8511708830361082E-2</v>
      </c>
      <c r="AJ116">
        <f t="shared" si="39"/>
        <v>7.2213875453969262E-2</v>
      </c>
      <c r="AK116">
        <f t="shared" si="40"/>
        <v>1.1251937811231797E-2</v>
      </c>
      <c r="AL116">
        <f t="shared" si="41"/>
        <v>1.6299894793845582E-2</v>
      </c>
      <c r="AM116">
        <f t="shared" si="42"/>
        <v>5.0115985264310367E-3</v>
      </c>
      <c r="AN116">
        <f t="shared" si="43"/>
        <v>1.0607102840731223E-2</v>
      </c>
      <c r="AO116">
        <f t="shared" si="44"/>
        <v>2.2084860523207475E-2</v>
      </c>
      <c r="AP116">
        <f t="shared" si="45"/>
        <v>2.3749289057672034E-2</v>
      </c>
      <c r="AQ116">
        <f t="shared" si="46"/>
        <v>5.7676598541488784E-4</v>
      </c>
      <c r="AR116">
        <f t="shared" si="47"/>
        <v>4.7829719591559169E-2</v>
      </c>
      <c r="AS116">
        <f t="shared" si="48"/>
        <v>5.8589458331389519E-3</v>
      </c>
    </row>
    <row r="117" spans="3:45" x14ac:dyDescent="0.25">
      <c r="C117" s="36" t="s">
        <v>79</v>
      </c>
      <c r="D117">
        <f t="shared" si="7"/>
        <v>3.7485842192968534E-3</v>
      </c>
      <c r="E117">
        <f t="shared" si="8"/>
        <v>2.9793455836109404E-3</v>
      </c>
      <c r="F117">
        <f t="shared" si="9"/>
        <v>3.677015362148811E-3</v>
      </c>
      <c r="G117">
        <f t="shared" si="10"/>
        <v>4.0182439168428737E-2</v>
      </c>
      <c r="H117">
        <f t="shared" si="11"/>
        <v>3.949175828919655E-2</v>
      </c>
      <c r="I117">
        <f t="shared" si="12"/>
        <v>8.1115616542610624E-4</v>
      </c>
      <c r="J117">
        <f t="shared" si="13"/>
        <v>1.4791783035695517E-3</v>
      </c>
      <c r="K117">
        <f t="shared" si="14"/>
        <v>3.7840858421903556E-3</v>
      </c>
      <c r="L117">
        <f t="shared" si="15"/>
        <v>2.6782313305092321E-3</v>
      </c>
      <c r="M117">
        <f t="shared" si="16"/>
        <v>5.5426902288682203E-2</v>
      </c>
      <c r="N117">
        <f t="shared" si="17"/>
        <v>7.4666657945904574E-2</v>
      </c>
      <c r="O117">
        <f t="shared" si="18"/>
        <v>1.5807210714355888E-3</v>
      </c>
      <c r="P117">
        <f t="shared" si="19"/>
        <v>6.1153845865477285E-3</v>
      </c>
      <c r="Q117">
        <f t="shared" si="20"/>
        <v>2.6721887108928817E-3</v>
      </c>
      <c r="R117">
        <f t="shared" si="21"/>
        <v>2.7267031945119004E-2</v>
      </c>
      <c r="S117">
        <f t="shared" si="22"/>
        <v>6.1658425300788994E-2</v>
      </c>
      <c r="T117">
        <f t="shared" si="23"/>
        <v>1.3763060464240036E-2</v>
      </c>
      <c r="U117">
        <f t="shared" si="24"/>
        <v>5.9256811427895097E-3</v>
      </c>
      <c r="V117">
        <f t="shared" si="25"/>
        <v>8.9090597419736763E-4</v>
      </c>
      <c r="W117">
        <f t="shared" si="26"/>
        <v>1.6075593489109053E-3</v>
      </c>
      <c r="X117">
        <f t="shared" si="27"/>
        <v>3.8192059887606515E-3</v>
      </c>
      <c r="Y117">
        <f t="shared" si="28"/>
        <v>1.5667666867606215E-3</v>
      </c>
      <c r="Z117">
        <f t="shared" si="29"/>
        <v>2.8489689130786356E-3</v>
      </c>
      <c r="AA117">
        <f t="shared" si="30"/>
        <v>5.0976046668427281E-3</v>
      </c>
      <c r="AB117">
        <f t="shared" si="31"/>
        <v>1.4739739343082961E-2</v>
      </c>
      <c r="AC117">
        <f t="shared" si="32"/>
        <v>2.3163174781327948E-2</v>
      </c>
      <c r="AD117">
        <f t="shared" si="33"/>
        <v>9.4554573991399054E-4</v>
      </c>
      <c r="AE117">
        <f t="shared" si="34"/>
        <v>1.2977893379010726E-2</v>
      </c>
      <c r="AF117">
        <f t="shared" si="35"/>
        <v>2.1994457498958637E-3</v>
      </c>
      <c r="AG117">
        <f t="shared" si="36"/>
        <v>8.0331966649163047E-2</v>
      </c>
      <c r="AH117">
        <f t="shared" si="37"/>
        <v>2.3822730699937632E-3</v>
      </c>
      <c r="AI117">
        <f t="shared" si="38"/>
        <v>1.1563407421036067E-3</v>
      </c>
      <c r="AJ117">
        <f t="shared" si="39"/>
        <v>2.0005920765774874E-2</v>
      </c>
      <c r="AK117">
        <f t="shared" si="40"/>
        <v>6.371585920117823E-3</v>
      </c>
      <c r="AL117">
        <f t="shared" si="41"/>
        <v>3.0336595974080199E-3</v>
      </c>
      <c r="AM117">
        <f t="shared" si="42"/>
        <v>1.4327846923804519E-3</v>
      </c>
      <c r="AN117">
        <f t="shared" si="43"/>
        <v>2.3807687024959528E-2</v>
      </c>
      <c r="AO117">
        <f t="shared" si="44"/>
        <v>6.3537233422409425E-3</v>
      </c>
      <c r="AP117">
        <f t="shared" si="45"/>
        <v>5.2322873255138871E-3</v>
      </c>
      <c r="AQ117">
        <f t="shared" si="46"/>
        <v>4.7938199626049107E-4</v>
      </c>
      <c r="AR117">
        <f t="shared" si="47"/>
        <v>3.0101958135874468E-3</v>
      </c>
      <c r="AS117">
        <f t="shared" si="48"/>
        <v>4.0558252523425018E-3</v>
      </c>
    </row>
    <row r="118" spans="3:45" x14ac:dyDescent="0.25">
      <c r="C118" s="36" t="s">
        <v>80</v>
      </c>
      <c r="D118">
        <f t="shared" si="7"/>
        <v>5.7020122613849616E-2</v>
      </c>
      <c r="E118">
        <f t="shared" si="8"/>
        <v>1.158815622745869E-2</v>
      </c>
      <c r="F118">
        <f t="shared" si="9"/>
        <v>3.6650351690402025E-2</v>
      </c>
      <c r="G118">
        <f t="shared" si="10"/>
        <v>5.0286962278449199E-2</v>
      </c>
      <c r="H118">
        <f t="shared" si="11"/>
        <v>6.1590845934975845E-2</v>
      </c>
      <c r="I118">
        <f t="shared" si="12"/>
        <v>4.0537625923570981E-3</v>
      </c>
      <c r="J118">
        <f t="shared" si="13"/>
        <v>7.2081496769616282E-2</v>
      </c>
      <c r="K118">
        <f t="shared" si="14"/>
        <v>6.1123940908200038E-2</v>
      </c>
      <c r="L118">
        <f t="shared" si="15"/>
        <v>7.4009905564062159E-2</v>
      </c>
      <c r="M118">
        <f t="shared" si="16"/>
        <v>3.5840636259463959E-2</v>
      </c>
      <c r="N118">
        <f t="shared" si="17"/>
        <v>0.34261047943341411</v>
      </c>
      <c r="O118">
        <f t="shared" si="18"/>
        <v>3.9780619664424449E-2</v>
      </c>
      <c r="P118">
        <f t="shared" si="19"/>
        <v>0.30785705931647206</v>
      </c>
      <c r="Q118">
        <f t="shared" si="20"/>
        <v>5.7914683955140409E-3</v>
      </c>
      <c r="R118">
        <f t="shared" si="21"/>
        <v>4.267208954918135E-2</v>
      </c>
      <c r="S118">
        <f t="shared" si="22"/>
        <v>5.5028592329612229E-3</v>
      </c>
      <c r="T118">
        <f t="shared" si="23"/>
        <v>1.7804218716127321E-2</v>
      </c>
      <c r="U118">
        <f t="shared" si="24"/>
        <v>2.0484541267462131E-2</v>
      </c>
      <c r="V118">
        <f t="shared" si="25"/>
        <v>1.300082708973832E-2</v>
      </c>
      <c r="W118">
        <f t="shared" si="26"/>
        <v>3.7953312502072005E-2</v>
      </c>
      <c r="X118">
        <f t="shared" si="27"/>
        <v>8.7314003404739011E-3</v>
      </c>
      <c r="Y118">
        <f t="shared" si="28"/>
        <v>9.8666098906280246E-3</v>
      </c>
      <c r="Z118">
        <f t="shared" si="29"/>
        <v>1.3577062570539715E-2</v>
      </c>
      <c r="AA118">
        <f t="shared" si="30"/>
        <v>3.0983307666107528E-2</v>
      </c>
      <c r="AB118">
        <f t="shared" si="31"/>
        <v>3.1656591039461933E-4</v>
      </c>
      <c r="AC118">
        <f t="shared" si="32"/>
        <v>3.8504711078884778E-4</v>
      </c>
      <c r="AD118">
        <f t="shared" si="33"/>
        <v>6.0556071502838774E-2</v>
      </c>
      <c r="AE118">
        <f t="shared" si="34"/>
        <v>2.6283270680728991E-2</v>
      </c>
      <c r="AF118">
        <f t="shared" si="35"/>
        <v>6.7443919094980215E-5</v>
      </c>
      <c r="AG118">
        <f t="shared" si="36"/>
        <v>8.2424424140336227E-4</v>
      </c>
      <c r="AH118">
        <f t="shared" si="37"/>
        <v>5.7926855463121072E-3</v>
      </c>
      <c r="AI118">
        <f t="shared" si="38"/>
        <v>1.261931469489261E-3</v>
      </c>
      <c r="AJ118">
        <f t="shared" si="39"/>
        <v>4.4698278376924666E-3</v>
      </c>
      <c r="AK118">
        <f t="shared" si="40"/>
        <v>6.2373048232753928E-2</v>
      </c>
      <c r="AL118">
        <f t="shared" si="41"/>
        <v>2.4514897842376436E-4</v>
      </c>
      <c r="AM118">
        <f t="shared" si="42"/>
        <v>3.1786704756835046E-4</v>
      </c>
      <c r="AN118">
        <f t="shared" si="43"/>
        <v>3.9148274742240613E-2</v>
      </c>
      <c r="AO118">
        <f t="shared" si="44"/>
        <v>9.6144170338559407E-3</v>
      </c>
      <c r="AP118">
        <f t="shared" si="45"/>
        <v>1.4117287716388443E-2</v>
      </c>
      <c r="AQ118">
        <f t="shared" si="46"/>
        <v>1.0776106619050307E-3</v>
      </c>
      <c r="AR118">
        <f t="shared" si="47"/>
        <v>1.0329121943324955E-2</v>
      </c>
      <c r="AS118">
        <f t="shared" si="48"/>
        <v>4.5025784801778157E-2</v>
      </c>
    </row>
    <row r="119" spans="3:45" x14ac:dyDescent="0.25">
      <c r="C119" s="36" t="s">
        <v>81</v>
      </c>
      <c r="D119">
        <f t="shared" si="7"/>
        <v>4.5588629549869197E-3</v>
      </c>
      <c r="E119">
        <f t="shared" si="8"/>
        <v>1.7826459459862985E-4</v>
      </c>
      <c r="F119">
        <f t="shared" si="9"/>
        <v>1.7467215562694101E-4</v>
      </c>
      <c r="G119">
        <f t="shared" si="10"/>
        <v>3.1582388825158076E-5</v>
      </c>
      <c r="H119">
        <f t="shared" si="11"/>
        <v>3.3114629081943359E-5</v>
      </c>
      <c r="I119">
        <f t="shared" si="12"/>
        <v>6.4891040669883731E-4</v>
      </c>
      <c r="J119">
        <f t="shared" si="13"/>
        <v>1.163834650389621E-4</v>
      </c>
      <c r="K119">
        <f t="shared" si="14"/>
        <v>1.041216638710135E-5</v>
      </c>
      <c r="L119">
        <f t="shared" si="15"/>
        <v>9.464808879161695E-4</v>
      </c>
      <c r="M119">
        <f t="shared" si="16"/>
        <v>3.658797459243744E-5</v>
      </c>
      <c r="N119">
        <f t="shared" si="17"/>
        <v>1.3996909417091296E-3</v>
      </c>
      <c r="O119">
        <f t="shared" si="18"/>
        <v>0.20633539717193217</v>
      </c>
      <c r="P119">
        <f t="shared" si="19"/>
        <v>2.2675206043384807E-4</v>
      </c>
      <c r="Q119">
        <f t="shared" si="20"/>
        <v>1.0958726912735628E-3</v>
      </c>
      <c r="R119">
        <f t="shared" si="21"/>
        <v>7.7663032478704171E-4</v>
      </c>
      <c r="S119">
        <f t="shared" si="22"/>
        <v>1.5331047006659826E-4</v>
      </c>
      <c r="T119">
        <f t="shared" si="23"/>
        <v>2.6890486539671692E-5</v>
      </c>
      <c r="U119">
        <f t="shared" si="24"/>
        <v>3.3498441743711968E-4</v>
      </c>
      <c r="V119">
        <f t="shared" si="25"/>
        <v>4.2173551117390346E-4</v>
      </c>
      <c r="W119">
        <f t="shared" si="26"/>
        <v>1.7816668333004422E-4</v>
      </c>
      <c r="X119">
        <f t="shared" si="27"/>
        <v>1.4658997788223141E-5</v>
      </c>
      <c r="Y119">
        <f t="shared" si="28"/>
        <v>1.4444838381520932E-5</v>
      </c>
      <c r="Z119">
        <f t="shared" si="29"/>
        <v>6.9668928261245076E-5</v>
      </c>
      <c r="AA119">
        <f t="shared" si="30"/>
        <v>7.6113229746622806E-4</v>
      </c>
      <c r="AB119">
        <f t="shared" si="31"/>
        <v>2.3703369979769477E-5</v>
      </c>
      <c r="AC119">
        <f t="shared" si="32"/>
        <v>4.6192603025224992E-6</v>
      </c>
      <c r="AD119">
        <f t="shared" si="33"/>
        <v>4.074226412450994E-4</v>
      </c>
      <c r="AE119">
        <f t="shared" si="34"/>
        <v>7.8256922749783729E-4</v>
      </c>
      <c r="AF119">
        <f t="shared" si="35"/>
        <v>7.2243913351556426E-6</v>
      </c>
      <c r="AG119">
        <f t="shared" si="36"/>
        <v>1.2742303266770821E-4</v>
      </c>
      <c r="AH119">
        <f t="shared" si="37"/>
        <v>1.8849184213162655E-6</v>
      </c>
      <c r="AI119">
        <f t="shared" si="38"/>
        <v>3.1376485738329344E-4</v>
      </c>
      <c r="AJ119">
        <f t="shared" si="39"/>
        <v>1.8546147257928489E-4</v>
      </c>
      <c r="AK119">
        <f t="shared" si="40"/>
        <v>4.5808759448953155E-3</v>
      </c>
      <c r="AL119">
        <f t="shared" si="41"/>
        <v>5.8211535613633133E-5</v>
      </c>
      <c r="AM119">
        <f t="shared" si="42"/>
        <v>1.429673724463383E-5</v>
      </c>
      <c r="AN119">
        <f t="shared" si="43"/>
        <v>4.9873263635799268E-3</v>
      </c>
      <c r="AO119">
        <f t="shared" si="44"/>
        <v>2.9119011369628002E-4</v>
      </c>
      <c r="AP119">
        <f t="shared" si="45"/>
        <v>1.334127351745737E-3</v>
      </c>
      <c r="AQ119">
        <f t="shared" si="46"/>
        <v>0.3276123913805627</v>
      </c>
      <c r="AR119">
        <f t="shared" si="47"/>
        <v>1.580114098430363E-4</v>
      </c>
      <c r="AS119">
        <f t="shared" si="48"/>
        <v>6.1372879482111682E-4</v>
      </c>
    </row>
    <row r="120" spans="3:45" x14ac:dyDescent="0.25">
      <c r="C120" s="36" t="s">
        <v>82</v>
      </c>
      <c r="D120">
        <f t="shared" si="7"/>
        <v>6.5139866062474874E-3</v>
      </c>
      <c r="E120">
        <f t="shared" si="8"/>
        <v>2.3600806099331188E-3</v>
      </c>
      <c r="F120">
        <f t="shared" si="9"/>
        <v>6.3635585308905276E-4</v>
      </c>
      <c r="G120">
        <f t="shared" si="10"/>
        <v>5.1399257975783107E-3</v>
      </c>
      <c r="H120">
        <f t="shared" si="11"/>
        <v>3.6780043928664942E-2</v>
      </c>
      <c r="I120">
        <f t="shared" si="12"/>
        <v>9.4626553763192869E-3</v>
      </c>
      <c r="J120">
        <f t="shared" si="13"/>
        <v>1.4497497404108817E-2</v>
      </c>
      <c r="K120">
        <f t="shared" si="14"/>
        <v>1.4748108525542614E-2</v>
      </c>
      <c r="L120">
        <f t="shared" si="15"/>
        <v>2.6877801976525287E-2</v>
      </c>
      <c r="M120">
        <f t="shared" si="16"/>
        <v>3.4944222837135388E-3</v>
      </c>
      <c r="N120">
        <f t="shared" si="17"/>
        <v>2.0441873039601721E-2</v>
      </c>
      <c r="O120">
        <f t="shared" si="18"/>
        <v>5.4759922554690537E-3</v>
      </c>
      <c r="P120">
        <f t="shared" si="19"/>
        <v>0.18691410461934851</v>
      </c>
      <c r="Q120">
        <f t="shared" si="20"/>
        <v>2.4948157640914789E-2</v>
      </c>
      <c r="R120">
        <f t="shared" si="21"/>
        <v>8.9450814690346658E-3</v>
      </c>
      <c r="S120">
        <f t="shared" si="22"/>
        <v>2.9831530114993871E-4</v>
      </c>
      <c r="T120">
        <f t="shared" si="23"/>
        <v>1.2766813453075113E-3</v>
      </c>
      <c r="U120">
        <f t="shared" si="24"/>
        <v>1.0192939251969686E-2</v>
      </c>
      <c r="V120">
        <f t="shared" si="25"/>
        <v>1.7153041288909775E-2</v>
      </c>
      <c r="W120">
        <f t="shared" si="26"/>
        <v>3.7723014667175758E-2</v>
      </c>
      <c r="X120">
        <f t="shared" si="27"/>
        <v>1.4957789508547979E-2</v>
      </c>
      <c r="Y120">
        <f t="shared" si="28"/>
        <v>3.3439413830836241E-2</v>
      </c>
      <c r="Z120">
        <f t="shared" si="29"/>
        <v>3.4064401719633222E-2</v>
      </c>
      <c r="AA120">
        <f t="shared" si="30"/>
        <v>1.9680478025195812E-2</v>
      </c>
      <c r="AB120">
        <f t="shared" si="31"/>
        <v>4.7840539709087049E-5</v>
      </c>
      <c r="AC120">
        <f t="shared" si="32"/>
        <v>6.1037681231479717E-4</v>
      </c>
      <c r="AD120">
        <f t="shared" si="33"/>
        <v>1.7183419571413731E-2</v>
      </c>
      <c r="AE120">
        <f t="shared" si="34"/>
        <v>1.2131411410398906E-2</v>
      </c>
      <c r="AF120">
        <f t="shared" si="35"/>
        <v>1.8632208760524674E-3</v>
      </c>
      <c r="AG120">
        <f t="shared" si="36"/>
        <v>9.408034853929808E-3</v>
      </c>
      <c r="AH120">
        <f t="shared" si="37"/>
        <v>2.5582405391381211E-3</v>
      </c>
      <c r="AI120">
        <f t="shared" si="38"/>
        <v>1.4868964925568199E-3</v>
      </c>
      <c r="AJ120">
        <f t="shared" si="39"/>
        <v>3.3613684394268851E-3</v>
      </c>
      <c r="AK120">
        <f t="shared" si="40"/>
        <v>4.6612890701480001E-3</v>
      </c>
      <c r="AL120">
        <f t="shared" si="41"/>
        <v>6.8662917208766485E-5</v>
      </c>
      <c r="AM120">
        <f t="shared" si="42"/>
        <v>3.5731850271685894E-4</v>
      </c>
      <c r="AN120">
        <f t="shared" si="43"/>
        <v>3.1520388794660154E-3</v>
      </c>
      <c r="AO120">
        <f t="shared" si="44"/>
        <v>2.2817185492711358E-3</v>
      </c>
      <c r="AP120">
        <f t="shared" si="45"/>
        <v>1.0593769494483612E-4</v>
      </c>
      <c r="AQ120">
        <f t="shared" si="46"/>
        <v>1.0838604676660566E-3</v>
      </c>
      <c r="AR120">
        <f t="shared" si="47"/>
        <v>1.6675849700440496E-3</v>
      </c>
      <c r="AS120">
        <f t="shared" si="48"/>
        <v>9.061169328067711E-3</v>
      </c>
    </row>
    <row r="121" spans="3:45" x14ac:dyDescent="0.25">
      <c r="C121" s="36" t="s">
        <v>88</v>
      </c>
      <c r="D121">
        <f t="shared" si="7"/>
        <v>7.0903219110836644E-3</v>
      </c>
      <c r="E121">
        <f t="shared" si="8"/>
        <v>1.8560857854215185E-2</v>
      </c>
      <c r="F121">
        <f t="shared" si="9"/>
        <v>2.6613360275362034E-2</v>
      </c>
      <c r="G121">
        <f t="shared" si="10"/>
        <v>2.8178857590919287E-2</v>
      </c>
      <c r="H121">
        <f t="shared" si="11"/>
        <v>8.9435760099300779E-2</v>
      </c>
      <c r="I121">
        <f t="shared" si="12"/>
        <v>4.5667023775042672E-4</v>
      </c>
      <c r="J121">
        <f t="shared" si="13"/>
        <v>1.6136084380680171E-3</v>
      </c>
      <c r="K121">
        <f t="shared" si="14"/>
        <v>3.0410937120566614E-3</v>
      </c>
      <c r="L121">
        <f t="shared" si="15"/>
        <v>4.0542777031089515E-3</v>
      </c>
      <c r="M121">
        <f t="shared" si="16"/>
        <v>2.0371856262024106E-3</v>
      </c>
      <c r="N121">
        <f t="shared" si="17"/>
        <v>3.8420591695445955E-3</v>
      </c>
      <c r="O121">
        <f t="shared" si="18"/>
        <v>7.8339099449637709E-4</v>
      </c>
      <c r="P121">
        <f t="shared" si="19"/>
        <v>3.5616486314215684E-3</v>
      </c>
      <c r="Q121">
        <f t="shared" si="20"/>
        <v>0.12604489334652547</v>
      </c>
      <c r="R121">
        <f t="shared" si="21"/>
        <v>4.5133628189721366E-3</v>
      </c>
      <c r="S121">
        <f t="shared" si="22"/>
        <v>7.6838092625406097E-3</v>
      </c>
      <c r="T121">
        <f t="shared" si="23"/>
        <v>6.6371204954990166E-3</v>
      </c>
      <c r="U121">
        <f t="shared" si="24"/>
        <v>7.2464107514989854E-3</v>
      </c>
      <c r="V121">
        <f t="shared" si="25"/>
        <v>1.7839778692263521E-2</v>
      </c>
      <c r="W121">
        <f t="shared" si="26"/>
        <v>6.0085234116485633E-3</v>
      </c>
      <c r="X121">
        <f t="shared" si="27"/>
        <v>8.321743461544651E-3</v>
      </c>
      <c r="Y121">
        <f t="shared" si="28"/>
        <v>6.1636836388350201E-3</v>
      </c>
      <c r="Z121">
        <f t="shared" si="29"/>
        <v>6.5610218445934163E-3</v>
      </c>
      <c r="AA121">
        <f t="shared" si="30"/>
        <v>4.2250206500694934E-3</v>
      </c>
      <c r="AB121">
        <f t="shared" si="31"/>
        <v>2.5701054750489343E-4</v>
      </c>
      <c r="AC121">
        <f t="shared" si="32"/>
        <v>1.0422104258871576E-4</v>
      </c>
      <c r="AD121">
        <f t="shared" si="33"/>
        <v>2.6745720314865313E-3</v>
      </c>
      <c r="AE121">
        <f t="shared" si="34"/>
        <v>6.2397610716915476E-3</v>
      </c>
      <c r="AF121">
        <f t="shared" si="35"/>
        <v>2.3276381083393085E-5</v>
      </c>
      <c r="AG121">
        <f t="shared" si="36"/>
        <v>1.1531340593843652E-3</v>
      </c>
      <c r="AH121">
        <f t="shared" si="37"/>
        <v>3.3039709583163702E-4</v>
      </c>
      <c r="AI121">
        <f t="shared" si="38"/>
        <v>1.0595388544260522E-4</v>
      </c>
      <c r="AJ121">
        <f t="shared" si="39"/>
        <v>5.4374685907529127E-4</v>
      </c>
      <c r="AK121">
        <f t="shared" si="40"/>
        <v>1.7239924836498919E-4</v>
      </c>
      <c r="AL121">
        <f t="shared" si="41"/>
        <v>7.5128087439077539E-4</v>
      </c>
      <c r="AM121">
        <f t="shared" si="42"/>
        <v>7.7748668908516906E-6</v>
      </c>
      <c r="AN121">
        <f t="shared" si="43"/>
        <v>3.0909467723181435E-4</v>
      </c>
      <c r="AO121">
        <f t="shared" si="44"/>
        <v>2.9174508963611032E-4</v>
      </c>
      <c r="AP121">
        <f t="shared" si="45"/>
        <v>2.507725575925763E-4</v>
      </c>
      <c r="AQ121">
        <f t="shared" si="46"/>
        <v>3.3357646201056163E-2</v>
      </c>
      <c r="AR121">
        <f t="shared" si="47"/>
        <v>7.2350208802101894E-5</v>
      </c>
      <c r="AS121">
        <f t="shared" si="48"/>
        <v>5.3322200072753291E-4</v>
      </c>
    </row>
    <row r="122" spans="3:45" x14ac:dyDescent="0.25">
      <c r="C122" s="36" t="s">
        <v>83</v>
      </c>
      <c r="D122">
        <f t="shared" si="7"/>
        <v>3.9624451046032128E-4</v>
      </c>
      <c r="E122">
        <f t="shared" si="8"/>
        <v>2.7706893850691821E-3</v>
      </c>
      <c r="F122">
        <f t="shared" si="9"/>
        <v>4.1407431497227667E-4</v>
      </c>
      <c r="G122">
        <f t="shared" si="10"/>
        <v>8.628423198096315E-3</v>
      </c>
      <c r="H122">
        <f t="shared" si="11"/>
        <v>3.0727844853953294E-2</v>
      </c>
      <c r="I122">
        <f t="shared" si="12"/>
        <v>3.9062212351906335E-3</v>
      </c>
      <c r="J122">
        <f t="shared" si="13"/>
        <v>7.54204945394064E-4</v>
      </c>
      <c r="K122">
        <f t="shared" si="14"/>
        <v>7.2384353151431907E-3</v>
      </c>
      <c r="L122">
        <f t="shared" si="15"/>
        <v>4.0804274511052748E-3</v>
      </c>
      <c r="M122">
        <f t="shared" si="16"/>
        <v>6.6571357110261501E-3</v>
      </c>
      <c r="N122">
        <f t="shared" si="17"/>
        <v>4.8991155983578788E-3</v>
      </c>
      <c r="O122">
        <f t="shared" si="18"/>
        <v>9.019533404737004E-3</v>
      </c>
      <c r="P122">
        <f t="shared" si="19"/>
        <v>4.4954980822663809E-3</v>
      </c>
      <c r="Q122">
        <f t="shared" si="20"/>
        <v>1.0498256360547169E-2</v>
      </c>
      <c r="R122">
        <f t="shared" si="21"/>
        <v>0.1898193454912197</v>
      </c>
      <c r="S122">
        <f t="shared" si="22"/>
        <v>1.380507454014724E-2</v>
      </c>
      <c r="T122">
        <f t="shared" si="23"/>
        <v>1.1273243607240094E-2</v>
      </c>
      <c r="U122">
        <f t="shared" si="24"/>
        <v>1.3059091694209003E-2</v>
      </c>
      <c r="V122">
        <f t="shared" si="25"/>
        <v>1.5743789410971116E-2</v>
      </c>
      <c r="W122">
        <f t="shared" si="26"/>
        <v>2.7570509896418439E-2</v>
      </c>
      <c r="X122">
        <f t="shared" si="27"/>
        <v>5.3925409768217254E-3</v>
      </c>
      <c r="Y122">
        <f t="shared" si="28"/>
        <v>1.4089223176764051E-2</v>
      </c>
      <c r="Z122">
        <f t="shared" si="29"/>
        <v>4.3014317959595002E-3</v>
      </c>
      <c r="AA122">
        <f t="shared" si="30"/>
        <v>2.9587539324173904E-3</v>
      </c>
      <c r="AB122">
        <f t="shared" si="31"/>
        <v>2.8472010660661436E-3</v>
      </c>
      <c r="AC122">
        <f t="shared" si="32"/>
        <v>9.0321423368606453E-5</v>
      </c>
      <c r="AD122">
        <f t="shared" si="33"/>
        <v>5.6163250162166451E-4</v>
      </c>
      <c r="AE122">
        <f t="shared" si="34"/>
        <v>0.15894377148692229</v>
      </c>
      <c r="AF122">
        <f t="shared" si="35"/>
        <v>1.6099138986420101E-4</v>
      </c>
      <c r="AG122">
        <f t="shared" si="36"/>
        <v>3.8484222635368513E-4</v>
      </c>
      <c r="AH122">
        <f t="shared" si="37"/>
        <v>8.2887913705871738E-4</v>
      </c>
      <c r="AI122">
        <f t="shared" si="38"/>
        <v>9.4583865393084177E-5</v>
      </c>
      <c r="AJ122">
        <f t="shared" si="39"/>
        <v>2.7065196310931355E-4</v>
      </c>
      <c r="AK122">
        <f t="shared" si="40"/>
        <v>9.7972163582821323E-3</v>
      </c>
      <c r="AL122">
        <f t="shared" si="41"/>
        <v>1.9276389501011529E-5</v>
      </c>
      <c r="AM122">
        <f t="shared" si="42"/>
        <v>3.0651606668122966E-5</v>
      </c>
      <c r="AN122">
        <f t="shared" si="43"/>
        <v>3.8198025798897418E-4</v>
      </c>
      <c r="AO122">
        <f t="shared" si="44"/>
        <v>9.1700022802673352E-4</v>
      </c>
      <c r="AP122">
        <f t="shared" si="45"/>
        <v>2.1232802766591591E-3</v>
      </c>
      <c r="AQ122">
        <f t="shared" si="46"/>
        <v>6.513459712858109E-4</v>
      </c>
      <c r="AR122">
        <f t="shared" si="47"/>
        <v>3.0735855257385159E-5</v>
      </c>
      <c r="AS122">
        <f t="shared" si="48"/>
        <v>3.1897358029715295E-4</v>
      </c>
    </row>
    <row r="123" spans="3:45" x14ac:dyDescent="0.25">
      <c r="C123" s="36" t="s">
        <v>84</v>
      </c>
      <c r="D123">
        <f t="shared" si="7"/>
        <v>1.738488249127442E-4</v>
      </c>
      <c r="E123">
        <f t="shared" si="8"/>
        <v>2.5462286032361382E-2</v>
      </c>
      <c r="F123">
        <f t="shared" si="9"/>
        <v>1.038459455272614E-2</v>
      </c>
      <c r="G123">
        <f t="shared" si="10"/>
        <v>3.7246890189690102E-3</v>
      </c>
      <c r="H123">
        <f t="shared" si="11"/>
        <v>5.5419347738634432E-2</v>
      </c>
      <c r="I123">
        <f t="shared" si="12"/>
        <v>2.1763298504338377E-4</v>
      </c>
      <c r="J123">
        <f t="shared" si="13"/>
        <v>5.0534568544602853E-4</v>
      </c>
      <c r="K123">
        <f t="shared" si="14"/>
        <v>8.92225550044865E-3</v>
      </c>
      <c r="L123">
        <f t="shared" si="15"/>
        <v>6.4653760413443161E-3</v>
      </c>
      <c r="M123">
        <f t="shared" si="16"/>
        <v>4.8425902986104025E-4</v>
      </c>
      <c r="N123">
        <f t="shared" si="17"/>
        <v>8.3991275242054813E-4</v>
      </c>
      <c r="O123">
        <f t="shared" si="18"/>
        <v>1.4890678189323757E-4</v>
      </c>
      <c r="P123">
        <f t="shared" si="19"/>
        <v>4.0900364092609472E-3</v>
      </c>
      <c r="Q123">
        <f t="shared" si="20"/>
        <v>6.3049036805774658E-2</v>
      </c>
      <c r="R123">
        <f t="shared" si="21"/>
        <v>1.9007365222930738E-2</v>
      </c>
      <c r="S123">
        <f t="shared" si="22"/>
        <v>0.18784690066115464</v>
      </c>
      <c r="T123">
        <f t="shared" si="23"/>
        <v>5.2620145948897128E-3</v>
      </c>
      <c r="U123">
        <f t="shared" si="24"/>
        <v>0.21145035759636222</v>
      </c>
      <c r="V123">
        <f t="shared" si="25"/>
        <v>4.0667205654216984E-3</v>
      </c>
      <c r="W123">
        <f t="shared" si="26"/>
        <v>2.5930332769843162E-2</v>
      </c>
      <c r="X123">
        <f t="shared" si="27"/>
        <v>8.4512812980477567E-2</v>
      </c>
      <c r="Y123">
        <f t="shared" si="28"/>
        <v>3.4440160819272529E-2</v>
      </c>
      <c r="Z123">
        <f t="shared" si="29"/>
        <v>4.9487455464660601E-2</v>
      </c>
      <c r="AA123">
        <f t="shared" si="30"/>
        <v>7.9648647304942158E-3</v>
      </c>
      <c r="AB123">
        <f t="shared" si="31"/>
        <v>3.6704147912585626E-4</v>
      </c>
      <c r="AC123">
        <f t="shared" si="32"/>
        <v>1.4129299288999631E-3</v>
      </c>
      <c r="AD123">
        <f t="shared" si="33"/>
        <v>1.7665793691516965E-3</v>
      </c>
      <c r="AE123">
        <f t="shared" si="34"/>
        <v>9.7438092007669869E-2</v>
      </c>
      <c r="AF123">
        <f t="shared" si="35"/>
        <v>5.5728805326606659E-6</v>
      </c>
      <c r="AG123">
        <f t="shared" si="36"/>
        <v>5.0418899534082151E-4</v>
      </c>
      <c r="AH123">
        <f t="shared" si="37"/>
        <v>4.2211649133245284E-6</v>
      </c>
      <c r="AI123">
        <f t="shared" si="38"/>
        <v>6.4301560767114393E-6</v>
      </c>
      <c r="AJ123">
        <f t="shared" si="39"/>
        <v>1.2448919537181144E-6</v>
      </c>
      <c r="AK123">
        <f t="shared" si="40"/>
        <v>7.6622017859990599E-4</v>
      </c>
      <c r="AL123">
        <f t="shared" si="41"/>
        <v>9.2395487929042946E-9</v>
      </c>
      <c r="AM123">
        <f t="shared" si="42"/>
        <v>1.7544244452334937E-6</v>
      </c>
      <c r="AN123">
        <f t="shared" si="43"/>
        <v>6.3846458508193195E-4</v>
      </c>
      <c r="AO123">
        <f t="shared" si="44"/>
        <v>1.5498621876949115E-4</v>
      </c>
      <c r="AP123">
        <f t="shared" si="45"/>
        <v>5.0481690348254636E-5</v>
      </c>
      <c r="AQ123">
        <f t="shared" si="46"/>
        <v>6.5790547129438771E-7</v>
      </c>
      <c r="AR123">
        <f t="shared" si="47"/>
        <v>5.3193973120017913E-6</v>
      </c>
      <c r="AS123">
        <f t="shared" si="48"/>
        <v>2.8008310529655155E-5</v>
      </c>
    </row>
    <row r="124" spans="3:45" x14ac:dyDescent="0.25">
      <c r="C124" s="36" t="s">
        <v>85</v>
      </c>
      <c r="D124">
        <f t="shared" si="7"/>
        <v>6.683778253457746E-6</v>
      </c>
      <c r="E124">
        <f t="shared" si="8"/>
        <v>6.5580193563769768E-5</v>
      </c>
      <c r="F124">
        <f t="shared" si="9"/>
        <v>2.1155961508290474E-6</v>
      </c>
      <c r="G124">
        <f t="shared" si="10"/>
        <v>2.293155356512146E-3</v>
      </c>
      <c r="H124">
        <f t="shared" si="11"/>
        <v>8.2141701805013272E-3</v>
      </c>
      <c r="I124">
        <f t="shared" si="12"/>
        <v>8.7233396411908124E-5</v>
      </c>
      <c r="J124">
        <f t="shared" si="13"/>
        <v>2.910829004797342E-4</v>
      </c>
      <c r="K124">
        <f t="shared" si="14"/>
        <v>3.4146278360617172E-3</v>
      </c>
      <c r="L124">
        <f t="shared" si="15"/>
        <v>2.8794015274492421E-2</v>
      </c>
      <c r="M124">
        <f t="shared" si="16"/>
        <v>3.695136206877016E-5</v>
      </c>
      <c r="N124">
        <f t="shared" si="17"/>
        <v>1.0084766842415471E-2</v>
      </c>
      <c r="O124">
        <f t="shared" si="18"/>
        <v>3.9970345876340016E-4</v>
      </c>
      <c r="P124">
        <f t="shared" si="19"/>
        <v>6.1478374525838295E-3</v>
      </c>
      <c r="Q124">
        <f t="shared" si="20"/>
        <v>3.2831726711253666E-2</v>
      </c>
      <c r="R124">
        <f t="shared" si="21"/>
        <v>9.868445219804305E-3</v>
      </c>
      <c r="S124">
        <f t="shared" si="22"/>
        <v>1.2406322263170823E-2</v>
      </c>
      <c r="T124">
        <f t="shared" si="23"/>
        <v>0.37471420618703927</v>
      </c>
      <c r="U124">
        <f t="shared" si="24"/>
        <v>9.4214679113344191E-2</v>
      </c>
      <c r="V124">
        <f t="shared" si="25"/>
        <v>2.6539277890750553E-2</v>
      </c>
      <c r="W124">
        <f t="shared" si="26"/>
        <v>0.18403301441387004</v>
      </c>
      <c r="X124">
        <f t="shared" si="27"/>
        <v>7.0746133948680873E-2</v>
      </c>
      <c r="Y124">
        <f t="shared" si="28"/>
        <v>4.9003724811399176E-2</v>
      </c>
      <c r="Z124">
        <f t="shared" si="29"/>
        <v>4.8659685990033952E-2</v>
      </c>
      <c r="AA124">
        <f t="shared" si="30"/>
        <v>3.1963359805709003E-2</v>
      </c>
      <c r="AB124">
        <f t="shared" si="31"/>
        <v>1.1775887803814038E-4</v>
      </c>
      <c r="AC124">
        <f t="shared" si="32"/>
        <v>9.5459091801916863E-6</v>
      </c>
      <c r="AD124">
        <f t="shared" si="33"/>
        <v>1.4262171477843726E-4</v>
      </c>
      <c r="AE124">
        <f t="shared" si="34"/>
        <v>3.7463334009178628E-3</v>
      </c>
      <c r="AF124">
        <f t="shared" si="35"/>
        <v>1.5579208376659638E-5</v>
      </c>
      <c r="AG124">
        <f t="shared" si="36"/>
        <v>5.7873752615126538E-5</v>
      </c>
      <c r="AH124">
        <f t="shared" si="37"/>
        <v>8.5364841516963993E-6</v>
      </c>
      <c r="AI124">
        <f t="shared" si="38"/>
        <v>0</v>
      </c>
      <c r="AJ124">
        <f t="shared" si="39"/>
        <v>1.724602439475136E-6</v>
      </c>
      <c r="AK124">
        <f t="shared" si="40"/>
        <v>7.4727150153698716E-4</v>
      </c>
      <c r="AL124">
        <f t="shared" si="41"/>
        <v>0</v>
      </c>
      <c r="AM124">
        <f t="shared" si="42"/>
        <v>0</v>
      </c>
      <c r="AN124">
        <f t="shared" si="43"/>
        <v>1.7768647466863389E-4</v>
      </c>
      <c r="AO124">
        <f t="shared" si="44"/>
        <v>5.8657954406487944E-12</v>
      </c>
      <c r="AP124">
        <f t="shared" si="45"/>
        <v>8.5270559564446402E-5</v>
      </c>
      <c r="AQ124">
        <f t="shared" si="46"/>
        <v>2.2468168490972566E-6</v>
      </c>
      <c r="AR124">
        <f t="shared" si="47"/>
        <v>2.1432351215890901E-6</v>
      </c>
      <c r="AS124">
        <f t="shared" si="48"/>
        <v>4.8735405093267503E-4</v>
      </c>
    </row>
    <row r="125" spans="3:45" x14ac:dyDescent="0.25">
      <c r="C125" s="36" t="s">
        <v>86</v>
      </c>
      <c r="D125">
        <f t="shared" si="7"/>
        <v>6.1819439335645523E-4</v>
      </c>
      <c r="E125">
        <f t="shared" si="8"/>
        <v>2.911395986210185E-2</v>
      </c>
      <c r="F125">
        <f t="shared" si="9"/>
        <v>4.4091080742222281E-4</v>
      </c>
      <c r="G125">
        <f t="shared" si="10"/>
        <v>2.1572789690756881E-2</v>
      </c>
      <c r="H125">
        <f t="shared" si="11"/>
        <v>2.9010305818236829E-2</v>
      </c>
      <c r="I125">
        <f t="shared" si="12"/>
        <v>2.8160555124883018E-3</v>
      </c>
      <c r="J125">
        <f t="shared" si="13"/>
        <v>2.8576860286893472E-3</v>
      </c>
      <c r="K125">
        <f t="shared" si="14"/>
        <v>2.3212514964509868E-2</v>
      </c>
      <c r="L125">
        <f t="shared" si="15"/>
        <v>1.4071209442734156E-2</v>
      </c>
      <c r="M125">
        <f t="shared" si="16"/>
        <v>8.9671877400014622E-4</v>
      </c>
      <c r="N125">
        <f t="shared" si="17"/>
        <v>3.7730544737481927E-3</v>
      </c>
      <c r="O125">
        <f t="shared" si="18"/>
        <v>4.0327614305359994E-3</v>
      </c>
      <c r="P125">
        <f t="shared" si="19"/>
        <v>1.3858673394199925E-2</v>
      </c>
      <c r="Q125">
        <f t="shared" si="20"/>
        <v>4.2433472155973054E-2</v>
      </c>
      <c r="R125">
        <f t="shared" si="21"/>
        <v>2.3092338322261596E-2</v>
      </c>
      <c r="S125">
        <f t="shared" si="22"/>
        <v>1.782127575768706E-3</v>
      </c>
      <c r="T125">
        <f t="shared" si="23"/>
        <v>2.0141982657108821E-3</v>
      </c>
      <c r="U125">
        <f t="shared" si="24"/>
        <v>0.13422343172790238</v>
      </c>
      <c r="V125">
        <f t="shared" si="25"/>
        <v>1.4298846193669073E-2</v>
      </c>
      <c r="W125">
        <f t="shared" si="26"/>
        <v>3.6868841809359038E-2</v>
      </c>
      <c r="X125">
        <f t="shared" si="27"/>
        <v>5.1913345626810568E-2</v>
      </c>
      <c r="Y125">
        <f t="shared" si="28"/>
        <v>2.1044303952463126E-2</v>
      </c>
      <c r="Z125">
        <f t="shared" si="29"/>
        <v>3.4325997235789038E-2</v>
      </c>
      <c r="AA125">
        <f t="shared" si="30"/>
        <v>1.5529753455130468E-2</v>
      </c>
      <c r="AB125">
        <f t="shared" si="31"/>
        <v>3.9417843246427958E-4</v>
      </c>
      <c r="AC125">
        <f t="shared" si="32"/>
        <v>4.5328846532543084E-4</v>
      </c>
      <c r="AD125">
        <f t="shared" si="33"/>
        <v>2.0735173812909437E-2</v>
      </c>
      <c r="AE125">
        <f t="shared" si="34"/>
        <v>4.6205366467878095E-2</v>
      </c>
      <c r="AF125">
        <f t="shared" si="35"/>
        <v>1.939704216856377E-4</v>
      </c>
      <c r="AG125">
        <f t="shared" si="36"/>
        <v>2.6144045520773355E-3</v>
      </c>
      <c r="AH125">
        <f t="shared" si="37"/>
        <v>8.9080524943040975E-4</v>
      </c>
      <c r="AI125">
        <f t="shared" si="38"/>
        <v>6.2088114138321177E-4</v>
      </c>
      <c r="AJ125">
        <f t="shared" si="39"/>
        <v>2.6090649638900783E-2</v>
      </c>
      <c r="AK125">
        <f t="shared" si="40"/>
        <v>2.4540720773039655E-2</v>
      </c>
      <c r="AL125">
        <f t="shared" si="41"/>
        <v>7.0612391441720083E-5</v>
      </c>
      <c r="AM125">
        <f t="shared" si="42"/>
        <v>1.1218843154373011E-3</v>
      </c>
      <c r="AN125">
        <f t="shared" si="43"/>
        <v>2.5693269918618433E-2</v>
      </c>
      <c r="AO125">
        <f t="shared" si="44"/>
        <v>2.3388579798697671E-3</v>
      </c>
      <c r="AP125">
        <f t="shared" si="45"/>
        <v>1.4252383516730755E-3</v>
      </c>
      <c r="AQ125">
        <f t="shared" si="46"/>
        <v>1.0750187906408984E-4</v>
      </c>
      <c r="AR125">
        <f t="shared" si="47"/>
        <v>9.7964017467425417E-4</v>
      </c>
      <c r="AS125">
        <f t="shared" si="48"/>
        <v>1.0996027212164805E-2</v>
      </c>
    </row>
    <row r="126" spans="3:45" x14ac:dyDescent="0.25">
      <c r="C126" s="36" t="s">
        <v>92</v>
      </c>
      <c r="D126">
        <f t="shared" si="7"/>
        <v>2.4898707947659397E-4</v>
      </c>
      <c r="E126">
        <f t="shared" si="8"/>
        <v>1.5347496119379684E-3</v>
      </c>
      <c r="F126">
        <f t="shared" si="9"/>
        <v>8.0706496215535127E-3</v>
      </c>
      <c r="G126">
        <f t="shared" si="10"/>
        <v>7.5132820037654489E-4</v>
      </c>
      <c r="H126">
        <f t="shared" si="11"/>
        <v>1.855378092030302E-2</v>
      </c>
      <c r="I126">
        <f t="shared" si="12"/>
        <v>5.9697894411130559E-4</v>
      </c>
      <c r="J126">
        <f t="shared" si="13"/>
        <v>5.4002673925268726E-4</v>
      </c>
      <c r="K126">
        <f t="shared" si="14"/>
        <v>4.3210144929018812E-4</v>
      </c>
      <c r="L126">
        <f t="shared" si="15"/>
        <v>4.8630505454273602E-3</v>
      </c>
      <c r="M126">
        <f t="shared" si="16"/>
        <v>2.7344554185887737E-3</v>
      </c>
      <c r="N126">
        <f t="shared" si="17"/>
        <v>1.2560682556718922E-3</v>
      </c>
      <c r="O126">
        <f t="shared" si="18"/>
        <v>1.603271462550398E-3</v>
      </c>
      <c r="P126">
        <f t="shared" si="19"/>
        <v>3.3556224183179245E-3</v>
      </c>
      <c r="Q126">
        <f t="shared" si="20"/>
        <v>6.9763379232607697E-2</v>
      </c>
      <c r="R126">
        <f t="shared" si="21"/>
        <v>1.6481045337021114E-3</v>
      </c>
      <c r="S126">
        <f t="shared" si="22"/>
        <v>1.3642952233746915E-3</v>
      </c>
      <c r="T126">
        <f t="shared" si="23"/>
        <v>3.0103945014935943E-4</v>
      </c>
      <c r="U126">
        <f t="shared" si="24"/>
        <v>1.8577705026549837E-3</v>
      </c>
      <c r="V126">
        <f t="shared" si="25"/>
        <v>0.50804238175625804</v>
      </c>
      <c r="W126">
        <f t="shared" si="26"/>
        <v>7.716129063147005E-2</v>
      </c>
      <c r="X126">
        <f t="shared" si="27"/>
        <v>4.7628193035193063E-2</v>
      </c>
      <c r="Y126">
        <f t="shared" si="28"/>
        <v>2.3769877421944575E-2</v>
      </c>
      <c r="Z126">
        <f t="shared" si="29"/>
        <v>5.3678593125091156E-2</v>
      </c>
      <c r="AA126">
        <f t="shared" si="30"/>
        <v>1.4025638561387388E-2</v>
      </c>
      <c r="AB126">
        <f t="shared" si="31"/>
        <v>2.4840861543617813E-2</v>
      </c>
      <c r="AC126">
        <f t="shared" si="32"/>
        <v>2.2286630764856959E-3</v>
      </c>
      <c r="AD126">
        <f t="shared" si="33"/>
        <v>3.2386666222959364E-3</v>
      </c>
      <c r="AE126">
        <f t="shared" si="34"/>
        <v>4.6793011352092391E-3</v>
      </c>
      <c r="AF126">
        <f t="shared" si="35"/>
        <v>5.5614254609003752E-3</v>
      </c>
      <c r="AG126">
        <f t="shared" si="36"/>
        <v>5.6818427626687271E-3</v>
      </c>
      <c r="AH126">
        <f t="shared" si="37"/>
        <v>2.7224347622797984E-3</v>
      </c>
      <c r="AI126">
        <f t="shared" si="38"/>
        <v>5.8649668443853421E-2</v>
      </c>
      <c r="AJ126">
        <f t="shared" si="39"/>
        <v>2.3164154333855116E-2</v>
      </c>
      <c r="AK126">
        <f t="shared" si="40"/>
        <v>7.0300468634091159E-2</v>
      </c>
      <c r="AL126">
        <f t="shared" si="41"/>
        <v>9.4808672730018048E-4</v>
      </c>
      <c r="AM126">
        <f t="shared" si="42"/>
        <v>4.1907598151688305E-4</v>
      </c>
      <c r="AN126">
        <f t="shared" si="43"/>
        <v>9.2346054146809409E-2</v>
      </c>
      <c r="AO126">
        <f t="shared" si="44"/>
        <v>7.2238076425167634E-3</v>
      </c>
      <c r="AP126">
        <f t="shared" si="45"/>
        <v>1.0984656612413121E-2</v>
      </c>
      <c r="AQ126">
        <f t="shared" si="46"/>
        <v>2.4049067908356952E-3</v>
      </c>
      <c r="AR126">
        <f t="shared" si="47"/>
        <v>7.1687668726506757E-3</v>
      </c>
      <c r="AS126">
        <f t="shared" si="48"/>
        <v>4.2627375002642326E-2</v>
      </c>
    </row>
    <row r="127" spans="3:45" x14ac:dyDescent="0.25">
      <c r="C127" s="36" t="s">
        <v>91</v>
      </c>
      <c r="D127">
        <f t="shared" si="7"/>
        <v>1.4847180449814666E-4</v>
      </c>
      <c r="E127">
        <f t="shared" si="8"/>
        <v>3.7504487253981313E-3</v>
      </c>
      <c r="F127">
        <f t="shared" si="9"/>
        <v>9.5758095463527001E-4</v>
      </c>
      <c r="G127">
        <f t="shared" si="10"/>
        <v>5.0703719898546858E-3</v>
      </c>
      <c r="H127">
        <f t="shared" si="11"/>
        <v>5.2698347406595018E-3</v>
      </c>
      <c r="I127">
        <f t="shared" si="12"/>
        <v>5.2207758636859639E-4</v>
      </c>
      <c r="J127">
        <f t="shared" si="13"/>
        <v>6.5379066205222848E-4</v>
      </c>
      <c r="K127">
        <f t="shared" si="14"/>
        <v>1.0796532673730543E-3</v>
      </c>
      <c r="L127">
        <f t="shared" si="15"/>
        <v>2.5264589672851236E-3</v>
      </c>
      <c r="M127">
        <f t="shared" si="16"/>
        <v>4.4179180158070776E-4</v>
      </c>
      <c r="N127">
        <f t="shared" si="17"/>
        <v>9.6139919245057299E-4</v>
      </c>
      <c r="O127">
        <f t="shared" si="18"/>
        <v>4.1805454555886729E-4</v>
      </c>
      <c r="P127">
        <f t="shared" si="19"/>
        <v>3.2077906455196324E-3</v>
      </c>
      <c r="Q127">
        <f t="shared" si="20"/>
        <v>4.4972769604092327E-2</v>
      </c>
      <c r="R127">
        <f t="shared" si="21"/>
        <v>1.9748748599489568E-3</v>
      </c>
      <c r="S127">
        <f t="shared" si="22"/>
        <v>8.27754992110454E-4</v>
      </c>
      <c r="T127">
        <f t="shared" si="23"/>
        <v>5.1360968963331177E-4</v>
      </c>
      <c r="U127">
        <f t="shared" si="24"/>
        <v>2.3453229417637294E-3</v>
      </c>
      <c r="V127">
        <f t="shared" si="25"/>
        <v>4.7749579366798245E-2</v>
      </c>
      <c r="W127">
        <f t="shared" si="26"/>
        <v>0.16836291774120629</v>
      </c>
      <c r="X127">
        <f t="shared" si="27"/>
        <v>5.7540194361577972E-2</v>
      </c>
      <c r="Y127">
        <f t="shared" si="28"/>
        <v>2.4022551460548415E-2</v>
      </c>
      <c r="Z127">
        <f t="shared" si="29"/>
        <v>0.10464379043156739</v>
      </c>
      <c r="AA127">
        <f t="shared" si="30"/>
        <v>1.2549358131187615E-2</v>
      </c>
      <c r="AB127">
        <f t="shared" si="31"/>
        <v>6.0763316152341582E-2</v>
      </c>
      <c r="AC127">
        <f t="shared" si="32"/>
        <v>9.7412212660051665E-4</v>
      </c>
      <c r="AD127">
        <f t="shared" si="33"/>
        <v>2.00775073312652E-3</v>
      </c>
      <c r="AE127">
        <f t="shared" si="34"/>
        <v>3.2654156266098515E-2</v>
      </c>
      <c r="AF127">
        <f t="shared" si="35"/>
        <v>9.704883514159126E-3</v>
      </c>
      <c r="AG127">
        <f t="shared" si="36"/>
        <v>4.3419779635703922E-3</v>
      </c>
      <c r="AH127">
        <f t="shared" si="37"/>
        <v>1.2089234990799811E-3</v>
      </c>
      <c r="AI127">
        <f t="shared" si="38"/>
        <v>1.0998725507039972E-2</v>
      </c>
      <c r="AJ127">
        <f t="shared" si="39"/>
        <v>1.3242173508707098E-2</v>
      </c>
      <c r="AK127">
        <f t="shared" si="40"/>
        <v>3.1614616269165979E-2</v>
      </c>
      <c r="AL127">
        <f t="shared" si="41"/>
        <v>8.9835394585621891E-5</v>
      </c>
      <c r="AM127">
        <f t="shared" si="42"/>
        <v>5.4456186277738231E-5</v>
      </c>
      <c r="AN127">
        <f t="shared" si="43"/>
        <v>1.8986612606927047E-2</v>
      </c>
      <c r="AO127">
        <f t="shared" si="44"/>
        <v>3.6006396020466934E-3</v>
      </c>
      <c r="AP127">
        <f t="shared" si="45"/>
        <v>1.7672154550594642E-4</v>
      </c>
      <c r="AQ127">
        <f t="shared" si="46"/>
        <v>9.6192069750971243E-4</v>
      </c>
      <c r="AR127">
        <f t="shared" si="47"/>
        <v>6.7294112416665334E-4</v>
      </c>
      <c r="AS127">
        <f t="shared" si="48"/>
        <v>1.0837048044287194E-2</v>
      </c>
    </row>
    <row r="128" spans="3:45" x14ac:dyDescent="0.25">
      <c r="C128" s="36" t="s">
        <v>87</v>
      </c>
      <c r="D128">
        <f t="shared" si="7"/>
        <v>6.0541888178443609E-4</v>
      </c>
      <c r="E128">
        <f t="shared" si="8"/>
        <v>1.2095679612508788E-2</v>
      </c>
      <c r="F128">
        <f t="shared" si="9"/>
        <v>6.471471480760032E-3</v>
      </c>
      <c r="G128">
        <f t="shared" si="10"/>
        <v>1.3116699929028379E-2</v>
      </c>
      <c r="H128">
        <f t="shared" si="11"/>
        <v>5.6472007494466174E-3</v>
      </c>
      <c r="I128">
        <f t="shared" si="12"/>
        <v>1.1624297568234299E-3</v>
      </c>
      <c r="J128">
        <f t="shared" si="13"/>
        <v>2.4154518191448803E-3</v>
      </c>
      <c r="K128">
        <f t="shared" si="14"/>
        <v>4.8170967901631952E-3</v>
      </c>
      <c r="L128">
        <f t="shared" si="15"/>
        <v>3.4995717718581615E-3</v>
      </c>
      <c r="M128">
        <f t="shared" si="16"/>
        <v>5.9660571770986052E-3</v>
      </c>
      <c r="N128">
        <f t="shared" si="17"/>
        <v>5.287225982980065E-3</v>
      </c>
      <c r="O128">
        <f t="shared" si="18"/>
        <v>1.8316026302666484E-3</v>
      </c>
      <c r="P128">
        <f t="shared" si="19"/>
        <v>3.112822820199404E-3</v>
      </c>
      <c r="Q128">
        <f t="shared" si="20"/>
        <v>9.1525857592929569E-2</v>
      </c>
      <c r="R128">
        <f t="shared" si="21"/>
        <v>1.5243140604988721E-2</v>
      </c>
      <c r="S128">
        <f t="shared" si="22"/>
        <v>1.1281932360481767E-2</v>
      </c>
      <c r="T128">
        <f t="shared" si="23"/>
        <v>1.8090219613970686E-3</v>
      </c>
      <c r="U128">
        <f t="shared" si="24"/>
        <v>2.5754771210736344E-2</v>
      </c>
      <c r="V128">
        <f t="shared" si="25"/>
        <v>7.6049292770612523E-3</v>
      </c>
      <c r="W128">
        <f t="shared" si="26"/>
        <v>3.445809763743566E-2</v>
      </c>
      <c r="X128">
        <f t="shared" si="27"/>
        <v>0.21295838647893062</v>
      </c>
      <c r="Y128">
        <f t="shared" si="28"/>
        <v>3.6406552430698902E-2</v>
      </c>
      <c r="Z128">
        <f t="shared" si="29"/>
        <v>7.2175855135751504E-2</v>
      </c>
      <c r="AA128">
        <f t="shared" si="30"/>
        <v>1.3153047817443768E-2</v>
      </c>
      <c r="AB128">
        <f t="shared" si="31"/>
        <v>3.9285212416493168E-3</v>
      </c>
      <c r="AC128">
        <f t="shared" si="32"/>
        <v>1.9756403751838019E-3</v>
      </c>
      <c r="AD128">
        <f t="shared" si="33"/>
        <v>3.6889516030529806E-3</v>
      </c>
      <c r="AE128">
        <f t="shared" si="34"/>
        <v>7.3680824098853424E-3</v>
      </c>
      <c r="AF128">
        <f t="shared" si="35"/>
        <v>1.6218378947565129E-4</v>
      </c>
      <c r="AG128">
        <f t="shared" si="36"/>
        <v>8.4151245048427921E-3</v>
      </c>
      <c r="AH128">
        <f t="shared" si="37"/>
        <v>6.8897002242520136E-4</v>
      </c>
      <c r="AI128">
        <f t="shared" si="38"/>
        <v>4.1785172496622752E-4</v>
      </c>
      <c r="AJ128">
        <f t="shared" si="39"/>
        <v>3.0843031682507339E-4</v>
      </c>
      <c r="AK128">
        <f t="shared" si="40"/>
        <v>9.3501318071279981E-4</v>
      </c>
      <c r="AL128">
        <f t="shared" si="41"/>
        <v>5.2445365733525559E-4</v>
      </c>
      <c r="AM128">
        <f t="shared" si="42"/>
        <v>2.8900950402407916E-4</v>
      </c>
      <c r="AN128">
        <f t="shared" si="43"/>
        <v>1.3873549605216626E-3</v>
      </c>
      <c r="AO128">
        <f t="shared" si="44"/>
        <v>4.1407401935498404E-4</v>
      </c>
      <c r="AP128">
        <f t="shared" si="45"/>
        <v>1.2196780937461513E-3</v>
      </c>
      <c r="AQ128">
        <f t="shared" si="46"/>
        <v>2.1545599428804253E-4</v>
      </c>
      <c r="AR128">
        <f t="shared" si="47"/>
        <v>3.3213538986661507E-4</v>
      </c>
      <c r="AS128">
        <f t="shared" si="48"/>
        <v>4.364368658304727E-4</v>
      </c>
    </row>
    <row r="129" spans="3:45" x14ac:dyDescent="0.25">
      <c r="C129" s="36" t="s">
        <v>89</v>
      </c>
      <c r="D129">
        <f t="shared" si="7"/>
        <v>1.0579989434137838E-3</v>
      </c>
      <c r="E129">
        <f t="shared" si="8"/>
        <v>8.4546941268715415E-4</v>
      </c>
      <c r="F129">
        <f t="shared" si="9"/>
        <v>1.6556385189007519E-4</v>
      </c>
      <c r="G129">
        <f t="shared" si="10"/>
        <v>5.2839452293882436E-3</v>
      </c>
      <c r="H129">
        <f t="shared" si="11"/>
        <v>7.4557202534410857E-3</v>
      </c>
      <c r="I129">
        <f t="shared" si="12"/>
        <v>1.3954551218800287E-4</v>
      </c>
      <c r="J129">
        <f t="shared" si="13"/>
        <v>3.3488804550209605E-4</v>
      </c>
      <c r="K129">
        <f t="shared" si="14"/>
        <v>4.483177444887301E-4</v>
      </c>
      <c r="L129">
        <f t="shared" si="15"/>
        <v>4.4677479731950349E-4</v>
      </c>
      <c r="M129">
        <f t="shared" si="16"/>
        <v>2.7265593938118818E-5</v>
      </c>
      <c r="N129">
        <f t="shared" si="17"/>
        <v>4.2864261795646743E-4</v>
      </c>
      <c r="O129">
        <f t="shared" si="18"/>
        <v>1.1757936979942203E-4</v>
      </c>
      <c r="P129">
        <f t="shared" si="19"/>
        <v>4.5142591224955469E-4</v>
      </c>
      <c r="Q129">
        <f t="shared" si="20"/>
        <v>2.2842572673909729E-2</v>
      </c>
      <c r="R129">
        <f t="shared" si="21"/>
        <v>3.2341657002508332E-3</v>
      </c>
      <c r="S129">
        <f t="shared" si="22"/>
        <v>2.738934024952454E-4</v>
      </c>
      <c r="T129">
        <f t="shared" si="23"/>
        <v>1.1561339968207015E-4</v>
      </c>
      <c r="U129">
        <f t="shared" si="24"/>
        <v>1.1431319264720422E-3</v>
      </c>
      <c r="V129">
        <f t="shared" si="25"/>
        <v>5.8469165985014949E-4</v>
      </c>
      <c r="W129">
        <f t="shared" si="26"/>
        <v>1.9270852986191997E-3</v>
      </c>
      <c r="X129">
        <f t="shared" si="27"/>
        <v>1.419302121711976E-2</v>
      </c>
      <c r="Y129">
        <f t="shared" si="28"/>
        <v>0.33624128850861351</v>
      </c>
      <c r="Z129">
        <f t="shared" si="29"/>
        <v>6.338024842869063E-3</v>
      </c>
      <c r="AA129">
        <f t="shared" si="30"/>
        <v>1.7772741280938941E-3</v>
      </c>
      <c r="AB129">
        <f t="shared" si="31"/>
        <v>8.4300520318653061E-5</v>
      </c>
      <c r="AC129">
        <f t="shared" si="32"/>
        <v>1.3039546503561524E-4</v>
      </c>
      <c r="AD129">
        <f t="shared" si="33"/>
        <v>2.5277078702352717E-4</v>
      </c>
      <c r="AE129">
        <f t="shared" si="34"/>
        <v>3.886170298464143E-4</v>
      </c>
      <c r="AF129">
        <f t="shared" si="35"/>
        <v>7.9305471298951011E-5</v>
      </c>
      <c r="AG129">
        <f t="shared" si="36"/>
        <v>5.8383917562908623E-2</v>
      </c>
      <c r="AH129">
        <f t="shared" si="37"/>
        <v>1.0921962826251233E-3</v>
      </c>
      <c r="AI129">
        <f t="shared" si="38"/>
        <v>2.6934958812846016E-4</v>
      </c>
      <c r="AJ129">
        <f t="shared" si="39"/>
        <v>3.3591739688021649E-2</v>
      </c>
      <c r="AK129">
        <f t="shared" si="40"/>
        <v>1.5391825743833491E-3</v>
      </c>
      <c r="AL129">
        <f t="shared" si="41"/>
        <v>2.3513786284911844E-4</v>
      </c>
      <c r="AM129">
        <f t="shared" si="42"/>
        <v>2.6570716266558558E-5</v>
      </c>
      <c r="AN129">
        <f t="shared" si="43"/>
        <v>6.5940378284928495E-3</v>
      </c>
      <c r="AO129">
        <f t="shared" si="44"/>
        <v>4.4949530334676777E-3</v>
      </c>
      <c r="AP129">
        <f t="shared" si="45"/>
        <v>2.1614458497391215E-4</v>
      </c>
      <c r="AQ129">
        <f t="shared" si="46"/>
        <v>8.9090446190003065E-5</v>
      </c>
      <c r="AR129">
        <f t="shared" si="47"/>
        <v>5.8452872564796203E-4</v>
      </c>
      <c r="AS129">
        <f t="shared" si="48"/>
        <v>2.6842500565386961E-2</v>
      </c>
    </row>
    <row r="130" spans="3:45" x14ac:dyDescent="0.25">
      <c r="C130" s="36" t="s">
        <v>90</v>
      </c>
      <c r="D130">
        <f t="shared" si="7"/>
        <v>1.2267584335347726E-3</v>
      </c>
      <c r="E130">
        <f t="shared" si="8"/>
        <v>5.8440327831703657E-4</v>
      </c>
      <c r="F130">
        <f t="shared" si="9"/>
        <v>3.0639568682144767E-5</v>
      </c>
      <c r="G130">
        <f t="shared" si="10"/>
        <v>3.5050759019113995E-4</v>
      </c>
      <c r="H130">
        <f t="shared" si="11"/>
        <v>2.3615798561031788E-4</v>
      </c>
      <c r="I130">
        <f t="shared" si="12"/>
        <v>5.0743677573393509E-5</v>
      </c>
      <c r="J130">
        <f t="shared" si="13"/>
        <v>9.1770114894851687E-5</v>
      </c>
      <c r="K130">
        <f t="shared" si="14"/>
        <v>2.6290684220880371E-4</v>
      </c>
      <c r="L130">
        <f t="shared" si="15"/>
        <v>1.5568095565643566E-4</v>
      </c>
      <c r="M130">
        <f t="shared" si="16"/>
        <v>1.0466598858114021E-4</v>
      </c>
      <c r="N130">
        <f t="shared" si="17"/>
        <v>1.7851068709005756E-4</v>
      </c>
      <c r="O130">
        <f t="shared" si="18"/>
        <v>1.3955853077962486E-4</v>
      </c>
      <c r="P130">
        <f t="shared" si="19"/>
        <v>6.7877791611792353E-5</v>
      </c>
      <c r="Q130">
        <f t="shared" si="20"/>
        <v>4.0789276795928963E-3</v>
      </c>
      <c r="R130">
        <f t="shared" si="21"/>
        <v>8.5427531046117637E-5</v>
      </c>
      <c r="S130">
        <f t="shared" si="22"/>
        <v>5.5151995276742038E-5</v>
      </c>
      <c r="T130">
        <f t="shared" si="23"/>
        <v>3.2983550762431202E-6</v>
      </c>
      <c r="U130">
        <f t="shared" si="24"/>
        <v>1.2679234531176069E-4</v>
      </c>
      <c r="V130">
        <f t="shared" si="25"/>
        <v>2.4678653347592894E-4</v>
      </c>
      <c r="W130">
        <f t="shared" si="26"/>
        <v>5.9486370381552035E-4</v>
      </c>
      <c r="X130">
        <f t="shared" si="27"/>
        <v>3.7734912675901279E-3</v>
      </c>
      <c r="Y130">
        <f t="shared" si="28"/>
        <v>8.0217339747097377E-4</v>
      </c>
      <c r="Z130">
        <f t="shared" si="29"/>
        <v>0.16940449128128571</v>
      </c>
      <c r="AA130">
        <f t="shared" si="30"/>
        <v>1.3832224445215676E-2</v>
      </c>
      <c r="AB130">
        <f t="shared" si="31"/>
        <v>3.0701340999171687E-6</v>
      </c>
      <c r="AC130">
        <f t="shared" si="32"/>
        <v>3.5795617717150636E-5</v>
      </c>
      <c r="AD130">
        <f t="shared" si="33"/>
        <v>8.2332599492583895E-5</v>
      </c>
      <c r="AE130">
        <f t="shared" si="34"/>
        <v>4.6928599273243082E-4</v>
      </c>
      <c r="AF130">
        <f t="shared" si="35"/>
        <v>2.2579763647693639E-5</v>
      </c>
      <c r="AG130">
        <f t="shared" si="36"/>
        <v>1.4668030112444235E-2</v>
      </c>
      <c r="AH130">
        <f t="shared" si="37"/>
        <v>1.3784892788549959E-5</v>
      </c>
      <c r="AI130">
        <f t="shared" si="38"/>
        <v>1.0084065340744897E-5</v>
      </c>
      <c r="AJ130">
        <f t="shared" si="39"/>
        <v>3.1999687406630678E-5</v>
      </c>
      <c r="AK130">
        <f t="shared" si="40"/>
        <v>4.2156163669994357E-4</v>
      </c>
      <c r="AL130">
        <f t="shared" si="41"/>
        <v>3.0844046819496615E-5</v>
      </c>
      <c r="AM130">
        <f t="shared" si="42"/>
        <v>2.0028265376063262E-6</v>
      </c>
      <c r="AN130">
        <f t="shared" si="43"/>
        <v>3.0684979974338885E-4</v>
      </c>
      <c r="AO130">
        <f t="shared" si="44"/>
        <v>6.9501438363122941E-4</v>
      </c>
      <c r="AP130">
        <f t="shared" si="45"/>
        <v>3.4109088443029764E-5</v>
      </c>
      <c r="AQ130">
        <f t="shared" si="46"/>
        <v>4.2336413451343297E-4</v>
      </c>
      <c r="AR130">
        <f t="shared" si="47"/>
        <v>1.2078720676698825E-4</v>
      </c>
      <c r="AS130">
        <f t="shared" si="48"/>
        <v>1.5123710160055185E-2</v>
      </c>
    </row>
    <row r="131" spans="3:45" x14ac:dyDescent="0.25">
      <c r="C131" s="36" t="s">
        <v>93</v>
      </c>
      <c r="D131">
        <f t="shared" si="7"/>
        <v>1.2371371183117103E-4</v>
      </c>
      <c r="E131">
        <f t="shared" si="8"/>
        <v>1.7250585903719508E-3</v>
      </c>
      <c r="F131">
        <f t="shared" si="9"/>
        <v>1.3640540520678034E-3</v>
      </c>
      <c r="G131">
        <f t="shared" si="10"/>
        <v>1.0288512724160156E-3</v>
      </c>
      <c r="H131">
        <f t="shared" si="11"/>
        <v>6.6087742710438172E-3</v>
      </c>
      <c r="I131">
        <f t="shared" si="12"/>
        <v>5.2036440845715909E-4</v>
      </c>
      <c r="J131">
        <f t="shared" si="13"/>
        <v>1.8034233145231727E-3</v>
      </c>
      <c r="K131">
        <f t="shared" si="14"/>
        <v>9.1342654605631264E-4</v>
      </c>
      <c r="L131">
        <f t="shared" si="15"/>
        <v>1.9319310926554908E-2</v>
      </c>
      <c r="M131">
        <f t="shared" si="16"/>
        <v>1.3769282803789034E-3</v>
      </c>
      <c r="N131">
        <f t="shared" si="17"/>
        <v>2.4332277993117882E-3</v>
      </c>
      <c r="O131">
        <f t="shared" si="18"/>
        <v>3.7955474225878736E-4</v>
      </c>
      <c r="P131">
        <f t="shared" si="19"/>
        <v>8.2169423273092557E-3</v>
      </c>
      <c r="Q131">
        <f t="shared" si="20"/>
        <v>2.223545236589308E-3</v>
      </c>
      <c r="R131">
        <f t="shared" si="21"/>
        <v>4.9521320227700859E-3</v>
      </c>
      <c r="S131">
        <f t="shared" si="22"/>
        <v>7.7677239800335848E-2</v>
      </c>
      <c r="T131">
        <f t="shared" si="23"/>
        <v>2.6476365164795367E-2</v>
      </c>
      <c r="U131">
        <f t="shared" si="24"/>
        <v>1.6620715891557555E-2</v>
      </c>
      <c r="V131">
        <f t="shared" si="25"/>
        <v>1.2553605187458569E-3</v>
      </c>
      <c r="W131">
        <f t="shared" si="26"/>
        <v>1.3669266213827715E-3</v>
      </c>
      <c r="X131">
        <f t="shared" si="27"/>
        <v>1.6522514672748809E-3</v>
      </c>
      <c r="Y131">
        <f t="shared" si="28"/>
        <v>1.2000980125275824E-3</v>
      </c>
      <c r="Z131">
        <f t="shared" si="29"/>
        <v>3.9265685383181375E-3</v>
      </c>
      <c r="AA131">
        <f t="shared" si="30"/>
        <v>8.0307535519723763E-2</v>
      </c>
      <c r="AB131">
        <f t="shared" si="31"/>
        <v>5.2406026843624266E-3</v>
      </c>
      <c r="AC131">
        <f t="shared" si="32"/>
        <v>1.905442103052802E-3</v>
      </c>
      <c r="AD131">
        <f t="shared" si="33"/>
        <v>2.1904013020209783E-3</v>
      </c>
      <c r="AE131">
        <f t="shared" si="34"/>
        <v>1.3574378821362804E-3</v>
      </c>
      <c r="AF131">
        <f t="shared" si="35"/>
        <v>8.9247695367332842E-5</v>
      </c>
      <c r="AG131">
        <f t="shared" si="36"/>
        <v>1.1740694002803384E-3</v>
      </c>
      <c r="AH131">
        <f t="shared" si="37"/>
        <v>4.7498553168567615E-4</v>
      </c>
      <c r="AI131">
        <f t="shared" si="38"/>
        <v>4.79658979934926E-4</v>
      </c>
      <c r="AJ131">
        <f t="shared" si="39"/>
        <v>9.302627934715953E-3</v>
      </c>
      <c r="AK131">
        <f t="shared" si="40"/>
        <v>7.703744745673714E-3</v>
      </c>
      <c r="AL131">
        <f t="shared" si="41"/>
        <v>5.884894142689309E-5</v>
      </c>
      <c r="AM131">
        <f t="shared" si="42"/>
        <v>1.2065279908332646E-3</v>
      </c>
      <c r="AN131">
        <f t="shared" si="43"/>
        <v>1.046715440629864E-2</v>
      </c>
      <c r="AO131">
        <f t="shared" si="44"/>
        <v>1.5255133278712009E-3</v>
      </c>
      <c r="AP131">
        <f t="shared" si="45"/>
        <v>4.9934093894270844E-4</v>
      </c>
      <c r="AQ131">
        <f t="shared" si="46"/>
        <v>4.3290235864819186E-4</v>
      </c>
      <c r="AR131">
        <f t="shared" si="47"/>
        <v>4.0184327597658854E-3</v>
      </c>
      <c r="AS131">
        <f t="shared" si="48"/>
        <v>7.1375345004640748E-3</v>
      </c>
    </row>
    <row r="132" spans="3:45" x14ac:dyDescent="0.25">
      <c r="C132" s="36" t="s">
        <v>94</v>
      </c>
      <c r="D132">
        <f t="shared" si="7"/>
        <v>7.9842632877085481E-3</v>
      </c>
      <c r="E132">
        <f t="shared" si="8"/>
        <v>3.6125175341214288E-2</v>
      </c>
      <c r="F132">
        <f t="shared" si="9"/>
        <v>3.554596582624453E-2</v>
      </c>
      <c r="G132">
        <f t="shared" si="10"/>
        <v>7.5404768532002522E-2</v>
      </c>
      <c r="H132">
        <f t="shared" si="11"/>
        <v>2.3770548447124111E-2</v>
      </c>
      <c r="I132">
        <f t="shared" si="12"/>
        <v>6.6625043400248898E-3</v>
      </c>
      <c r="J132">
        <f t="shared" si="13"/>
        <v>1.2241175332836982E-2</v>
      </c>
      <c r="K132">
        <f t="shared" si="14"/>
        <v>1.9586905907814246E-2</v>
      </c>
      <c r="L132">
        <f t="shared" si="15"/>
        <v>1.8233053481784535E-2</v>
      </c>
      <c r="M132">
        <f t="shared" si="16"/>
        <v>2.1788440198422243E-2</v>
      </c>
      <c r="N132">
        <f t="shared" si="17"/>
        <v>4.8515184574377028E-2</v>
      </c>
      <c r="O132">
        <f t="shared" si="18"/>
        <v>1.4973564760720788E-2</v>
      </c>
      <c r="P132">
        <f t="shared" si="19"/>
        <v>1.7950859611273042E-2</v>
      </c>
      <c r="Q132">
        <f t="shared" si="20"/>
        <v>1.5042440546756615E-2</v>
      </c>
      <c r="R132">
        <f t="shared" si="21"/>
        <v>4.9808860915230499E-2</v>
      </c>
      <c r="S132">
        <f t="shared" si="22"/>
        <v>5.0870380447971118E-2</v>
      </c>
      <c r="T132">
        <f t="shared" si="23"/>
        <v>5.4689161718928403E-2</v>
      </c>
      <c r="U132">
        <f t="shared" si="24"/>
        <v>4.5511558549808991E-2</v>
      </c>
      <c r="V132">
        <f t="shared" si="25"/>
        <v>9.6786048374218978E-3</v>
      </c>
      <c r="W132">
        <f t="shared" si="26"/>
        <v>1.1898243737558035E-2</v>
      </c>
      <c r="X132">
        <f t="shared" si="27"/>
        <v>1.6958551246506737E-2</v>
      </c>
      <c r="Y132">
        <f t="shared" si="28"/>
        <v>8.1950697575499578E-3</v>
      </c>
      <c r="Z132">
        <f t="shared" si="29"/>
        <v>1.0310082300079336E-2</v>
      </c>
      <c r="AA132">
        <f t="shared" si="30"/>
        <v>1.2329889677861153E-2</v>
      </c>
      <c r="AB132">
        <f t="shared" si="31"/>
        <v>0.29701547896686392</v>
      </c>
      <c r="AC132">
        <f t="shared" si="32"/>
        <v>2.4476855984874309E-2</v>
      </c>
      <c r="AD132">
        <f t="shared" si="33"/>
        <v>0.12727580637609628</v>
      </c>
      <c r="AE132">
        <f t="shared" si="34"/>
        <v>1.4608893710718794E-2</v>
      </c>
      <c r="AF132">
        <f t="shared" si="35"/>
        <v>8.4437619895543648E-3</v>
      </c>
      <c r="AG132">
        <f t="shared" si="36"/>
        <v>1.3809226355111226E-2</v>
      </c>
      <c r="AH132">
        <f t="shared" si="37"/>
        <v>9.6558593437909759E-3</v>
      </c>
      <c r="AI132">
        <f t="shared" si="38"/>
        <v>9.8288289689773527E-3</v>
      </c>
      <c r="AJ132">
        <f t="shared" si="39"/>
        <v>3.9327662817031294E-3</v>
      </c>
      <c r="AK132">
        <f t="shared" si="40"/>
        <v>1.3371886125220906E-2</v>
      </c>
      <c r="AL132">
        <f t="shared" si="41"/>
        <v>3.5319762027937142E-3</v>
      </c>
      <c r="AM132">
        <f t="shared" si="42"/>
        <v>4.266652217969142E-3</v>
      </c>
      <c r="AN132">
        <f t="shared" si="43"/>
        <v>4.7891418390707081E-3</v>
      </c>
      <c r="AO132">
        <f t="shared" si="44"/>
        <v>1.130072682558369E-2</v>
      </c>
      <c r="AP132">
        <f t="shared" si="45"/>
        <v>6.4646631125669721E-3</v>
      </c>
      <c r="AQ132">
        <f t="shared" si="46"/>
        <v>6.3803487495027516E-3</v>
      </c>
      <c r="AR132">
        <f t="shared" si="47"/>
        <v>1.0053999014997195E-2</v>
      </c>
      <c r="AS132">
        <f t="shared" si="48"/>
        <v>1.1405866635239317E-2</v>
      </c>
    </row>
    <row r="133" spans="3:45" x14ac:dyDescent="0.25">
      <c r="C133" s="36" t="s">
        <v>95</v>
      </c>
      <c r="D133">
        <f t="shared" si="7"/>
        <v>1.1919854259951213E-4</v>
      </c>
      <c r="E133">
        <f t="shared" si="8"/>
        <v>1.2294692579019328E-4</v>
      </c>
      <c r="F133">
        <f t="shared" si="9"/>
        <v>1.9946132885387464E-4</v>
      </c>
      <c r="G133">
        <f t="shared" si="10"/>
        <v>1.1992916215124458E-4</v>
      </c>
      <c r="H133">
        <f t="shared" si="11"/>
        <v>3.2820220527190287E-3</v>
      </c>
      <c r="I133">
        <f t="shared" si="12"/>
        <v>3.5429612821080562E-4</v>
      </c>
      <c r="J133">
        <f t="shared" si="13"/>
        <v>2.4796353890182765E-4</v>
      </c>
      <c r="K133">
        <f t="shared" si="14"/>
        <v>9.8733721120252817E-5</v>
      </c>
      <c r="L133">
        <f t="shared" si="15"/>
        <v>6.5704938112229739E-4</v>
      </c>
      <c r="M133">
        <f t="shared" si="16"/>
        <v>1.9975024739186929E-3</v>
      </c>
      <c r="N133">
        <f t="shared" si="17"/>
        <v>2.3513509415451768E-3</v>
      </c>
      <c r="O133">
        <f t="shared" si="18"/>
        <v>1.0760194583241328E-5</v>
      </c>
      <c r="P133">
        <f t="shared" si="19"/>
        <v>1.4065969745736759E-5</v>
      </c>
      <c r="Q133">
        <f t="shared" si="20"/>
        <v>7.9101939528617598E-4</v>
      </c>
      <c r="R133">
        <f t="shared" si="21"/>
        <v>3.2865667001281046E-4</v>
      </c>
      <c r="S133">
        <f t="shared" si="22"/>
        <v>3.4209554447811656E-4</v>
      </c>
      <c r="T133">
        <f t="shared" si="23"/>
        <v>1.331465121740506E-4</v>
      </c>
      <c r="U133">
        <f t="shared" si="24"/>
        <v>8.4718776903372722E-4</v>
      </c>
      <c r="V133">
        <f t="shared" si="25"/>
        <v>1.17515040744809E-4</v>
      </c>
      <c r="W133">
        <f t="shared" si="26"/>
        <v>3.5881140706369379E-4</v>
      </c>
      <c r="X133">
        <f t="shared" si="27"/>
        <v>3.4347759515786518E-4</v>
      </c>
      <c r="Y133">
        <f t="shared" si="28"/>
        <v>1.4764743620480857E-4</v>
      </c>
      <c r="Z133">
        <f t="shared" si="29"/>
        <v>8.7314393610195371E-4</v>
      </c>
      <c r="AA133">
        <f t="shared" si="30"/>
        <v>2.5663144769181327E-3</v>
      </c>
      <c r="AB133">
        <f t="shared" si="31"/>
        <v>2.8583958237567322E-3</v>
      </c>
      <c r="AC133">
        <f t="shared" si="32"/>
        <v>0.12290009917320427</v>
      </c>
      <c r="AD133">
        <f t="shared" si="33"/>
        <v>1.4187076587293971E-5</v>
      </c>
      <c r="AE133">
        <f t="shared" si="34"/>
        <v>1.525946235651028E-5</v>
      </c>
      <c r="AF133">
        <f t="shared" si="35"/>
        <v>7.2558118038802127E-5</v>
      </c>
      <c r="AG133">
        <f t="shared" si="36"/>
        <v>1.6396034755574728E-2</v>
      </c>
      <c r="AH133">
        <f t="shared" si="37"/>
        <v>5.9333311796565006E-3</v>
      </c>
      <c r="AI133">
        <f t="shared" si="38"/>
        <v>8.2761774047288928E-5</v>
      </c>
      <c r="AJ133">
        <f t="shared" si="39"/>
        <v>4.792331266182451E-4</v>
      </c>
      <c r="AK133">
        <f t="shared" si="40"/>
        <v>7.8554023291010249E-4</v>
      </c>
      <c r="AL133">
        <f t="shared" si="41"/>
        <v>2.4343691163563862E-5</v>
      </c>
      <c r="AM133">
        <f t="shared" si="42"/>
        <v>1.8787675131342271E-3</v>
      </c>
      <c r="AN133">
        <f t="shared" si="43"/>
        <v>4.0763895606465913E-4</v>
      </c>
      <c r="AO133">
        <f t="shared" si="44"/>
        <v>3.8248691157275914E-4</v>
      </c>
      <c r="AP133">
        <f t="shared" si="45"/>
        <v>1.0027457250570185E-3</v>
      </c>
      <c r="AQ133">
        <f t="shared" si="46"/>
        <v>5.0771914012092876E-4</v>
      </c>
      <c r="AR133">
        <f t="shared" si="47"/>
        <v>1.7966531736517183E-3</v>
      </c>
      <c r="AS133">
        <f t="shared" si="48"/>
        <v>3.6872866458431464E-3</v>
      </c>
    </row>
    <row r="134" spans="3:45" x14ac:dyDescent="0.25">
      <c r="C134" s="36" t="s">
        <v>96</v>
      </c>
      <c r="D134">
        <f t="shared" si="7"/>
        <v>3.1025837596234784E-5</v>
      </c>
      <c r="E134">
        <f t="shared" si="8"/>
        <v>2.4188805843203566E-4</v>
      </c>
      <c r="F134">
        <f t="shared" si="9"/>
        <v>6.1960218448248075E-4</v>
      </c>
      <c r="G134">
        <f t="shared" si="10"/>
        <v>3.9011585798893035E-4</v>
      </c>
      <c r="H134">
        <f t="shared" si="11"/>
        <v>7.5554908032439579E-4</v>
      </c>
      <c r="I134">
        <f t="shared" si="12"/>
        <v>9.4046471539952815E-4</v>
      </c>
      <c r="J134">
        <f t="shared" si="13"/>
        <v>3.7046145914598218E-4</v>
      </c>
      <c r="K134">
        <f t="shared" si="14"/>
        <v>4.4597473740588318E-4</v>
      </c>
      <c r="L134">
        <f t="shared" si="15"/>
        <v>6.373077657503603E-4</v>
      </c>
      <c r="M134">
        <f t="shared" si="16"/>
        <v>3.6480970574334951E-4</v>
      </c>
      <c r="N134">
        <f t="shared" si="17"/>
        <v>5.6252263671106742E-4</v>
      </c>
      <c r="O134">
        <f t="shared" si="18"/>
        <v>7.836241865182349E-4</v>
      </c>
      <c r="P134">
        <f t="shared" si="19"/>
        <v>4.2098477891464031E-4</v>
      </c>
      <c r="Q134">
        <f t="shared" si="20"/>
        <v>4.790235971635285E-4</v>
      </c>
      <c r="R134">
        <f t="shared" si="21"/>
        <v>7.2675234858791645E-4</v>
      </c>
      <c r="S134">
        <f t="shared" si="22"/>
        <v>4.5877571749870322E-4</v>
      </c>
      <c r="T134">
        <f t="shared" si="23"/>
        <v>2.1115372496029013E-4</v>
      </c>
      <c r="U134">
        <f t="shared" si="24"/>
        <v>3.0256953457810307E-4</v>
      </c>
      <c r="V134">
        <f t="shared" si="25"/>
        <v>4.4816003201899885E-4</v>
      </c>
      <c r="W134">
        <f t="shared" si="26"/>
        <v>5.8144554912347986E-4</v>
      </c>
      <c r="X134">
        <f t="shared" si="27"/>
        <v>6.3890706616437864E-4</v>
      </c>
      <c r="Y134">
        <f t="shared" si="28"/>
        <v>2.3691864231500581E-4</v>
      </c>
      <c r="Z134">
        <f t="shared" si="29"/>
        <v>7.7645060017721222E-4</v>
      </c>
      <c r="AA134">
        <f t="shared" si="30"/>
        <v>1.109471117767757E-3</v>
      </c>
      <c r="AB134">
        <f t="shared" si="31"/>
        <v>1.7642947260520579E-3</v>
      </c>
      <c r="AC134">
        <f t="shared" si="32"/>
        <v>4.5050930347973627E-4</v>
      </c>
      <c r="AD134">
        <f t="shared" si="33"/>
        <v>5.1450175481644086E-2</v>
      </c>
      <c r="AE134">
        <f t="shared" si="34"/>
        <v>1.0118368730285868E-3</v>
      </c>
      <c r="AF134">
        <f t="shared" si="35"/>
        <v>3.6840302847757989E-4</v>
      </c>
      <c r="AG134">
        <f t="shared" si="36"/>
        <v>4.1381928912033163E-4</v>
      </c>
      <c r="AH134">
        <f t="shared" si="37"/>
        <v>2.6893185880593989E-3</v>
      </c>
      <c r="AI134">
        <f t="shared" si="38"/>
        <v>2.7940503109327139E-4</v>
      </c>
      <c r="AJ134">
        <f t="shared" si="39"/>
        <v>1.2386029231603907E-4</v>
      </c>
      <c r="AK134">
        <f t="shared" si="40"/>
        <v>2.183921394307967E-3</v>
      </c>
      <c r="AL134">
        <f t="shared" si="41"/>
        <v>2.9904382904927571E-4</v>
      </c>
      <c r="AM134">
        <f t="shared" si="42"/>
        <v>5.2166311785843537E-4</v>
      </c>
      <c r="AN134">
        <f t="shared" si="43"/>
        <v>2.4209696815861466E-4</v>
      </c>
      <c r="AO134">
        <f t="shared" si="44"/>
        <v>9.9571994150396068E-4</v>
      </c>
      <c r="AP134">
        <f t="shared" si="45"/>
        <v>8.1782672567649449E-4</v>
      </c>
      <c r="AQ134">
        <f t="shared" si="46"/>
        <v>6.3373469429920033E-4</v>
      </c>
      <c r="AR134">
        <f t="shared" si="47"/>
        <v>1.7532638184018245E-3</v>
      </c>
      <c r="AS134">
        <f t="shared" si="48"/>
        <v>1.4211480936032349E-3</v>
      </c>
    </row>
    <row r="135" spans="3:45" x14ac:dyDescent="0.25">
      <c r="C135" s="36" t="s">
        <v>97</v>
      </c>
      <c r="D135">
        <f t="shared" si="7"/>
        <v>5.7661329956380022E-4</v>
      </c>
      <c r="E135">
        <f t="shared" si="8"/>
        <v>5.8157674543506631E-4</v>
      </c>
      <c r="F135">
        <f t="shared" si="9"/>
        <v>2.6449617475719995E-4</v>
      </c>
      <c r="G135">
        <f t="shared" si="10"/>
        <v>2.0438326229405812E-4</v>
      </c>
      <c r="H135">
        <f t="shared" si="11"/>
        <v>2.9277361143340496E-4</v>
      </c>
      <c r="I135">
        <f t="shared" si="12"/>
        <v>1.7201538472415612E-4</v>
      </c>
      <c r="J135">
        <f t="shared" si="13"/>
        <v>2.9934029496679002E-4</v>
      </c>
      <c r="K135">
        <f t="shared" si="14"/>
        <v>4.9968931272369708E-4</v>
      </c>
      <c r="L135">
        <f t="shared" si="15"/>
        <v>3.4373994136947008E-4</v>
      </c>
      <c r="M135">
        <f t="shared" si="16"/>
        <v>1.2255400451736243E-4</v>
      </c>
      <c r="N135">
        <f t="shared" si="17"/>
        <v>3.9698169362743628E-4</v>
      </c>
      <c r="O135">
        <f t="shared" si="18"/>
        <v>2.0770144763682422E-4</v>
      </c>
      <c r="P135">
        <f t="shared" si="19"/>
        <v>2.6169962812037153E-4</v>
      </c>
      <c r="Q135">
        <f t="shared" si="20"/>
        <v>3.2190445847491073E-4</v>
      </c>
      <c r="R135">
        <f t="shared" si="21"/>
        <v>2.2192159753297973E-4</v>
      </c>
      <c r="S135">
        <f t="shared" si="22"/>
        <v>1.3978525990809834E-4</v>
      </c>
      <c r="T135">
        <f t="shared" si="23"/>
        <v>1.5012830335894845E-4</v>
      </c>
      <c r="U135">
        <f t="shared" si="24"/>
        <v>2.1717493531720649E-4</v>
      </c>
      <c r="V135">
        <f t="shared" si="25"/>
        <v>5.6154616173191866E-4</v>
      </c>
      <c r="W135">
        <f t="shared" si="26"/>
        <v>2.5817992408903704E-4</v>
      </c>
      <c r="X135">
        <f t="shared" si="27"/>
        <v>5.8271257682601424E-4</v>
      </c>
      <c r="Y135">
        <f t="shared" si="28"/>
        <v>1.9801236895205596E-4</v>
      </c>
      <c r="Z135">
        <f t="shared" si="29"/>
        <v>3.0377979968145902E-4</v>
      </c>
      <c r="AA135">
        <f t="shared" si="30"/>
        <v>5.4596452970794777E-4</v>
      </c>
      <c r="AB135">
        <f t="shared" si="31"/>
        <v>3.8308834392296307E-3</v>
      </c>
      <c r="AC135">
        <f t="shared" si="32"/>
        <v>3.5185050179777869E-4</v>
      </c>
      <c r="AD135">
        <f t="shared" si="33"/>
        <v>1.8565737925530618E-3</v>
      </c>
      <c r="AE135">
        <f t="shared" si="34"/>
        <v>3.5932401450063482E-2</v>
      </c>
      <c r="AF135">
        <f t="shared" si="35"/>
        <v>9.9241630127865012E-4</v>
      </c>
      <c r="AG135">
        <f t="shared" si="36"/>
        <v>1.6805651068284363E-3</v>
      </c>
      <c r="AH135">
        <f t="shared" si="37"/>
        <v>2.0872388568553102E-3</v>
      </c>
      <c r="AI135">
        <f t="shared" si="38"/>
        <v>9.8850933119539928E-4</v>
      </c>
      <c r="AJ135">
        <f t="shared" si="39"/>
        <v>4.6313169483196636E-4</v>
      </c>
      <c r="AK135">
        <f t="shared" si="40"/>
        <v>1.8325306640431629E-3</v>
      </c>
      <c r="AL135">
        <f t="shared" si="41"/>
        <v>2.0254268259747386E-3</v>
      </c>
      <c r="AM135">
        <f t="shared" si="42"/>
        <v>1.3307231261806426E-2</v>
      </c>
      <c r="AN135">
        <f t="shared" si="43"/>
        <v>9.9005458334337163E-4</v>
      </c>
      <c r="AO135">
        <f t="shared" si="44"/>
        <v>1.1982362617058732E-2</v>
      </c>
      <c r="AP135">
        <f t="shared" si="45"/>
        <v>6.2340263605592857E-3</v>
      </c>
      <c r="AQ135">
        <f t="shared" si="46"/>
        <v>2.142905948817336E-3</v>
      </c>
      <c r="AR135">
        <f t="shared" si="47"/>
        <v>6.3754096577843793E-3</v>
      </c>
      <c r="AS135">
        <f t="shared" si="48"/>
        <v>1.7610272929698284E-3</v>
      </c>
    </row>
    <row r="136" spans="3:45" x14ac:dyDescent="0.25">
      <c r="C136" s="36" t="s">
        <v>98</v>
      </c>
      <c r="D136">
        <f t="shared" si="7"/>
        <v>2.4364158529811605E-2</v>
      </c>
      <c r="E136">
        <f t="shared" si="8"/>
        <v>2.5684773230793084E-2</v>
      </c>
      <c r="F136">
        <f t="shared" si="9"/>
        <v>7.2002543387271658E-3</v>
      </c>
      <c r="G136">
        <f t="shared" si="10"/>
        <v>2.1376949157751953E-2</v>
      </c>
      <c r="H136">
        <f t="shared" si="11"/>
        <v>4.0075641094804056E-2</v>
      </c>
      <c r="I136">
        <f t="shared" si="12"/>
        <v>6.5279139015505222E-2</v>
      </c>
      <c r="J136">
        <f t="shared" si="13"/>
        <v>6.5248445381015804E-2</v>
      </c>
      <c r="K136">
        <f t="shared" si="14"/>
        <v>9.0246348780159982E-2</v>
      </c>
      <c r="L136">
        <f t="shared" si="15"/>
        <v>7.4555519448252769E-2</v>
      </c>
      <c r="M136">
        <f t="shared" si="16"/>
        <v>2.6594220279878032E-2</v>
      </c>
      <c r="N136">
        <f t="shared" si="17"/>
        <v>4.2062147786862673E-2</v>
      </c>
      <c r="O136">
        <f t="shared" si="18"/>
        <v>6.6331441052623466E-2</v>
      </c>
      <c r="P136">
        <f t="shared" si="19"/>
        <v>5.5046278327253964E-2</v>
      </c>
      <c r="Q136">
        <f t="shared" si="20"/>
        <v>5.0590326411742506E-2</v>
      </c>
      <c r="R136">
        <f t="shared" si="21"/>
        <v>5.0598934109726233E-2</v>
      </c>
      <c r="S136">
        <f t="shared" si="22"/>
        <v>2.6464331168939828E-2</v>
      </c>
      <c r="T136">
        <f t="shared" si="23"/>
        <v>2.5696324401839974E-2</v>
      </c>
      <c r="U136">
        <f t="shared" si="24"/>
        <v>4.2688540987194788E-2</v>
      </c>
      <c r="V136">
        <f t="shared" si="25"/>
        <v>5.0039732999407956E-2</v>
      </c>
      <c r="W136">
        <f t="shared" si="26"/>
        <v>6.1238394848395439E-2</v>
      </c>
      <c r="X136">
        <f t="shared" si="27"/>
        <v>5.1954584748516004E-2</v>
      </c>
      <c r="Y136">
        <f t="shared" si="28"/>
        <v>7.659471167971979E-2</v>
      </c>
      <c r="Z136">
        <f t="shared" si="29"/>
        <v>6.7746356848300104E-2</v>
      </c>
      <c r="AA136">
        <f t="shared" si="30"/>
        <v>2.4400851086036714E-2</v>
      </c>
      <c r="AB136">
        <f t="shared" si="31"/>
        <v>2.2089491754010884E-2</v>
      </c>
      <c r="AC136">
        <f t="shared" si="32"/>
        <v>2.8323764830259609E-2</v>
      </c>
      <c r="AD136">
        <f t="shared" si="33"/>
        <v>1.3904749288024919E-2</v>
      </c>
      <c r="AE136">
        <f t="shared" si="34"/>
        <v>5.0022593138818558E-2</v>
      </c>
      <c r="AF136">
        <f t="shared" si="35"/>
        <v>7.4915226340700825E-3</v>
      </c>
      <c r="AG136">
        <f t="shared" si="36"/>
        <v>2.9567522367691442E-2</v>
      </c>
      <c r="AH136">
        <f t="shared" si="37"/>
        <v>6.4899087083358217E-2</v>
      </c>
      <c r="AI136">
        <f t="shared" si="38"/>
        <v>1.6444477699939272E-2</v>
      </c>
      <c r="AJ136">
        <f t="shared" si="39"/>
        <v>3.6224248856842049E-2</v>
      </c>
      <c r="AK136">
        <f t="shared" si="40"/>
        <v>3.1572821006458661E-2</v>
      </c>
      <c r="AL136">
        <f t="shared" si="41"/>
        <v>4.6654547537414359E-3</v>
      </c>
      <c r="AM136">
        <f t="shared" si="42"/>
        <v>3.1046593202044676E-3</v>
      </c>
      <c r="AN136">
        <f t="shared" si="43"/>
        <v>2.6736951077795345E-2</v>
      </c>
      <c r="AO136">
        <f t="shared" si="44"/>
        <v>1.6641479155213836E-2</v>
      </c>
      <c r="AP136">
        <f t="shared" si="45"/>
        <v>1.1965333960454053E-2</v>
      </c>
      <c r="AQ136">
        <f t="shared" si="46"/>
        <v>6.8482551792756585E-2</v>
      </c>
      <c r="AR136">
        <f t="shared" si="47"/>
        <v>3.1045437432382243E-2</v>
      </c>
      <c r="AS136">
        <f t="shared" si="48"/>
        <v>2.8245241427330453E-2</v>
      </c>
    </row>
    <row r="137" spans="3:45" x14ac:dyDescent="0.25">
      <c r="C137" s="36" t="s">
        <v>99</v>
      </c>
      <c r="D137">
        <f t="shared" si="7"/>
        <v>1.9150812998763408E-2</v>
      </c>
      <c r="E137">
        <f t="shared" si="8"/>
        <v>2.3255007987305891E-2</v>
      </c>
      <c r="F137">
        <f t="shared" si="9"/>
        <v>6.1503258720659306E-3</v>
      </c>
      <c r="G137">
        <f t="shared" si="10"/>
        <v>1.9145866625150224E-2</v>
      </c>
      <c r="H137">
        <f t="shared" si="11"/>
        <v>2.2727060131822584E-2</v>
      </c>
      <c r="I137">
        <f t="shared" si="12"/>
        <v>2.6825354585850822E-2</v>
      </c>
      <c r="J137">
        <f t="shared" si="13"/>
        <v>4.0473859200025414E-2</v>
      </c>
      <c r="K137">
        <f t="shared" si="14"/>
        <v>3.3841828638872543E-2</v>
      </c>
      <c r="L137">
        <f t="shared" si="15"/>
        <v>3.0042703601652971E-2</v>
      </c>
      <c r="M137">
        <f t="shared" si="16"/>
        <v>2.7345163461455005E-2</v>
      </c>
      <c r="N137">
        <f t="shared" si="17"/>
        <v>3.6454571530541074E-2</v>
      </c>
      <c r="O137">
        <f t="shared" si="18"/>
        <v>3.7357104899355918E-2</v>
      </c>
      <c r="P137">
        <f t="shared" si="19"/>
        <v>3.8339980125060361E-2</v>
      </c>
      <c r="Q137">
        <f t="shared" si="20"/>
        <v>3.6448699844363816E-2</v>
      </c>
      <c r="R137">
        <f t="shared" si="21"/>
        <v>3.4576648326618387E-2</v>
      </c>
      <c r="S137">
        <f t="shared" si="22"/>
        <v>2.9069433174993591E-2</v>
      </c>
      <c r="T137">
        <f t="shared" si="23"/>
        <v>2.5153763011246302E-2</v>
      </c>
      <c r="U137">
        <f t="shared" si="24"/>
        <v>2.9015998279812483E-2</v>
      </c>
      <c r="V137">
        <f t="shared" si="25"/>
        <v>1.5589353387167071E-2</v>
      </c>
      <c r="W137">
        <f t="shared" si="26"/>
        <v>3.1753550265187801E-2</v>
      </c>
      <c r="X137">
        <f t="shared" si="27"/>
        <v>3.0962161307681937E-2</v>
      </c>
      <c r="Y137">
        <f t="shared" si="28"/>
        <v>3.5061355604095089E-2</v>
      </c>
      <c r="Z137">
        <f t="shared" si="29"/>
        <v>2.8981458108780681E-2</v>
      </c>
      <c r="AA137">
        <f t="shared" si="30"/>
        <v>1.4886081735510363E-2</v>
      </c>
      <c r="AB137">
        <f t="shared" si="31"/>
        <v>1.8438594351984042E-2</v>
      </c>
      <c r="AC137">
        <f t="shared" si="32"/>
        <v>2.0800208821693679E-2</v>
      </c>
      <c r="AD137">
        <f t="shared" si="33"/>
        <v>9.8100867342074197E-3</v>
      </c>
      <c r="AE137">
        <f t="shared" si="34"/>
        <v>2.7080287636459519E-2</v>
      </c>
      <c r="AF137">
        <f t="shared" si="35"/>
        <v>6.0710600122262967E-2</v>
      </c>
      <c r="AG137">
        <f t="shared" si="36"/>
        <v>0.1444768698129644</v>
      </c>
      <c r="AH137">
        <f t="shared" si="37"/>
        <v>3.5373274993587979E-2</v>
      </c>
      <c r="AI137">
        <f t="shared" si="38"/>
        <v>1.4276482241770718E-2</v>
      </c>
      <c r="AJ137">
        <f t="shared" si="39"/>
        <v>5.977755778617419E-2</v>
      </c>
      <c r="AK137">
        <f t="shared" si="40"/>
        <v>3.9937732457625837E-2</v>
      </c>
      <c r="AL137">
        <f t="shared" si="41"/>
        <v>1.1015679666265899E-2</v>
      </c>
      <c r="AM137">
        <f t="shared" si="42"/>
        <v>4.011711681991879E-3</v>
      </c>
      <c r="AN137">
        <f t="shared" si="43"/>
        <v>3.6362644089628693E-2</v>
      </c>
      <c r="AO137">
        <f t="shared" si="44"/>
        <v>3.4014570843054065E-2</v>
      </c>
      <c r="AP137">
        <f t="shared" si="45"/>
        <v>2.2856368518835483E-2</v>
      </c>
      <c r="AQ137">
        <f t="shared" si="46"/>
        <v>3.1544040501756326E-2</v>
      </c>
      <c r="AR137">
        <f t="shared" si="47"/>
        <v>3.3473669734966204E-2</v>
      </c>
      <c r="AS137">
        <f t="shared" si="48"/>
        <v>2.4858282135891162E-2</v>
      </c>
    </row>
    <row r="138" spans="3:45" x14ac:dyDescent="0.25">
      <c r="C138" s="36" t="s">
        <v>100</v>
      </c>
      <c r="D138">
        <f t="shared" si="7"/>
        <v>1.776382625227751E-3</v>
      </c>
      <c r="E138">
        <f t="shared" si="8"/>
        <v>3.2422981570917882E-3</v>
      </c>
      <c r="F138">
        <f t="shared" si="9"/>
        <v>1.8534750576212067E-3</v>
      </c>
      <c r="G138">
        <f t="shared" si="10"/>
        <v>4.3514182448468938E-3</v>
      </c>
      <c r="H138">
        <f t="shared" si="11"/>
        <v>5.4002453349632912E-3</v>
      </c>
      <c r="I138">
        <f t="shared" si="12"/>
        <v>4.0608795438325258E-3</v>
      </c>
      <c r="J138">
        <f t="shared" si="13"/>
        <v>3.1546118078632141E-3</v>
      </c>
      <c r="K138">
        <f t="shared" si="14"/>
        <v>4.2713652751178556E-3</v>
      </c>
      <c r="L138">
        <f t="shared" si="15"/>
        <v>4.4507041012299504E-3</v>
      </c>
      <c r="M138">
        <f t="shared" si="16"/>
        <v>2.0973085017699255E-3</v>
      </c>
      <c r="N138">
        <f t="shared" si="17"/>
        <v>4.092610094214159E-3</v>
      </c>
      <c r="O138">
        <f t="shared" si="18"/>
        <v>1.322119932103322E-2</v>
      </c>
      <c r="P138">
        <f t="shared" si="19"/>
        <v>3.8939027534189994E-3</v>
      </c>
      <c r="Q138">
        <f t="shared" si="20"/>
        <v>8.9715286480125458E-3</v>
      </c>
      <c r="R138">
        <f t="shared" si="21"/>
        <v>5.5485057035213545E-3</v>
      </c>
      <c r="S138">
        <f t="shared" si="22"/>
        <v>3.5322748400010125E-3</v>
      </c>
      <c r="T138">
        <f t="shared" si="23"/>
        <v>1.969368222526312E-3</v>
      </c>
      <c r="U138">
        <f t="shared" si="24"/>
        <v>5.5714353672625498E-3</v>
      </c>
      <c r="V138">
        <f t="shared" si="25"/>
        <v>3.8465939783964048E-3</v>
      </c>
      <c r="W138">
        <f t="shared" si="26"/>
        <v>5.4521203786202328E-3</v>
      </c>
      <c r="X138">
        <f t="shared" si="27"/>
        <v>5.1285051508758736E-3</v>
      </c>
      <c r="Y138">
        <f t="shared" si="28"/>
        <v>4.0826962342672005E-3</v>
      </c>
      <c r="Z138">
        <f t="shared" si="29"/>
        <v>5.3711968365025009E-3</v>
      </c>
      <c r="AA138">
        <f t="shared" si="30"/>
        <v>3.3688530574089697E-3</v>
      </c>
      <c r="AB138">
        <f t="shared" si="31"/>
        <v>2.9323910831597815E-3</v>
      </c>
      <c r="AC138">
        <f t="shared" si="32"/>
        <v>2.7653098886519694E-3</v>
      </c>
      <c r="AD138">
        <f t="shared" si="33"/>
        <v>4.8348036239579204E-3</v>
      </c>
      <c r="AE138">
        <f t="shared" si="34"/>
        <v>5.2037833335419215E-3</v>
      </c>
      <c r="AF138">
        <f t="shared" si="35"/>
        <v>4.7981788917462222E-3</v>
      </c>
      <c r="AG138">
        <f t="shared" si="36"/>
        <v>1.8199862877826045E-2</v>
      </c>
      <c r="AH138">
        <f t="shared" si="37"/>
        <v>2.1749199475149181E-3</v>
      </c>
      <c r="AI138">
        <f t="shared" si="38"/>
        <v>6.1023073382560061E-3</v>
      </c>
      <c r="AJ138">
        <f t="shared" si="39"/>
        <v>4.7841781329897456E-2</v>
      </c>
      <c r="AK138">
        <f t="shared" si="40"/>
        <v>4.1050290905304161E-2</v>
      </c>
      <c r="AL138">
        <f t="shared" si="41"/>
        <v>2.314339725376021E-2</v>
      </c>
      <c r="AM138">
        <f t="shared" si="42"/>
        <v>3.9271192117041149E-3</v>
      </c>
      <c r="AN138">
        <f t="shared" si="43"/>
        <v>3.4326375444980135E-2</v>
      </c>
      <c r="AO138">
        <f t="shared" si="44"/>
        <v>4.2034462753812514E-2</v>
      </c>
      <c r="AP138">
        <f t="shared" si="45"/>
        <v>2.3817580522303029E-2</v>
      </c>
      <c r="AQ138">
        <f t="shared" si="46"/>
        <v>3.973854218740443E-3</v>
      </c>
      <c r="AR138">
        <f t="shared" si="47"/>
        <v>3.2754025795263285E-2</v>
      </c>
      <c r="AS138">
        <f t="shared" si="48"/>
        <v>1.1194734630559262E-2</v>
      </c>
    </row>
    <row r="139" spans="3:45" x14ac:dyDescent="0.25">
      <c r="C139" s="36" t="s">
        <v>101</v>
      </c>
      <c r="D139">
        <f t="shared" si="7"/>
        <v>1.7874917235434125E-3</v>
      </c>
      <c r="E139">
        <f t="shared" si="8"/>
        <v>1.3665261070540768E-3</v>
      </c>
      <c r="F139">
        <f t="shared" si="9"/>
        <v>1.2148896546574927E-3</v>
      </c>
      <c r="G139">
        <f t="shared" si="10"/>
        <v>3.4148166106442901E-3</v>
      </c>
      <c r="H139">
        <f t="shared" si="11"/>
        <v>2.5357224566903915E-3</v>
      </c>
      <c r="I139">
        <f t="shared" si="12"/>
        <v>2.3857647130944531E-3</v>
      </c>
      <c r="J139">
        <f t="shared" si="13"/>
        <v>3.6907216171281126E-3</v>
      </c>
      <c r="K139">
        <f t="shared" si="14"/>
        <v>2.64553659760421E-3</v>
      </c>
      <c r="L139">
        <f t="shared" si="15"/>
        <v>4.1375142993629434E-3</v>
      </c>
      <c r="M139">
        <f t="shared" si="16"/>
        <v>7.2636337778779058E-4</v>
      </c>
      <c r="N139">
        <f t="shared" si="17"/>
        <v>3.4246863334410297E-3</v>
      </c>
      <c r="O139">
        <f t="shared" si="18"/>
        <v>6.00813653116067E-3</v>
      </c>
      <c r="P139">
        <f t="shared" si="19"/>
        <v>2.9962959198993819E-3</v>
      </c>
      <c r="Q139">
        <f t="shared" si="20"/>
        <v>5.4148485808882601E-3</v>
      </c>
      <c r="R139">
        <f t="shared" si="21"/>
        <v>2.5644619048456681E-3</v>
      </c>
      <c r="S139">
        <f t="shared" si="22"/>
        <v>1.1096949362216738E-3</v>
      </c>
      <c r="T139">
        <f t="shared" si="23"/>
        <v>1.4478427811440587E-3</v>
      </c>
      <c r="U139">
        <f t="shared" si="24"/>
        <v>3.2082105877286292E-3</v>
      </c>
      <c r="V139">
        <f t="shared" si="25"/>
        <v>2.2590457114225141E-2</v>
      </c>
      <c r="W139">
        <f t="shared" si="26"/>
        <v>5.5774260139179596E-3</v>
      </c>
      <c r="X139">
        <f t="shared" si="27"/>
        <v>6.0365431435660576E-3</v>
      </c>
      <c r="Y139">
        <f t="shared" si="28"/>
        <v>3.2737769981665155E-3</v>
      </c>
      <c r="Z139">
        <f t="shared" si="29"/>
        <v>4.7395430850446221E-3</v>
      </c>
      <c r="AA139">
        <f t="shared" si="30"/>
        <v>1.7685816299088945E-3</v>
      </c>
      <c r="AB139">
        <f t="shared" si="31"/>
        <v>6.740041158346183E-3</v>
      </c>
      <c r="AC139">
        <f t="shared" si="32"/>
        <v>4.6584611437274744E-3</v>
      </c>
      <c r="AD139">
        <f t="shared" si="33"/>
        <v>8.9487762171621011E-3</v>
      </c>
      <c r="AE139">
        <f t="shared" si="34"/>
        <v>1.3785708601808852E-2</v>
      </c>
      <c r="AF139">
        <f t="shared" si="35"/>
        <v>7.5182981206845063E-3</v>
      </c>
      <c r="AG139">
        <f t="shared" si="36"/>
        <v>3.0322508639126909E-2</v>
      </c>
      <c r="AH139">
        <f t="shared" si="37"/>
        <v>7.3826557364503817E-3</v>
      </c>
      <c r="AI139">
        <f t="shared" si="38"/>
        <v>0.20109447187446505</v>
      </c>
      <c r="AJ139">
        <f t="shared" si="39"/>
        <v>1.4982666412167682E-2</v>
      </c>
      <c r="AK139">
        <f t="shared" si="40"/>
        <v>1.3477771506986929E-2</v>
      </c>
      <c r="AL139">
        <f t="shared" si="41"/>
        <v>3.3758907075168175E-2</v>
      </c>
      <c r="AM139">
        <f t="shared" si="42"/>
        <v>8.1637517407526731E-3</v>
      </c>
      <c r="AN139">
        <f t="shared" si="43"/>
        <v>2.1802796513109384E-2</v>
      </c>
      <c r="AO139">
        <f t="shared" si="44"/>
        <v>5.6469588457933546E-2</v>
      </c>
      <c r="AP139">
        <f t="shared" si="45"/>
        <v>2.0208186458626948E-2</v>
      </c>
      <c r="AQ139">
        <f t="shared" si="46"/>
        <v>2.0728139207168404E-2</v>
      </c>
      <c r="AR139">
        <f t="shared" si="47"/>
        <v>1.858004310112327E-2</v>
      </c>
      <c r="AS139">
        <f t="shared" si="48"/>
        <v>6.0101704518791847E-3</v>
      </c>
    </row>
    <row r="140" spans="3:45" x14ac:dyDescent="0.25">
      <c r="C140" s="36" t="s">
        <v>104</v>
      </c>
      <c r="D140">
        <f t="shared" si="7"/>
        <v>2.3503203545111296E-3</v>
      </c>
      <c r="E140">
        <f t="shared" si="8"/>
        <v>3.3392767755842094E-2</v>
      </c>
      <c r="F140">
        <f t="shared" si="9"/>
        <v>1.4439915154110692E-2</v>
      </c>
      <c r="G140">
        <f t="shared" si="10"/>
        <v>2.1285835142671631E-2</v>
      </c>
      <c r="H140">
        <f t="shared" si="11"/>
        <v>1.8416656765566034E-2</v>
      </c>
      <c r="I140">
        <f t="shared" si="12"/>
        <v>2.3537319373070277E-2</v>
      </c>
      <c r="J140">
        <f t="shared" si="13"/>
        <v>1.7345231948696579E-2</v>
      </c>
      <c r="K140">
        <f t="shared" si="14"/>
        <v>1.2026806326916977E-2</v>
      </c>
      <c r="L140">
        <f t="shared" si="15"/>
        <v>1.9141018835661265E-2</v>
      </c>
      <c r="M140">
        <f t="shared" si="16"/>
        <v>1.3344630558038254E-2</v>
      </c>
      <c r="N140">
        <f t="shared" si="17"/>
        <v>1.4694214274188632E-2</v>
      </c>
      <c r="O140">
        <f t="shared" si="18"/>
        <v>5.8580221435337809E-2</v>
      </c>
      <c r="P140">
        <f t="shared" si="19"/>
        <v>2.2013351136092107E-2</v>
      </c>
      <c r="Q140">
        <f t="shared" si="20"/>
        <v>2.6442715521092636E-2</v>
      </c>
      <c r="R140">
        <f t="shared" si="21"/>
        <v>1.7135907117067247E-2</v>
      </c>
      <c r="S140">
        <f t="shared" si="22"/>
        <v>6.9876783248745125E-3</v>
      </c>
      <c r="T140">
        <f t="shared" si="23"/>
        <v>5.1260609199750597E-3</v>
      </c>
      <c r="U140">
        <f t="shared" si="24"/>
        <v>1.6087149884385414E-2</v>
      </c>
      <c r="V140">
        <f t="shared" si="25"/>
        <v>1.6910313908628218E-2</v>
      </c>
      <c r="W140">
        <f t="shared" si="26"/>
        <v>1.932431026893526E-2</v>
      </c>
      <c r="X140">
        <f t="shared" si="27"/>
        <v>2.1934141759509553E-2</v>
      </c>
      <c r="Y140">
        <f t="shared" si="28"/>
        <v>2.4531731740647919E-2</v>
      </c>
      <c r="Z140">
        <f t="shared" si="29"/>
        <v>1.3872800747959766E-2</v>
      </c>
      <c r="AA140">
        <f t="shared" si="30"/>
        <v>1.0519052031711097E-2</v>
      </c>
      <c r="AB140">
        <f t="shared" si="31"/>
        <v>6.5363668870214138E-3</v>
      </c>
      <c r="AC140">
        <f t="shared" si="32"/>
        <v>2.1880275521275451E-2</v>
      </c>
      <c r="AD140">
        <f t="shared" si="33"/>
        <v>1.2200823530658591E-2</v>
      </c>
      <c r="AE140">
        <f t="shared" si="34"/>
        <v>1.8372154958238122E-2</v>
      </c>
      <c r="AF140">
        <f t="shared" si="35"/>
        <v>0.10672907639896204</v>
      </c>
      <c r="AG140">
        <f t="shared" si="36"/>
        <v>3.0176242662836191E-2</v>
      </c>
      <c r="AH140">
        <f t="shared" si="37"/>
        <v>2.0111495424937863E-2</v>
      </c>
      <c r="AI140">
        <f t="shared" si="38"/>
        <v>7.6888231764765114E-2</v>
      </c>
      <c r="AJ140">
        <f t="shared" si="39"/>
        <v>0.10867763518209335</v>
      </c>
      <c r="AK140">
        <f t="shared" si="40"/>
        <v>3.8205565232771042E-2</v>
      </c>
      <c r="AL140">
        <f t="shared" si="41"/>
        <v>6.2668406394384507E-2</v>
      </c>
      <c r="AM140">
        <f t="shared" si="42"/>
        <v>6.1528048743227579E-2</v>
      </c>
      <c r="AN140">
        <f t="shared" si="43"/>
        <v>5.2817022735387187E-2</v>
      </c>
      <c r="AO140">
        <f t="shared" si="44"/>
        <v>3.0984202186396002E-2</v>
      </c>
      <c r="AP140">
        <f t="shared" si="45"/>
        <v>1.0720044117482473E-2</v>
      </c>
      <c r="AQ140">
        <f t="shared" si="46"/>
        <v>5.4590431544545388E-3</v>
      </c>
      <c r="AR140">
        <f t="shared" si="47"/>
        <v>4.6284497269329018E-2</v>
      </c>
      <c r="AS140">
        <f t="shared" si="48"/>
        <v>2.4023677803971782E-2</v>
      </c>
    </row>
    <row r="141" spans="3:45" x14ac:dyDescent="0.25">
      <c r="C141" s="36" t="s">
        <v>105</v>
      </c>
      <c r="D141">
        <f t="shared" si="7"/>
        <v>0</v>
      </c>
      <c r="E141">
        <f t="shared" si="8"/>
        <v>0</v>
      </c>
      <c r="F141">
        <f t="shared" si="9"/>
        <v>0</v>
      </c>
      <c r="G141">
        <f t="shared" si="10"/>
        <v>0</v>
      </c>
      <c r="H141">
        <f t="shared" si="11"/>
        <v>0</v>
      </c>
      <c r="I141">
        <f t="shared" si="12"/>
        <v>0</v>
      </c>
      <c r="J141">
        <f t="shared" si="13"/>
        <v>0</v>
      </c>
      <c r="K141">
        <f t="shared" si="14"/>
        <v>0</v>
      </c>
      <c r="L141">
        <f t="shared" si="15"/>
        <v>0</v>
      </c>
      <c r="M141">
        <f t="shared" si="16"/>
        <v>0</v>
      </c>
      <c r="N141">
        <f t="shared" si="17"/>
        <v>0</v>
      </c>
      <c r="O141">
        <f t="shared" si="18"/>
        <v>0</v>
      </c>
      <c r="P141">
        <f t="shared" si="19"/>
        <v>0</v>
      </c>
      <c r="Q141">
        <f t="shared" si="20"/>
        <v>0</v>
      </c>
      <c r="R141">
        <f t="shared" si="21"/>
        <v>0</v>
      </c>
      <c r="S141">
        <f t="shared" si="22"/>
        <v>0</v>
      </c>
      <c r="T141">
        <f t="shared" si="23"/>
        <v>0</v>
      </c>
      <c r="U141">
        <f t="shared" si="24"/>
        <v>0</v>
      </c>
      <c r="V141">
        <f t="shared" si="25"/>
        <v>0</v>
      </c>
      <c r="W141">
        <f t="shared" si="26"/>
        <v>0</v>
      </c>
      <c r="X141">
        <f t="shared" si="27"/>
        <v>0</v>
      </c>
      <c r="Y141">
        <f t="shared" si="28"/>
        <v>0</v>
      </c>
      <c r="Z141">
        <f t="shared" si="29"/>
        <v>0</v>
      </c>
      <c r="AA141">
        <f t="shared" si="30"/>
        <v>0</v>
      </c>
      <c r="AB141">
        <f t="shared" si="31"/>
        <v>0</v>
      </c>
      <c r="AC141">
        <f t="shared" si="32"/>
        <v>0</v>
      </c>
      <c r="AD141">
        <f t="shared" si="33"/>
        <v>0</v>
      </c>
      <c r="AE141">
        <f t="shared" si="34"/>
        <v>0</v>
      </c>
      <c r="AF141">
        <f t="shared" si="35"/>
        <v>0</v>
      </c>
      <c r="AG141">
        <f t="shared" si="36"/>
        <v>0</v>
      </c>
      <c r="AH141">
        <f t="shared" si="37"/>
        <v>0</v>
      </c>
      <c r="AI141">
        <f t="shared" si="38"/>
        <v>0</v>
      </c>
      <c r="AJ141">
        <f t="shared" si="39"/>
        <v>0</v>
      </c>
      <c r="AK141">
        <f t="shared" si="40"/>
        <v>3.7150766012815227E-3</v>
      </c>
      <c r="AL141">
        <f t="shared" si="41"/>
        <v>0</v>
      </c>
      <c r="AM141">
        <f t="shared" si="42"/>
        <v>0</v>
      </c>
      <c r="AN141">
        <f t="shared" si="43"/>
        <v>0</v>
      </c>
      <c r="AO141">
        <f t="shared" si="44"/>
        <v>0</v>
      </c>
      <c r="AP141">
        <f t="shared" si="45"/>
        <v>0</v>
      </c>
      <c r="AQ141">
        <f t="shared" si="46"/>
        <v>0</v>
      </c>
      <c r="AR141">
        <f t="shared" si="47"/>
        <v>0</v>
      </c>
      <c r="AS141">
        <f t="shared" si="48"/>
        <v>0</v>
      </c>
    </row>
    <row r="142" spans="3:45" x14ac:dyDescent="0.25">
      <c r="C142" s="36" t="s">
        <v>102</v>
      </c>
      <c r="D142">
        <f t="shared" si="7"/>
        <v>1.1839766083251987E-2</v>
      </c>
      <c r="E142">
        <f t="shared" si="8"/>
        <v>4.8305491219356782E-2</v>
      </c>
      <c r="F142">
        <f t="shared" si="9"/>
        <v>3.2723272492834E-2</v>
      </c>
      <c r="G142">
        <f t="shared" si="10"/>
        <v>2.6319938681183312E-2</v>
      </c>
      <c r="H142">
        <f t="shared" si="11"/>
        <v>1.8028592998843771E-2</v>
      </c>
      <c r="I142">
        <f t="shared" si="12"/>
        <v>5.1439817592029806E-3</v>
      </c>
      <c r="J142">
        <f t="shared" si="13"/>
        <v>8.2519589130543632E-3</v>
      </c>
      <c r="K142">
        <f t="shared" si="14"/>
        <v>9.3760884792487582E-3</v>
      </c>
      <c r="L142">
        <f t="shared" si="15"/>
        <v>1.2699987905470436E-2</v>
      </c>
      <c r="M142">
        <f t="shared" si="16"/>
        <v>1.3232685054945643E-2</v>
      </c>
      <c r="N142">
        <f t="shared" si="17"/>
        <v>1.5311195648738937E-2</v>
      </c>
      <c r="O142">
        <f t="shared" si="18"/>
        <v>2.2005040276840401E-2</v>
      </c>
      <c r="P142">
        <f t="shared" si="19"/>
        <v>1.1844566675561505E-2</v>
      </c>
      <c r="Q142">
        <f t="shared" si="20"/>
        <v>1.9784753637959188E-2</v>
      </c>
      <c r="R142">
        <f t="shared" si="21"/>
        <v>1.950413647575551E-2</v>
      </c>
      <c r="S142">
        <f t="shared" si="22"/>
        <v>3.0094968930360462E-2</v>
      </c>
      <c r="T142">
        <f t="shared" si="23"/>
        <v>2.4010531889258668E-2</v>
      </c>
      <c r="U142">
        <f t="shared" si="24"/>
        <v>1.8461608914248022E-2</v>
      </c>
      <c r="V142">
        <f t="shared" si="25"/>
        <v>1.6013217731218499E-2</v>
      </c>
      <c r="W142">
        <f t="shared" si="26"/>
        <v>1.4028443249150362E-2</v>
      </c>
      <c r="X142">
        <f t="shared" si="27"/>
        <v>1.3689016150615829E-2</v>
      </c>
      <c r="Y142">
        <f t="shared" si="28"/>
        <v>7.616952387359259E-3</v>
      </c>
      <c r="Z142">
        <f t="shared" si="29"/>
        <v>1.2566789106051142E-2</v>
      </c>
      <c r="AA142">
        <f t="shared" si="30"/>
        <v>1.1402117306683531E-2</v>
      </c>
      <c r="AB142">
        <f t="shared" si="31"/>
        <v>4.389078380243755E-2</v>
      </c>
      <c r="AC142">
        <f t="shared" si="32"/>
        <v>3.6287217087330674E-2</v>
      </c>
      <c r="AD142">
        <f t="shared" si="33"/>
        <v>5.747249987418012E-2</v>
      </c>
      <c r="AE142">
        <f t="shared" si="34"/>
        <v>3.6600435747650491E-2</v>
      </c>
      <c r="AF142">
        <f t="shared" si="35"/>
        <v>4.4454672417326563E-2</v>
      </c>
      <c r="AG142">
        <f t="shared" si="36"/>
        <v>9.3772526981669921E-2</v>
      </c>
      <c r="AH142">
        <f t="shared" si="37"/>
        <v>9.431296265495704E-3</v>
      </c>
      <c r="AI142">
        <f t="shared" si="38"/>
        <v>1.9821005628299946E-2</v>
      </c>
      <c r="AJ142">
        <f t="shared" si="39"/>
        <v>6.8752093272016285E-2</v>
      </c>
      <c r="AK142">
        <f t="shared" si="40"/>
        <v>9.5691111268999696E-3</v>
      </c>
      <c r="AL142">
        <f t="shared" si="41"/>
        <v>7.1678572094333468E-2</v>
      </c>
      <c r="AM142">
        <f t="shared" si="42"/>
        <v>0.11312943242361147</v>
      </c>
      <c r="AN142">
        <f t="shared" si="43"/>
        <v>3.9264793297097339E-2</v>
      </c>
      <c r="AO142">
        <f t="shared" si="44"/>
        <v>2.7456761148879249E-2</v>
      </c>
      <c r="AP142">
        <f t="shared" si="45"/>
        <v>2.6671106307906322E-2</v>
      </c>
      <c r="AQ142">
        <f t="shared" si="46"/>
        <v>7.1753789329842953E-3</v>
      </c>
      <c r="AR142">
        <f t="shared" si="47"/>
        <v>2.4833441247096348E-2</v>
      </c>
      <c r="AS142">
        <f t="shared" si="48"/>
        <v>1.2719319635119819E-2</v>
      </c>
    </row>
    <row r="143" spans="3:45" x14ac:dyDescent="0.25">
      <c r="C143" s="36" t="s">
        <v>103</v>
      </c>
      <c r="D143">
        <f t="shared" si="7"/>
        <v>1.5080658023152722E-5</v>
      </c>
      <c r="E143">
        <f t="shared" si="8"/>
        <v>6.5668229027746917E-4</v>
      </c>
      <c r="F143">
        <f t="shared" si="9"/>
        <v>2.8385132203902241E-4</v>
      </c>
      <c r="G143">
        <f t="shared" si="10"/>
        <v>1.0281431164911452E-4</v>
      </c>
      <c r="H143">
        <f t="shared" si="11"/>
        <v>1.1477479102861246E-3</v>
      </c>
      <c r="I143">
        <f t="shared" si="12"/>
        <v>2.9476795853493581E-4</v>
      </c>
      <c r="J143">
        <f t="shared" si="13"/>
        <v>3.8142374056566894E-4</v>
      </c>
      <c r="K143">
        <f t="shared" si="14"/>
        <v>8.7233843797060874E-4</v>
      </c>
      <c r="L143">
        <f t="shared" si="15"/>
        <v>5.9992537281922619E-4</v>
      </c>
      <c r="M143">
        <f t="shared" si="16"/>
        <v>2.9312319366438006E-5</v>
      </c>
      <c r="N143">
        <f t="shared" si="17"/>
        <v>1.8972270514898247E-4</v>
      </c>
      <c r="O143">
        <f t="shared" si="18"/>
        <v>2.7712260802590738E-4</v>
      </c>
      <c r="P143">
        <f t="shared" si="19"/>
        <v>1.0674063935870511E-3</v>
      </c>
      <c r="Q143">
        <f t="shared" si="20"/>
        <v>5.6571667362936417E-4</v>
      </c>
      <c r="R143">
        <f t="shared" si="21"/>
        <v>4.2119454350238378E-4</v>
      </c>
      <c r="S143">
        <f t="shared" si="22"/>
        <v>2.0130801130682462E-5</v>
      </c>
      <c r="T143">
        <f t="shared" si="23"/>
        <v>5.0254027543712059E-5</v>
      </c>
      <c r="U143">
        <f t="shared" si="24"/>
        <v>5.287725461902888E-4</v>
      </c>
      <c r="V143">
        <f t="shared" si="25"/>
        <v>5.8856664126999956E-4</v>
      </c>
      <c r="W143">
        <f t="shared" si="26"/>
        <v>6.7497597629363347E-4</v>
      </c>
      <c r="X143">
        <f t="shared" si="27"/>
        <v>6.8163986020911482E-4</v>
      </c>
      <c r="Y143">
        <f t="shared" si="28"/>
        <v>3.5502565806887996E-4</v>
      </c>
      <c r="Z143">
        <f t="shared" si="29"/>
        <v>9.413785703835172E-4</v>
      </c>
      <c r="AA143">
        <f t="shared" si="30"/>
        <v>1.8756288184336709E-3</v>
      </c>
      <c r="AB143">
        <f t="shared" si="31"/>
        <v>2.0356788201583804E-4</v>
      </c>
      <c r="AC143">
        <f t="shared" si="32"/>
        <v>8.2445141253771831E-4</v>
      </c>
      <c r="AD143">
        <f t="shared" si="33"/>
        <v>1.4060486128119663E-3</v>
      </c>
      <c r="AE143">
        <f t="shared" si="34"/>
        <v>1.8529355050314988E-4</v>
      </c>
      <c r="AF143">
        <f t="shared" si="35"/>
        <v>7.3114096434690967E-2</v>
      </c>
      <c r="AG143">
        <f t="shared" si="36"/>
        <v>1.2754025174743822E-2</v>
      </c>
      <c r="AH143">
        <f t="shared" si="37"/>
        <v>4.2138094507565622E-2</v>
      </c>
      <c r="AI143">
        <f t="shared" si="38"/>
        <v>6.5651324288671181E-2</v>
      </c>
      <c r="AJ143">
        <f t="shared" si="39"/>
        <v>6.0269867726049413E-2</v>
      </c>
      <c r="AK143">
        <f t="shared" si="40"/>
        <v>1.6146139190853236E-2</v>
      </c>
      <c r="AL143">
        <f t="shared" si="41"/>
        <v>6.0766766794073349E-2</v>
      </c>
      <c r="AM143">
        <f t="shared" si="42"/>
        <v>4.137648942380024E-2</v>
      </c>
      <c r="AN143">
        <f t="shared" si="43"/>
        <v>1.6850682574928454E-2</v>
      </c>
      <c r="AO143">
        <f t="shared" si="44"/>
        <v>1.8654856519844217E-2</v>
      </c>
      <c r="AP143">
        <f t="shared" si="45"/>
        <v>4.0573879071910492E-2</v>
      </c>
      <c r="AQ143">
        <f t="shared" si="46"/>
        <v>1.4849585050839685E-2</v>
      </c>
      <c r="AR143">
        <f t="shared" si="47"/>
        <v>3.9182781309385767E-2</v>
      </c>
      <c r="AS143">
        <f t="shared" si="48"/>
        <v>0.10163030130039674</v>
      </c>
    </row>
    <row r="144" spans="3:45" x14ac:dyDescent="0.25">
      <c r="C144" s="36" t="s">
        <v>106</v>
      </c>
      <c r="D144">
        <f t="shared" ref="D144:D149" si="49">IFERROR(D98/D$105,0)</f>
        <v>6.1453701522660798E-3</v>
      </c>
      <c r="E144">
        <f t="shared" ref="E144:E149" si="50">IFERROR(E98/E$105,0)</f>
        <v>8.726931325204133E-3</v>
      </c>
      <c r="F144">
        <f t="shared" ref="F144:F149" si="51">IFERROR(F98/F$105,0)</f>
        <v>4.0856067709406979E-3</v>
      </c>
      <c r="G144">
        <f t="shared" ref="G144:G149" si="52">IFERROR(G98/G$105,0)</f>
        <v>1.1124457375947725E-2</v>
      </c>
      <c r="H144">
        <f t="shared" ref="H144:H149" si="53">IFERROR(H98/H$105,0)</f>
        <v>1.1460377908215583E-2</v>
      </c>
      <c r="I144">
        <f t="shared" ref="I144:I149" si="54">IFERROR(I98/I$105,0)</f>
        <v>1.3397174984963482E-3</v>
      </c>
      <c r="J144">
        <f t="shared" ref="J144:J149" si="55">IFERROR(J98/J$105,0)</f>
        <v>1.9431037408432659E-3</v>
      </c>
      <c r="K144">
        <f t="shared" ref="K144:K149" si="56">IFERROR(K98/K$105,0)</f>
        <v>3.5923963695448854E-3</v>
      </c>
      <c r="L144">
        <f t="shared" ref="L144:L149" si="57">IFERROR(L98/L$105,0)</f>
        <v>3.3114313259460328E-3</v>
      </c>
      <c r="M144">
        <f t="shared" ref="M144:M149" si="58">IFERROR(M98/M$105,0)</f>
        <v>5.6473450769097097E-4</v>
      </c>
      <c r="N144">
        <f t="shared" ref="N144:N149" si="59">IFERROR(N98/N$105,0)</f>
        <v>8.5085911318308928E-3</v>
      </c>
      <c r="O144">
        <f t="shared" ref="O144:O149" si="60">IFERROR(O98/O$105,0)</f>
        <v>6.4328538318241223E-3</v>
      </c>
      <c r="P144">
        <f t="shared" ref="P144:P149" si="61">IFERROR(P98/P$105,0)</f>
        <v>3.5576166885665107E-3</v>
      </c>
      <c r="Q144">
        <f t="shared" ref="Q144:Q149" si="62">IFERROR(Q98/Q$105,0)</f>
        <v>1.0175106972436775E-2</v>
      </c>
      <c r="R144">
        <f t="shared" ref="R144:R149" si="63">IFERROR(R98/R$105,0)</f>
        <v>3.827408504776746E-3</v>
      </c>
      <c r="S144">
        <f t="shared" ref="S144:S149" si="64">IFERROR(S98/S$105,0)</f>
        <v>3.2075890037162975E-3</v>
      </c>
      <c r="T144">
        <f t="shared" ref="T144:T149" si="65">IFERROR(T98/T$105,0)</f>
        <v>2.0816053747308469E-3</v>
      </c>
      <c r="U144">
        <f t="shared" ref="U144:U149" si="66">IFERROR(U98/U$105,0)</f>
        <v>4.5310964453008119E-3</v>
      </c>
      <c r="V144">
        <f t="shared" ref="V144:V149" si="67">IFERROR(V98/V$105,0)</f>
        <v>8.5440163662340186E-3</v>
      </c>
      <c r="W144">
        <f t="shared" ref="W144:W149" si="68">IFERROR(W98/W$105,0)</f>
        <v>5.1110780714381156E-3</v>
      </c>
      <c r="X144">
        <f t="shared" ref="X144:X149" si="69">IFERROR(X98/X$105,0)</f>
        <v>4.6935807871703265E-3</v>
      </c>
      <c r="Y144">
        <f t="shared" ref="Y144:Y149" si="70">IFERROR(Y98/Y$105,0)</f>
        <v>1.0641188088658091E-2</v>
      </c>
      <c r="Z144">
        <f t="shared" ref="Z144:Z149" si="71">IFERROR(Z98/Z$105,0)</f>
        <v>1.2292985370391519E-2</v>
      </c>
      <c r="AA144">
        <f t="shared" ref="AA144:AA149" si="72">IFERROR(AA98/AA$105,0)</f>
        <v>1.3918929927765828E-3</v>
      </c>
      <c r="AB144">
        <f t="shared" ref="AB144:AB149" si="73">IFERROR(AB98/AB$105,0)</f>
        <v>5.2215243870796877E-3</v>
      </c>
      <c r="AC144">
        <f t="shared" ref="AC144:AC149" si="74">IFERROR(AC98/AC$105,0)</f>
        <v>1.2364388442538611E-4</v>
      </c>
      <c r="AD144">
        <f t="shared" ref="AD144:AD149" si="75">IFERROR(AD98/AD$105,0)</f>
        <v>1.0757693190641365E-3</v>
      </c>
      <c r="AE144">
        <f t="shared" ref="AE144:AE149" si="76">IFERROR(AE98/AE$105,0)</f>
        <v>8.4227141617291348E-2</v>
      </c>
      <c r="AF144">
        <f t="shared" ref="AF144:AF149" si="77">IFERROR(AF98/AF$105,0)</f>
        <v>7.5288203959256875E-3</v>
      </c>
      <c r="AG144">
        <f t="shared" ref="AG144:AG149" si="78">IFERROR(AG98/AG$105,0)</f>
        <v>3.1705199688444961E-3</v>
      </c>
      <c r="AH144">
        <f t="shared" ref="AH144:AH149" si="79">IFERROR(AH98/AH$105,0)</f>
        <v>3.8849694115271322E-4</v>
      </c>
      <c r="AI144">
        <f t="shared" ref="AI144:AI149" si="80">IFERROR(AI98/AI$105,0)</f>
        <v>3.3994814963855991E-3</v>
      </c>
      <c r="AJ144">
        <f t="shared" ref="AJ144:AJ149" si="81">IFERROR(AJ98/AJ$105,0)</f>
        <v>1.2815679027992395E-4</v>
      </c>
      <c r="AK144">
        <f t="shared" ref="AK144:AK149" si="82">IFERROR(AK98/AK$105,0)</f>
        <v>5.8695229200399865E-2</v>
      </c>
      <c r="AL144">
        <f t="shared" ref="AL144:AL149" si="83">IFERROR(AL98/AL$105,0)</f>
        <v>6.8420842111700071E-4</v>
      </c>
      <c r="AM144">
        <f t="shared" ref="AM144:AM149" si="84">IFERROR(AM98/AM$105,0)</f>
        <v>8.3144654060956114E-4</v>
      </c>
      <c r="AN144">
        <f t="shared" ref="AN144:AN149" si="85">IFERROR(AN98/AN$105,0)</f>
        <v>0.14011075668660761</v>
      </c>
      <c r="AO144">
        <f t="shared" ref="AO144:AO149" si="86">IFERROR(AO98/AO$105,0)</f>
        <v>7.6028687838010302E-4</v>
      </c>
      <c r="AP144">
        <f t="shared" ref="AP144:AP149" si="87">IFERROR(AP98/AP$105,0)</f>
        <v>2.5795859899650202E-3</v>
      </c>
      <c r="AQ144">
        <f t="shared" ref="AQ144:AQ149" si="88">IFERROR(AQ98/AQ$105,0)</f>
        <v>5.0141780565702058E-4</v>
      </c>
      <c r="AR144">
        <f t="shared" ref="AR144:AR149" si="89">IFERROR(AR98/AR$105,0)</f>
        <v>2.0391148746541518E-4</v>
      </c>
      <c r="AS144">
        <f t="shared" ref="AS144:AS149" si="90">IFERROR(AS98/AS$105,0)</f>
        <v>4.6950822542961256E-5</v>
      </c>
    </row>
    <row r="145" spans="2:45" x14ac:dyDescent="0.25">
      <c r="C145" s="36" t="s">
        <v>111</v>
      </c>
      <c r="D145">
        <f t="shared" si="49"/>
        <v>1.665815177518816E-3</v>
      </c>
      <c r="E145">
        <f t="shared" si="50"/>
        <v>7.2568981635279435E-4</v>
      </c>
      <c r="F145">
        <f t="shared" si="51"/>
        <v>6.3668513142799772E-4</v>
      </c>
      <c r="G145">
        <f t="shared" si="52"/>
        <v>1.9701184927852777E-3</v>
      </c>
      <c r="H145">
        <f t="shared" si="53"/>
        <v>3.1647621766612264E-4</v>
      </c>
      <c r="I145">
        <f t="shared" si="54"/>
        <v>5.9485968997037943E-4</v>
      </c>
      <c r="J145">
        <f t="shared" si="55"/>
        <v>1.4017094610188528E-3</v>
      </c>
      <c r="K145">
        <f t="shared" si="56"/>
        <v>7.7780527865402716E-4</v>
      </c>
      <c r="L145">
        <f t="shared" si="57"/>
        <v>1.6474038819809282E-3</v>
      </c>
      <c r="M145">
        <f t="shared" si="58"/>
        <v>7.6064204170166769E-4</v>
      </c>
      <c r="N145">
        <f t="shared" si="59"/>
        <v>9.2615173366805735E-4</v>
      </c>
      <c r="O145">
        <f t="shared" si="60"/>
        <v>1.4521308359530527E-3</v>
      </c>
      <c r="P145">
        <f t="shared" si="61"/>
        <v>8.6510023167175496E-4</v>
      </c>
      <c r="Q145">
        <f t="shared" si="62"/>
        <v>1.3611041831694439E-3</v>
      </c>
      <c r="R145">
        <f t="shared" si="63"/>
        <v>1.1683218715567273E-3</v>
      </c>
      <c r="S145">
        <f t="shared" si="64"/>
        <v>1.1476750098900516E-3</v>
      </c>
      <c r="T145">
        <f t="shared" si="65"/>
        <v>5.8339079650217458E-4</v>
      </c>
      <c r="U145">
        <f t="shared" si="66"/>
        <v>8.949453040407139E-4</v>
      </c>
      <c r="V145">
        <f t="shared" si="67"/>
        <v>5.8371248162234293E-4</v>
      </c>
      <c r="W145">
        <f t="shared" si="68"/>
        <v>7.0396437559040281E-4</v>
      </c>
      <c r="X145">
        <f t="shared" si="69"/>
        <v>1.0750763312005155E-3</v>
      </c>
      <c r="Y145">
        <f t="shared" si="70"/>
        <v>6.7374053457196594E-4</v>
      </c>
      <c r="Z145">
        <f t="shared" si="71"/>
        <v>9.6407875866838673E-4</v>
      </c>
      <c r="AA145">
        <f t="shared" si="72"/>
        <v>1.5555162422737877E-3</v>
      </c>
      <c r="AB145">
        <f t="shared" si="73"/>
        <v>3.2743071198159473E-3</v>
      </c>
      <c r="AC145">
        <f t="shared" si="74"/>
        <v>5.278473226157488E-4</v>
      </c>
      <c r="AD145">
        <f t="shared" si="75"/>
        <v>5.5288367121324469E-2</v>
      </c>
      <c r="AE145">
        <f t="shared" si="76"/>
        <v>5.4509303596129543E-4</v>
      </c>
      <c r="AF145">
        <f t="shared" si="77"/>
        <v>1.5826536704733132E-3</v>
      </c>
      <c r="AG145">
        <f t="shared" si="78"/>
        <v>2.1689610393202351E-3</v>
      </c>
      <c r="AH145">
        <f t="shared" si="79"/>
        <v>1.0143168690231027E-3</v>
      </c>
      <c r="AI145">
        <f t="shared" si="80"/>
        <v>1.6787432421113164E-3</v>
      </c>
      <c r="AJ145">
        <f t="shared" si="81"/>
        <v>5.2671050513579364E-3</v>
      </c>
      <c r="AK145">
        <f t="shared" si="82"/>
        <v>3.8113334343123015E-3</v>
      </c>
      <c r="AL145">
        <f t="shared" si="83"/>
        <v>2.0906323761228775E-3</v>
      </c>
      <c r="AM145">
        <f t="shared" si="84"/>
        <v>1.6308010931514497E-3</v>
      </c>
      <c r="AN145">
        <f t="shared" si="85"/>
        <v>2.2738775356489628E-3</v>
      </c>
      <c r="AO145">
        <f t="shared" si="86"/>
        <v>2.9021876174612569E-2</v>
      </c>
      <c r="AP145">
        <f t="shared" si="87"/>
        <v>2.7880350919117602E-3</v>
      </c>
      <c r="AQ145">
        <f t="shared" si="88"/>
        <v>1.1291255577216875E-3</v>
      </c>
      <c r="AR145">
        <f t="shared" si="89"/>
        <v>3.2406347765507821E-3</v>
      </c>
      <c r="AS145">
        <f t="shared" si="90"/>
        <v>2.3264601216235843E-3</v>
      </c>
    </row>
    <row r="146" spans="2:45" x14ac:dyDescent="0.25">
      <c r="C146" s="36" t="s">
        <v>108</v>
      </c>
      <c r="D146">
        <f t="shared" si="49"/>
        <v>1.2546606956720635E-4</v>
      </c>
      <c r="E146">
        <f t="shared" si="50"/>
        <v>3.5856943741294705E-4</v>
      </c>
      <c r="F146">
        <f t="shared" si="51"/>
        <v>9.4945514776234504E-5</v>
      </c>
      <c r="G146">
        <f t="shared" si="52"/>
        <v>1.2855255773193362E-4</v>
      </c>
      <c r="H146">
        <f t="shared" si="53"/>
        <v>1.354545796508566E-4</v>
      </c>
      <c r="I146">
        <f t="shared" si="54"/>
        <v>1.1380004425368148E-4</v>
      </c>
      <c r="J146">
        <f t="shared" si="55"/>
        <v>1.4181929752481184E-4</v>
      </c>
      <c r="K146">
        <f t="shared" si="56"/>
        <v>2.4160162799190176E-4</v>
      </c>
      <c r="L146">
        <f t="shared" si="57"/>
        <v>1.5612397158650703E-4</v>
      </c>
      <c r="M146">
        <f t="shared" si="58"/>
        <v>9.4572917902117096E-5</v>
      </c>
      <c r="N146">
        <f t="shared" si="59"/>
        <v>1.1872911787837857E-4</v>
      </c>
      <c r="O146">
        <f t="shared" si="60"/>
        <v>3.5661924975733403E-4</v>
      </c>
      <c r="P146">
        <f t="shared" si="61"/>
        <v>1.489376034292412E-4</v>
      </c>
      <c r="Q146">
        <f t="shared" si="62"/>
        <v>2.5598410561708523E-4</v>
      </c>
      <c r="R146">
        <f t="shared" si="63"/>
        <v>1.7314945213960575E-4</v>
      </c>
      <c r="S146">
        <f t="shared" si="64"/>
        <v>4.9237482247548531E-5</v>
      </c>
      <c r="T146">
        <f t="shared" si="65"/>
        <v>5.3729062112436532E-5</v>
      </c>
      <c r="U146">
        <f t="shared" si="66"/>
        <v>2.1880634276557397E-4</v>
      </c>
      <c r="V146">
        <f t="shared" si="67"/>
        <v>1.1501502991329055E-4</v>
      </c>
      <c r="W146">
        <f t="shared" si="68"/>
        <v>1.311334743298938E-4</v>
      </c>
      <c r="X146">
        <f t="shared" si="69"/>
        <v>2.8895925343049093E-4</v>
      </c>
      <c r="Y146">
        <f t="shared" si="70"/>
        <v>1.4763655951412037E-4</v>
      </c>
      <c r="Z146">
        <f t="shared" si="71"/>
        <v>1.8455679893427705E-4</v>
      </c>
      <c r="AA146">
        <f t="shared" si="72"/>
        <v>2.3138706908399021E-4</v>
      </c>
      <c r="AB146">
        <f t="shared" si="73"/>
        <v>3.0911172254633052E-5</v>
      </c>
      <c r="AC146">
        <f t="shared" si="74"/>
        <v>2.5380747698966249E-4</v>
      </c>
      <c r="AD146">
        <f t="shared" si="75"/>
        <v>6.1998540358127472E-4</v>
      </c>
      <c r="AE146">
        <f t="shared" si="76"/>
        <v>3.0225907165895333E-4</v>
      </c>
      <c r="AF146">
        <f t="shared" si="77"/>
        <v>1.038379418441489E-3</v>
      </c>
      <c r="AG146">
        <f t="shared" si="78"/>
        <v>1.0964641268299163E-3</v>
      </c>
      <c r="AH146">
        <f t="shared" si="79"/>
        <v>6.9103796917781637E-4</v>
      </c>
      <c r="AI146">
        <f t="shared" si="80"/>
        <v>5.991285565578509E-4</v>
      </c>
      <c r="AJ146">
        <f t="shared" si="81"/>
        <v>5.993363626602392E-4</v>
      </c>
      <c r="AK146">
        <f t="shared" si="82"/>
        <v>6.1686553201441361E-4</v>
      </c>
      <c r="AL146">
        <f t="shared" si="83"/>
        <v>2.5233416712750175E-3</v>
      </c>
      <c r="AM146">
        <f t="shared" si="84"/>
        <v>2.574421812212461E-4</v>
      </c>
      <c r="AN146">
        <f t="shared" si="85"/>
        <v>9.4775980946849208E-4</v>
      </c>
      <c r="AO146">
        <f t="shared" si="86"/>
        <v>8.3474918324847967E-3</v>
      </c>
      <c r="AP146">
        <f t="shared" si="87"/>
        <v>1.4452935993603E-2</v>
      </c>
      <c r="AQ146">
        <f t="shared" si="88"/>
        <v>1.5852403705972514E-3</v>
      </c>
      <c r="AR146">
        <f t="shared" si="89"/>
        <v>1.5732446302881536E-3</v>
      </c>
      <c r="AS146">
        <f t="shared" si="90"/>
        <v>6.2972577819837003E-4</v>
      </c>
    </row>
    <row r="147" spans="2:45" x14ac:dyDescent="0.25">
      <c r="C147" s="36" t="s">
        <v>109</v>
      </c>
      <c r="D147">
        <f t="shared" si="49"/>
        <v>7.9760136397754035E-5</v>
      </c>
      <c r="E147">
        <f t="shared" si="50"/>
        <v>6.1835391499928227E-4</v>
      </c>
      <c r="F147">
        <f t="shared" si="51"/>
        <v>1.2209556195562907E-4</v>
      </c>
      <c r="G147">
        <f t="shared" si="52"/>
        <v>5.0131724857952777E-4</v>
      </c>
      <c r="H147">
        <f t="shared" si="53"/>
        <v>0</v>
      </c>
      <c r="I147">
        <f t="shared" si="54"/>
        <v>5.9160941147168319E-5</v>
      </c>
      <c r="J147">
        <f t="shared" si="55"/>
        <v>1.6389447502369224E-4</v>
      </c>
      <c r="K147">
        <f t="shared" si="56"/>
        <v>1.8225711865356669E-4</v>
      </c>
      <c r="L147">
        <f t="shared" si="57"/>
        <v>1.9643010412167264E-4</v>
      </c>
      <c r="M147">
        <f t="shared" si="58"/>
        <v>2.0473112650409905E-3</v>
      </c>
      <c r="N147">
        <f t="shared" si="59"/>
        <v>1.12127396281497E-4</v>
      </c>
      <c r="O147">
        <f t="shared" si="60"/>
        <v>2.0698246535041505E-4</v>
      </c>
      <c r="P147">
        <f t="shared" si="61"/>
        <v>3.2374405297381667E-5</v>
      </c>
      <c r="Q147">
        <f t="shared" si="62"/>
        <v>6.7562259573297377E-4</v>
      </c>
      <c r="R147">
        <f t="shared" si="63"/>
        <v>3.2704930846953718E-4</v>
      </c>
      <c r="S147">
        <f t="shared" si="64"/>
        <v>4.3217422895878592E-4</v>
      </c>
      <c r="T147">
        <f t="shared" si="65"/>
        <v>1.8582784519289289E-4</v>
      </c>
      <c r="U147">
        <f t="shared" si="66"/>
        <v>5.2019831511821747E-4</v>
      </c>
      <c r="V147">
        <f t="shared" si="67"/>
        <v>1.5094974487029193E-4</v>
      </c>
      <c r="W147">
        <f t="shared" si="68"/>
        <v>4.4068466491409215E-4</v>
      </c>
      <c r="X147">
        <f t="shared" si="69"/>
        <v>7.7449691172283108E-4</v>
      </c>
      <c r="Y147">
        <f t="shared" si="70"/>
        <v>3.3345727781985317E-4</v>
      </c>
      <c r="Z147">
        <f t="shared" si="71"/>
        <v>7.0385656151034039E-4</v>
      </c>
      <c r="AA147">
        <f t="shared" si="72"/>
        <v>1.1163280153616369E-4</v>
      </c>
      <c r="AB147">
        <f t="shared" si="73"/>
        <v>5.0416946684591496E-4</v>
      </c>
      <c r="AC147">
        <f t="shared" si="74"/>
        <v>4.6012330513163312E-4</v>
      </c>
      <c r="AD147">
        <f t="shared" si="75"/>
        <v>4.5431614341790343E-5</v>
      </c>
      <c r="AE147">
        <f t="shared" si="76"/>
        <v>4.2495253594834281E-4</v>
      </c>
      <c r="AF147">
        <f t="shared" si="77"/>
        <v>2.710514265719528E-4</v>
      </c>
      <c r="AG147">
        <f t="shared" si="78"/>
        <v>4.8969156521776983E-4</v>
      </c>
      <c r="AH147">
        <f t="shared" si="79"/>
        <v>2.5529661305345837E-5</v>
      </c>
      <c r="AI147">
        <f t="shared" si="80"/>
        <v>2.6048628011954894E-5</v>
      </c>
      <c r="AJ147">
        <f t="shared" si="81"/>
        <v>6.6753996993031246E-6</v>
      </c>
      <c r="AK147">
        <f t="shared" si="82"/>
        <v>8.4206948738183907E-5</v>
      </c>
      <c r="AL147">
        <f t="shared" si="83"/>
        <v>2.2523488700179815E-4</v>
      </c>
      <c r="AM147">
        <f t="shared" si="84"/>
        <v>2.3362524490459106E-6</v>
      </c>
      <c r="AN147">
        <f t="shared" si="85"/>
        <v>8.184537860681456E-5</v>
      </c>
      <c r="AO147">
        <f t="shared" si="86"/>
        <v>2.6757218701949064E-3</v>
      </c>
      <c r="AP147">
        <f t="shared" si="87"/>
        <v>3.8589978707440233E-4</v>
      </c>
      <c r="AQ147">
        <f t="shared" si="88"/>
        <v>5.7539022154574418E-3</v>
      </c>
      <c r="AR147">
        <f t="shared" si="89"/>
        <v>3.2160028385398753E-4</v>
      </c>
      <c r="AS147">
        <f t="shared" si="90"/>
        <v>2.4615953792178971E-4</v>
      </c>
    </row>
    <row r="148" spans="2:45" x14ac:dyDescent="0.25">
      <c r="C148" s="36" t="s">
        <v>110</v>
      </c>
      <c r="D148">
        <f t="shared" si="49"/>
        <v>7.5877672207369458E-5</v>
      </c>
      <c r="E148">
        <f t="shared" si="50"/>
        <v>1.160433975792549E-3</v>
      </c>
      <c r="F148">
        <f t="shared" si="51"/>
        <v>1.1600105676231188E-3</v>
      </c>
      <c r="G148">
        <f t="shared" si="52"/>
        <v>8.9629054022688092E-4</v>
      </c>
      <c r="H148">
        <f t="shared" si="53"/>
        <v>7.3198010306288128E-4</v>
      </c>
      <c r="I148">
        <f t="shared" si="54"/>
        <v>7.133748640131912E-4</v>
      </c>
      <c r="J148">
        <f t="shared" si="55"/>
        <v>1.1683038109764655E-3</v>
      </c>
      <c r="K148">
        <f t="shared" si="56"/>
        <v>1.1070384139168846E-3</v>
      </c>
      <c r="L148">
        <f t="shared" si="57"/>
        <v>8.6816343235364987E-4</v>
      </c>
      <c r="M148">
        <f t="shared" si="58"/>
        <v>7.6729062544753242E-4</v>
      </c>
      <c r="N148">
        <f t="shared" si="59"/>
        <v>7.6142749533808865E-4</v>
      </c>
      <c r="O148">
        <f t="shared" si="60"/>
        <v>1.9652769729893087E-3</v>
      </c>
      <c r="P148">
        <f t="shared" si="61"/>
        <v>1.4297844181817667E-3</v>
      </c>
      <c r="Q148">
        <f t="shared" si="62"/>
        <v>1.3888472013219696E-3</v>
      </c>
      <c r="R148">
        <f t="shared" si="63"/>
        <v>1.238828516622135E-3</v>
      </c>
      <c r="S148">
        <f t="shared" si="64"/>
        <v>9.0219569724693733E-4</v>
      </c>
      <c r="T148">
        <f t="shared" si="65"/>
        <v>6.7499364324322554E-4</v>
      </c>
      <c r="U148">
        <f t="shared" si="66"/>
        <v>8.7327518820261741E-4</v>
      </c>
      <c r="V148">
        <f t="shared" si="67"/>
        <v>9.8470603654878647E-4</v>
      </c>
      <c r="W148">
        <f t="shared" si="68"/>
        <v>1.2046650982023782E-3</v>
      </c>
      <c r="X148">
        <f t="shared" si="69"/>
        <v>1.9707848406469494E-3</v>
      </c>
      <c r="Y148">
        <f t="shared" si="70"/>
        <v>2.1036524032863805E-3</v>
      </c>
      <c r="Z148">
        <f t="shared" si="71"/>
        <v>7.6251180528948657E-4</v>
      </c>
      <c r="AA148">
        <f t="shared" si="72"/>
        <v>8.117211371103353E-4</v>
      </c>
      <c r="AB148">
        <f t="shared" si="73"/>
        <v>1.4339907290595595E-3</v>
      </c>
      <c r="AC148">
        <f t="shared" si="74"/>
        <v>1.2366316029970429E-3</v>
      </c>
      <c r="AD148">
        <f t="shared" si="75"/>
        <v>3.2898789328574506E-3</v>
      </c>
      <c r="AE148">
        <f t="shared" si="76"/>
        <v>9.8617286441716133E-4</v>
      </c>
      <c r="AF148">
        <f t="shared" si="77"/>
        <v>1.1524530185769591E-3</v>
      </c>
      <c r="AG148">
        <f t="shared" si="78"/>
        <v>2.1317657140588068E-3</v>
      </c>
      <c r="AH148">
        <f t="shared" si="79"/>
        <v>1.5598857510155588E-3</v>
      </c>
      <c r="AI148">
        <f t="shared" si="80"/>
        <v>3.7487229391430358E-3</v>
      </c>
      <c r="AJ148">
        <f t="shared" si="81"/>
        <v>4.1083995455635505E-3</v>
      </c>
      <c r="AK148">
        <f t="shared" si="82"/>
        <v>4.9101663415553999E-3</v>
      </c>
      <c r="AL148">
        <f t="shared" si="83"/>
        <v>8.6948487533344623E-3</v>
      </c>
      <c r="AM148">
        <f t="shared" si="84"/>
        <v>1.2353386396881396E-3</v>
      </c>
      <c r="AN148">
        <f t="shared" si="85"/>
        <v>2.5209449119848425E-3</v>
      </c>
      <c r="AO148">
        <f t="shared" si="86"/>
        <v>7.7218070309244555E-3</v>
      </c>
      <c r="AP148">
        <f t="shared" si="87"/>
        <v>4.4947055640692851E-3</v>
      </c>
      <c r="AQ148">
        <f t="shared" si="88"/>
        <v>6.4021679312937737E-4</v>
      </c>
      <c r="AR148">
        <f t="shared" si="89"/>
        <v>5.9244243544415508E-2</v>
      </c>
      <c r="AS148">
        <f t="shared" si="90"/>
        <v>3.7810499461218739E-3</v>
      </c>
    </row>
    <row r="149" spans="2:45" x14ac:dyDescent="0.25">
      <c r="C149" s="36" t="s">
        <v>107</v>
      </c>
      <c r="D149">
        <f t="shared" si="49"/>
        <v>8.7287829001960187E-4</v>
      </c>
      <c r="E149">
        <f t="shared" si="50"/>
        <v>6.6780663612239074E-3</v>
      </c>
      <c r="F149">
        <f t="shared" si="51"/>
        <v>1.4800543307223846E-3</v>
      </c>
      <c r="G149">
        <f t="shared" si="52"/>
        <v>1.6480065979649645E-3</v>
      </c>
      <c r="H149">
        <f t="shared" si="53"/>
        <v>1.553767330236284E-3</v>
      </c>
      <c r="I149">
        <f t="shared" si="54"/>
        <v>1.4400060764286208E-3</v>
      </c>
      <c r="J149">
        <f t="shared" si="55"/>
        <v>1.6718876157402816E-3</v>
      </c>
      <c r="K149">
        <f t="shared" si="56"/>
        <v>2.8216535456652477E-3</v>
      </c>
      <c r="L149">
        <f t="shared" si="57"/>
        <v>2.8248483093035273E-3</v>
      </c>
      <c r="M149">
        <f t="shared" si="58"/>
        <v>1.7010582772776089E-3</v>
      </c>
      <c r="N149">
        <f t="shared" si="59"/>
        <v>2.2020127631625299E-3</v>
      </c>
      <c r="O149">
        <f t="shared" si="60"/>
        <v>4.5802495670367975E-3</v>
      </c>
      <c r="P149">
        <f t="shared" si="61"/>
        <v>3.1952748580740494E-3</v>
      </c>
      <c r="Q149">
        <f t="shared" si="62"/>
        <v>3.7190978040438595E-3</v>
      </c>
      <c r="R149">
        <f t="shared" si="63"/>
        <v>2.9360088193118457E-3</v>
      </c>
      <c r="S149">
        <f t="shared" si="64"/>
        <v>1.6718515106971231E-3</v>
      </c>
      <c r="T149">
        <f t="shared" si="65"/>
        <v>7.0444309839541965E-4</v>
      </c>
      <c r="U149">
        <f t="shared" si="66"/>
        <v>3.6017694225758136E-3</v>
      </c>
      <c r="V149">
        <f t="shared" si="67"/>
        <v>2.6781635434009708E-3</v>
      </c>
      <c r="W149">
        <f t="shared" si="68"/>
        <v>3.7992233902950528E-3</v>
      </c>
      <c r="X149">
        <f t="shared" si="69"/>
        <v>4.0859264496832144E-3</v>
      </c>
      <c r="Y149">
        <f t="shared" si="70"/>
        <v>5.1824286564750525E-3</v>
      </c>
      <c r="Z149">
        <f t="shared" si="71"/>
        <v>3.0495978236252603E-3</v>
      </c>
      <c r="AA149">
        <f t="shared" si="72"/>
        <v>2.1505993405935993E-3</v>
      </c>
      <c r="AB149">
        <f t="shared" si="73"/>
        <v>3.4249808878890923E-3</v>
      </c>
      <c r="AC149">
        <f t="shared" si="74"/>
        <v>3.0436680879248417E-3</v>
      </c>
      <c r="AD149">
        <f t="shared" si="75"/>
        <v>9.2774308711820151E-3</v>
      </c>
      <c r="AE149">
        <f t="shared" si="76"/>
        <v>6.4990546355385695E-3</v>
      </c>
      <c r="AF149">
        <f t="shared" si="77"/>
        <v>7.298438419577143E-3</v>
      </c>
      <c r="AG149">
        <f t="shared" si="78"/>
        <v>1.4973728437636375E-2</v>
      </c>
      <c r="AH149">
        <f t="shared" si="79"/>
        <v>5.4863540039640779E-3</v>
      </c>
      <c r="AI149">
        <f t="shared" si="80"/>
        <v>2.2433169554467902E-3</v>
      </c>
      <c r="AJ149">
        <f t="shared" si="81"/>
        <v>7.8469084689534365E-3</v>
      </c>
      <c r="AK149">
        <f t="shared" si="82"/>
        <v>1.5120733792945946E-2</v>
      </c>
      <c r="AL149">
        <f t="shared" si="83"/>
        <v>2.998747520800179E-3</v>
      </c>
      <c r="AM149">
        <f t="shared" si="84"/>
        <v>1.7036947612060647E-3</v>
      </c>
      <c r="AN149">
        <f t="shared" si="85"/>
        <v>1.1712868484803463E-2</v>
      </c>
      <c r="AO149">
        <f t="shared" si="86"/>
        <v>2.3503440319706703E-2</v>
      </c>
      <c r="AP149">
        <f t="shared" si="87"/>
        <v>1.1996011784598718E-2</v>
      </c>
      <c r="AQ149">
        <f t="shared" si="88"/>
        <v>7.4554208399953007E-3</v>
      </c>
      <c r="AR149">
        <f t="shared" si="89"/>
        <v>1.3863818975195353E-2</v>
      </c>
      <c r="AS149">
        <f t="shared" si="90"/>
        <v>1.8240766670602145E-2</v>
      </c>
    </row>
    <row r="152" spans="2:45" x14ac:dyDescent="0.25">
      <c r="B152" t="s">
        <v>146</v>
      </c>
      <c r="C152" s="34" t="s">
        <v>144</v>
      </c>
      <c r="D152" s="35" t="s">
        <v>70</v>
      </c>
      <c r="E152" s="35" t="s">
        <v>71</v>
      </c>
      <c r="F152" s="35" t="s">
        <v>72</v>
      </c>
      <c r="G152" s="35" t="s">
        <v>73</v>
      </c>
      <c r="H152" s="35" t="s">
        <v>74</v>
      </c>
      <c r="I152" s="35" t="s">
        <v>75</v>
      </c>
      <c r="J152" s="35" t="s">
        <v>76</v>
      </c>
      <c r="K152" s="35" t="s">
        <v>77</v>
      </c>
      <c r="L152" s="35" t="s">
        <v>78</v>
      </c>
      <c r="M152" s="35" t="s">
        <v>79</v>
      </c>
      <c r="N152" s="35" t="s">
        <v>80</v>
      </c>
      <c r="O152" s="35" t="s">
        <v>81</v>
      </c>
      <c r="P152" s="35" t="s">
        <v>82</v>
      </c>
      <c r="Q152" s="35" t="s">
        <v>88</v>
      </c>
      <c r="R152" s="35" t="s">
        <v>83</v>
      </c>
      <c r="S152" s="35" t="s">
        <v>84</v>
      </c>
      <c r="T152" s="35" t="s">
        <v>85</v>
      </c>
      <c r="U152" s="35" t="s">
        <v>86</v>
      </c>
      <c r="V152" s="35" t="s">
        <v>92</v>
      </c>
      <c r="W152" s="35" t="s">
        <v>91</v>
      </c>
      <c r="X152" s="35" t="s">
        <v>87</v>
      </c>
      <c r="Y152" s="35" t="s">
        <v>89</v>
      </c>
      <c r="Z152" s="35" t="s">
        <v>90</v>
      </c>
      <c r="AA152" s="35" t="s">
        <v>93</v>
      </c>
      <c r="AB152" s="35" t="s">
        <v>94</v>
      </c>
      <c r="AC152" s="35" t="s">
        <v>95</v>
      </c>
      <c r="AD152" s="35" t="s">
        <v>96</v>
      </c>
      <c r="AE152" s="35" t="s">
        <v>97</v>
      </c>
      <c r="AF152" s="35" t="s">
        <v>98</v>
      </c>
      <c r="AG152" s="35" t="s">
        <v>99</v>
      </c>
      <c r="AH152" s="35" t="s">
        <v>100</v>
      </c>
      <c r="AI152" s="35" t="s">
        <v>101</v>
      </c>
      <c r="AJ152" s="35" t="s">
        <v>104</v>
      </c>
      <c r="AK152" s="35" t="s">
        <v>105</v>
      </c>
      <c r="AL152" s="35" t="s">
        <v>102</v>
      </c>
      <c r="AM152" s="35" t="s">
        <v>103</v>
      </c>
      <c r="AN152" s="35" t="s">
        <v>106</v>
      </c>
      <c r="AO152" s="35" t="s">
        <v>111</v>
      </c>
      <c r="AP152" s="35" t="s">
        <v>108</v>
      </c>
      <c r="AQ152" s="35" t="s">
        <v>109</v>
      </c>
      <c r="AR152" s="35" t="s">
        <v>110</v>
      </c>
      <c r="AS152" s="35" t="s">
        <v>107</v>
      </c>
    </row>
    <row r="153" spans="2:45" x14ac:dyDescent="0.25">
      <c r="C153" s="36" t="s">
        <v>70</v>
      </c>
      <c r="D153" cm="1">
        <f t="array" ref="D153:AS194">_xlfn.MUNIT(42)</f>
        <v>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row>
    <row r="154" spans="2:45" x14ac:dyDescent="0.25">
      <c r="C154" s="36" t="s">
        <v>71</v>
      </c>
      <c r="D154">
        <v>0</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row>
    <row r="155" spans="2:45" x14ac:dyDescent="0.25">
      <c r="C155" s="36" t="s">
        <v>72</v>
      </c>
      <c r="D155">
        <v>0</v>
      </c>
      <c r="E155">
        <v>0</v>
      </c>
      <c r="F155">
        <v>1</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row>
    <row r="156" spans="2:45" x14ac:dyDescent="0.25">
      <c r="C156" s="36" t="s">
        <v>73</v>
      </c>
      <c r="D156">
        <v>0</v>
      </c>
      <c r="E156">
        <v>0</v>
      </c>
      <c r="F156">
        <v>0</v>
      </c>
      <c r="G156">
        <v>1</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row>
    <row r="157" spans="2:45" x14ac:dyDescent="0.25">
      <c r="C157" s="36" t="s">
        <v>74</v>
      </c>
      <c r="D157">
        <v>0</v>
      </c>
      <c r="E157">
        <v>0</v>
      </c>
      <c r="F157">
        <v>0</v>
      </c>
      <c r="G157">
        <v>0</v>
      </c>
      <c r="H157">
        <v>1</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row>
    <row r="158" spans="2:45" x14ac:dyDescent="0.25">
      <c r="C158" s="36" t="s">
        <v>75</v>
      </c>
      <c r="D158">
        <v>0</v>
      </c>
      <c r="E158">
        <v>0</v>
      </c>
      <c r="F158">
        <v>0</v>
      </c>
      <c r="G158">
        <v>0</v>
      </c>
      <c r="H158">
        <v>0</v>
      </c>
      <c r="I158">
        <v>1</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row>
    <row r="159" spans="2:45" x14ac:dyDescent="0.25">
      <c r="C159" s="36" t="s">
        <v>76</v>
      </c>
      <c r="D159">
        <v>0</v>
      </c>
      <c r="E159">
        <v>0</v>
      </c>
      <c r="F159">
        <v>0</v>
      </c>
      <c r="G159">
        <v>0</v>
      </c>
      <c r="H159">
        <v>0</v>
      </c>
      <c r="I159">
        <v>0</v>
      </c>
      <c r="J159">
        <v>1</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row>
    <row r="160" spans="2:45" x14ac:dyDescent="0.25">
      <c r="C160" s="36" t="s">
        <v>77</v>
      </c>
      <c r="D160">
        <v>0</v>
      </c>
      <c r="E160">
        <v>0</v>
      </c>
      <c r="F160">
        <v>0</v>
      </c>
      <c r="G160">
        <v>0</v>
      </c>
      <c r="H160">
        <v>0</v>
      </c>
      <c r="I160">
        <v>0</v>
      </c>
      <c r="J160">
        <v>0</v>
      </c>
      <c r="K160">
        <v>1</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row>
    <row r="161" spans="3:45" x14ac:dyDescent="0.25">
      <c r="C161" s="36" t="s">
        <v>78</v>
      </c>
      <c r="D161">
        <v>0</v>
      </c>
      <c r="E161">
        <v>0</v>
      </c>
      <c r="F161">
        <v>0</v>
      </c>
      <c r="G161">
        <v>0</v>
      </c>
      <c r="H161">
        <v>0</v>
      </c>
      <c r="I161">
        <v>0</v>
      </c>
      <c r="J161">
        <v>0</v>
      </c>
      <c r="K161">
        <v>0</v>
      </c>
      <c r="L161">
        <v>1</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row>
    <row r="162" spans="3:45" x14ac:dyDescent="0.25">
      <c r="C162" s="36" t="s">
        <v>79</v>
      </c>
      <c r="D162">
        <v>0</v>
      </c>
      <c r="E162">
        <v>0</v>
      </c>
      <c r="F162">
        <v>0</v>
      </c>
      <c r="G162">
        <v>0</v>
      </c>
      <c r="H162">
        <v>0</v>
      </c>
      <c r="I162">
        <v>0</v>
      </c>
      <c r="J162">
        <v>0</v>
      </c>
      <c r="K162">
        <v>0</v>
      </c>
      <c r="L162">
        <v>0</v>
      </c>
      <c r="M162">
        <v>1</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row>
    <row r="163" spans="3:45" x14ac:dyDescent="0.25">
      <c r="C163" s="36" t="s">
        <v>80</v>
      </c>
      <c r="D163">
        <v>0</v>
      </c>
      <c r="E163">
        <v>0</v>
      </c>
      <c r="F163">
        <v>0</v>
      </c>
      <c r="G163">
        <v>0</v>
      </c>
      <c r="H163">
        <v>0</v>
      </c>
      <c r="I163">
        <v>0</v>
      </c>
      <c r="J163">
        <v>0</v>
      </c>
      <c r="K163">
        <v>0</v>
      </c>
      <c r="L163">
        <v>0</v>
      </c>
      <c r="M163">
        <v>0</v>
      </c>
      <c r="N163">
        <v>1</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row>
    <row r="164" spans="3:45" x14ac:dyDescent="0.25">
      <c r="C164" s="36" t="s">
        <v>81</v>
      </c>
      <c r="D164">
        <v>0</v>
      </c>
      <c r="E164">
        <v>0</v>
      </c>
      <c r="F164">
        <v>0</v>
      </c>
      <c r="G164">
        <v>0</v>
      </c>
      <c r="H164">
        <v>0</v>
      </c>
      <c r="I164">
        <v>0</v>
      </c>
      <c r="J164">
        <v>0</v>
      </c>
      <c r="K164">
        <v>0</v>
      </c>
      <c r="L164">
        <v>0</v>
      </c>
      <c r="M164">
        <v>0</v>
      </c>
      <c r="N164">
        <v>0</v>
      </c>
      <c r="O164">
        <v>1</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row>
    <row r="165" spans="3:45" x14ac:dyDescent="0.25">
      <c r="C165" s="36" t="s">
        <v>82</v>
      </c>
      <c r="D165">
        <v>0</v>
      </c>
      <c r="E165">
        <v>0</v>
      </c>
      <c r="F165">
        <v>0</v>
      </c>
      <c r="G165">
        <v>0</v>
      </c>
      <c r="H165">
        <v>0</v>
      </c>
      <c r="I165">
        <v>0</v>
      </c>
      <c r="J165">
        <v>0</v>
      </c>
      <c r="K165">
        <v>0</v>
      </c>
      <c r="L165">
        <v>0</v>
      </c>
      <c r="M165">
        <v>0</v>
      </c>
      <c r="N165">
        <v>0</v>
      </c>
      <c r="O165">
        <v>0</v>
      </c>
      <c r="P165">
        <v>1</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row>
    <row r="166" spans="3:45" x14ac:dyDescent="0.25">
      <c r="C166" s="36" t="s">
        <v>88</v>
      </c>
      <c r="D166">
        <v>0</v>
      </c>
      <c r="E166">
        <v>0</v>
      </c>
      <c r="F166">
        <v>0</v>
      </c>
      <c r="G166">
        <v>0</v>
      </c>
      <c r="H166">
        <v>0</v>
      </c>
      <c r="I166">
        <v>0</v>
      </c>
      <c r="J166">
        <v>0</v>
      </c>
      <c r="K166">
        <v>0</v>
      </c>
      <c r="L166">
        <v>0</v>
      </c>
      <c r="M166">
        <v>0</v>
      </c>
      <c r="N166">
        <v>0</v>
      </c>
      <c r="O166">
        <v>0</v>
      </c>
      <c r="P166">
        <v>0</v>
      </c>
      <c r="Q166">
        <v>1</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row>
    <row r="167" spans="3:45" x14ac:dyDescent="0.25">
      <c r="C167" s="36" t="s">
        <v>83</v>
      </c>
      <c r="D167">
        <v>0</v>
      </c>
      <c r="E167">
        <v>0</v>
      </c>
      <c r="F167">
        <v>0</v>
      </c>
      <c r="G167">
        <v>0</v>
      </c>
      <c r="H167">
        <v>0</v>
      </c>
      <c r="I167">
        <v>0</v>
      </c>
      <c r="J167">
        <v>0</v>
      </c>
      <c r="K167">
        <v>0</v>
      </c>
      <c r="L167">
        <v>0</v>
      </c>
      <c r="M167">
        <v>0</v>
      </c>
      <c r="N167">
        <v>0</v>
      </c>
      <c r="O167">
        <v>0</v>
      </c>
      <c r="P167">
        <v>0</v>
      </c>
      <c r="Q167">
        <v>0</v>
      </c>
      <c r="R167">
        <v>1</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row>
    <row r="168" spans="3:45" x14ac:dyDescent="0.25">
      <c r="C168" s="36" t="s">
        <v>84</v>
      </c>
      <c r="D168">
        <v>0</v>
      </c>
      <c r="E168">
        <v>0</v>
      </c>
      <c r="F168">
        <v>0</v>
      </c>
      <c r="G168">
        <v>0</v>
      </c>
      <c r="H168">
        <v>0</v>
      </c>
      <c r="I168">
        <v>0</v>
      </c>
      <c r="J168">
        <v>0</v>
      </c>
      <c r="K168">
        <v>0</v>
      </c>
      <c r="L168">
        <v>0</v>
      </c>
      <c r="M168">
        <v>0</v>
      </c>
      <c r="N168">
        <v>0</v>
      </c>
      <c r="O168">
        <v>0</v>
      </c>
      <c r="P168">
        <v>0</v>
      </c>
      <c r="Q168">
        <v>0</v>
      </c>
      <c r="R168">
        <v>0</v>
      </c>
      <c r="S168">
        <v>1</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row>
    <row r="169" spans="3:45" x14ac:dyDescent="0.25">
      <c r="C169" s="36" t="s">
        <v>85</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row>
    <row r="170" spans="3:45" x14ac:dyDescent="0.25">
      <c r="C170" s="36" t="s">
        <v>86</v>
      </c>
      <c r="D170">
        <v>0</v>
      </c>
      <c r="E170">
        <v>0</v>
      </c>
      <c r="F170">
        <v>0</v>
      </c>
      <c r="G170">
        <v>0</v>
      </c>
      <c r="H170">
        <v>0</v>
      </c>
      <c r="I170">
        <v>0</v>
      </c>
      <c r="J170">
        <v>0</v>
      </c>
      <c r="K170">
        <v>0</v>
      </c>
      <c r="L170">
        <v>0</v>
      </c>
      <c r="M170">
        <v>0</v>
      </c>
      <c r="N170">
        <v>0</v>
      </c>
      <c r="O170">
        <v>0</v>
      </c>
      <c r="P170">
        <v>0</v>
      </c>
      <c r="Q170">
        <v>0</v>
      </c>
      <c r="R170">
        <v>0</v>
      </c>
      <c r="S170">
        <v>0</v>
      </c>
      <c r="T170">
        <v>0</v>
      </c>
      <c r="U170">
        <v>1</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row>
    <row r="171" spans="3:45" x14ac:dyDescent="0.25">
      <c r="C171" s="36" t="s">
        <v>92</v>
      </c>
      <c r="D171">
        <v>0</v>
      </c>
      <c r="E171">
        <v>0</v>
      </c>
      <c r="F171">
        <v>0</v>
      </c>
      <c r="G171">
        <v>0</v>
      </c>
      <c r="H171">
        <v>0</v>
      </c>
      <c r="I171">
        <v>0</v>
      </c>
      <c r="J171">
        <v>0</v>
      </c>
      <c r="K171">
        <v>0</v>
      </c>
      <c r="L171">
        <v>0</v>
      </c>
      <c r="M171">
        <v>0</v>
      </c>
      <c r="N171">
        <v>0</v>
      </c>
      <c r="O171">
        <v>0</v>
      </c>
      <c r="P171">
        <v>0</v>
      </c>
      <c r="Q171">
        <v>0</v>
      </c>
      <c r="R171">
        <v>0</v>
      </c>
      <c r="S171">
        <v>0</v>
      </c>
      <c r="T171">
        <v>0</v>
      </c>
      <c r="U171">
        <v>0</v>
      </c>
      <c r="V171">
        <v>1</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row>
    <row r="172" spans="3:45" x14ac:dyDescent="0.25">
      <c r="C172" s="36" t="s">
        <v>91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1</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row>
    <row r="173" spans="3:45" x14ac:dyDescent="0.25">
      <c r="C173" s="36" t="s">
        <v>87</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1</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row>
    <row r="174" spans="3:45" x14ac:dyDescent="0.25">
      <c r="C174" s="36" t="s">
        <v>89</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1</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row>
    <row r="175" spans="3:45" x14ac:dyDescent="0.25">
      <c r="C175" s="36" t="s">
        <v>90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row>
    <row r="176" spans="3:45" x14ac:dyDescent="0.25">
      <c r="C176" s="36" t="s">
        <v>93</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1</v>
      </c>
      <c r="AB176">
        <v>0</v>
      </c>
      <c r="AC176">
        <v>0</v>
      </c>
      <c r="AD176">
        <v>0</v>
      </c>
      <c r="AE176">
        <v>0</v>
      </c>
      <c r="AF176">
        <v>0</v>
      </c>
      <c r="AG176">
        <v>0</v>
      </c>
      <c r="AH176">
        <v>0</v>
      </c>
      <c r="AI176">
        <v>0</v>
      </c>
      <c r="AJ176">
        <v>0</v>
      </c>
      <c r="AK176">
        <v>0</v>
      </c>
      <c r="AL176">
        <v>0</v>
      </c>
      <c r="AM176">
        <v>0</v>
      </c>
      <c r="AN176">
        <v>0</v>
      </c>
      <c r="AO176">
        <v>0</v>
      </c>
      <c r="AP176">
        <v>0</v>
      </c>
      <c r="AQ176">
        <v>0</v>
      </c>
      <c r="AR176">
        <v>0</v>
      </c>
      <c r="AS176">
        <v>0</v>
      </c>
    </row>
    <row r="177" spans="3:45" x14ac:dyDescent="0.25">
      <c r="C177" s="36" t="s">
        <v>94</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1</v>
      </c>
      <c r="AC177">
        <v>0</v>
      </c>
      <c r="AD177">
        <v>0</v>
      </c>
      <c r="AE177">
        <v>0</v>
      </c>
      <c r="AF177">
        <v>0</v>
      </c>
      <c r="AG177">
        <v>0</v>
      </c>
      <c r="AH177">
        <v>0</v>
      </c>
      <c r="AI177">
        <v>0</v>
      </c>
      <c r="AJ177">
        <v>0</v>
      </c>
      <c r="AK177">
        <v>0</v>
      </c>
      <c r="AL177">
        <v>0</v>
      </c>
      <c r="AM177">
        <v>0</v>
      </c>
      <c r="AN177">
        <v>0</v>
      </c>
      <c r="AO177">
        <v>0</v>
      </c>
      <c r="AP177">
        <v>0</v>
      </c>
      <c r="AQ177">
        <v>0</v>
      </c>
      <c r="AR177">
        <v>0</v>
      </c>
      <c r="AS177">
        <v>0</v>
      </c>
    </row>
    <row r="178" spans="3:45" x14ac:dyDescent="0.25">
      <c r="C178" s="36" t="s">
        <v>95</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1</v>
      </c>
      <c r="AD178">
        <v>0</v>
      </c>
      <c r="AE178">
        <v>0</v>
      </c>
      <c r="AF178">
        <v>0</v>
      </c>
      <c r="AG178">
        <v>0</v>
      </c>
      <c r="AH178">
        <v>0</v>
      </c>
      <c r="AI178">
        <v>0</v>
      </c>
      <c r="AJ178">
        <v>0</v>
      </c>
      <c r="AK178">
        <v>0</v>
      </c>
      <c r="AL178">
        <v>0</v>
      </c>
      <c r="AM178">
        <v>0</v>
      </c>
      <c r="AN178">
        <v>0</v>
      </c>
      <c r="AO178">
        <v>0</v>
      </c>
      <c r="AP178">
        <v>0</v>
      </c>
      <c r="AQ178">
        <v>0</v>
      </c>
      <c r="AR178">
        <v>0</v>
      </c>
      <c r="AS178">
        <v>0</v>
      </c>
    </row>
    <row r="179" spans="3:45" x14ac:dyDescent="0.25">
      <c r="C179" s="36" t="s">
        <v>96</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1</v>
      </c>
      <c r="AE179">
        <v>0</v>
      </c>
      <c r="AF179">
        <v>0</v>
      </c>
      <c r="AG179">
        <v>0</v>
      </c>
      <c r="AH179">
        <v>0</v>
      </c>
      <c r="AI179">
        <v>0</v>
      </c>
      <c r="AJ179">
        <v>0</v>
      </c>
      <c r="AK179">
        <v>0</v>
      </c>
      <c r="AL179">
        <v>0</v>
      </c>
      <c r="AM179">
        <v>0</v>
      </c>
      <c r="AN179">
        <v>0</v>
      </c>
      <c r="AO179">
        <v>0</v>
      </c>
      <c r="AP179">
        <v>0</v>
      </c>
      <c r="AQ179">
        <v>0</v>
      </c>
      <c r="AR179">
        <v>0</v>
      </c>
      <c r="AS179">
        <v>0</v>
      </c>
    </row>
    <row r="180" spans="3:45" x14ac:dyDescent="0.25">
      <c r="C180" s="36" t="s">
        <v>97</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1</v>
      </c>
      <c r="AF180">
        <v>0</v>
      </c>
      <c r="AG180">
        <v>0</v>
      </c>
      <c r="AH180">
        <v>0</v>
      </c>
      <c r="AI180">
        <v>0</v>
      </c>
      <c r="AJ180">
        <v>0</v>
      </c>
      <c r="AK180">
        <v>0</v>
      </c>
      <c r="AL180">
        <v>0</v>
      </c>
      <c r="AM180">
        <v>0</v>
      </c>
      <c r="AN180">
        <v>0</v>
      </c>
      <c r="AO180">
        <v>0</v>
      </c>
      <c r="AP180">
        <v>0</v>
      </c>
      <c r="AQ180">
        <v>0</v>
      </c>
      <c r="AR180">
        <v>0</v>
      </c>
      <c r="AS180">
        <v>0</v>
      </c>
    </row>
    <row r="181" spans="3:45" x14ac:dyDescent="0.25">
      <c r="C181" s="36" t="s">
        <v>98</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1</v>
      </c>
      <c r="AG181">
        <v>0</v>
      </c>
      <c r="AH181">
        <v>0</v>
      </c>
      <c r="AI181">
        <v>0</v>
      </c>
      <c r="AJ181">
        <v>0</v>
      </c>
      <c r="AK181">
        <v>0</v>
      </c>
      <c r="AL181">
        <v>0</v>
      </c>
      <c r="AM181">
        <v>0</v>
      </c>
      <c r="AN181">
        <v>0</v>
      </c>
      <c r="AO181">
        <v>0</v>
      </c>
      <c r="AP181">
        <v>0</v>
      </c>
      <c r="AQ181">
        <v>0</v>
      </c>
      <c r="AR181">
        <v>0</v>
      </c>
      <c r="AS181">
        <v>0</v>
      </c>
    </row>
    <row r="182" spans="3:45" x14ac:dyDescent="0.25">
      <c r="C182" s="36" t="s">
        <v>99</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1</v>
      </c>
      <c r="AH182">
        <v>0</v>
      </c>
      <c r="AI182">
        <v>0</v>
      </c>
      <c r="AJ182">
        <v>0</v>
      </c>
      <c r="AK182">
        <v>0</v>
      </c>
      <c r="AL182">
        <v>0</v>
      </c>
      <c r="AM182">
        <v>0</v>
      </c>
      <c r="AN182">
        <v>0</v>
      </c>
      <c r="AO182">
        <v>0</v>
      </c>
      <c r="AP182">
        <v>0</v>
      </c>
      <c r="AQ182">
        <v>0</v>
      </c>
      <c r="AR182">
        <v>0</v>
      </c>
      <c r="AS182">
        <v>0</v>
      </c>
    </row>
    <row r="183" spans="3:45" x14ac:dyDescent="0.25">
      <c r="C183" s="36" t="s">
        <v>100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1</v>
      </c>
      <c r="AI183">
        <v>0</v>
      </c>
      <c r="AJ183">
        <v>0</v>
      </c>
      <c r="AK183">
        <v>0</v>
      </c>
      <c r="AL183">
        <v>0</v>
      </c>
      <c r="AM183">
        <v>0</v>
      </c>
      <c r="AN183">
        <v>0</v>
      </c>
      <c r="AO183">
        <v>0</v>
      </c>
      <c r="AP183">
        <v>0</v>
      </c>
      <c r="AQ183">
        <v>0</v>
      </c>
      <c r="AR183">
        <v>0</v>
      </c>
      <c r="AS183">
        <v>0</v>
      </c>
    </row>
    <row r="184" spans="3:45" x14ac:dyDescent="0.25">
      <c r="C184" s="36" t="s">
        <v>101</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1</v>
      </c>
      <c r="AJ184">
        <v>0</v>
      </c>
      <c r="AK184">
        <v>0</v>
      </c>
      <c r="AL184">
        <v>0</v>
      </c>
      <c r="AM184">
        <v>0</v>
      </c>
      <c r="AN184">
        <v>0</v>
      </c>
      <c r="AO184">
        <v>0</v>
      </c>
      <c r="AP184">
        <v>0</v>
      </c>
      <c r="AQ184">
        <v>0</v>
      </c>
      <c r="AR184">
        <v>0</v>
      </c>
      <c r="AS184">
        <v>0</v>
      </c>
    </row>
    <row r="185" spans="3:45" x14ac:dyDescent="0.25">
      <c r="C185" s="36" t="s">
        <v>104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1</v>
      </c>
      <c r="AK185">
        <v>0</v>
      </c>
      <c r="AL185">
        <v>0</v>
      </c>
      <c r="AM185">
        <v>0</v>
      </c>
      <c r="AN185">
        <v>0</v>
      </c>
      <c r="AO185">
        <v>0</v>
      </c>
      <c r="AP185">
        <v>0</v>
      </c>
      <c r="AQ185">
        <v>0</v>
      </c>
      <c r="AR185">
        <v>0</v>
      </c>
      <c r="AS185">
        <v>0</v>
      </c>
    </row>
    <row r="186" spans="3:45" x14ac:dyDescent="0.25">
      <c r="C186" s="36" t="s">
        <v>105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1</v>
      </c>
      <c r="AL186">
        <v>0</v>
      </c>
      <c r="AM186">
        <v>0</v>
      </c>
      <c r="AN186">
        <v>0</v>
      </c>
      <c r="AO186">
        <v>0</v>
      </c>
      <c r="AP186">
        <v>0</v>
      </c>
      <c r="AQ186">
        <v>0</v>
      </c>
      <c r="AR186">
        <v>0</v>
      </c>
      <c r="AS186">
        <v>0</v>
      </c>
    </row>
    <row r="187" spans="3:45" x14ac:dyDescent="0.25">
      <c r="C187" s="36" t="s">
        <v>102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1</v>
      </c>
      <c r="AM187">
        <v>0</v>
      </c>
      <c r="AN187">
        <v>0</v>
      </c>
      <c r="AO187">
        <v>0</v>
      </c>
      <c r="AP187">
        <v>0</v>
      </c>
      <c r="AQ187">
        <v>0</v>
      </c>
      <c r="AR187">
        <v>0</v>
      </c>
      <c r="AS187">
        <v>0</v>
      </c>
    </row>
    <row r="188" spans="3:45" x14ac:dyDescent="0.25">
      <c r="C188" s="36" t="s">
        <v>103</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1</v>
      </c>
      <c r="AN188">
        <v>0</v>
      </c>
      <c r="AO188">
        <v>0</v>
      </c>
      <c r="AP188">
        <v>0</v>
      </c>
      <c r="AQ188">
        <v>0</v>
      </c>
      <c r="AR188">
        <v>0</v>
      </c>
      <c r="AS188">
        <v>0</v>
      </c>
    </row>
    <row r="189" spans="3:45" x14ac:dyDescent="0.25">
      <c r="C189" s="36" t="s">
        <v>106</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1</v>
      </c>
      <c r="AO189">
        <v>0</v>
      </c>
      <c r="AP189">
        <v>0</v>
      </c>
      <c r="AQ189">
        <v>0</v>
      </c>
      <c r="AR189">
        <v>0</v>
      </c>
      <c r="AS189">
        <v>0</v>
      </c>
    </row>
    <row r="190" spans="3:45" x14ac:dyDescent="0.25">
      <c r="C190" s="36" t="s">
        <v>111</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1</v>
      </c>
      <c r="AP190">
        <v>0</v>
      </c>
      <c r="AQ190">
        <v>0</v>
      </c>
      <c r="AR190">
        <v>0</v>
      </c>
      <c r="AS190">
        <v>0</v>
      </c>
    </row>
    <row r="191" spans="3:45" x14ac:dyDescent="0.25">
      <c r="C191" s="36" t="s">
        <v>108</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1</v>
      </c>
      <c r="AQ191">
        <v>0</v>
      </c>
      <c r="AR191">
        <v>0</v>
      </c>
      <c r="AS191">
        <v>0</v>
      </c>
    </row>
    <row r="192" spans="3:45" x14ac:dyDescent="0.25">
      <c r="C192" s="36" t="s">
        <v>109</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1</v>
      </c>
      <c r="AR192">
        <v>0</v>
      </c>
      <c r="AS192">
        <v>0</v>
      </c>
    </row>
    <row r="193" spans="2:45" x14ac:dyDescent="0.25">
      <c r="C193" s="36" t="s">
        <v>110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1</v>
      </c>
      <c r="AS193">
        <v>0</v>
      </c>
    </row>
    <row r="194" spans="2:45" x14ac:dyDescent="0.25">
      <c r="C194" s="36" t="s">
        <v>107</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1</v>
      </c>
    </row>
    <row r="196" spans="2:45" x14ac:dyDescent="0.25">
      <c r="B196" t="s">
        <v>147</v>
      </c>
      <c r="C196" s="34" t="s">
        <v>144</v>
      </c>
      <c r="D196" s="35" t="s">
        <v>70</v>
      </c>
      <c r="E196" s="35" t="s">
        <v>71</v>
      </c>
      <c r="F196" s="35" t="s">
        <v>72</v>
      </c>
      <c r="G196" s="35" t="s">
        <v>73</v>
      </c>
      <c r="H196" s="35" t="s">
        <v>74</v>
      </c>
      <c r="I196" s="35" t="s">
        <v>75</v>
      </c>
      <c r="J196" s="35" t="s">
        <v>76</v>
      </c>
      <c r="K196" s="35" t="s">
        <v>77</v>
      </c>
      <c r="L196" s="35" t="s">
        <v>78</v>
      </c>
      <c r="M196" s="35" t="s">
        <v>79</v>
      </c>
      <c r="N196" s="35" t="s">
        <v>80</v>
      </c>
      <c r="O196" s="35" t="s">
        <v>81</v>
      </c>
      <c r="P196" s="35" t="s">
        <v>82</v>
      </c>
      <c r="Q196" s="35" t="s">
        <v>88</v>
      </c>
      <c r="R196" s="35" t="s">
        <v>83</v>
      </c>
      <c r="S196" s="35" t="s">
        <v>84</v>
      </c>
      <c r="T196" s="35" t="s">
        <v>85</v>
      </c>
      <c r="U196" s="35" t="s">
        <v>86</v>
      </c>
      <c r="V196" s="35" t="s">
        <v>92</v>
      </c>
      <c r="W196" s="35" t="s">
        <v>91</v>
      </c>
      <c r="X196" s="35" t="s">
        <v>87</v>
      </c>
      <c r="Y196" s="35" t="s">
        <v>89</v>
      </c>
      <c r="Z196" s="35" t="s">
        <v>90</v>
      </c>
      <c r="AA196" s="35" t="s">
        <v>93</v>
      </c>
      <c r="AB196" s="35" t="s">
        <v>94</v>
      </c>
      <c r="AC196" s="35" t="s">
        <v>95</v>
      </c>
      <c r="AD196" s="35" t="s">
        <v>96</v>
      </c>
      <c r="AE196" s="35" t="s">
        <v>97</v>
      </c>
      <c r="AF196" s="35" t="s">
        <v>98</v>
      </c>
      <c r="AG196" s="35" t="s">
        <v>99</v>
      </c>
      <c r="AH196" s="35" t="s">
        <v>100</v>
      </c>
      <c r="AI196" s="35" t="s">
        <v>101</v>
      </c>
      <c r="AJ196" s="35" t="s">
        <v>104</v>
      </c>
      <c r="AK196" s="35" t="s">
        <v>105</v>
      </c>
      <c r="AL196" s="35" t="s">
        <v>102</v>
      </c>
      <c r="AM196" s="35" t="s">
        <v>103</v>
      </c>
      <c r="AN196" s="35" t="s">
        <v>106</v>
      </c>
      <c r="AO196" s="35" t="s">
        <v>111</v>
      </c>
      <c r="AP196" s="35" t="s">
        <v>108</v>
      </c>
      <c r="AQ196" s="35" t="s">
        <v>109</v>
      </c>
      <c r="AR196" s="35" t="s">
        <v>110</v>
      </c>
      <c r="AS196" s="35" t="s">
        <v>107</v>
      </c>
    </row>
    <row r="197" spans="2:45" x14ac:dyDescent="0.25">
      <c r="C197" s="36" t="s">
        <v>70</v>
      </c>
      <c r="D197">
        <f>IF($C197=D$196,$BJ62,0)</f>
        <v>4.6641942398780716E-2</v>
      </c>
      <c r="E197">
        <f t="shared" ref="E197:AS197" si="91">IF($C197=E$196,$BJ62,0)</f>
        <v>0</v>
      </c>
      <c r="F197">
        <f t="shared" si="91"/>
        <v>0</v>
      </c>
      <c r="G197">
        <f t="shared" si="91"/>
        <v>0</v>
      </c>
      <c r="H197">
        <f t="shared" si="91"/>
        <v>0</v>
      </c>
      <c r="I197">
        <f t="shared" si="91"/>
        <v>0</v>
      </c>
      <c r="J197">
        <f t="shared" si="91"/>
        <v>0</v>
      </c>
      <c r="K197">
        <f t="shared" si="91"/>
        <v>0</v>
      </c>
      <c r="L197">
        <f t="shared" si="91"/>
        <v>0</v>
      </c>
      <c r="M197">
        <f t="shared" si="91"/>
        <v>0</v>
      </c>
      <c r="N197">
        <f t="shared" si="91"/>
        <v>0</v>
      </c>
      <c r="O197">
        <f t="shared" si="91"/>
        <v>0</v>
      </c>
      <c r="P197">
        <f t="shared" si="91"/>
        <v>0</v>
      </c>
      <c r="Q197">
        <f t="shared" si="91"/>
        <v>0</v>
      </c>
      <c r="R197">
        <f t="shared" si="91"/>
        <v>0</v>
      </c>
      <c r="S197">
        <f t="shared" si="91"/>
        <v>0</v>
      </c>
      <c r="T197">
        <f t="shared" si="91"/>
        <v>0</v>
      </c>
      <c r="U197">
        <f t="shared" si="91"/>
        <v>0</v>
      </c>
      <c r="V197">
        <f t="shared" si="91"/>
        <v>0</v>
      </c>
      <c r="W197">
        <f t="shared" si="91"/>
        <v>0</v>
      </c>
      <c r="X197">
        <f t="shared" si="91"/>
        <v>0</v>
      </c>
      <c r="Y197">
        <f t="shared" si="91"/>
        <v>0</v>
      </c>
      <c r="Z197">
        <f t="shared" si="91"/>
        <v>0</v>
      </c>
      <c r="AA197">
        <f t="shared" si="91"/>
        <v>0</v>
      </c>
      <c r="AB197">
        <f t="shared" si="91"/>
        <v>0</v>
      </c>
      <c r="AC197">
        <f t="shared" si="91"/>
        <v>0</v>
      </c>
      <c r="AD197">
        <f t="shared" si="91"/>
        <v>0</v>
      </c>
      <c r="AE197">
        <f t="shared" si="91"/>
        <v>0</v>
      </c>
      <c r="AF197">
        <f t="shared" si="91"/>
        <v>0</v>
      </c>
      <c r="AG197">
        <f t="shared" si="91"/>
        <v>0</v>
      </c>
      <c r="AH197">
        <f t="shared" si="91"/>
        <v>0</v>
      </c>
      <c r="AI197">
        <f t="shared" si="91"/>
        <v>0</v>
      </c>
      <c r="AJ197">
        <f t="shared" si="91"/>
        <v>0</v>
      </c>
      <c r="AK197">
        <f t="shared" si="91"/>
        <v>0</v>
      </c>
      <c r="AL197">
        <f t="shared" si="91"/>
        <v>0</v>
      </c>
      <c r="AM197">
        <f t="shared" si="91"/>
        <v>0</v>
      </c>
      <c r="AN197">
        <f t="shared" si="91"/>
        <v>0</v>
      </c>
      <c r="AO197">
        <f t="shared" si="91"/>
        <v>0</v>
      </c>
      <c r="AP197">
        <f t="shared" si="91"/>
        <v>0</v>
      </c>
      <c r="AQ197">
        <f t="shared" si="91"/>
        <v>0</v>
      </c>
      <c r="AR197">
        <f t="shared" si="91"/>
        <v>0</v>
      </c>
      <c r="AS197">
        <f t="shared" si="91"/>
        <v>0</v>
      </c>
    </row>
    <row r="198" spans="2:45" x14ac:dyDescent="0.25">
      <c r="C198" s="36" t="s">
        <v>71</v>
      </c>
      <c r="D198">
        <f t="shared" ref="D198:AS198" si="92">IF($C198=D$196,$BJ63,0)</f>
        <v>0</v>
      </c>
      <c r="E198">
        <f t="shared" si="92"/>
        <v>5.9793102381533465E-2</v>
      </c>
      <c r="F198">
        <f t="shared" si="92"/>
        <v>0</v>
      </c>
      <c r="G198">
        <f t="shared" si="92"/>
        <v>0</v>
      </c>
      <c r="H198">
        <f t="shared" si="92"/>
        <v>0</v>
      </c>
      <c r="I198">
        <f t="shared" si="92"/>
        <v>0</v>
      </c>
      <c r="J198">
        <f t="shared" si="92"/>
        <v>0</v>
      </c>
      <c r="K198">
        <f t="shared" si="92"/>
        <v>0</v>
      </c>
      <c r="L198">
        <f t="shared" si="92"/>
        <v>0</v>
      </c>
      <c r="M198">
        <f t="shared" si="92"/>
        <v>0</v>
      </c>
      <c r="N198">
        <f t="shared" si="92"/>
        <v>0</v>
      </c>
      <c r="O198">
        <f t="shared" si="92"/>
        <v>0</v>
      </c>
      <c r="P198">
        <f t="shared" si="92"/>
        <v>0</v>
      </c>
      <c r="Q198">
        <f t="shared" si="92"/>
        <v>0</v>
      </c>
      <c r="R198">
        <f t="shared" si="92"/>
        <v>0</v>
      </c>
      <c r="S198">
        <f t="shared" si="92"/>
        <v>0</v>
      </c>
      <c r="T198">
        <f t="shared" si="92"/>
        <v>0</v>
      </c>
      <c r="U198">
        <f t="shared" si="92"/>
        <v>0</v>
      </c>
      <c r="V198">
        <f t="shared" si="92"/>
        <v>0</v>
      </c>
      <c r="W198">
        <f t="shared" si="92"/>
        <v>0</v>
      </c>
      <c r="X198">
        <f t="shared" si="92"/>
        <v>0</v>
      </c>
      <c r="Y198">
        <f t="shared" si="92"/>
        <v>0</v>
      </c>
      <c r="Z198">
        <f t="shared" si="92"/>
        <v>0</v>
      </c>
      <c r="AA198">
        <f t="shared" si="92"/>
        <v>0</v>
      </c>
      <c r="AB198">
        <f t="shared" si="92"/>
        <v>0</v>
      </c>
      <c r="AC198">
        <f t="shared" si="92"/>
        <v>0</v>
      </c>
      <c r="AD198">
        <f t="shared" si="92"/>
        <v>0</v>
      </c>
      <c r="AE198">
        <f t="shared" si="92"/>
        <v>0</v>
      </c>
      <c r="AF198">
        <f t="shared" si="92"/>
        <v>0</v>
      </c>
      <c r="AG198">
        <f t="shared" si="92"/>
        <v>0</v>
      </c>
      <c r="AH198">
        <f t="shared" si="92"/>
        <v>0</v>
      </c>
      <c r="AI198">
        <f t="shared" si="92"/>
        <v>0</v>
      </c>
      <c r="AJ198">
        <f t="shared" si="92"/>
        <v>0</v>
      </c>
      <c r="AK198">
        <f t="shared" si="92"/>
        <v>0</v>
      </c>
      <c r="AL198">
        <f t="shared" si="92"/>
        <v>0</v>
      </c>
      <c r="AM198">
        <f t="shared" si="92"/>
        <v>0</v>
      </c>
      <c r="AN198">
        <f t="shared" si="92"/>
        <v>0</v>
      </c>
      <c r="AO198">
        <f t="shared" si="92"/>
        <v>0</v>
      </c>
      <c r="AP198">
        <f t="shared" si="92"/>
        <v>0</v>
      </c>
      <c r="AQ198">
        <f t="shared" si="92"/>
        <v>0</v>
      </c>
      <c r="AR198">
        <f t="shared" si="92"/>
        <v>0</v>
      </c>
      <c r="AS198">
        <f t="shared" si="92"/>
        <v>0</v>
      </c>
    </row>
    <row r="199" spans="2:45" x14ac:dyDescent="0.25">
      <c r="C199" s="36" t="s">
        <v>72</v>
      </c>
      <c r="D199">
        <f t="shared" ref="D199:AS199" si="93">IF($C199=D$196,$BJ64,0)</f>
        <v>0</v>
      </c>
      <c r="E199">
        <f t="shared" si="93"/>
        <v>0</v>
      </c>
      <c r="F199">
        <f t="shared" si="93"/>
        <v>0.57679628355707457</v>
      </c>
      <c r="G199">
        <f t="shared" si="93"/>
        <v>0</v>
      </c>
      <c r="H199">
        <f t="shared" si="93"/>
        <v>0</v>
      </c>
      <c r="I199">
        <f t="shared" si="93"/>
        <v>0</v>
      </c>
      <c r="J199">
        <f t="shared" si="93"/>
        <v>0</v>
      </c>
      <c r="K199">
        <f t="shared" si="93"/>
        <v>0</v>
      </c>
      <c r="L199">
        <f t="shared" si="93"/>
        <v>0</v>
      </c>
      <c r="M199">
        <f t="shared" si="93"/>
        <v>0</v>
      </c>
      <c r="N199">
        <f t="shared" si="93"/>
        <v>0</v>
      </c>
      <c r="O199">
        <f t="shared" si="93"/>
        <v>0</v>
      </c>
      <c r="P199">
        <f t="shared" si="93"/>
        <v>0</v>
      </c>
      <c r="Q199">
        <f t="shared" si="93"/>
        <v>0</v>
      </c>
      <c r="R199">
        <f t="shared" si="93"/>
        <v>0</v>
      </c>
      <c r="S199">
        <f t="shared" si="93"/>
        <v>0</v>
      </c>
      <c r="T199">
        <f t="shared" si="93"/>
        <v>0</v>
      </c>
      <c r="U199">
        <f t="shared" si="93"/>
        <v>0</v>
      </c>
      <c r="V199">
        <f t="shared" si="93"/>
        <v>0</v>
      </c>
      <c r="W199">
        <f t="shared" si="93"/>
        <v>0</v>
      </c>
      <c r="X199">
        <f t="shared" si="93"/>
        <v>0</v>
      </c>
      <c r="Y199">
        <f t="shared" si="93"/>
        <v>0</v>
      </c>
      <c r="Z199">
        <f t="shared" si="93"/>
        <v>0</v>
      </c>
      <c r="AA199">
        <f t="shared" si="93"/>
        <v>0</v>
      </c>
      <c r="AB199">
        <f t="shared" si="93"/>
        <v>0</v>
      </c>
      <c r="AC199">
        <f t="shared" si="93"/>
        <v>0</v>
      </c>
      <c r="AD199">
        <f t="shared" si="93"/>
        <v>0</v>
      </c>
      <c r="AE199">
        <f t="shared" si="93"/>
        <v>0</v>
      </c>
      <c r="AF199">
        <f t="shared" si="93"/>
        <v>0</v>
      </c>
      <c r="AG199">
        <f t="shared" si="93"/>
        <v>0</v>
      </c>
      <c r="AH199">
        <f t="shared" si="93"/>
        <v>0</v>
      </c>
      <c r="AI199">
        <f t="shared" si="93"/>
        <v>0</v>
      </c>
      <c r="AJ199">
        <f t="shared" si="93"/>
        <v>0</v>
      </c>
      <c r="AK199">
        <f t="shared" si="93"/>
        <v>0</v>
      </c>
      <c r="AL199">
        <f t="shared" si="93"/>
        <v>0</v>
      </c>
      <c r="AM199">
        <f t="shared" si="93"/>
        <v>0</v>
      </c>
      <c r="AN199">
        <f t="shared" si="93"/>
        <v>0</v>
      </c>
      <c r="AO199">
        <f t="shared" si="93"/>
        <v>0</v>
      </c>
      <c r="AP199">
        <f t="shared" si="93"/>
        <v>0</v>
      </c>
      <c r="AQ199">
        <f t="shared" si="93"/>
        <v>0</v>
      </c>
      <c r="AR199">
        <f t="shared" si="93"/>
        <v>0</v>
      </c>
      <c r="AS199">
        <f t="shared" si="93"/>
        <v>0</v>
      </c>
    </row>
    <row r="200" spans="2:45" x14ac:dyDescent="0.25">
      <c r="C200" s="36" t="s">
        <v>73</v>
      </c>
      <c r="D200">
        <f t="shared" ref="D200:AS200" si="94">IF($C200=D$196,$BJ65,0)</f>
        <v>0</v>
      </c>
      <c r="E200">
        <f t="shared" si="94"/>
        <v>0</v>
      </c>
      <c r="F200">
        <f t="shared" si="94"/>
        <v>0</v>
      </c>
      <c r="G200">
        <f t="shared" si="94"/>
        <v>0.41449302234665869</v>
      </c>
      <c r="H200">
        <f t="shared" si="94"/>
        <v>0</v>
      </c>
      <c r="I200">
        <f t="shared" si="94"/>
        <v>0</v>
      </c>
      <c r="J200">
        <f t="shared" si="94"/>
        <v>0</v>
      </c>
      <c r="K200">
        <f t="shared" si="94"/>
        <v>0</v>
      </c>
      <c r="L200">
        <f t="shared" si="94"/>
        <v>0</v>
      </c>
      <c r="M200">
        <f t="shared" si="94"/>
        <v>0</v>
      </c>
      <c r="N200">
        <f t="shared" si="94"/>
        <v>0</v>
      </c>
      <c r="O200">
        <f t="shared" si="94"/>
        <v>0</v>
      </c>
      <c r="P200">
        <f t="shared" si="94"/>
        <v>0</v>
      </c>
      <c r="Q200">
        <f t="shared" si="94"/>
        <v>0</v>
      </c>
      <c r="R200">
        <f t="shared" si="94"/>
        <v>0</v>
      </c>
      <c r="S200">
        <f t="shared" si="94"/>
        <v>0</v>
      </c>
      <c r="T200">
        <f t="shared" si="94"/>
        <v>0</v>
      </c>
      <c r="U200">
        <f t="shared" si="94"/>
        <v>0</v>
      </c>
      <c r="V200">
        <f t="shared" si="94"/>
        <v>0</v>
      </c>
      <c r="W200">
        <f t="shared" si="94"/>
        <v>0</v>
      </c>
      <c r="X200">
        <f t="shared" si="94"/>
        <v>0</v>
      </c>
      <c r="Y200">
        <f t="shared" si="94"/>
        <v>0</v>
      </c>
      <c r="Z200">
        <f t="shared" si="94"/>
        <v>0</v>
      </c>
      <c r="AA200">
        <f t="shared" si="94"/>
        <v>0</v>
      </c>
      <c r="AB200">
        <f t="shared" si="94"/>
        <v>0</v>
      </c>
      <c r="AC200">
        <f t="shared" si="94"/>
        <v>0</v>
      </c>
      <c r="AD200">
        <f t="shared" si="94"/>
        <v>0</v>
      </c>
      <c r="AE200">
        <f t="shared" si="94"/>
        <v>0</v>
      </c>
      <c r="AF200">
        <f t="shared" si="94"/>
        <v>0</v>
      </c>
      <c r="AG200">
        <f t="shared" si="94"/>
        <v>0</v>
      </c>
      <c r="AH200">
        <f t="shared" si="94"/>
        <v>0</v>
      </c>
      <c r="AI200">
        <f t="shared" si="94"/>
        <v>0</v>
      </c>
      <c r="AJ200">
        <f t="shared" si="94"/>
        <v>0</v>
      </c>
      <c r="AK200">
        <f t="shared" si="94"/>
        <v>0</v>
      </c>
      <c r="AL200">
        <f t="shared" si="94"/>
        <v>0</v>
      </c>
      <c r="AM200">
        <f t="shared" si="94"/>
        <v>0</v>
      </c>
      <c r="AN200">
        <f t="shared" si="94"/>
        <v>0</v>
      </c>
      <c r="AO200">
        <f t="shared" si="94"/>
        <v>0</v>
      </c>
      <c r="AP200">
        <f t="shared" si="94"/>
        <v>0</v>
      </c>
      <c r="AQ200">
        <f t="shared" si="94"/>
        <v>0</v>
      </c>
      <c r="AR200">
        <f t="shared" si="94"/>
        <v>0</v>
      </c>
      <c r="AS200">
        <f t="shared" si="94"/>
        <v>0</v>
      </c>
    </row>
    <row r="201" spans="2:45" x14ac:dyDescent="0.25">
      <c r="C201" s="36" t="s">
        <v>74</v>
      </c>
      <c r="D201">
        <f t="shared" ref="D201:AS201" si="95">IF($C201=D$196,$BJ66,0)</f>
        <v>0</v>
      </c>
      <c r="E201">
        <f t="shared" si="95"/>
        <v>0</v>
      </c>
      <c r="F201">
        <f t="shared" si="95"/>
        <v>0</v>
      </c>
      <c r="G201">
        <f t="shared" si="95"/>
        <v>0</v>
      </c>
      <c r="H201">
        <f t="shared" si="95"/>
        <v>0</v>
      </c>
      <c r="I201">
        <f t="shared" si="95"/>
        <v>0</v>
      </c>
      <c r="J201">
        <f t="shared" si="95"/>
        <v>0</v>
      </c>
      <c r="K201">
        <f t="shared" si="95"/>
        <v>0</v>
      </c>
      <c r="L201">
        <f t="shared" si="95"/>
        <v>0</v>
      </c>
      <c r="M201">
        <f t="shared" si="95"/>
        <v>0</v>
      </c>
      <c r="N201">
        <f t="shared" si="95"/>
        <v>0</v>
      </c>
      <c r="O201">
        <f t="shared" si="95"/>
        <v>0</v>
      </c>
      <c r="P201">
        <f t="shared" si="95"/>
        <v>0</v>
      </c>
      <c r="Q201">
        <f t="shared" si="95"/>
        <v>0</v>
      </c>
      <c r="R201">
        <f t="shared" si="95"/>
        <v>0</v>
      </c>
      <c r="S201">
        <f t="shared" si="95"/>
        <v>0</v>
      </c>
      <c r="T201">
        <f t="shared" si="95"/>
        <v>0</v>
      </c>
      <c r="U201">
        <f t="shared" si="95"/>
        <v>0</v>
      </c>
      <c r="V201">
        <f t="shared" si="95"/>
        <v>0</v>
      </c>
      <c r="W201">
        <f t="shared" si="95"/>
        <v>0</v>
      </c>
      <c r="X201">
        <f t="shared" si="95"/>
        <v>0</v>
      </c>
      <c r="Y201">
        <f t="shared" si="95"/>
        <v>0</v>
      </c>
      <c r="Z201">
        <f t="shared" si="95"/>
        <v>0</v>
      </c>
      <c r="AA201">
        <f t="shared" si="95"/>
        <v>0</v>
      </c>
      <c r="AB201">
        <f t="shared" si="95"/>
        <v>0</v>
      </c>
      <c r="AC201">
        <f t="shared" si="95"/>
        <v>0</v>
      </c>
      <c r="AD201">
        <f t="shared" si="95"/>
        <v>0</v>
      </c>
      <c r="AE201">
        <f t="shared" si="95"/>
        <v>0</v>
      </c>
      <c r="AF201">
        <f t="shared" si="95"/>
        <v>0</v>
      </c>
      <c r="AG201">
        <f t="shared" si="95"/>
        <v>0</v>
      </c>
      <c r="AH201">
        <f t="shared" si="95"/>
        <v>0</v>
      </c>
      <c r="AI201">
        <f t="shared" si="95"/>
        <v>0</v>
      </c>
      <c r="AJ201">
        <f t="shared" si="95"/>
        <v>0</v>
      </c>
      <c r="AK201">
        <f t="shared" si="95"/>
        <v>0</v>
      </c>
      <c r="AL201">
        <f t="shared" si="95"/>
        <v>0</v>
      </c>
      <c r="AM201">
        <f t="shared" si="95"/>
        <v>0</v>
      </c>
      <c r="AN201">
        <f t="shared" si="95"/>
        <v>0</v>
      </c>
      <c r="AO201">
        <f t="shared" si="95"/>
        <v>0</v>
      </c>
      <c r="AP201">
        <f t="shared" si="95"/>
        <v>0</v>
      </c>
      <c r="AQ201">
        <f t="shared" si="95"/>
        <v>0</v>
      </c>
      <c r="AR201">
        <f t="shared" si="95"/>
        <v>0</v>
      </c>
      <c r="AS201">
        <f t="shared" si="95"/>
        <v>0</v>
      </c>
    </row>
    <row r="202" spans="2:45" x14ac:dyDescent="0.25">
      <c r="C202" s="36" t="s">
        <v>75</v>
      </c>
      <c r="D202">
        <f t="shared" ref="D202:AS202" si="96">IF($C202=D$196,$BJ67,0)</f>
        <v>0</v>
      </c>
      <c r="E202">
        <f t="shared" si="96"/>
        <v>0</v>
      </c>
      <c r="F202">
        <f t="shared" si="96"/>
        <v>0</v>
      </c>
      <c r="G202">
        <f t="shared" si="96"/>
        <v>0</v>
      </c>
      <c r="H202">
        <f t="shared" si="96"/>
        <v>0</v>
      </c>
      <c r="I202">
        <f t="shared" si="96"/>
        <v>6.2605087844839924E-2</v>
      </c>
      <c r="J202">
        <f t="shared" si="96"/>
        <v>0</v>
      </c>
      <c r="K202">
        <f t="shared" si="96"/>
        <v>0</v>
      </c>
      <c r="L202">
        <f t="shared" si="96"/>
        <v>0</v>
      </c>
      <c r="M202">
        <f t="shared" si="96"/>
        <v>0</v>
      </c>
      <c r="N202">
        <f t="shared" si="96"/>
        <v>0</v>
      </c>
      <c r="O202">
        <f t="shared" si="96"/>
        <v>0</v>
      </c>
      <c r="P202">
        <f t="shared" si="96"/>
        <v>0</v>
      </c>
      <c r="Q202">
        <f t="shared" si="96"/>
        <v>0</v>
      </c>
      <c r="R202">
        <f t="shared" si="96"/>
        <v>0</v>
      </c>
      <c r="S202">
        <f t="shared" si="96"/>
        <v>0</v>
      </c>
      <c r="T202">
        <f t="shared" si="96"/>
        <v>0</v>
      </c>
      <c r="U202">
        <f t="shared" si="96"/>
        <v>0</v>
      </c>
      <c r="V202">
        <f t="shared" si="96"/>
        <v>0</v>
      </c>
      <c r="W202">
        <f t="shared" si="96"/>
        <v>0</v>
      </c>
      <c r="X202">
        <f t="shared" si="96"/>
        <v>0</v>
      </c>
      <c r="Y202">
        <f t="shared" si="96"/>
        <v>0</v>
      </c>
      <c r="Z202">
        <f t="shared" si="96"/>
        <v>0</v>
      </c>
      <c r="AA202">
        <f t="shared" si="96"/>
        <v>0</v>
      </c>
      <c r="AB202">
        <f t="shared" si="96"/>
        <v>0</v>
      </c>
      <c r="AC202">
        <f t="shared" si="96"/>
        <v>0</v>
      </c>
      <c r="AD202">
        <f t="shared" si="96"/>
        <v>0</v>
      </c>
      <c r="AE202">
        <f t="shared" si="96"/>
        <v>0</v>
      </c>
      <c r="AF202">
        <f t="shared" si="96"/>
        <v>0</v>
      </c>
      <c r="AG202">
        <f t="shared" si="96"/>
        <v>0</v>
      </c>
      <c r="AH202">
        <f t="shared" si="96"/>
        <v>0</v>
      </c>
      <c r="AI202">
        <f t="shared" si="96"/>
        <v>0</v>
      </c>
      <c r="AJ202">
        <f t="shared" si="96"/>
        <v>0</v>
      </c>
      <c r="AK202">
        <f t="shared" si="96"/>
        <v>0</v>
      </c>
      <c r="AL202">
        <f t="shared" si="96"/>
        <v>0</v>
      </c>
      <c r="AM202">
        <f t="shared" si="96"/>
        <v>0</v>
      </c>
      <c r="AN202">
        <f t="shared" si="96"/>
        <v>0</v>
      </c>
      <c r="AO202">
        <f t="shared" si="96"/>
        <v>0</v>
      </c>
      <c r="AP202">
        <f t="shared" si="96"/>
        <v>0</v>
      </c>
      <c r="AQ202">
        <f t="shared" si="96"/>
        <v>0</v>
      </c>
      <c r="AR202">
        <f t="shared" si="96"/>
        <v>0</v>
      </c>
      <c r="AS202">
        <f t="shared" si="96"/>
        <v>0</v>
      </c>
    </row>
    <row r="203" spans="2:45" x14ac:dyDescent="0.25">
      <c r="C203" s="36" t="s">
        <v>76</v>
      </c>
      <c r="D203">
        <f t="shared" ref="D203:AS203" si="97">IF($C203=D$196,$BJ68,0)</f>
        <v>0</v>
      </c>
      <c r="E203">
        <f t="shared" si="97"/>
        <v>0</v>
      </c>
      <c r="F203">
        <f t="shared" si="97"/>
        <v>0</v>
      </c>
      <c r="G203">
        <f t="shared" si="97"/>
        <v>0</v>
      </c>
      <c r="H203">
        <f t="shared" si="97"/>
        <v>0</v>
      </c>
      <c r="I203">
        <f t="shared" si="97"/>
        <v>0</v>
      </c>
      <c r="J203">
        <f t="shared" si="97"/>
        <v>5.0039013929447658E-2</v>
      </c>
      <c r="K203">
        <f t="shared" si="97"/>
        <v>0</v>
      </c>
      <c r="L203">
        <f t="shared" si="97"/>
        <v>0</v>
      </c>
      <c r="M203">
        <f t="shared" si="97"/>
        <v>0</v>
      </c>
      <c r="N203">
        <f t="shared" si="97"/>
        <v>0</v>
      </c>
      <c r="O203">
        <f t="shared" si="97"/>
        <v>0</v>
      </c>
      <c r="P203">
        <f t="shared" si="97"/>
        <v>0</v>
      </c>
      <c r="Q203">
        <f t="shared" si="97"/>
        <v>0</v>
      </c>
      <c r="R203">
        <f t="shared" si="97"/>
        <v>0</v>
      </c>
      <c r="S203">
        <f t="shared" si="97"/>
        <v>0</v>
      </c>
      <c r="T203">
        <f t="shared" si="97"/>
        <v>0</v>
      </c>
      <c r="U203">
        <f t="shared" si="97"/>
        <v>0</v>
      </c>
      <c r="V203">
        <f t="shared" si="97"/>
        <v>0</v>
      </c>
      <c r="W203">
        <f t="shared" si="97"/>
        <v>0</v>
      </c>
      <c r="X203">
        <f t="shared" si="97"/>
        <v>0</v>
      </c>
      <c r="Y203">
        <f t="shared" si="97"/>
        <v>0</v>
      </c>
      <c r="Z203">
        <f t="shared" si="97"/>
        <v>0</v>
      </c>
      <c r="AA203">
        <f t="shared" si="97"/>
        <v>0</v>
      </c>
      <c r="AB203">
        <f t="shared" si="97"/>
        <v>0</v>
      </c>
      <c r="AC203">
        <f t="shared" si="97"/>
        <v>0</v>
      </c>
      <c r="AD203">
        <f t="shared" si="97"/>
        <v>0</v>
      </c>
      <c r="AE203">
        <f t="shared" si="97"/>
        <v>0</v>
      </c>
      <c r="AF203">
        <f t="shared" si="97"/>
        <v>0</v>
      </c>
      <c r="AG203">
        <f t="shared" si="97"/>
        <v>0</v>
      </c>
      <c r="AH203">
        <f t="shared" si="97"/>
        <v>0</v>
      </c>
      <c r="AI203">
        <f t="shared" si="97"/>
        <v>0</v>
      </c>
      <c r="AJ203">
        <f t="shared" si="97"/>
        <v>0</v>
      </c>
      <c r="AK203">
        <f t="shared" si="97"/>
        <v>0</v>
      </c>
      <c r="AL203">
        <f t="shared" si="97"/>
        <v>0</v>
      </c>
      <c r="AM203">
        <f t="shared" si="97"/>
        <v>0</v>
      </c>
      <c r="AN203">
        <f t="shared" si="97"/>
        <v>0</v>
      </c>
      <c r="AO203">
        <f t="shared" si="97"/>
        <v>0</v>
      </c>
      <c r="AP203">
        <f t="shared" si="97"/>
        <v>0</v>
      </c>
      <c r="AQ203">
        <f t="shared" si="97"/>
        <v>0</v>
      </c>
      <c r="AR203">
        <f t="shared" si="97"/>
        <v>0</v>
      </c>
      <c r="AS203">
        <f t="shared" si="97"/>
        <v>0</v>
      </c>
    </row>
    <row r="204" spans="2:45" x14ac:dyDescent="0.25">
      <c r="C204" s="36" t="s">
        <v>77</v>
      </c>
      <c r="D204">
        <f t="shared" ref="D204:AS204" si="98">IF($C204=D$196,$BJ69,0)</f>
        <v>0</v>
      </c>
      <c r="E204">
        <f t="shared" si="98"/>
        <v>0</v>
      </c>
      <c r="F204">
        <f t="shared" si="98"/>
        <v>0</v>
      </c>
      <c r="G204">
        <f t="shared" si="98"/>
        <v>0</v>
      </c>
      <c r="H204">
        <f t="shared" si="98"/>
        <v>0</v>
      </c>
      <c r="I204">
        <f t="shared" si="98"/>
        <v>0</v>
      </c>
      <c r="J204">
        <f t="shared" si="98"/>
        <v>0</v>
      </c>
      <c r="K204">
        <f t="shared" si="98"/>
        <v>4.2263520070178986E-2</v>
      </c>
      <c r="L204">
        <f t="shared" si="98"/>
        <v>0</v>
      </c>
      <c r="M204">
        <f t="shared" si="98"/>
        <v>0</v>
      </c>
      <c r="N204">
        <f t="shared" si="98"/>
        <v>0</v>
      </c>
      <c r="O204">
        <f t="shared" si="98"/>
        <v>0</v>
      </c>
      <c r="P204">
        <f t="shared" si="98"/>
        <v>0</v>
      </c>
      <c r="Q204">
        <f t="shared" si="98"/>
        <v>0</v>
      </c>
      <c r="R204">
        <f t="shared" si="98"/>
        <v>0</v>
      </c>
      <c r="S204">
        <f t="shared" si="98"/>
        <v>0</v>
      </c>
      <c r="T204">
        <f t="shared" si="98"/>
        <v>0</v>
      </c>
      <c r="U204">
        <f t="shared" si="98"/>
        <v>0</v>
      </c>
      <c r="V204">
        <f t="shared" si="98"/>
        <v>0</v>
      </c>
      <c r="W204">
        <f t="shared" si="98"/>
        <v>0</v>
      </c>
      <c r="X204">
        <f t="shared" si="98"/>
        <v>0</v>
      </c>
      <c r="Y204">
        <f t="shared" si="98"/>
        <v>0</v>
      </c>
      <c r="Z204">
        <f t="shared" si="98"/>
        <v>0</v>
      </c>
      <c r="AA204">
        <f t="shared" si="98"/>
        <v>0</v>
      </c>
      <c r="AB204">
        <f t="shared" si="98"/>
        <v>0</v>
      </c>
      <c r="AC204">
        <f t="shared" si="98"/>
        <v>0</v>
      </c>
      <c r="AD204">
        <f t="shared" si="98"/>
        <v>0</v>
      </c>
      <c r="AE204">
        <f t="shared" si="98"/>
        <v>0</v>
      </c>
      <c r="AF204">
        <f t="shared" si="98"/>
        <v>0</v>
      </c>
      <c r="AG204">
        <f t="shared" si="98"/>
        <v>0</v>
      </c>
      <c r="AH204">
        <f t="shared" si="98"/>
        <v>0</v>
      </c>
      <c r="AI204">
        <f t="shared" si="98"/>
        <v>0</v>
      </c>
      <c r="AJ204">
        <f t="shared" si="98"/>
        <v>0</v>
      </c>
      <c r="AK204">
        <f t="shared" si="98"/>
        <v>0</v>
      </c>
      <c r="AL204">
        <f t="shared" si="98"/>
        <v>0</v>
      </c>
      <c r="AM204">
        <f t="shared" si="98"/>
        <v>0</v>
      </c>
      <c r="AN204">
        <f t="shared" si="98"/>
        <v>0</v>
      </c>
      <c r="AO204">
        <f t="shared" si="98"/>
        <v>0</v>
      </c>
      <c r="AP204">
        <f t="shared" si="98"/>
        <v>0</v>
      </c>
      <c r="AQ204">
        <f t="shared" si="98"/>
        <v>0</v>
      </c>
      <c r="AR204">
        <f t="shared" si="98"/>
        <v>0</v>
      </c>
      <c r="AS204">
        <f t="shared" si="98"/>
        <v>0</v>
      </c>
    </row>
    <row r="205" spans="2:45" x14ac:dyDescent="0.25">
      <c r="C205" s="36" t="s">
        <v>78</v>
      </c>
      <c r="D205">
        <f t="shared" ref="D205:AS205" si="99">IF($C205=D$196,$BJ70,0)</f>
        <v>0</v>
      </c>
      <c r="E205">
        <f t="shared" si="99"/>
        <v>0</v>
      </c>
      <c r="F205">
        <f t="shared" si="99"/>
        <v>0</v>
      </c>
      <c r="G205">
        <f t="shared" si="99"/>
        <v>0</v>
      </c>
      <c r="H205">
        <f t="shared" si="99"/>
        <v>0</v>
      </c>
      <c r="I205">
        <f t="shared" si="99"/>
        <v>0</v>
      </c>
      <c r="J205">
        <f t="shared" si="99"/>
        <v>0</v>
      </c>
      <c r="K205">
        <f t="shared" si="99"/>
        <v>0</v>
      </c>
      <c r="L205">
        <f t="shared" si="99"/>
        <v>6.674070580091436E-2</v>
      </c>
      <c r="M205">
        <f t="shared" si="99"/>
        <v>0</v>
      </c>
      <c r="N205">
        <f t="shared" si="99"/>
        <v>0</v>
      </c>
      <c r="O205">
        <f t="shared" si="99"/>
        <v>0</v>
      </c>
      <c r="P205">
        <f t="shared" si="99"/>
        <v>0</v>
      </c>
      <c r="Q205">
        <f t="shared" si="99"/>
        <v>0</v>
      </c>
      <c r="R205">
        <f t="shared" si="99"/>
        <v>0</v>
      </c>
      <c r="S205">
        <f t="shared" si="99"/>
        <v>0</v>
      </c>
      <c r="T205">
        <f t="shared" si="99"/>
        <v>0</v>
      </c>
      <c r="U205">
        <f t="shared" si="99"/>
        <v>0</v>
      </c>
      <c r="V205">
        <f t="shared" si="99"/>
        <v>0</v>
      </c>
      <c r="W205">
        <f t="shared" si="99"/>
        <v>0</v>
      </c>
      <c r="X205">
        <f t="shared" si="99"/>
        <v>0</v>
      </c>
      <c r="Y205">
        <f t="shared" si="99"/>
        <v>0</v>
      </c>
      <c r="Z205">
        <f t="shared" si="99"/>
        <v>0</v>
      </c>
      <c r="AA205">
        <f t="shared" si="99"/>
        <v>0</v>
      </c>
      <c r="AB205">
        <f t="shared" si="99"/>
        <v>0</v>
      </c>
      <c r="AC205">
        <f t="shared" si="99"/>
        <v>0</v>
      </c>
      <c r="AD205">
        <f t="shared" si="99"/>
        <v>0</v>
      </c>
      <c r="AE205">
        <f t="shared" si="99"/>
        <v>0</v>
      </c>
      <c r="AF205">
        <f t="shared" si="99"/>
        <v>0</v>
      </c>
      <c r="AG205">
        <f t="shared" si="99"/>
        <v>0</v>
      </c>
      <c r="AH205">
        <f t="shared" si="99"/>
        <v>0</v>
      </c>
      <c r="AI205">
        <f t="shared" si="99"/>
        <v>0</v>
      </c>
      <c r="AJ205">
        <f t="shared" si="99"/>
        <v>0</v>
      </c>
      <c r="AK205">
        <f t="shared" si="99"/>
        <v>0</v>
      </c>
      <c r="AL205">
        <f t="shared" si="99"/>
        <v>0</v>
      </c>
      <c r="AM205">
        <f t="shared" si="99"/>
        <v>0</v>
      </c>
      <c r="AN205">
        <f t="shared" si="99"/>
        <v>0</v>
      </c>
      <c r="AO205">
        <f t="shared" si="99"/>
        <v>0</v>
      </c>
      <c r="AP205">
        <f t="shared" si="99"/>
        <v>0</v>
      </c>
      <c r="AQ205">
        <f t="shared" si="99"/>
        <v>0</v>
      </c>
      <c r="AR205">
        <f t="shared" si="99"/>
        <v>0</v>
      </c>
      <c r="AS205">
        <f t="shared" si="99"/>
        <v>0</v>
      </c>
    </row>
    <row r="206" spans="2:45" x14ac:dyDescent="0.25">
      <c r="C206" s="36" t="s">
        <v>79</v>
      </c>
      <c r="D206">
        <f t="shared" ref="D206:AS206" si="100">IF($C206=D$196,$BJ71,0)</f>
        <v>0</v>
      </c>
      <c r="E206">
        <f t="shared" si="100"/>
        <v>0</v>
      </c>
      <c r="F206">
        <f t="shared" si="100"/>
        <v>0</v>
      </c>
      <c r="G206">
        <f t="shared" si="100"/>
        <v>0</v>
      </c>
      <c r="H206">
        <f t="shared" si="100"/>
        <v>0</v>
      </c>
      <c r="I206">
        <f t="shared" si="100"/>
        <v>0</v>
      </c>
      <c r="J206">
        <f t="shared" si="100"/>
        <v>0</v>
      </c>
      <c r="K206">
        <f t="shared" si="100"/>
        <v>0</v>
      </c>
      <c r="L206">
        <f t="shared" si="100"/>
        <v>0</v>
      </c>
      <c r="M206">
        <f t="shared" si="100"/>
        <v>5.4447182564665221E-2</v>
      </c>
      <c r="N206">
        <f t="shared" si="100"/>
        <v>0</v>
      </c>
      <c r="O206">
        <f t="shared" si="100"/>
        <v>0</v>
      </c>
      <c r="P206">
        <f t="shared" si="100"/>
        <v>0</v>
      </c>
      <c r="Q206">
        <f t="shared" si="100"/>
        <v>0</v>
      </c>
      <c r="R206">
        <f t="shared" si="100"/>
        <v>0</v>
      </c>
      <c r="S206">
        <f t="shared" si="100"/>
        <v>0</v>
      </c>
      <c r="T206">
        <f t="shared" si="100"/>
        <v>0</v>
      </c>
      <c r="U206">
        <f t="shared" si="100"/>
        <v>0</v>
      </c>
      <c r="V206">
        <f t="shared" si="100"/>
        <v>0</v>
      </c>
      <c r="W206">
        <f t="shared" si="100"/>
        <v>0</v>
      </c>
      <c r="X206">
        <f t="shared" si="100"/>
        <v>0</v>
      </c>
      <c r="Y206">
        <f t="shared" si="100"/>
        <v>0</v>
      </c>
      <c r="Z206">
        <f t="shared" si="100"/>
        <v>0</v>
      </c>
      <c r="AA206">
        <f t="shared" si="100"/>
        <v>0</v>
      </c>
      <c r="AB206">
        <f t="shared" si="100"/>
        <v>0</v>
      </c>
      <c r="AC206">
        <f t="shared" si="100"/>
        <v>0</v>
      </c>
      <c r="AD206">
        <f t="shared" si="100"/>
        <v>0</v>
      </c>
      <c r="AE206">
        <f t="shared" si="100"/>
        <v>0</v>
      </c>
      <c r="AF206">
        <f t="shared" si="100"/>
        <v>0</v>
      </c>
      <c r="AG206">
        <f t="shared" si="100"/>
        <v>0</v>
      </c>
      <c r="AH206">
        <f t="shared" si="100"/>
        <v>0</v>
      </c>
      <c r="AI206">
        <f t="shared" si="100"/>
        <v>0</v>
      </c>
      <c r="AJ206">
        <f t="shared" si="100"/>
        <v>0</v>
      </c>
      <c r="AK206">
        <f t="shared" si="100"/>
        <v>0</v>
      </c>
      <c r="AL206">
        <f t="shared" si="100"/>
        <v>0</v>
      </c>
      <c r="AM206">
        <f t="shared" si="100"/>
        <v>0</v>
      </c>
      <c r="AN206">
        <f t="shared" si="100"/>
        <v>0</v>
      </c>
      <c r="AO206">
        <f t="shared" si="100"/>
        <v>0</v>
      </c>
      <c r="AP206">
        <f t="shared" si="100"/>
        <v>0</v>
      </c>
      <c r="AQ206">
        <f t="shared" si="100"/>
        <v>0</v>
      </c>
      <c r="AR206">
        <f t="shared" si="100"/>
        <v>0</v>
      </c>
      <c r="AS206">
        <f t="shared" si="100"/>
        <v>0</v>
      </c>
    </row>
    <row r="207" spans="2:45" x14ac:dyDescent="0.25">
      <c r="C207" s="36" t="s">
        <v>80</v>
      </c>
      <c r="D207">
        <f t="shared" ref="D207:AS207" si="101">IF($C207=D$196,$BJ72,0)</f>
        <v>0</v>
      </c>
      <c r="E207">
        <f t="shared" si="101"/>
        <v>0</v>
      </c>
      <c r="F207">
        <f t="shared" si="101"/>
        <v>0</v>
      </c>
      <c r="G207">
        <f t="shared" si="101"/>
        <v>0</v>
      </c>
      <c r="H207">
        <f t="shared" si="101"/>
        <v>0</v>
      </c>
      <c r="I207">
        <f t="shared" si="101"/>
        <v>0</v>
      </c>
      <c r="J207">
        <f t="shared" si="101"/>
        <v>0</v>
      </c>
      <c r="K207">
        <f t="shared" si="101"/>
        <v>0</v>
      </c>
      <c r="L207">
        <f t="shared" si="101"/>
        <v>0</v>
      </c>
      <c r="M207">
        <f t="shared" si="101"/>
        <v>0</v>
      </c>
      <c r="N207">
        <f t="shared" si="101"/>
        <v>0.1349512502545557</v>
      </c>
      <c r="O207">
        <f t="shared" si="101"/>
        <v>0</v>
      </c>
      <c r="P207">
        <f t="shared" si="101"/>
        <v>0</v>
      </c>
      <c r="Q207">
        <f t="shared" si="101"/>
        <v>0</v>
      </c>
      <c r="R207">
        <f t="shared" si="101"/>
        <v>0</v>
      </c>
      <c r="S207">
        <f t="shared" si="101"/>
        <v>0</v>
      </c>
      <c r="T207">
        <f t="shared" si="101"/>
        <v>0</v>
      </c>
      <c r="U207">
        <f t="shared" si="101"/>
        <v>0</v>
      </c>
      <c r="V207">
        <f t="shared" si="101"/>
        <v>0</v>
      </c>
      <c r="W207">
        <f t="shared" si="101"/>
        <v>0</v>
      </c>
      <c r="X207">
        <f t="shared" si="101"/>
        <v>0</v>
      </c>
      <c r="Y207">
        <f t="shared" si="101"/>
        <v>0</v>
      </c>
      <c r="Z207">
        <f t="shared" si="101"/>
        <v>0</v>
      </c>
      <c r="AA207">
        <f t="shared" si="101"/>
        <v>0</v>
      </c>
      <c r="AB207">
        <f t="shared" si="101"/>
        <v>0</v>
      </c>
      <c r="AC207">
        <f t="shared" si="101"/>
        <v>0</v>
      </c>
      <c r="AD207">
        <f t="shared" si="101"/>
        <v>0</v>
      </c>
      <c r="AE207">
        <f t="shared" si="101"/>
        <v>0</v>
      </c>
      <c r="AF207">
        <f t="shared" si="101"/>
        <v>0</v>
      </c>
      <c r="AG207">
        <f t="shared" si="101"/>
        <v>0</v>
      </c>
      <c r="AH207">
        <f t="shared" si="101"/>
        <v>0</v>
      </c>
      <c r="AI207">
        <f t="shared" si="101"/>
        <v>0</v>
      </c>
      <c r="AJ207">
        <f t="shared" si="101"/>
        <v>0</v>
      </c>
      <c r="AK207">
        <f t="shared" si="101"/>
        <v>0</v>
      </c>
      <c r="AL207">
        <f t="shared" si="101"/>
        <v>0</v>
      </c>
      <c r="AM207">
        <f t="shared" si="101"/>
        <v>0</v>
      </c>
      <c r="AN207">
        <f t="shared" si="101"/>
        <v>0</v>
      </c>
      <c r="AO207">
        <f t="shared" si="101"/>
        <v>0</v>
      </c>
      <c r="AP207">
        <f t="shared" si="101"/>
        <v>0</v>
      </c>
      <c r="AQ207">
        <f t="shared" si="101"/>
        <v>0</v>
      </c>
      <c r="AR207">
        <f t="shared" si="101"/>
        <v>0</v>
      </c>
      <c r="AS207">
        <f t="shared" si="101"/>
        <v>0</v>
      </c>
    </row>
    <row r="208" spans="2:45" x14ac:dyDescent="0.25">
      <c r="C208" s="36" t="s">
        <v>81</v>
      </c>
      <c r="D208">
        <f t="shared" ref="D208:AS208" si="102">IF($C208=D$196,$BJ73,0)</f>
        <v>0</v>
      </c>
      <c r="E208">
        <f t="shared" si="102"/>
        <v>0</v>
      </c>
      <c r="F208">
        <f t="shared" si="102"/>
        <v>0</v>
      </c>
      <c r="G208">
        <f t="shared" si="102"/>
        <v>0</v>
      </c>
      <c r="H208">
        <f t="shared" si="102"/>
        <v>0</v>
      </c>
      <c r="I208">
        <f t="shared" si="102"/>
        <v>0</v>
      </c>
      <c r="J208">
        <f t="shared" si="102"/>
        <v>0</v>
      </c>
      <c r="K208">
        <f t="shared" si="102"/>
        <v>0</v>
      </c>
      <c r="L208">
        <f t="shared" si="102"/>
        <v>0</v>
      </c>
      <c r="M208">
        <f t="shared" si="102"/>
        <v>0</v>
      </c>
      <c r="N208">
        <f t="shared" si="102"/>
        <v>0</v>
      </c>
      <c r="O208">
        <f t="shared" si="102"/>
        <v>0.10072309703977951</v>
      </c>
      <c r="P208">
        <f t="shared" si="102"/>
        <v>0</v>
      </c>
      <c r="Q208">
        <f t="shared" si="102"/>
        <v>0</v>
      </c>
      <c r="R208">
        <f t="shared" si="102"/>
        <v>0</v>
      </c>
      <c r="S208">
        <f t="shared" si="102"/>
        <v>0</v>
      </c>
      <c r="T208">
        <f t="shared" si="102"/>
        <v>0</v>
      </c>
      <c r="U208">
        <f t="shared" si="102"/>
        <v>0</v>
      </c>
      <c r="V208">
        <f t="shared" si="102"/>
        <v>0</v>
      </c>
      <c r="W208">
        <f t="shared" si="102"/>
        <v>0</v>
      </c>
      <c r="X208">
        <f t="shared" si="102"/>
        <v>0</v>
      </c>
      <c r="Y208">
        <f t="shared" si="102"/>
        <v>0</v>
      </c>
      <c r="Z208">
        <f t="shared" si="102"/>
        <v>0</v>
      </c>
      <c r="AA208">
        <f t="shared" si="102"/>
        <v>0</v>
      </c>
      <c r="AB208">
        <f t="shared" si="102"/>
        <v>0</v>
      </c>
      <c r="AC208">
        <f t="shared" si="102"/>
        <v>0</v>
      </c>
      <c r="AD208">
        <f t="shared" si="102"/>
        <v>0</v>
      </c>
      <c r="AE208">
        <f t="shared" si="102"/>
        <v>0</v>
      </c>
      <c r="AF208">
        <f t="shared" si="102"/>
        <v>0</v>
      </c>
      <c r="AG208">
        <f t="shared" si="102"/>
        <v>0</v>
      </c>
      <c r="AH208">
        <f t="shared" si="102"/>
        <v>0</v>
      </c>
      <c r="AI208">
        <f t="shared" si="102"/>
        <v>0</v>
      </c>
      <c r="AJ208">
        <f t="shared" si="102"/>
        <v>0</v>
      </c>
      <c r="AK208">
        <f t="shared" si="102"/>
        <v>0</v>
      </c>
      <c r="AL208">
        <f t="shared" si="102"/>
        <v>0</v>
      </c>
      <c r="AM208">
        <f t="shared" si="102"/>
        <v>0</v>
      </c>
      <c r="AN208">
        <f t="shared" si="102"/>
        <v>0</v>
      </c>
      <c r="AO208">
        <f t="shared" si="102"/>
        <v>0</v>
      </c>
      <c r="AP208">
        <f t="shared" si="102"/>
        <v>0</v>
      </c>
      <c r="AQ208">
        <f t="shared" si="102"/>
        <v>0</v>
      </c>
      <c r="AR208">
        <f t="shared" si="102"/>
        <v>0</v>
      </c>
      <c r="AS208">
        <f t="shared" si="102"/>
        <v>0</v>
      </c>
    </row>
    <row r="209" spans="3:45" x14ac:dyDescent="0.25">
      <c r="C209" s="36" t="s">
        <v>82</v>
      </c>
      <c r="D209">
        <f t="shared" ref="D209:AS209" si="103">IF($C209=D$196,$BJ74,0)</f>
        <v>0</v>
      </c>
      <c r="E209">
        <f t="shared" si="103"/>
        <v>0</v>
      </c>
      <c r="F209">
        <f t="shared" si="103"/>
        <v>0</v>
      </c>
      <c r="G209">
        <f t="shared" si="103"/>
        <v>0</v>
      </c>
      <c r="H209">
        <f t="shared" si="103"/>
        <v>0</v>
      </c>
      <c r="I209">
        <f t="shared" si="103"/>
        <v>0</v>
      </c>
      <c r="J209">
        <f t="shared" si="103"/>
        <v>0</v>
      </c>
      <c r="K209">
        <f t="shared" si="103"/>
        <v>0</v>
      </c>
      <c r="L209">
        <f t="shared" si="103"/>
        <v>0</v>
      </c>
      <c r="M209">
        <f t="shared" si="103"/>
        <v>0</v>
      </c>
      <c r="N209">
        <f t="shared" si="103"/>
        <v>0</v>
      </c>
      <c r="O209">
        <f t="shared" si="103"/>
        <v>0</v>
      </c>
      <c r="P209">
        <f t="shared" si="103"/>
        <v>5.3015137638881792E-2</v>
      </c>
      <c r="Q209">
        <f t="shared" si="103"/>
        <v>0</v>
      </c>
      <c r="R209">
        <f t="shared" si="103"/>
        <v>0</v>
      </c>
      <c r="S209">
        <f t="shared" si="103"/>
        <v>0</v>
      </c>
      <c r="T209">
        <f t="shared" si="103"/>
        <v>0</v>
      </c>
      <c r="U209">
        <f t="shared" si="103"/>
        <v>0</v>
      </c>
      <c r="V209">
        <f t="shared" si="103"/>
        <v>0</v>
      </c>
      <c r="W209">
        <f t="shared" si="103"/>
        <v>0</v>
      </c>
      <c r="X209">
        <f t="shared" si="103"/>
        <v>0</v>
      </c>
      <c r="Y209">
        <f t="shared" si="103"/>
        <v>0</v>
      </c>
      <c r="Z209">
        <f t="shared" si="103"/>
        <v>0</v>
      </c>
      <c r="AA209">
        <f t="shared" si="103"/>
        <v>0</v>
      </c>
      <c r="AB209">
        <f t="shared" si="103"/>
        <v>0</v>
      </c>
      <c r="AC209">
        <f t="shared" si="103"/>
        <v>0</v>
      </c>
      <c r="AD209">
        <f t="shared" si="103"/>
        <v>0</v>
      </c>
      <c r="AE209">
        <f t="shared" si="103"/>
        <v>0</v>
      </c>
      <c r="AF209">
        <f t="shared" si="103"/>
        <v>0</v>
      </c>
      <c r="AG209">
        <f t="shared" si="103"/>
        <v>0</v>
      </c>
      <c r="AH209">
        <f t="shared" si="103"/>
        <v>0</v>
      </c>
      <c r="AI209">
        <f t="shared" si="103"/>
        <v>0</v>
      </c>
      <c r="AJ209">
        <f t="shared" si="103"/>
        <v>0</v>
      </c>
      <c r="AK209">
        <f t="shared" si="103"/>
        <v>0</v>
      </c>
      <c r="AL209">
        <f t="shared" si="103"/>
        <v>0</v>
      </c>
      <c r="AM209">
        <f t="shared" si="103"/>
        <v>0</v>
      </c>
      <c r="AN209">
        <f t="shared" si="103"/>
        <v>0</v>
      </c>
      <c r="AO209">
        <f t="shared" si="103"/>
        <v>0</v>
      </c>
      <c r="AP209">
        <f t="shared" si="103"/>
        <v>0</v>
      </c>
      <c r="AQ209">
        <f t="shared" si="103"/>
        <v>0</v>
      </c>
      <c r="AR209">
        <f t="shared" si="103"/>
        <v>0</v>
      </c>
      <c r="AS209">
        <f t="shared" si="103"/>
        <v>0</v>
      </c>
    </row>
    <row r="210" spans="3:45" x14ac:dyDescent="0.25">
      <c r="C210" s="36" t="s">
        <v>88</v>
      </c>
      <c r="D210">
        <f t="shared" ref="D210:AS210" si="104">IF($C210=D$196,$BJ75,0)</f>
        <v>0</v>
      </c>
      <c r="E210">
        <f t="shared" si="104"/>
        <v>0</v>
      </c>
      <c r="F210">
        <f t="shared" si="104"/>
        <v>0</v>
      </c>
      <c r="G210">
        <f t="shared" si="104"/>
        <v>0</v>
      </c>
      <c r="H210">
        <f t="shared" si="104"/>
        <v>0</v>
      </c>
      <c r="I210">
        <f t="shared" si="104"/>
        <v>0</v>
      </c>
      <c r="J210">
        <f t="shared" si="104"/>
        <v>0</v>
      </c>
      <c r="K210">
        <f t="shared" si="104"/>
        <v>0</v>
      </c>
      <c r="L210">
        <f t="shared" si="104"/>
        <v>0</v>
      </c>
      <c r="M210">
        <f t="shared" si="104"/>
        <v>0</v>
      </c>
      <c r="N210">
        <f t="shared" si="104"/>
        <v>0</v>
      </c>
      <c r="O210">
        <f t="shared" si="104"/>
        <v>0</v>
      </c>
      <c r="P210">
        <f t="shared" si="104"/>
        <v>0</v>
      </c>
      <c r="Q210">
        <f t="shared" si="104"/>
        <v>0.15293297965116648</v>
      </c>
      <c r="R210">
        <f t="shared" si="104"/>
        <v>0</v>
      </c>
      <c r="S210">
        <f t="shared" si="104"/>
        <v>0</v>
      </c>
      <c r="T210">
        <f t="shared" si="104"/>
        <v>0</v>
      </c>
      <c r="U210">
        <f t="shared" si="104"/>
        <v>0</v>
      </c>
      <c r="V210">
        <f t="shared" si="104"/>
        <v>0</v>
      </c>
      <c r="W210">
        <f t="shared" si="104"/>
        <v>0</v>
      </c>
      <c r="X210">
        <f t="shared" si="104"/>
        <v>0</v>
      </c>
      <c r="Y210">
        <f t="shared" si="104"/>
        <v>0</v>
      </c>
      <c r="Z210">
        <f t="shared" si="104"/>
        <v>0</v>
      </c>
      <c r="AA210">
        <f t="shared" si="104"/>
        <v>0</v>
      </c>
      <c r="AB210">
        <f t="shared" si="104"/>
        <v>0</v>
      </c>
      <c r="AC210">
        <f t="shared" si="104"/>
        <v>0</v>
      </c>
      <c r="AD210">
        <f t="shared" si="104"/>
        <v>0</v>
      </c>
      <c r="AE210">
        <f t="shared" si="104"/>
        <v>0</v>
      </c>
      <c r="AF210">
        <f t="shared" si="104"/>
        <v>0</v>
      </c>
      <c r="AG210">
        <f t="shared" si="104"/>
        <v>0</v>
      </c>
      <c r="AH210">
        <f t="shared" si="104"/>
        <v>0</v>
      </c>
      <c r="AI210">
        <f t="shared" si="104"/>
        <v>0</v>
      </c>
      <c r="AJ210">
        <f t="shared" si="104"/>
        <v>0</v>
      </c>
      <c r="AK210">
        <f t="shared" si="104"/>
        <v>0</v>
      </c>
      <c r="AL210">
        <f t="shared" si="104"/>
        <v>0</v>
      </c>
      <c r="AM210">
        <f t="shared" si="104"/>
        <v>0</v>
      </c>
      <c r="AN210">
        <f t="shared" si="104"/>
        <v>0</v>
      </c>
      <c r="AO210">
        <f t="shared" si="104"/>
        <v>0</v>
      </c>
      <c r="AP210">
        <f t="shared" si="104"/>
        <v>0</v>
      </c>
      <c r="AQ210">
        <f t="shared" si="104"/>
        <v>0</v>
      </c>
      <c r="AR210">
        <f t="shared" si="104"/>
        <v>0</v>
      </c>
      <c r="AS210">
        <f t="shared" si="104"/>
        <v>0</v>
      </c>
    </row>
    <row r="211" spans="3:45" x14ac:dyDescent="0.25">
      <c r="C211" s="36" t="s">
        <v>83</v>
      </c>
      <c r="D211">
        <f t="shared" ref="D211:AS211" si="105">IF($C211=D$196,$BJ76,0)</f>
        <v>0</v>
      </c>
      <c r="E211">
        <f t="shared" si="105"/>
        <v>0</v>
      </c>
      <c r="F211">
        <f t="shared" si="105"/>
        <v>0</v>
      </c>
      <c r="G211">
        <f t="shared" si="105"/>
        <v>0</v>
      </c>
      <c r="H211">
        <f t="shared" si="105"/>
        <v>0</v>
      </c>
      <c r="I211">
        <f t="shared" si="105"/>
        <v>0</v>
      </c>
      <c r="J211">
        <f t="shared" si="105"/>
        <v>0</v>
      </c>
      <c r="K211">
        <f t="shared" si="105"/>
        <v>0</v>
      </c>
      <c r="L211">
        <f t="shared" si="105"/>
        <v>0</v>
      </c>
      <c r="M211">
        <f t="shared" si="105"/>
        <v>0</v>
      </c>
      <c r="N211">
        <f t="shared" si="105"/>
        <v>0</v>
      </c>
      <c r="O211">
        <f t="shared" si="105"/>
        <v>0</v>
      </c>
      <c r="P211">
        <f t="shared" si="105"/>
        <v>0</v>
      </c>
      <c r="Q211">
        <f t="shared" si="105"/>
        <v>0</v>
      </c>
      <c r="R211">
        <f t="shared" si="105"/>
        <v>1.7493978134799547E-2</v>
      </c>
      <c r="S211">
        <f t="shared" si="105"/>
        <v>0</v>
      </c>
      <c r="T211">
        <f t="shared" si="105"/>
        <v>0</v>
      </c>
      <c r="U211">
        <f t="shared" si="105"/>
        <v>0</v>
      </c>
      <c r="V211">
        <f t="shared" si="105"/>
        <v>0</v>
      </c>
      <c r="W211">
        <f t="shared" si="105"/>
        <v>0</v>
      </c>
      <c r="X211">
        <f t="shared" si="105"/>
        <v>0</v>
      </c>
      <c r="Y211">
        <f t="shared" si="105"/>
        <v>0</v>
      </c>
      <c r="Z211">
        <f t="shared" si="105"/>
        <v>0</v>
      </c>
      <c r="AA211">
        <f t="shared" si="105"/>
        <v>0</v>
      </c>
      <c r="AB211">
        <f t="shared" si="105"/>
        <v>0</v>
      </c>
      <c r="AC211">
        <f t="shared" si="105"/>
        <v>0</v>
      </c>
      <c r="AD211">
        <f t="shared" si="105"/>
        <v>0</v>
      </c>
      <c r="AE211">
        <f t="shared" si="105"/>
        <v>0</v>
      </c>
      <c r="AF211">
        <f t="shared" si="105"/>
        <v>0</v>
      </c>
      <c r="AG211">
        <f t="shared" si="105"/>
        <v>0</v>
      </c>
      <c r="AH211">
        <f t="shared" si="105"/>
        <v>0</v>
      </c>
      <c r="AI211">
        <f t="shared" si="105"/>
        <v>0</v>
      </c>
      <c r="AJ211">
        <f t="shared" si="105"/>
        <v>0</v>
      </c>
      <c r="AK211">
        <f t="shared" si="105"/>
        <v>0</v>
      </c>
      <c r="AL211">
        <f t="shared" si="105"/>
        <v>0</v>
      </c>
      <c r="AM211">
        <f t="shared" si="105"/>
        <v>0</v>
      </c>
      <c r="AN211">
        <f t="shared" si="105"/>
        <v>0</v>
      </c>
      <c r="AO211">
        <f t="shared" si="105"/>
        <v>0</v>
      </c>
      <c r="AP211">
        <f t="shared" si="105"/>
        <v>0</v>
      </c>
      <c r="AQ211">
        <f t="shared" si="105"/>
        <v>0</v>
      </c>
      <c r="AR211">
        <f t="shared" si="105"/>
        <v>0</v>
      </c>
      <c r="AS211">
        <f t="shared" si="105"/>
        <v>0</v>
      </c>
    </row>
    <row r="212" spans="3:45" x14ac:dyDescent="0.25">
      <c r="C212" s="36" t="s">
        <v>84</v>
      </c>
      <c r="D212">
        <f t="shared" ref="D212:AS212" si="106">IF($C212=D$196,$BJ77,0)</f>
        <v>0</v>
      </c>
      <c r="E212">
        <f t="shared" si="106"/>
        <v>0</v>
      </c>
      <c r="F212">
        <f t="shared" si="106"/>
        <v>0</v>
      </c>
      <c r="G212">
        <f t="shared" si="106"/>
        <v>0</v>
      </c>
      <c r="H212">
        <f t="shared" si="106"/>
        <v>0</v>
      </c>
      <c r="I212">
        <f t="shared" si="106"/>
        <v>0</v>
      </c>
      <c r="J212">
        <f t="shared" si="106"/>
        <v>0</v>
      </c>
      <c r="K212">
        <f t="shared" si="106"/>
        <v>0</v>
      </c>
      <c r="L212">
        <f t="shared" si="106"/>
        <v>0</v>
      </c>
      <c r="M212">
        <f t="shared" si="106"/>
        <v>0</v>
      </c>
      <c r="N212">
        <f t="shared" si="106"/>
        <v>0</v>
      </c>
      <c r="O212">
        <f t="shared" si="106"/>
        <v>0</v>
      </c>
      <c r="P212">
        <f t="shared" si="106"/>
        <v>0</v>
      </c>
      <c r="Q212">
        <f t="shared" si="106"/>
        <v>0</v>
      </c>
      <c r="R212">
        <f t="shared" si="106"/>
        <v>0</v>
      </c>
      <c r="S212">
        <f t="shared" si="106"/>
        <v>3.8900570388200197E-2</v>
      </c>
      <c r="T212">
        <f t="shared" si="106"/>
        <v>0</v>
      </c>
      <c r="U212">
        <f t="shared" si="106"/>
        <v>0</v>
      </c>
      <c r="V212">
        <f t="shared" si="106"/>
        <v>0</v>
      </c>
      <c r="W212">
        <f t="shared" si="106"/>
        <v>0</v>
      </c>
      <c r="X212">
        <f t="shared" si="106"/>
        <v>0</v>
      </c>
      <c r="Y212">
        <f t="shared" si="106"/>
        <v>0</v>
      </c>
      <c r="Z212">
        <f t="shared" si="106"/>
        <v>0</v>
      </c>
      <c r="AA212">
        <f t="shared" si="106"/>
        <v>0</v>
      </c>
      <c r="AB212">
        <f t="shared" si="106"/>
        <v>0</v>
      </c>
      <c r="AC212">
        <f t="shared" si="106"/>
        <v>0</v>
      </c>
      <c r="AD212">
        <f t="shared" si="106"/>
        <v>0</v>
      </c>
      <c r="AE212">
        <f t="shared" si="106"/>
        <v>0</v>
      </c>
      <c r="AF212">
        <f t="shared" si="106"/>
        <v>0</v>
      </c>
      <c r="AG212">
        <f t="shared" si="106"/>
        <v>0</v>
      </c>
      <c r="AH212">
        <f t="shared" si="106"/>
        <v>0</v>
      </c>
      <c r="AI212">
        <f t="shared" si="106"/>
        <v>0</v>
      </c>
      <c r="AJ212">
        <f t="shared" si="106"/>
        <v>0</v>
      </c>
      <c r="AK212">
        <f t="shared" si="106"/>
        <v>0</v>
      </c>
      <c r="AL212">
        <f t="shared" si="106"/>
        <v>0</v>
      </c>
      <c r="AM212">
        <f t="shared" si="106"/>
        <v>0</v>
      </c>
      <c r="AN212">
        <f t="shared" si="106"/>
        <v>0</v>
      </c>
      <c r="AO212">
        <f t="shared" si="106"/>
        <v>0</v>
      </c>
      <c r="AP212">
        <f t="shared" si="106"/>
        <v>0</v>
      </c>
      <c r="AQ212">
        <f t="shared" si="106"/>
        <v>0</v>
      </c>
      <c r="AR212">
        <f t="shared" si="106"/>
        <v>0</v>
      </c>
      <c r="AS212">
        <f t="shared" si="106"/>
        <v>0</v>
      </c>
    </row>
    <row r="213" spans="3:45" x14ac:dyDescent="0.25">
      <c r="C213" s="36" t="s">
        <v>85</v>
      </c>
      <c r="D213">
        <f t="shared" ref="D213:AS213" si="107">IF($C213=D$196,$BJ78,0)</f>
        <v>0</v>
      </c>
      <c r="E213">
        <f t="shared" si="107"/>
        <v>0</v>
      </c>
      <c r="F213">
        <f t="shared" si="107"/>
        <v>0</v>
      </c>
      <c r="G213">
        <f t="shared" si="107"/>
        <v>0</v>
      </c>
      <c r="H213">
        <f t="shared" si="107"/>
        <v>0</v>
      </c>
      <c r="I213">
        <f t="shared" si="107"/>
        <v>0</v>
      </c>
      <c r="J213">
        <f t="shared" si="107"/>
        <v>0</v>
      </c>
      <c r="K213">
        <f t="shared" si="107"/>
        <v>0</v>
      </c>
      <c r="L213">
        <f t="shared" si="107"/>
        <v>0</v>
      </c>
      <c r="M213">
        <f t="shared" si="107"/>
        <v>0</v>
      </c>
      <c r="N213">
        <f t="shared" si="107"/>
        <v>0</v>
      </c>
      <c r="O213">
        <f t="shared" si="107"/>
        <v>0</v>
      </c>
      <c r="P213">
        <f t="shared" si="107"/>
        <v>0</v>
      </c>
      <c r="Q213">
        <f t="shared" si="107"/>
        <v>0</v>
      </c>
      <c r="R213">
        <f t="shared" si="107"/>
        <v>0</v>
      </c>
      <c r="S213">
        <f t="shared" si="107"/>
        <v>0</v>
      </c>
      <c r="T213">
        <f t="shared" si="107"/>
        <v>9.7390225587963938E-2</v>
      </c>
      <c r="U213">
        <f t="shared" si="107"/>
        <v>0</v>
      </c>
      <c r="V213">
        <f t="shared" si="107"/>
        <v>0</v>
      </c>
      <c r="W213">
        <f t="shared" si="107"/>
        <v>0</v>
      </c>
      <c r="X213">
        <f t="shared" si="107"/>
        <v>0</v>
      </c>
      <c r="Y213">
        <f t="shared" si="107"/>
        <v>0</v>
      </c>
      <c r="Z213">
        <f t="shared" si="107"/>
        <v>0</v>
      </c>
      <c r="AA213">
        <f t="shared" si="107"/>
        <v>0</v>
      </c>
      <c r="AB213">
        <f t="shared" si="107"/>
        <v>0</v>
      </c>
      <c r="AC213">
        <f t="shared" si="107"/>
        <v>0</v>
      </c>
      <c r="AD213">
        <f t="shared" si="107"/>
        <v>0</v>
      </c>
      <c r="AE213">
        <f t="shared" si="107"/>
        <v>0</v>
      </c>
      <c r="AF213">
        <f t="shared" si="107"/>
        <v>0</v>
      </c>
      <c r="AG213">
        <f t="shared" si="107"/>
        <v>0</v>
      </c>
      <c r="AH213">
        <f t="shared" si="107"/>
        <v>0</v>
      </c>
      <c r="AI213">
        <f t="shared" si="107"/>
        <v>0</v>
      </c>
      <c r="AJ213">
        <f t="shared" si="107"/>
        <v>0</v>
      </c>
      <c r="AK213">
        <f t="shared" si="107"/>
        <v>0</v>
      </c>
      <c r="AL213">
        <f t="shared" si="107"/>
        <v>0</v>
      </c>
      <c r="AM213">
        <f t="shared" si="107"/>
        <v>0</v>
      </c>
      <c r="AN213">
        <f t="shared" si="107"/>
        <v>0</v>
      </c>
      <c r="AO213">
        <f t="shared" si="107"/>
        <v>0</v>
      </c>
      <c r="AP213">
        <f t="shared" si="107"/>
        <v>0</v>
      </c>
      <c r="AQ213">
        <f t="shared" si="107"/>
        <v>0</v>
      </c>
      <c r="AR213">
        <f t="shared" si="107"/>
        <v>0</v>
      </c>
      <c r="AS213">
        <f t="shared" si="107"/>
        <v>0</v>
      </c>
    </row>
    <row r="214" spans="3:45" x14ac:dyDescent="0.25">
      <c r="C214" s="36" t="s">
        <v>86</v>
      </c>
      <c r="D214">
        <f t="shared" ref="D214:AS214" si="108">IF($C214=D$196,$BJ79,0)</f>
        <v>0</v>
      </c>
      <c r="E214">
        <f t="shared" si="108"/>
        <v>0</v>
      </c>
      <c r="F214">
        <f t="shared" si="108"/>
        <v>0</v>
      </c>
      <c r="G214">
        <f t="shared" si="108"/>
        <v>0</v>
      </c>
      <c r="H214">
        <f t="shared" si="108"/>
        <v>0</v>
      </c>
      <c r="I214">
        <f t="shared" si="108"/>
        <v>0</v>
      </c>
      <c r="J214">
        <f t="shared" si="108"/>
        <v>0</v>
      </c>
      <c r="K214">
        <f t="shared" si="108"/>
        <v>0</v>
      </c>
      <c r="L214">
        <f t="shared" si="108"/>
        <v>0</v>
      </c>
      <c r="M214">
        <f t="shared" si="108"/>
        <v>0</v>
      </c>
      <c r="N214">
        <f t="shared" si="108"/>
        <v>0</v>
      </c>
      <c r="O214">
        <f t="shared" si="108"/>
        <v>0</v>
      </c>
      <c r="P214">
        <f t="shared" si="108"/>
        <v>0</v>
      </c>
      <c r="Q214">
        <f t="shared" si="108"/>
        <v>0</v>
      </c>
      <c r="R214">
        <f t="shared" si="108"/>
        <v>0</v>
      </c>
      <c r="S214">
        <f t="shared" si="108"/>
        <v>0</v>
      </c>
      <c r="T214">
        <f t="shared" si="108"/>
        <v>0</v>
      </c>
      <c r="U214">
        <f t="shared" si="108"/>
        <v>1.7595270783085759E-2</v>
      </c>
      <c r="V214">
        <f t="shared" si="108"/>
        <v>0</v>
      </c>
      <c r="W214">
        <f t="shared" si="108"/>
        <v>0</v>
      </c>
      <c r="X214">
        <f t="shared" si="108"/>
        <v>0</v>
      </c>
      <c r="Y214">
        <f t="shared" si="108"/>
        <v>0</v>
      </c>
      <c r="Z214">
        <f t="shared" si="108"/>
        <v>0</v>
      </c>
      <c r="AA214">
        <f t="shared" si="108"/>
        <v>0</v>
      </c>
      <c r="AB214">
        <f t="shared" si="108"/>
        <v>0</v>
      </c>
      <c r="AC214">
        <f t="shared" si="108"/>
        <v>0</v>
      </c>
      <c r="AD214">
        <f t="shared" si="108"/>
        <v>0</v>
      </c>
      <c r="AE214">
        <f t="shared" si="108"/>
        <v>0</v>
      </c>
      <c r="AF214">
        <f t="shared" si="108"/>
        <v>0</v>
      </c>
      <c r="AG214">
        <f t="shared" si="108"/>
        <v>0</v>
      </c>
      <c r="AH214">
        <f t="shared" si="108"/>
        <v>0</v>
      </c>
      <c r="AI214">
        <f t="shared" si="108"/>
        <v>0</v>
      </c>
      <c r="AJ214">
        <f t="shared" si="108"/>
        <v>0</v>
      </c>
      <c r="AK214">
        <f t="shared" si="108"/>
        <v>0</v>
      </c>
      <c r="AL214">
        <f t="shared" si="108"/>
        <v>0</v>
      </c>
      <c r="AM214">
        <f t="shared" si="108"/>
        <v>0</v>
      </c>
      <c r="AN214">
        <f t="shared" si="108"/>
        <v>0</v>
      </c>
      <c r="AO214">
        <f t="shared" si="108"/>
        <v>0</v>
      </c>
      <c r="AP214">
        <f t="shared" si="108"/>
        <v>0</v>
      </c>
      <c r="AQ214">
        <f t="shared" si="108"/>
        <v>0</v>
      </c>
      <c r="AR214">
        <f t="shared" si="108"/>
        <v>0</v>
      </c>
      <c r="AS214">
        <f t="shared" si="108"/>
        <v>0</v>
      </c>
    </row>
    <row r="215" spans="3:45" x14ac:dyDescent="0.25">
      <c r="C215" s="36" t="s">
        <v>92</v>
      </c>
      <c r="D215">
        <f t="shared" ref="D215:AS215" si="109">IF($C215=D$196,$BJ80,0)</f>
        <v>0</v>
      </c>
      <c r="E215">
        <f t="shared" si="109"/>
        <v>0</v>
      </c>
      <c r="F215">
        <f t="shared" si="109"/>
        <v>0</v>
      </c>
      <c r="G215">
        <f t="shared" si="109"/>
        <v>0</v>
      </c>
      <c r="H215">
        <f t="shared" si="109"/>
        <v>0</v>
      </c>
      <c r="I215">
        <f t="shared" si="109"/>
        <v>0</v>
      </c>
      <c r="J215">
        <f t="shared" si="109"/>
        <v>0</v>
      </c>
      <c r="K215">
        <f t="shared" si="109"/>
        <v>0</v>
      </c>
      <c r="L215">
        <f t="shared" si="109"/>
        <v>0</v>
      </c>
      <c r="M215">
        <f t="shared" si="109"/>
        <v>0</v>
      </c>
      <c r="N215">
        <f t="shared" si="109"/>
        <v>0</v>
      </c>
      <c r="O215">
        <f t="shared" si="109"/>
        <v>0</v>
      </c>
      <c r="P215">
        <f t="shared" si="109"/>
        <v>0</v>
      </c>
      <c r="Q215">
        <f t="shared" si="109"/>
        <v>0</v>
      </c>
      <c r="R215">
        <f t="shared" si="109"/>
        <v>0</v>
      </c>
      <c r="S215">
        <f t="shared" si="109"/>
        <v>0</v>
      </c>
      <c r="T215">
        <f t="shared" si="109"/>
        <v>0</v>
      </c>
      <c r="U215">
        <f t="shared" si="109"/>
        <v>0</v>
      </c>
      <c r="V215">
        <f t="shared" si="109"/>
        <v>0.34930271361582083</v>
      </c>
      <c r="W215">
        <f t="shared" si="109"/>
        <v>0</v>
      </c>
      <c r="X215">
        <f t="shared" si="109"/>
        <v>0</v>
      </c>
      <c r="Y215">
        <f t="shared" si="109"/>
        <v>0</v>
      </c>
      <c r="Z215">
        <f t="shared" si="109"/>
        <v>0</v>
      </c>
      <c r="AA215">
        <f t="shared" si="109"/>
        <v>0</v>
      </c>
      <c r="AB215">
        <f t="shared" si="109"/>
        <v>0</v>
      </c>
      <c r="AC215">
        <f t="shared" si="109"/>
        <v>0</v>
      </c>
      <c r="AD215">
        <f t="shared" si="109"/>
        <v>0</v>
      </c>
      <c r="AE215">
        <f t="shared" si="109"/>
        <v>0</v>
      </c>
      <c r="AF215">
        <f t="shared" si="109"/>
        <v>0</v>
      </c>
      <c r="AG215">
        <f t="shared" si="109"/>
        <v>0</v>
      </c>
      <c r="AH215">
        <f t="shared" si="109"/>
        <v>0</v>
      </c>
      <c r="AI215">
        <f t="shared" si="109"/>
        <v>0</v>
      </c>
      <c r="AJ215">
        <f t="shared" si="109"/>
        <v>0</v>
      </c>
      <c r="AK215">
        <f t="shared" si="109"/>
        <v>0</v>
      </c>
      <c r="AL215">
        <f t="shared" si="109"/>
        <v>0</v>
      </c>
      <c r="AM215">
        <f t="shared" si="109"/>
        <v>0</v>
      </c>
      <c r="AN215">
        <f t="shared" si="109"/>
        <v>0</v>
      </c>
      <c r="AO215">
        <f t="shared" si="109"/>
        <v>0</v>
      </c>
      <c r="AP215">
        <f t="shared" si="109"/>
        <v>0</v>
      </c>
      <c r="AQ215">
        <f t="shared" si="109"/>
        <v>0</v>
      </c>
      <c r="AR215">
        <f t="shared" si="109"/>
        <v>0</v>
      </c>
      <c r="AS215">
        <f t="shared" si="109"/>
        <v>0</v>
      </c>
    </row>
    <row r="216" spans="3:45" x14ac:dyDescent="0.25">
      <c r="C216" s="36" t="s">
        <v>91</v>
      </c>
      <c r="D216">
        <f t="shared" ref="D216:AS216" si="110">IF($C216=D$196,$BJ81,0)</f>
        <v>0</v>
      </c>
      <c r="E216">
        <f t="shared" si="110"/>
        <v>0</v>
      </c>
      <c r="F216">
        <f t="shared" si="110"/>
        <v>0</v>
      </c>
      <c r="G216">
        <f t="shared" si="110"/>
        <v>0</v>
      </c>
      <c r="H216">
        <f t="shared" si="110"/>
        <v>0</v>
      </c>
      <c r="I216">
        <f t="shared" si="110"/>
        <v>0</v>
      </c>
      <c r="J216">
        <f t="shared" si="110"/>
        <v>0</v>
      </c>
      <c r="K216">
        <f t="shared" si="110"/>
        <v>0</v>
      </c>
      <c r="L216">
        <f t="shared" si="110"/>
        <v>0</v>
      </c>
      <c r="M216">
        <f t="shared" si="110"/>
        <v>0</v>
      </c>
      <c r="N216">
        <f t="shared" si="110"/>
        <v>0</v>
      </c>
      <c r="O216">
        <f t="shared" si="110"/>
        <v>0</v>
      </c>
      <c r="P216">
        <f t="shared" si="110"/>
        <v>0</v>
      </c>
      <c r="Q216">
        <f t="shared" si="110"/>
        <v>0</v>
      </c>
      <c r="R216">
        <f t="shared" si="110"/>
        <v>0</v>
      </c>
      <c r="S216">
        <f t="shared" si="110"/>
        <v>0</v>
      </c>
      <c r="T216">
        <f t="shared" si="110"/>
        <v>0</v>
      </c>
      <c r="U216">
        <f t="shared" si="110"/>
        <v>0</v>
      </c>
      <c r="V216">
        <f t="shared" si="110"/>
        <v>0</v>
      </c>
      <c r="W216">
        <f t="shared" si="110"/>
        <v>8.7327273753218498E-2</v>
      </c>
      <c r="X216">
        <f t="shared" si="110"/>
        <v>0</v>
      </c>
      <c r="Y216">
        <f t="shared" si="110"/>
        <v>0</v>
      </c>
      <c r="Z216">
        <f t="shared" si="110"/>
        <v>0</v>
      </c>
      <c r="AA216">
        <f t="shared" si="110"/>
        <v>0</v>
      </c>
      <c r="AB216">
        <f t="shared" si="110"/>
        <v>0</v>
      </c>
      <c r="AC216">
        <f t="shared" si="110"/>
        <v>0</v>
      </c>
      <c r="AD216">
        <f t="shared" si="110"/>
        <v>0</v>
      </c>
      <c r="AE216">
        <f t="shared" si="110"/>
        <v>0</v>
      </c>
      <c r="AF216">
        <f t="shared" si="110"/>
        <v>0</v>
      </c>
      <c r="AG216">
        <f t="shared" si="110"/>
        <v>0</v>
      </c>
      <c r="AH216">
        <f t="shared" si="110"/>
        <v>0</v>
      </c>
      <c r="AI216">
        <f t="shared" si="110"/>
        <v>0</v>
      </c>
      <c r="AJ216">
        <f t="shared" si="110"/>
        <v>0</v>
      </c>
      <c r="AK216">
        <f t="shared" si="110"/>
        <v>0</v>
      </c>
      <c r="AL216">
        <f t="shared" si="110"/>
        <v>0</v>
      </c>
      <c r="AM216">
        <f t="shared" si="110"/>
        <v>0</v>
      </c>
      <c r="AN216">
        <f t="shared" si="110"/>
        <v>0</v>
      </c>
      <c r="AO216">
        <f t="shared" si="110"/>
        <v>0</v>
      </c>
      <c r="AP216">
        <f t="shared" si="110"/>
        <v>0</v>
      </c>
      <c r="AQ216">
        <f t="shared" si="110"/>
        <v>0</v>
      </c>
      <c r="AR216">
        <f t="shared" si="110"/>
        <v>0</v>
      </c>
      <c r="AS216">
        <f t="shared" si="110"/>
        <v>0</v>
      </c>
    </row>
    <row r="217" spans="3:45" x14ac:dyDescent="0.25">
      <c r="C217" s="36" t="s">
        <v>87</v>
      </c>
      <c r="D217">
        <f t="shared" ref="D217:AS217" si="111">IF($C217=D$196,$BJ82,0)</f>
        <v>0</v>
      </c>
      <c r="E217">
        <f t="shared" si="111"/>
        <v>0</v>
      </c>
      <c r="F217">
        <f t="shared" si="111"/>
        <v>0</v>
      </c>
      <c r="G217">
        <f t="shared" si="111"/>
        <v>0</v>
      </c>
      <c r="H217">
        <f t="shared" si="111"/>
        <v>0</v>
      </c>
      <c r="I217">
        <f t="shared" si="111"/>
        <v>0</v>
      </c>
      <c r="J217">
        <f t="shared" si="111"/>
        <v>0</v>
      </c>
      <c r="K217">
        <f t="shared" si="111"/>
        <v>0</v>
      </c>
      <c r="L217">
        <f t="shared" si="111"/>
        <v>0</v>
      </c>
      <c r="M217">
        <f t="shared" si="111"/>
        <v>0</v>
      </c>
      <c r="N217">
        <f t="shared" si="111"/>
        <v>0</v>
      </c>
      <c r="O217">
        <f t="shared" si="111"/>
        <v>0</v>
      </c>
      <c r="P217">
        <f t="shared" si="111"/>
        <v>0</v>
      </c>
      <c r="Q217">
        <f t="shared" si="111"/>
        <v>0</v>
      </c>
      <c r="R217">
        <f t="shared" si="111"/>
        <v>0</v>
      </c>
      <c r="S217">
        <f t="shared" si="111"/>
        <v>0</v>
      </c>
      <c r="T217">
        <f t="shared" si="111"/>
        <v>0</v>
      </c>
      <c r="U217">
        <f t="shared" si="111"/>
        <v>0</v>
      </c>
      <c r="V217">
        <f t="shared" si="111"/>
        <v>0</v>
      </c>
      <c r="W217">
        <f t="shared" si="111"/>
        <v>0</v>
      </c>
      <c r="X217">
        <f t="shared" si="111"/>
        <v>0.11179195584087361</v>
      </c>
      <c r="Y217">
        <f t="shared" si="111"/>
        <v>0</v>
      </c>
      <c r="Z217">
        <f t="shared" si="111"/>
        <v>0</v>
      </c>
      <c r="AA217">
        <f t="shared" si="111"/>
        <v>0</v>
      </c>
      <c r="AB217">
        <f t="shared" si="111"/>
        <v>0</v>
      </c>
      <c r="AC217">
        <f t="shared" si="111"/>
        <v>0</v>
      </c>
      <c r="AD217">
        <f t="shared" si="111"/>
        <v>0</v>
      </c>
      <c r="AE217">
        <f t="shared" si="111"/>
        <v>0</v>
      </c>
      <c r="AF217">
        <f t="shared" si="111"/>
        <v>0</v>
      </c>
      <c r="AG217">
        <f t="shared" si="111"/>
        <v>0</v>
      </c>
      <c r="AH217">
        <f t="shared" si="111"/>
        <v>0</v>
      </c>
      <c r="AI217">
        <f t="shared" si="111"/>
        <v>0</v>
      </c>
      <c r="AJ217">
        <f t="shared" si="111"/>
        <v>0</v>
      </c>
      <c r="AK217">
        <f t="shared" si="111"/>
        <v>0</v>
      </c>
      <c r="AL217">
        <f t="shared" si="111"/>
        <v>0</v>
      </c>
      <c r="AM217">
        <f t="shared" si="111"/>
        <v>0</v>
      </c>
      <c r="AN217">
        <f t="shared" si="111"/>
        <v>0</v>
      </c>
      <c r="AO217">
        <f t="shared" si="111"/>
        <v>0</v>
      </c>
      <c r="AP217">
        <f t="shared" si="111"/>
        <v>0</v>
      </c>
      <c r="AQ217">
        <f t="shared" si="111"/>
        <v>0</v>
      </c>
      <c r="AR217">
        <f t="shared" si="111"/>
        <v>0</v>
      </c>
      <c r="AS217">
        <f t="shared" si="111"/>
        <v>0</v>
      </c>
    </row>
    <row r="218" spans="3:45" x14ac:dyDescent="0.25">
      <c r="C218" s="36" t="s">
        <v>89</v>
      </c>
      <c r="D218">
        <f t="shared" ref="D218:AS218" si="112">IF($C218=D$196,$BJ83,0)</f>
        <v>0</v>
      </c>
      <c r="E218">
        <f t="shared" si="112"/>
        <v>0</v>
      </c>
      <c r="F218">
        <f t="shared" si="112"/>
        <v>0</v>
      </c>
      <c r="G218">
        <f t="shared" si="112"/>
        <v>0</v>
      </c>
      <c r="H218">
        <f t="shared" si="112"/>
        <v>0</v>
      </c>
      <c r="I218">
        <f t="shared" si="112"/>
        <v>0</v>
      </c>
      <c r="J218">
        <f t="shared" si="112"/>
        <v>0</v>
      </c>
      <c r="K218">
        <f t="shared" si="112"/>
        <v>0</v>
      </c>
      <c r="L218">
        <f t="shared" si="112"/>
        <v>0</v>
      </c>
      <c r="M218">
        <f t="shared" si="112"/>
        <v>0</v>
      </c>
      <c r="N218">
        <f t="shared" si="112"/>
        <v>0</v>
      </c>
      <c r="O218">
        <f t="shared" si="112"/>
        <v>0</v>
      </c>
      <c r="P218">
        <f t="shared" si="112"/>
        <v>0</v>
      </c>
      <c r="Q218">
        <f t="shared" si="112"/>
        <v>0</v>
      </c>
      <c r="R218">
        <f t="shared" si="112"/>
        <v>0</v>
      </c>
      <c r="S218">
        <f t="shared" si="112"/>
        <v>0</v>
      </c>
      <c r="T218">
        <f t="shared" si="112"/>
        <v>0</v>
      </c>
      <c r="U218">
        <f t="shared" si="112"/>
        <v>0</v>
      </c>
      <c r="V218">
        <f t="shared" si="112"/>
        <v>0</v>
      </c>
      <c r="W218">
        <f t="shared" si="112"/>
        <v>0</v>
      </c>
      <c r="X218">
        <f t="shared" si="112"/>
        <v>0</v>
      </c>
      <c r="Y218">
        <f t="shared" si="112"/>
        <v>7.0933850361309905E-2</v>
      </c>
      <c r="Z218">
        <f t="shared" si="112"/>
        <v>0</v>
      </c>
      <c r="AA218">
        <f t="shared" si="112"/>
        <v>0</v>
      </c>
      <c r="AB218">
        <f t="shared" si="112"/>
        <v>0</v>
      </c>
      <c r="AC218">
        <f t="shared" si="112"/>
        <v>0</v>
      </c>
      <c r="AD218">
        <f t="shared" si="112"/>
        <v>0</v>
      </c>
      <c r="AE218">
        <f t="shared" si="112"/>
        <v>0</v>
      </c>
      <c r="AF218">
        <f t="shared" si="112"/>
        <v>0</v>
      </c>
      <c r="AG218">
        <f t="shared" si="112"/>
        <v>0</v>
      </c>
      <c r="AH218">
        <f t="shared" si="112"/>
        <v>0</v>
      </c>
      <c r="AI218">
        <f t="shared" si="112"/>
        <v>0</v>
      </c>
      <c r="AJ218">
        <f t="shared" si="112"/>
        <v>0</v>
      </c>
      <c r="AK218">
        <f t="shared" si="112"/>
        <v>0</v>
      </c>
      <c r="AL218">
        <f t="shared" si="112"/>
        <v>0</v>
      </c>
      <c r="AM218">
        <f t="shared" si="112"/>
        <v>0</v>
      </c>
      <c r="AN218">
        <f t="shared" si="112"/>
        <v>0</v>
      </c>
      <c r="AO218">
        <f t="shared" si="112"/>
        <v>0</v>
      </c>
      <c r="AP218">
        <f t="shared" si="112"/>
        <v>0</v>
      </c>
      <c r="AQ218">
        <f t="shared" si="112"/>
        <v>0</v>
      </c>
      <c r="AR218">
        <f t="shared" si="112"/>
        <v>0</v>
      </c>
      <c r="AS218">
        <f t="shared" si="112"/>
        <v>0</v>
      </c>
    </row>
    <row r="219" spans="3:45" x14ac:dyDescent="0.25">
      <c r="C219" s="36" t="s">
        <v>90</v>
      </c>
      <c r="D219">
        <f t="shared" ref="D219:AS219" si="113">IF($C219=D$196,$BJ84,0)</f>
        <v>0</v>
      </c>
      <c r="E219">
        <f t="shared" si="113"/>
        <v>0</v>
      </c>
      <c r="F219">
        <f t="shared" si="113"/>
        <v>0</v>
      </c>
      <c r="G219">
        <f t="shared" si="113"/>
        <v>0</v>
      </c>
      <c r="H219">
        <f t="shared" si="113"/>
        <v>0</v>
      </c>
      <c r="I219">
        <f t="shared" si="113"/>
        <v>0</v>
      </c>
      <c r="J219">
        <f t="shared" si="113"/>
        <v>0</v>
      </c>
      <c r="K219">
        <f t="shared" si="113"/>
        <v>0</v>
      </c>
      <c r="L219">
        <f t="shared" si="113"/>
        <v>0</v>
      </c>
      <c r="M219">
        <f t="shared" si="113"/>
        <v>0</v>
      </c>
      <c r="N219">
        <f t="shared" si="113"/>
        <v>0</v>
      </c>
      <c r="O219">
        <f t="shared" si="113"/>
        <v>0</v>
      </c>
      <c r="P219">
        <f t="shared" si="113"/>
        <v>0</v>
      </c>
      <c r="Q219">
        <f t="shared" si="113"/>
        <v>0</v>
      </c>
      <c r="R219">
        <f t="shared" si="113"/>
        <v>0</v>
      </c>
      <c r="S219">
        <f t="shared" si="113"/>
        <v>0</v>
      </c>
      <c r="T219">
        <f t="shared" si="113"/>
        <v>0</v>
      </c>
      <c r="U219">
        <f t="shared" si="113"/>
        <v>0</v>
      </c>
      <c r="V219">
        <f t="shared" si="113"/>
        <v>0</v>
      </c>
      <c r="W219">
        <f t="shared" si="113"/>
        <v>0</v>
      </c>
      <c r="X219">
        <f t="shared" si="113"/>
        <v>0</v>
      </c>
      <c r="Y219">
        <f t="shared" si="113"/>
        <v>0</v>
      </c>
      <c r="Z219">
        <f t="shared" si="113"/>
        <v>6.757428166081289E-2</v>
      </c>
      <c r="AA219">
        <f t="shared" si="113"/>
        <v>0</v>
      </c>
      <c r="AB219">
        <f t="shared" si="113"/>
        <v>0</v>
      </c>
      <c r="AC219">
        <f t="shared" si="113"/>
        <v>0</v>
      </c>
      <c r="AD219">
        <f t="shared" si="113"/>
        <v>0</v>
      </c>
      <c r="AE219">
        <f t="shared" si="113"/>
        <v>0</v>
      </c>
      <c r="AF219">
        <f t="shared" si="113"/>
        <v>0</v>
      </c>
      <c r="AG219">
        <f t="shared" si="113"/>
        <v>0</v>
      </c>
      <c r="AH219">
        <f t="shared" si="113"/>
        <v>0</v>
      </c>
      <c r="AI219">
        <f t="shared" si="113"/>
        <v>0</v>
      </c>
      <c r="AJ219">
        <f t="shared" si="113"/>
        <v>0</v>
      </c>
      <c r="AK219">
        <f t="shared" si="113"/>
        <v>0</v>
      </c>
      <c r="AL219">
        <f t="shared" si="113"/>
        <v>0</v>
      </c>
      <c r="AM219">
        <f t="shared" si="113"/>
        <v>0</v>
      </c>
      <c r="AN219">
        <f t="shared" si="113"/>
        <v>0</v>
      </c>
      <c r="AO219">
        <f t="shared" si="113"/>
        <v>0</v>
      </c>
      <c r="AP219">
        <f t="shared" si="113"/>
        <v>0</v>
      </c>
      <c r="AQ219">
        <f t="shared" si="113"/>
        <v>0</v>
      </c>
      <c r="AR219">
        <f t="shared" si="113"/>
        <v>0</v>
      </c>
      <c r="AS219">
        <f t="shared" si="113"/>
        <v>0</v>
      </c>
    </row>
    <row r="220" spans="3:45" x14ac:dyDescent="0.25">
      <c r="C220" s="36" t="s">
        <v>93</v>
      </c>
      <c r="D220">
        <f t="shared" ref="D220:AS220" si="114">IF($C220=D$196,$BJ85,0)</f>
        <v>0</v>
      </c>
      <c r="E220">
        <f t="shared" si="114"/>
        <v>0</v>
      </c>
      <c r="F220">
        <f t="shared" si="114"/>
        <v>0</v>
      </c>
      <c r="G220">
        <f t="shared" si="114"/>
        <v>0</v>
      </c>
      <c r="H220">
        <f t="shared" si="114"/>
        <v>0</v>
      </c>
      <c r="I220">
        <f t="shared" si="114"/>
        <v>0</v>
      </c>
      <c r="J220">
        <f t="shared" si="114"/>
        <v>0</v>
      </c>
      <c r="K220">
        <f t="shared" si="114"/>
        <v>0</v>
      </c>
      <c r="L220">
        <f t="shared" si="114"/>
        <v>0</v>
      </c>
      <c r="M220">
        <f t="shared" si="114"/>
        <v>0</v>
      </c>
      <c r="N220">
        <f t="shared" si="114"/>
        <v>0</v>
      </c>
      <c r="O220">
        <f t="shared" si="114"/>
        <v>0</v>
      </c>
      <c r="P220">
        <f t="shared" si="114"/>
        <v>0</v>
      </c>
      <c r="Q220">
        <f t="shared" si="114"/>
        <v>0</v>
      </c>
      <c r="R220">
        <f t="shared" si="114"/>
        <v>0</v>
      </c>
      <c r="S220">
        <f t="shared" si="114"/>
        <v>0</v>
      </c>
      <c r="T220">
        <f t="shared" si="114"/>
        <v>0</v>
      </c>
      <c r="U220">
        <f t="shared" si="114"/>
        <v>0</v>
      </c>
      <c r="V220">
        <f t="shared" si="114"/>
        <v>0</v>
      </c>
      <c r="W220">
        <f t="shared" si="114"/>
        <v>0</v>
      </c>
      <c r="X220">
        <f t="shared" si="114"/>
        <v>0</v>
      </c>
      <c r="Y220">
        <f t="shared" si="114"/>
        <v>0</v>
      </c>
      <c r="Z220">
        <f t="shared" si="114"/>
        <v>0</v>
      </c>
      <c r="AA220">
        <f t="shared" si="114"/>
        <v>1.5012302337669115E-2</v>
      </c>
      <c r="AB220">
        <f t="shared" si="114"/>
        <v>0</v>
      </c>
      <c r="AC220">
        <f t="shared" si="114"/>
        <v>0</v>
      </c>
      <c r="AD220">
        <f t="shared" si="114"/>
        <v>0</v>
      </c>
      <c r="AE220">
        <f t="shared" si="114"/>
        <v>0</v>
      </c>
      <c r="AF220">
        <f t="shared" si="114"/>
        <v>0</v>
      </c>
      <c r="AG220">
        <f t="shared" si="114"/>
        <v>0</v>
      </c>
      <c r="AH220">
        <f t="shared" si="114"/>
        <v>0</v>
      </c>
      <c r="AI220">
        <f t="shared" si="114"/>
        <v>0</v>
      </c>
      <c r="AJ220">
        <f t="shared" si="114"/>
        <v>0</v>
      </c>
      <c r="AK220">
        <f t="shared" si="114"/>
        <v>0</v>
      </c>
      <c r="AL220">
        <f t="shared" si="114"/>
        <v>0</v>
      </c>
      <c r="AM220">
        <f t="shared" si="114"/>
        <v>0</v>
      </c>
      <c r="AN220">
        <f t="shared" si="114"/>
        <v>0</v>
      </c>
      <c r="AO220">
        <f t="shared" si="114"/>
        <v>0</v>
      </c>
      <c r="AP220">
        <f t="shared" si="114"/>
        <v>0</v>
      </c>
      <c r="AQ220">
        <f t="shared" si="114"/>
        <v>0</v>
      </c>
      <c r="AR220">
        <f t="shared" si="114"/>
        <v>0</v>
      </c>
      <c r="AS220">
        <f t="shared" si="114"/>
        <v>0</v>
      </c>
    </row>
    <row r="221" spans="3:45" x14ac:dyDescent="0.25">
      <c r="C221" s="36" t="s">
        <v>94</v>
      </c>
      <c r="D221">
        <f t="shared" ref="D221:AS221" si="115">IF($C221=D$196,$BJ86,0)</f>
        <v>0</v>
      </c>
      <c r="E221">
        <f t="shared" si="115"/>
        <v>0</v>
      </c>
      <c r="F221">
        <f t="shared" si="115"/>
        <v>0</v>
      </c>
      <c r="G221">
        <f t="shared" si="115"/>
        <v>0</v>
      </c>
      <c r="H221">
        <f t="shared" si="115"/>
        <v>0</v>
      </c>
      <c r="I221">
        <f t="shared" si="115"/>
        <v>0</v>
      </c>
      <c r="J221">
        <f t="shared" si="115"/>
        <v>0</v>
      </c>
      <c r="K221">
        <f t="shared" si="115"/>
        <v>0</v>
      </c>
      <c r="L221">
        <f t="shared" si="115"/>
        <v>0</v>
      </c>
      <c r="M221">
        <f t="shared" si="115"/>
        <v>0</v>
      </c>
      <c r="N221">
        <f t="shared" si="115"/>
        <v>0</v>
      </c>
      <c r="O221">
        <f t="shared" si="115"/>
        <v>0</v>
      </c>
      <c r="P221">
        <f t="shared" si="115"/>
        <v>0</v>
      </c>
      <c r="Q221">
        <f t="shared" si="115"/>
        <v>0</v>
      </c>
      <c r="R221">
        <f t="shared" si="115"/>
        <v>0</v>
      </c>
      <c r="S221">
        <f t="shared" si="115"/>
        <v>0</v>
      </c>
      <c r="T221">
        <f t="shared" si="115"/>
        <v>0</v>
      </c>
      <c r="U221">
        <f t="shared" si="115"/>
        <v>0</v>
      </c>
      <c r="V221">
        <f t="shared" si="115"/>
        <v>0</v>
      </c>
      <c r="W221">
        <f t="shared" si="115"/>
        <v>0</v>
      </c>
      <c r="X221">
        <f t="shared" si="115"/>
        <v>0</v>
      </c>
      <c r="Y221">
        <f t="shared" si="115"/>
        <v>0</v>
      </c>
      <c r="Z221">
        <f t="shared" si="115"/>
        <v>0</v>
      </c>
      <c r="AA221">
        <f t="shared" si="115"/>
        <v>0</v>
      </c>
      <c r="AB221">
        <f t="shared" si="115"/>
        <v>1.7638396447153108E-4</v>
      </c>
      <c r="AC221">
        <f t="shared" si="115"/>
        <v>0</v>
      </c>
      <c r="AD221">
        <f t="shared" si="115"/>
        <v>0</v>
      </c>
      <c r="AE221">
        <f t="shared" si="115"/>
        <v>0</v>
      </c>
      <c r="AF221">
        <f t="shared" si="115"/>
        <v>0</v>
      </c>
      <c r="AG221">
        <f t="shared" si="115"/>
        <v>0</v>
      </c>
      <c r="AH221">
        <f t="shared" si="115"/>
        <v>0</v>
      </c>
      <c r="AI221">
        <f t="shared" si="115"/>
        <v>0</v>
      </c>
      <c r="AJ221">
        <f t="shared" si="115"/>
        <v>0</v>
      </c>
      <c r="AK221">
        <f t="shared" si="115"/>
        <v>0</v>
      </c>
      <c r="AL221">
        <f t="shared" si="115"/>
        <v>0</v>
      </c>
      <c r="AM221">
        <f t="shared" si="115"/>
        <v>0</v>
      </c>
      <c r="AN221">
        <f t="shared" si="115"/>
        <v>0</v>
      </c>
      <c r="AO221">
        <f t="shared" si="115"/>
        <v>0</v>
      </c>
      <c r="AP221">
        <f t="shared" si="115"/>
        <v>0</v>
      </c>
      <c r="AQ221">
        <f t="shared" si="115"/>
        <v>0</v>
      </c>
      <c r="AR221">
        <f t="shared" si="115"/>
        <v>0</v>
      </c>
      <c r="AS221">
        <f t="shared" si="115"/>
        <v>0</v>
      </c>
    </row>
    <row r="222" spans="3:45" x14ac:dyDescent="0.25">
      <c r="C222" s="36" t="s">
        <v>95</v>
      </c>
      <c r="D222">
        <f t="shared" ref="D222:AS222" si="116">IF($C222=D$196,$BJ87,0)</f>
        <v>0</v>
      </c>
      <c r="E222">
        <f t="shared" si="116"/>
        <v>0</v>
      </c>
      <c r="F222">
        <f t="shared" si="116"/>
        <v>0</v>
      </c>
      <c r="G222">
        <f t="shared" si="116"/>
        <v>0</v>
      </c>
      <c r="H222">
        <f t="shared" si="116"/>
        <v>0</v>
      </c>
      <c r="I222">
        <f t="shared" si="116"/>
        <v>0</v>
      </c>
      <c r="J222">
        <f t="shared" si="116"/>
        <v>0</v>
      </c>
      <c r="K222">
        <f t="shared" si="116"/>
        <v>0</v>
      </c>
      <c r="L222">
        <f t="shared" si="116"/>
        <v>0</v>
      </c>
      <c r="M222">
        <f t="shared" si="116"/>
        <v>0</v>
      </c>
      <c r="N222">
        <f t="shared" si="116"/>
        <v>0</v>
      </c>
      <c r="O222">
        <f t="shared" si="116"/>
        <v>0</v>
      </c>
      <c r="P222">
        <f t="shared" si="116"/>
        <v>0</v>
      </c>
      <c r="Q222">
        <f t="shared" si="116"/>
        <v>0</v>
      </c>
      <c r="R222">
        <f t="shared" si="116"/>
        <v>0</v>
      </c>
      <c r="S222">
        <f t="shared" si="116"/>
        <v>0</v>
      </c>
      <c r="T222">
        <f t="shared" si="116"/>
        <v>0</v>
      </c>
      <c r="U222">
        <f t="shared" si="116"/>
        <v>0</v>
      </c>
      <c r="V222">
        <f t="shared" si="116"/>
        <v>0</v>
      </c>
      <c r="W222">
        <f t="shared" si="116"/>
        <v>0</v>
      </c>
      <c r="X222">
        <f t="shared" si="116"/>
        <v>0</v>
      </c>
      <c r="Y222">
        <f t="shared" si="116"/>
        <v>0</v>
      </c>
      <c r="Z222">
        <f t="shared" si="116"/>
        <v>0</v>
      </c>
      <c r="AA222">
        <f t="shared" si="116"/>
        <v>0</v>
      </c>
      <c r="AB222">
        <f t="shared" si="116"/>
        <v>0</v>
      </c>
      <c r="AC222">
        <f t="shared" si="116"/>
        <v>0</v>
      </c>
      <c r="AD222">
        <f t="shared" si="116"/>
        <v>0</v>
      </c>
      <c r="AE222">
        <f t="shared" si="116"/>
        <v>0</v>
      </c>
      <c r="AF222">
        <f t="shared" si="116"/>
        <v>0</v>
      </c>
      <c r="AG222">
        <f t="shared" si="116"/>
        <v>0</v>
      </c>
      <c r="AH222">
        <f t="shared" si="116"/>
        <v>0</v>
      </c>
      <c r="AI222">
        <f t="shared" si="116"/>
        <v>0</v>
      </c>
      <c r="AJ222">
        <f t="shared" si="116"/>
        <v>0</v>
      </c>
      <c r="AK222">
        <f t="shared" si="116"/>
        <v>0</v>
      </c>
      <c r="AL222">
        <f t="shared" si="116"/>
        <v>0</v>
      </c>
      <c r="AM222">
        <f t="shared" si="116"/>
        <v>0</v>
      </c>
      <c r="AN222">
        <f t="shared" si="116"/>
        <v>0</v>
      </c>
      <c r="AO222">
        <f t="shared" si="116"/>
        <v>0</v>
      </c>
      <c r="AP222">
        <f t="shared" si="116"/>
        <v>0</v>
      </c>
      <c r="AQ222">
        <f t="shared" si="116"/>
        <v>0</v>
      </c>
      <c r="AR222">
        <f t="shared" si="116"/>
        <v>0</v>
      </c>
      <c r="AS222">
        <f t="shared" si="116"/>
        <v>0</v>
      </c>
    </row>
    <row r="223" spans="3:45" x14ac:dyDescent="0.25">
      <c r="C223" s="36" t="s">
        <v>96</v>
      </c>
      <c r="D223">
        <f t="shared" ref="D223:AS223" si="117">IF($C223=D$196,$BJ88,0)</f>
        <v>0</v>
      </c>
      <c r="E223">
        <f t="shared" si="117"/>
        <v>0</v>
      </c>
      <c r="F223">
        <f t="shared" si="117"/>
        <v>0</v>
      </c>
      <c r="G223">
        <f t="shared" si="117"/>
        <v>0</v>
      </c>
      <c r="H223">
        <f t="shared" si="117"/>
        <v>0</v>
      </c>
      <c r="I223">
        <f t="shared" si="117"/>
        <v>0</v>
      </c>
      <c r="J223">
        <f t="shared" si="117"/>
        <v>0</v>
      </c>
      <c r="K223">
        <f t="shared" si="117"/>
        <v>0</v>
      </c>
      <c r="L223">
        <f t="shared" si="117"/>
        <v>0</v>
      </c>
      <c r="M223">
        <f t="shared" si="117"/>
        <v>0</v>
      </c>
      <c r="N223">
        <f t="shared" si="117"/>
        <v>0</v>
      </c>
      <c r="O223">
        <f t="shared" si="117"/>
        <v>0</v>
      </c>
      <c r="P223">
        <f t="shared" si="117"/>
        <v>0</v>
      </c>
      <c r="Q223">
        <f t="shared" si="117"/>
        <v>0</v>
      </c>
      <c r="R223">
        <f t="shared" si="117"/>
        <v>0</v>
      </c>
      <c r="S223">
        <f t="shared" si="117"/>
        <v>0</v>
      </c>
      <c r="T223">
        <f t="shared" si="117"/>
        <v>0</v>
      </c>
      <c r="U223">
        <f t="shared" si="117"/>
        <v>0</v>
      </c>
      <c r="V223">
        <f t="shared" si="117"/>
        <v>0</v>
      </c>
      <c r="W223">
        <f t="shared" si="117"/>
        <v>0</v>
      </c>
      <c r="X223">
        <f t="shared" si="117"/>
        <v>0</v>
      </c>
      <c r="Y223">
        <f t="shared" si="117"/>
        <v>0</v>
      </c>
      <c r="Z223">
        <f t="shared" si="117"/>
        <v>0</v>
      </c>
      <c r="AA223">
        <f t="shared" si="117"/>
        <v>0</v>
      </c>
      <c r="AB223">
        <f t="shared" si="117"/>
        <v>0</v>
      </c>
      <c r="AC223">
        <f t="shared" si="117"/>
        <v>0</v>
      </c>
      <c r="AD223">
        <f t="shared" si="117"/>
        <v>0</v>
      </c>
      <c r="AE223">
        <f t="shared" si="117"/>
        <v>0</v>
      </c>
      <c r="AF223">
        <f t="shared" si="117"/>
        <v>0</v>
      </c>
      <c r="AG223">
        <f t="shared" si="117"/>
        <v>0</v>
      </c>
      <c r="AH223">
        <f t="shared" si="117"/>
        <v>0</v>
      </c>
      <c r="AI223">
        <f t="shared" si="117"/>
        <v>0</v>
      </c>
      <c r="AJ223">
        <f t="shared" si="117"/>
        <v>0</v>
      </c>
      <c r="AK223">
        <f t="shared" si="117"/>
        <v>0</v>
      </c>
      <c r="AL223">
        <f t="shared" si="117"/>
        <v>0</v>
      </c>
      <c r="AM223">
        <f t="shared" si="117"/>
        <v>0</v>
      </c>
      <c r="AN223">
        <f t="shared" si="117"/>
        <v>0</v>
      </c>
      <c r="AO223">
        <f t="shared" si="117"/>
        <v>0</v>
      </c>
      <c r="AP223">
        <f t="shared" si="117"/>
        <v>0</v>
      </c>
      <c r="AQ223">
        <f t="shared" si="117"/>
        <v>0</v>
      </c>
      <c r="AR223">
        <f t="shared" si="117"/>
        <v>0</v>
      </c>
      <c r="AS223">
        <f t="shared" si="117"/>
        <v>0</v>
      </c>
    </row>
    <row r="224" spans="3:45" x14ac:dyDescent="0.25">
      <c r="C224" s="36" t="s">
        <v>97</v>
      </c>
      <c r="D224">
        <f t="shared" ref="D224:AS224" si="118">IF($C224=D$196,$BJ89,0)</f>
        <v>0</v>
      </c>
      <c r="E224">
        <f t="shared" si="118"/>
        <v>0</v>
      </c>
      <c r="F224">
        <f t="shared" si="118"/>
        <v>0</v>
      </c>
      <c r="G224">
        <f t="shared" si="118"/>
        <v>0</v>
      </c>
      <c r="H224">
        <f t="shared" si="118"/>
        <v>0</v>
      </c>
      <c r="I224">
        <f t="shared" si="118"/>
        <v>0</v>
      </c>
      <c r="J224">
        <f t="shared" si="118"/>
        <v>0</v>
      </c>
      <c r="K224">
        <f t="shared" si="118"/>
        <v>0</v>
      </c>
      <c r="L224">
        <f t="shared" si="118"/>
        <v>0</v>
      </c>
      <c r="M224">
        <f t="shared" si="118"/>
        <v>0</v>
      </c>
      <c r="N224">
        <f t="shared" si="118"/>
        <v>0</v>
      </c>
      <c r="O224">
        <f t="shared" si="118"/>
        <v>0</v>
      </c>
      <c r="P224">
        <f t="shared" si="118"/>
        <v>0</v>
      </c>
      <c r="Q224">
        <f t="shared" si="118"/>
        <v>0</v>
      </c>
      <c r="R224">
        <f t="shared" si="118"/>
        <v>0</v>
      </c>
      <c r="S224">
        <f t="shared" si="118"/>
        <v>0</v>
      </c>
      <c r="T224">
        <f t="shared" si="118"/>
        <v>0</v>
      </c>
      <c r="U224">
        <f t="shared" si="118"/>
        <v>0</v>
      </c>
      <c r="V224">
        <f t="shared" si="118"/>
        <v>0</v>
      </c>
      <c r="W224">
        <f t="shared" si="118"/>
        <v>0</v>
      </c>
      <c r="X224">
        <f t="shared" si="118"/>
        <v>0</v>
      </c>
      <c r="Y224">
        <f t="shared" si="118"/>
        <v>0</v>
      </c>
      <c r="Z224">
        <f t="shared" si="118"/>
        <v>0</v>
      </c>
      <c r="AA224">
        <f t="shared" si="118"/>
        <v>0</v>
      </c>
      <c r="AB224">
        <f t="shared" si="118"/>
        <v>0</v>
      </c>
      <c r="AC224">
        <f t="shared" si="118"/>
        <v>0</v>
      </c>
      <c r="AD224">
        <f t="shared" si="118"/>
        <v>0</v>
      </c>
      <c r="AE224">
        <f t="shared" si="118"/>
        <v>1.9407490162019277E-3</v>
      </c>
      <c r="AF224">
        <f t="shared" si="118"/>
        <v>0</v>
      </c>
      <c r="AG224">
        <f t="shared" si="118"/>
        <v>0</v>
      </c>
      <c r="AH224">
        <f t="shared" si="118"/>
        <v>0</v>
      </c>
      <c r="AI224">
        <f t="shared" si="118"/>
        <v>0</v>
      </c>
      <c r="AJ224">
        <f t="shared" si="118"/>
        <v>0</v>
      </c>
      <c r="AK224">
        <f t="shared" si="118"/>
        <v>0</v>
      </c>
      <c r="AL224">
        <f t="shared" si="118"/>
        <v>0</v>
      </c>
      <c r="AM224">
        <f t="shared" si="118"/>
        <v>0</v>
      </c>
      <c r="AN224">
        <f t="shared" si="118"/>
        <v>0</v>
      </c>
      <c r="AO224">
        <f t="shared" si="118"/>
        <v>0</v>
      </c>
      <c r="AP224">
        <f t="shared" si="118"/>
        <v>0</v>
      </c>
      <c r="AQ224">
        <f t="shared" si="118"/>
        <v>0</v>
      </c>
      <c r="AR224">
        <f t="shared" si="118"/>
        <v>0</v>
      </c>
      <c r="AS224">
        <f t="shared" si="118"/>
        <v>0</v>
      </c>
    </row>
    <row r="225" spans="3:45" x14ac:dyDescent="0.25">
      <c r="C225" s="36" t="s">
        <v>98</v>
      </c>
      <c r="D225">
        <f t="shared" ref="D225:AS225" si="119">IF($C225=D$196,$BJ90,0)</f>
        <v>0</v>
      </c>
      <c r="E225">
        <f t="shared" si="119"/>
        <v>0</v>
      </c>
      <c r="F225">
        <f t="shared" si="119"/>
        <v>0</v>
      </c>
      <c r="G225">
        <f t="shared" si="119"/>
        <v>0</v>
      </c>
      <c r="H225">
        <f t="shared" si="119"/>
        <v>0</v>
      </c>
      <c r="I225">
        <f t="shared" si="119"/>
        <v>0</v>
      </c>
      <c r="J225">
        <f t="shared" si="119"/>
        <v>0</v>
      </c>
      <c r="K225">
        <f t="shared" si="119"/>
        <v>0</v>
      </c>
      <c r="L225">
        <f t="shared" si="119"/>
        <v>0</v>
      </c>
      <c r="M225">
        <f t="shared" si="119"/>
        <v>0</v>
      </c>
      <c r="N225">
        <f t="shared" si="119"/>
        <v>0</v>
      </c>
      <c r="O225">
        <f t="shared" si="119"/>
        <v>0</v>
      </c>
      <c r="P225">
        <f t="shared" si="119"/>
        <v>0</v>
      </c>
      <c r="Q225">
        <f t="shared" si="119"/>
        <v>0</v>
      </c>
      <c r="R225">
        <f t="shared" si="119"/>
        <v>0</v>
      </c>
      <c r="S225">
        <f t="shared" si="119"/>
        <v>0</v>
      </c>
      <c r="T225">
        <f t="shared" si="119"/>
        <v>0</v>
      </c>
      <c r="U225">
        <f t="shared" si="119"/>
        <v>0</v>
      </c>
      <c r="V225">
        <f t="shared" si="119"/>
        <v>0</v>
      </c>
      <c r="W225">
        <f t="shared" si="119"/>
        <v>0</v>
      </c>
      <c r="X225">
        <f t="shared" si="119"/>
        <v>0</v>
      </c>
      <c r="Y225">
        <f t="shared" si="119"/>
        <v>0</v>
      </c>
      <c r="Z225">
        <f t="shared" si="119"/>
        <v>0</v>
      </c>
      <c r="AA225">
        <f t="shared" si="119"/>
        <v>0</v>
      </c>
      <c r="AB225">
        <f t="shared" si="119"/>
        <v>0</v>
      </c>
      <c r="AC225">
        <f t="shared" si="119"/>
        <v>0</v>
      </c>
      <c r="AD225">
        <f t="shared" si="119"/>
        <v>0</v>
      </c>
      <c r="AE225">
        <f t="shared" si="119"/>
        <v>0</v>
      </c>
      <c r="AF225">
        <f t="shared" si="119"/>
        <v>0</v>
      </c>
      <c r="AG225">
        <f t="shared" si="119"/>
        <v>0</v>
      </c>
      <c r="AH225">
        <f t="shared" si="119"/>
        <v>0</v>
      </c>
      <c r="AI225">
        <f t="shared" si="119"/>
        <v>0</v>
      </c>
      <c r="AJ225">
        <f t="shared" si="119"/>
        <v>0</v>
      </c>
      <c r="AK225">
        <f t="shared" si="119"/>
        <v>0</v>
      </c>
      <c r="AL225">
        <f t="shared" si="119"/>
        <v>0</v>
      </c>
      <c r="AM225">
        <f t="shared" si="119"/>
        <v>0</v>
      </c>
      <c r="AN225">
        <f t="shared" si="119"/>
        <v>0</v>
      </c>
      <c r="AO225">
        <f t="shared" si="119"/>
        <v>0</v>
      </c>
      <c r="AP225">
        <f t="shared" si="119"/>
        <v>0</v>
      </c>
      <c r="AQ225">
        <f t="shared" si="119"/>
        <v>0</v>
      </c>
      <c r="AR225">
        <f t="shared" si="119"/>
        <v>0</v>
      </c>
      <c r="AS225">
        <f t="shared" si="119"/>
        <v>0</v>
      </c>
    </row>
    <row r="226" spans="3:45" x14ac:dyDescent="0.25">
      <c r="C226" s="36" t="s">
        <v>99</v>
      </c>
      <c r="D226">
        <f t="shared" ref="D226:AS226" si="120">IF($C226=D$196,$BJ91,0)</f>
        <v>0</v>
      </c>
      <c r="E226">
        <f t="shared" si="120"/>
        <v>0</v>
      </c>
      <c r="F226">
        <f t="shared" si="120"/>
        <v>0</v>
      </c>
      <c r="G226">
        <f t="shared" si="120"/>
        <v>0</v>
      </c>
      <c r="H226">
        <f t="shared" si="120"/>
        <v>0</v>
      </c>
      <c r="I226">
        <f t="shared" si="120"/>
        <v>0</v>
      </c>
      <c r="J226">
        <f t="shared" si="120"/>
        <v>0</v>
      </c>
      <c r="K226">
        <f t="shared" si="120"/>
        <v>0</v>
      </c>
      <c r="L226">
        <f t="shared" si="120"/>
        <v>0</v>
      </c>
      <c r="M226">
        <f t="shared" si="120"/>
        <v>0</v>
      </c>
      <c r="N226">
        <f t="shared" si="120"/>
        <v>0</v>
      </c>
      <c r="O226">
        <f t="shared" si="120"/>
        <v>0</v>
      </c>
      <c r="P226">
        <f t="shared" si="120"/>
        <v>0</v>
      </c>
      <c r="Q226">
        <f t="shared" si="120"/>
        <v>0</v>
      </c>
      <c r="R226">
        <f t="shared" si="120"/>
        <v>0</v>
      </c>
      <c r="S226">
        <f t="shared" si="120"/>
        <v>0</v>
      </c>
      <c r="T226">
        <f t="shared" si="120"/>
        <v>0</v>
      </c>
      <c r="U226">
        <f t="shared" si="120"/>
        <v>0</v>
      </c>
      <c r="V226">
        <f t="shared" si="120"/>
        <v>0</v>
      </c>
      <c r="W226">
        <f t="shared" si="120"/>
        <v>0</v>
      </c>
      <c r="X226">
        <f t="shared" si="120"/>
        <v>0</v>
      </c>
      <c r="Y226">
        <f t="shared" si="120"/>
        <v>0</v>
      </c>
      <c r="Z226">
        <f t="shared" si="120"/>
        <v>0</v>
      </c>
      <c r="AA226">
        <f t="shared" si="120"/>
        <v>0</v>
      </c>
      <c r="AB226">
        <f t="shared" si="120"/>
        <v>0</v>
      </c>
      <c r="AC226">
        <f t="shared" si="120"/>
        <v>0</v>
      </c>
      <c r="AD226">
        <f t="shared" si="120"/>
        <v>0</v>
      </c>
      <c r="AE226">
        <f t="shared" si="120"/>
        <v>0</v>
      </c>
      <c r="AF226">
        <f t="shared" si="120"/>
        <v>0</v>
      </c>
      <c r="AG226">
        <f t="shared" si="120"/>
        <v>3.4391112221406742E-2</v>
      </c>
      <c r="AH226">
        <f t="shared" si="120"/>
        <v>0</v>
      </c>
      <c r="AI226">
        <f t="shared" si="120"/>
        <v>0</v>
      </c>
      <c r="AJ226">
        <f t="shared" si="120"/>
        <v>0</v>
      </c>
      <c r="AK226">
        <f t="shared" si="120"/>
        <v>0</v>
      </c>
      <c r="AL226">
        <f t="shared" si="120"/>
        <v>0</v>
      </c>
      <c r="AM226">
        <f t="shared" si="120"/>
        <v>0</v>
      </c>
      <c r="AN226">
        <f t="shared" si="120"/>
        <v>0</v>
      </c>
      <c r="AO226">
        <f t="shared" si="120"/>
        <v>0</v>
      </c>
      <c r="AP226">
        <f t="shared" si="120"/>
        <v>0</v>
      </c>
      <c r="AQ226">
        <f t="shared" si="120"/>
        <v>0</v>
      </c>
      <c r="AR226">
        <f t="shared" si="120"/>
        <v>0</v>
      </c>
      <c r="AS226">
        <f t="shared" si="120"/>
        <v>0</v>
      </c>
    </row>
    <row r="227" spans="3:45" x14ac:dyDescent="0.25">
      <c r="C227" s="36" t="s">
        <v>100</v>
      </c>
      <c r="D227">
        <f t="shared" ref="D227:AS227" si="121">IF($C227=D$196,$BJ92,0)</f>
        <v>0</v>
      </c>
      <c r="E227">
        <f t="shared" si="121"/>
        <v>0</v>
      </c>
      <c r="F227">
        <f t="shared" si="121"/>
        <v>0</v>
      </c>
      <c r="G227">
        <f t="shared" si="121"/>
        <v>0</v>
      </c>
      <c r="H227">
        <f t="shared" si="121"/>
        <v>0</v>
      </c>
      <c r="I227">
        <f t="shared" si="121"/>
        <v>0</v>
      </c>
      <c r="J227">
        <f t="shared" si="121"/>
        <v>0</v>
      </c>
      <c r="K227">
        <f t="shared" si="121"/>
        <v>0</v>
      </c>
      <c r="L227">
        <f t="shared" si="121"/>
        <v>0</v>
      </c>
      <c r="M227">
        <f t="shared" si="121"/>
        <v>0</v>
      </c>
      <c r="N227">
        <f t="shared" si="121"/>
        <v>0</v>
      </c>
      <c r="O227">
        <f t="shared" si="121"/>
        <v>0</v>
      </c>
      <c r="P227">
        <f t="shared" si="121"/>
        <v>0</v>
      </c>
      <c r="Q227">
        <f t="shared" si="121"/>
        <v>0</v>
      </c>
      <c r="R227">
        <f t="shared" si="121"/>
        <v>0</v>
      </c>
      <c r="S227">
        <f t="shared" si="121"/>
        <v>0</v>
      </c>
      <c r="T227">
        <f t="shared" si="121"/>
        <v>0</v>
      </c>
      <c r="U227">
        <f t="shared" si="121"/>
        <v>0</v>
      </c>
      <c r="V227">
        <f t="shared" si="121"/>
        <v>0</v>
      </c>
      <c r="W227">
        <f t="shared" si="121"/>
        <v>0</v>
      </c>
      <c r="X227">
        <f t="shared" si="121"/>
        <v>0</v>
      </c>
      <c r="Y227">
        <f t="shared" si="121"/>
        <v>0</v>
      </c>
      <c r="Z227">
        <f t="shared" si="121"/>
        <v>0</v>
      </c>
      <c r="AA227">
        <f t="shared" si="121"/>
        <v>0</v>
      </c>
      <c r="AB227">
        <f t="shared" si="121"/>
        <v>0</v>
      </c>
      <c r="AC227">
        <f t="shared" si="121"/>
        <v>0</v>
      </c>
      <c r="AD227">
        <f t="shared" si="121"/>
        <v>0</v>
      </c>
      <c r="AE227">
        <f t="shared" si="121"/>
        <v>0</v>
      </c>
      <c r="AF227">
        <f t="shared" si="121"/>
        <v>0</v>
      </c>
      <c r="AG227">
        <f t="shared" si="121"/>
        <v>0</v>
      </c>
      <c r="AH227">
        <f t="shared" si="121"/>
        <v>6.0753347429507817E-2</v>
      </c>
      <c r="AI227">
        <f t="shared" si="121"/>
        <v>0</v>
      </c>
      <c r="AJ227">
        <f t="shared" si="121"/>
        <v>0</v>
      </c>
      <c r="AK227">
        <f t="shared" si="121"/>
        <v>0</v>
      </c>
      <c r="AL227">
        <f t="shared" si="121"/>
        <v>0</v>
      </c>
      <c r="AM227">
        <f t="shared" si="121"/>
        <v>0</v>
      </c>
      <c r="AN227">
        <f t="shared" si="121"/>
        <v>0</v>
      </c>
      <c r="AO227">
        <f t="shared" si="121"/>
        <v>0</v>
      </c>
      <c r="AP227">
        <f t="shared" si="121"/>
        <v>0</v>
      </c>
      <c r="AQ227">
        <f t="shared" si="121"/>
        <v>0</v>
      </c>
      <c r="AR227">
        <f t="shared" si="121"/>
        <v>0</v>
      </c>
      <c r="AS227">
        <f t="shared" si="121"/>
        <v>0</v>
      </c>
    </row>
    <row r="228" spans="3:45" x14ac:dyDescent="0.25">
      <c r="C228" s="36" t="s">
        <v>101</v>
      </c>
      <c r="D228">
        <f t="shared" ref="D228:AS228" si="122">IF($C228=D$196,$BJ93,0)</f>
        <v>0</v>
      </c>
      <c r="E228">
        <f t="shared" si="122"/>
        <v>0</v>
      </c>
      <c r="F228">
        <f t="shared" si="122"/>
        <v>0</v>
      </c>
      <c r="G228">
        <f t="shared" si="122"/>
        <v>0</v>
      </c>
      <c r="H228">
        <f t="shared" si="122"/>
        <v>0</v>
      </c>
      <c r="I228">
        <f t="shared" si="122"/>
        <v>0</v>
      </c>
      <c r="J228">
        <f t="shared" si="122"/>
        <v>0</v>
      </c>
      <c r="K228">
        <f t="shared" si="122"/>
        <v>0</v>
      </c>
      <c r="L228">
        <f t="shared" si="122"/>
        <v>0</v>
      </c>
      <c r="M228">
        <f t="shared" si="122"/>
        <v>0</v>
      </c>
      <c r="N228">
        <f t="shared" si="122"/>
        <v>0</v>
      </c>
      <c r="O228">
        <f t="shared" si="122"/>
        <v>0</v>
      </c>
      <c r="P228">
        <f t="shared" si="122"/>
        <v>0</v>
      </c>
      <c r="Q228">
        <f t="shared" si="122"/>
        <v>0</v>
      </c>
      <c r="R228">
        <f t="shared" si="122"/>
        <v>0</v>
      </c>
      <c r="S228">
        <f t="shared" si="122"/>
        <v>0</v>
      </c>
      <c r="T228">
        <f t="shared" si="122"/>
        <v>0</v>
      </c>
      <c r="U228">
        <f t="shared" si="122"/>
        <v>0</v>
      </c>
      <c r="V228">
        <f t="shared" si="122"/>
        <v>0</v>
      </c>
      <c r="W228">
        <f t="shared" si="122"/>
        <v>0</v>
      </c>
      <c r="X228">
        <f t="shared" si="122"/>
        <v>0</v>
      </c>
      <c r="Y228">
        <f t="shared" si="122"/>
        <v>0</v>
      </c>
      <c r="Z228">
        <f t="shared" si="122"/>
        <v>0</v>
      </c>
      <c r="AA228">
        <f t="shared" si="122"/>
        <v>0</v>
      </c>
      <c r="AB228">
        <f t="shared" si="122"/>
        <v>0</v>
      </c>
      <c r="AC228">
        <f t="shared" si="122"/>
        <v>0</v>
      </c>
      <c r="AD228">
        <f t="shared" si="122"/>
        <v>0</v>
      </c>
      <c r="AE228">
        <f t="shared" si="122"/>
        <v>0</v>
      </c>
      <c r="AF228">
        <f t="shared" si="122"/>
        <v>0</v>
      </c>
      <c r="AG228">
        <f t="shared" si="122"/>
        <v>0</v>
      </c>
      <c r="AH228">
        <f t="shared" si="122"/>
        <v>0</v>
      </c>
      <c r="AI228">
        <f t="shared" si="122"/>
        <v>2.8739351339654457E-2</v>
      </c>
      <c r="AJ228">
        <f t="shared" si="122"/>
        <v>0</v>
      </c>
      <c r="AK228">
        <f t="shared" si="122"/>
        <v>0</v>
      </c>
      <c r="AL228">
        <f t="shared" si="122"/>
        <v>0</v>
      </c>
      <c r="AM228">
        <f t="shared" si="122"/>
        <v>0</v>
      </c>
      <c r="AN228">
        <f t="shared" si="122"/>
        <v>0</v>
      </c>
      <c r="AO228">
        <f t="shared" si="122"/>
        <v>0</v>
      </c>
      <c r="AP228">
        <f t="shared" si="122"/>
        <v>0</v>
      </c>
      <c r="AQ228">
        <f t="shared" si="122"/>
        <v>0</v>
      </c>
      <c r="AR228">
        <f t="shared" si="122"/>
        <v>0</v>
      </c>
      <c r="AS228">
        <f t="shared" si="122"/>
        <v>0</v>
      </c>
    </row>
    <row r="229" spans="3:45" x14ac:dyDescent="0.25">
      <c r="C229" s="36" t="s">
        <v>104</v>
      </c>
      <c r="D229">
        <f t="shared" ref="D229:AS229" si="123">IF($C229=D$196,$BJ94,0)</f>
        <v>0</v>
      </c>
      <c r="E229">
        <f t="shared" si="123"/>
        <v>0</v>
      </c>
      <c r="F229">
        <f t="shared" si="123"/>
        <v>0</v>
      </c>
      <c r="G229">
        <f t="shared" si="123"/>
        <v>0</v>
      </c>
      <c r="H229">
        <f t="shared" si="123"/>
        <v>0</v>
      </c>
      <c r="I229">
        <f t="shared" si="123"/>
        <v>0</v>
      </c>
      <c r="J229">
        <f t="shared" si="123"/>
        <v>0</v>
      </c>
      <c r="K229">
        <f t="shared" si="123"/>
        <v>0</v>
      </c>
      <c r="L229">
        <f t="shared" si="123"/>
        <v>0</v>
      </c>
      <c r="M229">
        <f t="shared" si="123"/>
        <v>0</v>
      </c>
      <c r="N229">
        <f t="shared" si="123"/>
        <v>0</v>
      </c>
      <c r="O229">
        <f t="shared" si="123"/>
        <v>0</v>
      </c>
      <c r="P229">
        <f t="shared" si="123"/>
        <v>0</v>
      </c>
      <c r="Q229">
        <f t="shared" si="123"/>
        <v>0</v>
      </c>
      <c r="R229">
        <f t="shared" si="123"/>
        <v>0</v>
      </c>
      <c r="S229">
        <f t="shared" si="123"/>
        <v>0</v>
      </c>
      <c r="T229">
        <f t="shared" si="123"/>
        <v>0</v>
      </c>
      <c r="U229">
        <f t="shared" si="123"/>
        <v>0</v>
      </c>
      <c r="V229">
        <f t="shared" si="123"/>
        <v>0</v>
      </c>
      <c r="W229">
        <f t="shared" si="123"/>
        <v>0</v>
      </c>
      <c r="X229">
        <f t="shared" si="123"/>
        <v>0</v>
      </c>
      <c r="Y229">
        <f t="shared" si="123"/>
        <v>0</v>
      </c>
      <c r="Z229">
        <f t="shared" si="123"/>
        <v>0</v>
      </c>
      <c r="AA229">
        <f t="shared" si="123"/>
        <v>0</v>
      </c>
      <c r="AB229">
        <f t="shared" si="123"/>
        <v>0</v>
      </c>
      <c r="AC229">
        <f t="shared" si="123"/>
        <v>0</v>
      </c>
      <c r="AD229">
        <f t="shared" si="123"/>
        <v>0</v>
      </c>
      <c r="AE229">
        <f t="shared" si="123"/>
        <v>0</v>
      </c>
      <c r="AF229">
        <f t="shared" si="123"/>
        <v>0</v>
      </c>
      <c r="AG229">
        <f t="shared" si="123"/>
        <v>0</v>
      </c>
      <c r="AH229">
        <f t="shared" si="123"/>
        <v>0</v>
      </c>
      <c r="AI229">
        <f t="shared" si="123"/>
        <v>0</v>
      </c>
      <c r="AJ229">
        <f t="shared" si="123"/>
        <v>3.1955908591614977E-2</v>
      </c>
      <c r="AK229">
        <f t="shared" si="123"/>
        <v>0</v>
      </c>
      <c r="AL229">
        <f t="shared" si="123"/>
        <v>0</v>
      </c>
      <c r="AM229">
        <f t="shared" si="123"/>
        <v>0</v>
      </c>
      <c r="AN229">
        <f t="shared" si="123"/>
        <v>0</v>
      </c>
      <c r="AO229">
        <f t="shared" si="123"/>
        <v>0</v>
      </c>
      <c r="AP229">
        <f t="shared" si="123"/>
        <v>0</v>
      </c>
      <c r="AQ229">
        <f t="shared" si="123"/>
        <v>0</v>
      </c>
      <c r="AR229">
        <f t="shared" si="123"/>
        <v>0</v>
      </c>
      <c r="AS229">
        <f t="shared" si="123"/>
        <v>0</v>
      </c>
    </row>
    <row r="230" spans="3:45" x14ac:dyDescent="0.25">
      <c r="C230" s="36" t="s">
        <v>105</v>
      </c>
      <c r="D230">
        <f t="shared" ref="D230:AS230" si="124">IF($C230=D$196,$BJ95,0)</f>
        <v>0</v>
      </c>
      <c r="E230">
        <f t="shared" si="124"/>
        <v>0</v>
      </c>
      <c r="F230">
        <f t="shared" si="124"/>
        <v>0</v>
      </c>
      <c r="G230">
        <f t="shared" si="124"/>
        <v>0</v>
      </c>
      <c r="H230">
        <f t="shared" si="124"/>
        <v>0</v>
      </c>
      <c r="I230">
        <f t="shared" si="124"/>
        <v>0</v>
      </c>
      <c r="J230">
        <f t="shared" si="124"/>
        <v>0</v>
      </c>
      <c r="K230">
        <f t="shared" si="124"/>
        <v>0</v>
      </c>
      <c r="L230">
        <f t="shared" si="124"/>
        <v>0</v>
      </c>
      <c r="M230">
        <f t="shared" si="124"/>
        <v>0</v>
      </c>
      <c r="N230">
        <f t="shared" si="124"/>
        <v>0</v>
      </c>
      <c r="O230">
        <f t="shared" si="124"/>
        <v>0</v>
      </c>
      <c r="P230">
        <f t="shared" si="124"/>
        <v>0</v>
      </c>
      <c r="Q230">
        <f t="shared" si="124"/>
        <v>0</v>
      </c>
      <c r="R230">
        <f t="shared" si="124"/>
        <v>0</v>
      </c>
      <c r="S230">
        <f t="shared" si="124"/>
        <v>0</v>
      </c>
      <c r="T230">
        <f t="shared" si="124"/>
        <v>0</v>
      </c>
      <c r="U230">
        <f t="shared" si="124"/>
        <v>0</v>
      </c>
      <c r="V230">
        <f t="shared" si="124"/>
        <v>0</v>
      </c>
      <c r="W230">
        <f t="shared" si="124"/>
        <v>0</v>
      </c>
      <c r="X230">
        <f t="shared" si="124"/>
        <v>0</v>
      </c>
      <c r="Y230">
        <f t="shared" si="124"/>
        <v>0</v>
      </c>
      <c r="Z230">
        <f t="shared" si="124"/>
        <v>0</v>
      </c>
      <c r="AA230">
        <f t="shared" si="124"/>
        <v>0</v>
      </c>
      <c r="AB230">
        <f t="shared" si="124"/>
        <v>0</v>
      </c>
      <c r="AC230">
        <f t="shared" si="124"/>
        <v>0</v>
      </c>
      <c r="AD230">
        <f t="shared" si="124"/>
        <v>0</v>
      </c>
      <c r="AE230">
        <f t="shared" si="124"/>
        <v>0</v>
      </c>
      <c r="AF230">
        <f t="shared" si="124"/>
        <v>0</v>
      </c>
      <c r="AG230">
        <f t="shared" si="124"/>
        <v>0</v>
      </c>
      <c r="AH230">
        <f t="shared" si="124"/>
        <v>0</v>
      </c>
      <c r="AI230">
        <f t="shared" si="124"/>
        <v>0</v>
      </c>
      <c r="AJ230">
        <f t="shared" si="124"/>
        <v>0</v>
      </c>
      <c r="AK230">
        <f t="shared" si="124"/>
        <v>0.1111547407412271</v>
      </c>
      <c r="AL230">
        <f t="shared" si="124"/>
        <v>0</v>
      </c>
      <c r="AM230">
        <f t="shared" si="124"/>
        <v>0</v>
      </c>
      <c r="AN230">
        <f t="shared" si="124"/>
        <v>0</v>
      </c>
      <c r="AO230">
        <f t="shared" si="124"/>
        <v>0</v>
      </c>
      <c r="AP230">
        <f t="shared" si="124"/>
        <v>0</v>
      </c>
      <c r="AQ230">
        <f t="shared" si="124"/>
        <v>0</v>
      </c>
      <c r="AR230">
        <f t="shared" si="124"/>
        <v>0</v>
      </c>
      <c r="AS230">
        <f t="shared" si="124"/>
        <v>0</v>
      </c>
    </row>
    <row r="231" spans="3:45" x14ac:dyDescent="0.25">
      <c r="C231" s="36" t="s">
        <v>102</v>
      </c>
      <c r="D231">
        <f t="shared" ref="D231:AS231" si="125">IF($C231=D$196,$BJ96,0)</f>
        <v>0</v>
      </c>
      <c r="E231">
        <f t="shared" si="125"/>
        <v>0</v>
      </c>
      <c r="F231">
        <f t="shared" si="125"/>
        <v>0</v>
      </c>
      <c r="G231">
        <f t="shared" si="125"/>
        <v>0</v>
      </c>
      <c r="H231">
        <f t="shared" si="125"/>
        <v>0</v>
      </c>
      <c r="I231">
        <f t="shared" si="125"/>
        <v>0</v>
      </c>
      <c r="J231">
        <f t="shared" si="125"/>
        <v>0</v>
      </c>
      <c r="K231">
        <f t="shared" si="125"/>
        <v>0</v>
      </c>
      <c r="L231">
        <f t="shared" si="125"/>
        <v>0</v>
      </c>
      <c r="M231">
        <f t="shared" si="125"/>
        <v>0</v>
      </c>
      <c r="N231">
        <f t="shared" si="125"/>
        <v>0</v>
      </c>
      <c r="O231">
        <f t="shared" si="125"/>
        <v>0</v>
      </c>
      <c r="P231">
        <f t="shared" si="125"/>
        <v>0</v>
      </c>
      <c r="Q231">
        <f t="shared" si="125"/>
        <v>0</v>
      </c>
      <c r="R231">
        <f t="shared" si="125"/>
        <v>0</v>
      </c>
      <c r="S231">
        <f t="shared" si="125"/>
        <v>0</v>
      </c>
      <c r="T231">
        <f t="shared" si="125"/>
        <v>0</v>
      </c>
      <c r="U231">
        <f t="shared" si="125"/>
        <v>0</v>
      </c>
      <c r="V231">
        <f t="shared" si="125"/>
        <v>0</v>
      </c>
      <c r="W231">
        <f t="shared" si="125"/>
        <v>0</v>
      </c>
      <c r="X231">
        <f t="shared" si="125"/>
        <v>0</v>
      </c>
      <c r="Y231">
        <f t="shared" si="125"/>
        <v>0</v>
      </c>
      <c r="Z231">
        <f t="shared" si="125"/>
        <v>0</v>
      </c>
      <c r="AA231">
        <f t="shared" si="125"/>
        <v>0</v>
      </c>
      <c r="AB231">
        <f t="shared" si="125"/>
        <v>0</v>
      </c>
      <c r="AC231">
        <f t="shared" si="125"/>
        <v>0</v>
      </c>
      <c r="AD231">
        <f t="shared" si="125"/>
        <v>0</v>
      </c>
      <c r="AE231">
        <f t="shared" si="125"/>
        <v>0</v>
      </c>
      <c r="AF231">
        <f t="shared" si="125"/>
        <v>0</v>
      </c>
      <c r="AG231">
        <f t="shared" si="125"/>
        <v>0</v>
      </c>
      <c r="AH231">
        <f t="shared" si="125"/>
        <v>0</v>
      </c>
      <c r="AI231">
        <f t="shared" si="125"/>
        <v>0</v>
      </c>
      <c r="AJ231">
        <f t="shared" si="125"/>
        <v>0</v>
      </c>
      <c r="AK231">
        <f t="shared" si="125"/>
        <v>0</v>
      </c>
      <c r="AL231">
        <f t="shared" si="125"/>
        <v>8.5667424266481339E-3</v>
      </c>
      <c r="AM231">
        <f t="shared" si="125"/>
        <v>0</v>
      </c>
      <c r="AN231">
        <f t="shared" si="125"/>
        <v>0</v>
      </c>
      <c r="AO231">
        <f t="shared" si="125"/>
        <v>0</v>
      </c>
      <c r="AP231">
        <f t="shared" si="125"/>
        <v>0</v>
      </c>
      <c r="AQ231">
        <f t="shared" si="125"/>
        <v>0</v>
      </c>
      <c r="AR231">
        <f t="shared" si="125"/>
        <v>0</v>
      </c>
      <c r="AS231">
        <f t="shared" si="125"/>
        <v>0</v>
      </c>
    </row>
    <row r="232" spans="3:45" x14ac:dyDescent="0.25">
      <c r="C232" s="36" t="s">
        <v>103</v>
      </c>
      <c r="D232">
        <f t="shared" ref="D232:AS232" si="126">IF($C232=D$196,$BJ97,0)</f>
        <v>0</v>
      </c>
      <c r="E232">
        <f t="shared" si="126"/>
        <v>0</v>
      </c>
      <c r="F232">
        <f t="shared" si="126"/>
        <v>0</v>
      </c>
      <c r="G232">
        <f t="shared" si="126"/>
        <v>0</v>
      </c>
      <c r="H232">
        <f t="shared" si="126"/>
        <v>0</v>
      </c>
      <c r="I232">
        <f t="shared" si="126"/>
        <v>0</v>
      </c>
      <c r="J232">
        <f t="shared" si="126"/>
        <v>0</v>
      </c>
      <c r="K232">
        <f t="shared" si="126"/>
        <v>0</v>
      </c>
      <c r="L232">
        <f t="shared" si="126"/>
        <v>0</v>
      </c>
      <c r="M232">
        <f t="shared" si="126"/>
        <v>0</v>
      </c>
      <c r="N232">
        <f t="shared" si="126"/>
        <v>0</v>
      </c>
      <c r="O232">
        <f t="shared" si="126"/>
        <v>0</v>
      </c>
      <c r="P232">
        <f t="shared" si="126"/>
        <v>0</v>
      </c>
      <c r="Q232">
        <f t="shared" si="126"/>
        <v>0</v>
      </c>
      <c r="R232">
        <f t="shared" si="126"/>
        <v>0</v>
      </c>
      <c r="S232">
        <f t="shared" si="126"/>
        <v>0</v>
      </c>
      <c r="T232">
        <f t="shared" si="126"/>
        <v>0</v>
      </c>
      <c r="U232">
        <f t="shared" si="126"/>
        <v>0</v>
      </c>
      <c r="V232">
        <f t="shared" si="126"/>
        <v>0</v>
      </c>
      <c r="W232">
        <f t="shared" si="126"/>
        <v>0</v>
      </c>
      <c r="X232">
        <f t="shared" si="126"/>
        <v>0</v>
      </c>
      <c r="Y232">
        <f t="shared" si="126"/>
        <v>0</v>
      </c>
      <c r="Z232">
        <f t="shared" si="126"/>
        <v>0</v>
      </c>
      <c r="AA232">
        <f t="shared" si="126"/>
        <v>0</v>
      </c>
      <c r="AB232">
        <f t="shared" si="126"/>
        <v>0</v>
      </c>
      <c r="AC232">
        <f t="shared" si="126"/>
        <v>0</v>
      </c>
      <c r="AD232">
        <f t="shared" si="126"/>
        <v>0</v>
      </c>
      <c r="AE232">
        <f t="shared" si="126"/>
        <v>0</v>
      </c>
      <c r="AF232">
        <f t="shared" si="126"/>
        <v>0</v>
      </c>
      <c r="AG232">
        <f t="shared" si="126"/>
        <v>0</v>
      </c>
      <c r="AH232">
        <f t="shared" si="126"/>
        <v>0</v>
      </c>
      <c r="AI232">
        <f t="shared" si="126"/>
        <v>0</v>
      </c>
      <c r="AJ232">
        <f t="shared" si="126"/>
        <v>0</v>
      </c>
      <c r="AK232">
        <f t="shared" si="126"/>
        <v>0</v>
      </c>
      <c r="AL232">
        <f t="shared" si="126"/>
        <v>0</v>
      </c>
      <c r="AM232">
        <f t="shared" si="126"/>
        <v>0</v>
      </c>
      <c r="AN232">
        <f t="shared" si="126"/>
        <v>0</v>
      </c>
      <c r="AO232">
        <f t="shared" si="126"/>
        <v>0</v>
      </c>
      <c r="AP232">
        <f t="shared" si="126"/>
        <v>0</v>
      </c>
      <c r="AQ232">
        <f t="shared" si="126"/>
        <v>0</v>
      </c>
      <c r="AR232">
        <f t="shared" si="126"/>
        <v>0</v>
      </c>
      <c r="AS232">
        <f t="shared" si="126"/>
        <v>0</v>
      </c>
    </row>
    <row r="233" spans="3:45" x14ac:dyDescent="0.25">
      <c r="C233" s="36" t="s">
        <v>106</v>
      </c>
      <c r="D233">
        <f t="shared" ref="D233:AS233" si="127">IF($C233=D$196,$BJ98,0)</f>
        <v>0</v>
      </c>
      <c r="E233">
        <f t="shared" si="127"/>
        <v>0</v>
      </c>
      <c r="F233">
        <f t="shared" si="127"/>
        <v>0</v>
      </c>
      <c r="G233">
        <f t="shared" si="127"/>
        <v>0</v>
      </c>
      <c r="H233">
        <f t="shared" si="127"/>
        <v>0</v>
      </c>
      <c r="I233">
        <f t="shared" si="127"/>
        <v>0</v>
      </c>
      <c r="J233">
        <f t="shared" si="127"/>
        <v>0</v>
      </c>
      <c r="K233">
        <f t="shared" si="127"/>
        <v>0</v>
      </c>
      <c r="L233">
        <f t="shared" si="127"/>
        <v>0</v>
      </c>
      <c r="M233">
        <f t="shared" si="127"/>
        <v>0</v>
      </c>
      <c r="N233">
        <f t="shared" si="127"/>
        <v>0</v>
      </c>
      <c r="O233">
        <f t="shared" si="127"/>
        <v>0</v>
      </c>
      <c r="P233">
        <f t="shared" si="127"/>
        <v>0</v>
      </c>
      <c r="Q233">
        <f t="shared" si="127"/>
        <v>0</v>
      </c>
      <c r="R233">
        <f t="shared" si="127"/>
        <v>0</v>
      </c>
      <c r="S233">
        <f t="shared" si="127"/>
        <v>0</v>
      </c>
      <c r="T233">
        <f t="shared" si="127"/>
        <v>0</v>
      </c>
      <c r="U233">
        <f t="shared" si="127"/>
        <v>0</v>
      </c>
      <c r="V233">
        <f t="shared" si="127"/>
        <v>0</v>
      </c>
      <c r="W233">
        <f t="shared" si="127"/>
        <v>0</v>
      </c>
      <c r="X233">
        <f t="shared" si="127"/>
        <v>0</v>
      </c>
      <c r="Y233">
        <f t="shared" si="127"/>
        <v>0</v>
      </c>
      <c r="Z233">
        <f t="shared" si="127"/>
        <v>0</v>
      </c>
      <c r="AA233">
        <f t="shared" si="127"/>
        <v>0</v>
      </c>
      <c r="AB233">
        <f t="shared" si="127"/>
        <v>0</v>
      </c>
      <c r="AC233">
        <f t="shared" si="127"/>
        <v>0</v>
      </c>
      <c r="AD233">
        <f t="shared" si="127"/>
        <v>0</v>
      </c>
      <c r="AE233">
        <f t="shared" si="127"/>
        <v>0</v>
      </c>
      <c r="AF233">
        <f t="shared" si="127"/>
        <v>0</v>
      </c>
      <c r="AG233">
        <f t="shared" si="127"/>
        <v>0</v>
      </c>
      <c r="AH233">
        <f t="shared" si="127"/>
        <v>0</v>
      </c>
      <c r="AI233">
        <f t="shared" si="127"/>
        <v>0</v>
      </c>
      <c r="AJ233">
        <f t="shared" si="127"/>
        <v>0</v>
      </c>
      <c r="AK233">
        <f t="shared" si="127"/>
        <v>0</v>
      </c>
      <c r="AL233">
        <f t="shared" si="127"/>
        <v>0</v>
      </c>
      <c r="AM233">
        <f t="shared" si="127"/>
        <v>0</v>
      </c>
      <c r="AN233">
        <f t="shared" si="127"/>
        <v>1.051586006223595E-6</v>
      </c>
      <c r="AO233">
        <f t="shared" si="127"/>
        <v>0</v>
      </c>
      <c r="AP233">
        <f t="shared" si="127"/>
        <v>0</v>
      </c>
      <c r="AQ233">
        <f t="shared" si="127"/>
        <v>0</v>
      </c>
      <c r="AR233">
        <f t="shared" si="127"/>
        <v>0</v>
      </c>
      <c r="AS233">
        <f t="shared" si="127"/>
        <v>0</v>
      </c>
    </row>
    <row r="234" spans="3:45" x14ac:dyDescent="0.25">
      <c r="C234" s="36" t="s">
        <v>111</v>
      </c>
      <c r="D234">
        <f t="shared" ref="D234:AS234" si="128">IF($C234=D$196,$BJ99,0)</f>
        <v>0</v>
      </c>
      <c r="E234">
        <f t="shared" si="128"/>
        <v>0</v>
      </c>
      <c r="F234">
        <f t="shared" si="128"/>
        <v>0</v>
      </c>
      <c r="G234">
        <f t="shared" si="128"/>
        <v>0</v>
      </c>
      <c r="H234">
        <f t="shared" si="128"/>
        <v>0</v>
      </c>
      <c r="I234">
        <f t="shared" si="128"/>
        <v>0</v>
      </c>
      <c r="J234">
        <f t="shared" si="128"/>
        <v>0</v>
      </c>
      <c r="K234">
        <f t="shared" si="128"/>
        <v>0</v>
      </c>
      <c r="L234">
        <f t="shared" si="128"/>
        <v>0</v>
      </c>
      <c r="M234">
        <f t="shared" si="128"/>
        <v>0</v>
      </c>
      <c r="N234">
        <f t="shared" si="128"/>
        <v>0</v>
      </c>
      <c r="O234">
        <f t="shared" si="128"/>
        <v>0</v>
      </c>
      <c r="P234">
        <f t="shared" si="128"/>
        <v>0</v>
      </c>
      <c r="Q234">
        <f t="shared" si="128"/>
        <v>0</v>
      </c>
      <c r="R234">
        <f t="shared" si="128"/>
        <v>0</v>
      </c>
      <c r="S234">
        <f t="shared" si="128"/>
        <v>0</v>
      </c>
      <c r="T234">
        <f t="shared" si="128"/>
        <v>0</v>
      </c>
      <c r="U234">
        <f t="shared" si="128"/>
        <v>0</v>
      </c>
      <c r="V234">
        <f t="shared" si="128"/>
        <v>0</v>
      </c>
      <c r="W234">
        <f t="shared" si="128"/>
        <v>0</v>
      </c>
      <c r="X234">
        <f t="shared" si="128"/>
        <v>0</v>
      </c>
      <c r="Y234">
        <f t="shared" si="128"/>
        <v>0</v>
      </c>
      <c r="Z234">
        <f t="shared" si="128"/>
        <v>0</v>
      </c>
      <c r="AA234">
        <f t="shared" si="128"/>
        <v>0</v>
      </c>
      <c r="AB234">
        <f t="shared" si="128"/>
        <v>0</v>
      </c>
      <c r="AC234">
        <f t="shared" si="128"/>
        <v>0</v>
      </c>
      <c r="AD234">
        <f t="shared" si="128"/>
        <v>0</v>
      </c>
      <c r="AE234">
        <f t="shared" si="128"/>
        <v>0</v>
      </c>
      <c r="AF234">
        <f t="shared" si="128"/>
        <v>0</v>
      </c>
      <c r="AG234">
        <f t="shared" si="128"/>
        <v>0</v>
      </c>
      <c r="AH234">
        <f t="shared" si="128"/>
        <v>0</v>
      </c>
      <c r="AI234">
        <f t="shared" si="128"/>
        <v>0</v>
      </c>
      <c r="AJ234">
        <f t="shared" si="128"/>
        <v>0</v>
      </c>
      <c r="AK234">
        <f t="shared" si="128"/>
        <v>0</v>
      </c>
      <c r="AL234">
        <f t="shared" si="128"/>
        <v>0</v>
      </c>
      <c r="AM234">
        <f t="shared" si="128"/>
        <v>0</v>
      </c>
      <c r="AN234">
        <f t="shared" si="128"/>
        <v>0</v>
      </c>
      <c r="AO234">
        <f t="shared" si="128"/>
        <v>5.6490452243791543E-3</v>
      </c>
      <c r="AP234">
        <f t="shared" si="128"/>
        <v>0</v>
      </c>
      <c r="AQ234">
        <f t="shared" si="128"/>
        <v>0</v>
      </c>
      <c r="AR234">
        <f t="shared" si="128"/>
        <v>0</v>
      </c>
      <c r="AS234">
        <f t="shared" si="128"/>
        <v>0</v>
      </c>
    </row>
    <row r="235" spans="3:45" x14ac:dyDescent="0.25">
      <c r="C235" s="36" t="s">
        <v>108</v>
      </c>
      <c r="D235">
        <f t="shared" ref="D235:AS235" si="129">IF($C235=D$196,$BJ100,0)</f>
        <v>0</v>
      </c>
      <c r="E235">
        <f t="shared" si="129"/>
        <v>0</v>
      </c>
      <c r="F235">
        <f t="shared" si="129"/>
        <v>0</v>
      </c>
      <c r="G235">
        <f t="shared" si="129"/>
        <v>0</v>
      </c>
      <c r="H235">
        <f t="shared" si="129"/>
        <v>0</v>
      </c>
      <c r="I235">
        <f t="shared" si="129"/>
        <v>0</v>
      </c>
      <c r="J235">
        <f t="shared" si="129"/>
        <v>0</v>
      </c>
      <c r="K235">
        <f t="shared" si="129"/>
        <v>0</v>
      </c>
      <c r="L235">
        <f t="shared" si="129"/>
        <v>0</v>
      </c>
      <c r="M235">
        <f t="shared" si="129"/>
        <v>0</v>
      </c>
      <c r="N235">
        <f t="shared" si="129"/>
        <v>0</v>
      </c>
      <c r="O235">
        <f t="shared" si="129"/>
        <v>0</v>
      </c>
      <c r="P235">
        <f t="shared" si="129"/>
        <v>0</v>
      </c>
      <c r="Q235">
        <f t="shared" si="129"/>
        <v>0</v>
      </c>
      <c r="R235">
        <f t="shared" si="129"/>
        <v>0</v>
      </c>
      <c r="S235">
        <f t="shared" si="129"/>
        <v>0</v>
      </c>
      <c r="T235">
        <f t="shared" si="129"/>
        <v>0</v>
      </c>
      <c r="U235">
        <f t="shared" si="129"/>
        <v>0</v>
      </c>
      <c r="V235">
        <f t="shared" si="129"/>
        <v>0</v>
      </c>
      <c r="W235">
        <f t="shared" si="129"/>
        <v>0</v>
      </c>
      <c r="X235">
        <f t="shared" si="129"/>
        <v>0</v>
      </c>
      <c r="Y235">
        <f t="shared" si="129"/>
        <v>0</v>
      </c>
      <c r="Z235">
        <f t="shared" si="129"/>
        <v>0</v>
      </c>
      <c r="AA235">
        <f t="shared" si="129"/>
        <v>0</v>
      </c>
      <c r="AB235">
        <f t="shared" si="129"/>
        <v>0</v>
      </c>
      <c r="AC235">
        <f t="shared" si="129"/>
        <v>0</v>
      </c>
      <c r="AD235">
        <f t="shared" si="129"/>
        <v>0</v>
      </c>
      <c r="AE235">
        <f t="shared" si="129"/>
        <v>0</v>
      </c>
      <c r="AF235">
        <f t="shared" si="129"/>
        <v>0</v>
      </c>
      <c r="AG235">
        <f t="shared" si="129"/>
        <v>0</v>
      </c>
      <c r="AH235">
        <f t="shared" si="129"/>
        <v>0</v>
      </c>
      <c r="AI235">
        <f t="shared" si="129"/>
        <v>0</v>
      </c>
      <c r="AJ235">
        <f t="shared" si="129"/>
        <v>0</v>
      </c>
      <c r="AK235">
        <f t="shared" si="129"/>
        <v>0</v>
      </c>
      <c r="AL235">
        <f t="shared" si="129"/>
        <v>0</v>
      </c>
      <c r="AM235">
        <f t="shared" si="129"/>
        <v>0</v>
      </c>
      <c r="AN235">
        <f t="shared" si="129"/>
        <v>0</v>
      </c>
      <c r="AO235">
        <f t="shared" si="129"/>
        <v>0</v>
      </c>
      <c r="AP235">
        <f t="shared" si="129"/>
        <v>0</v>
      </c>
      <c r="AQ235">
        <f t="shared" si="129"/>
        <v>0</v>
      </c>
      <c r="AR235">
        <f t="shared" si="129"/>
        <v>0</v>
      </c>
      <c r="AS235">
        <f t="shared" si="129"/>
        <v>0</v>
      </c>
    </row>
    <row r="236" spans="3:45" x14ac:dyDescent="0.25">
      <c r="C236" s="36" t="s">
        <v>109</v>
      </c>
      <c r="D236">
        <f t="shared" ref="D236:AS236" si="130">IF($C236=D$196,$BJ101,0)</f>
        <v>0</v>
      </c>
      <c r="E236">
        <f t="shared" si="130"/>
        <v>0</v>
      </c>
      <c r="F236">
        <f t="shared" si="130"/>
        <v>0</v>
      </c>
      <c r="G236">
        <f t="shared" si="130"/>
        <v>0</v>
      </c>
      <c r="H236">
        <f t="shared" si="130"/>
        <v>0</v>
      </c>
      <c r="I236">
        <f t="shared" si="130"/>
        <v>0</v>
      </c>
      <c r="J236">
        <f t="shared" si="130"/>
        <v>0</v>
      </c>
      <c r="K236">
        <f t="shared" si="130"/>
        <v>0</v>
      </c>
      <c r="L236">
        <f t="shared" si="130"/>
        <v>0</v>
      </c>
      <c r="M236">
        <f t="shared" si="130"/>
        <v>0</v>
      </c>
      <c r="N236">
        <f t="shared" si="130"/>
        <v>0</v>
      </c>
      <c r="O236">
        <f t="shared" si="130"/>
        <v>0</v>
      </c>
      <c r="P236">
        <f t="shared" si="130"/>
        <v>0</v>
      </c>
      <c r="Q236">
        <f t="shared" si="130"/>
        <v>0</v>
      </c>
      <c r="R236">
        <f t="shared" si="130"/>
        <v>0</v>
      </c>
      <c r="S236">
        <f t="shared" si="130"/>
        <v>0</v>
      </c>
      <c r="T236">
        <f t="shared" si="130"/>
        <v>0</v>
      </c>
      <c r="U236">
        <f t="shared" si="130"/>
        <v>0</v>
      </c>
      <c r="V236">
        <f t="shared" si="130"/>
        <v>0</v>
      </c>
      <c r="W236">
        <f t="shared" si="130"/>
        <v>0</v>
      </c>
      <c r="X236">
        <f t="shared" si="130"/>
        <v>0</v>
      </c>
      <c r="Y236">
        <f t="shared" si="130"/>
        <v>0</v>
      </c>
      <c r="Z236">
        <f t="shared" si="130"/>
        <v>0</v>
      </c>
      <c r="AA236">
        <f t="shared" si="130"/>
        <v>0</v>
      </c>
      <c r="AB236">
        <f t="shared" si="130"/>
        <v>0</v>
      </c>
      <c r="AC236">
        <f t="shared" si="130"/>
        <v>0</v>
      </c>
      <c r="AD236">
        <f t="shared" si="130"/>
        <v>0</v>
      </c>
      <c r="AE236">
        <f t="shared" si="130"/>
        <v>0</v>
      </c>
      <c r="AF236">
        <f t="shared" si="130"/>
        <v>0</v>
      </c>
      <c r="AG236">
        <f t="shared" si="130"/>
        <v>0</v>
      </c>
      <c r="AH236">
        <f t="shared" si="130"/>
        <v>0</v>
      </c>
      <c r="AI236">
        <f t="shared" si="130"/>
        <v>0</v>
      </c>
      <c r="AJ236">
        <f t="shared" si="130"/>
        <v>0</v>
      </c>
      <c r="AK236">
        <f t="shared" si="130"/>
        <v>0</v>
      </c>
      <c r="AL236">
        <f t="shared" si="130"/>
        <v>0</v>
      </c>
      <c r="AM236">
        <f t="shared" si="130"/>
        <v>0</v>
      </c>
      <c r="AN236">
        <f t="shared" si="130"/>
        <v>0</v>
      </c>
      <c r="AO236">
        <f t="shared" si="130"/>
        <v>0</v>
      </c>
      <c r="AP236">
        <f t="shared" si="130"/>
        <v>0</v>
      </c>
      <c r="AQ236">
        <f t="shared" si="130"/>
        <v>2.3847959766793042E-3</v>
      </c>
      <c r="AR236">
        <f t="shared" si="130"/>
        <v>0</v>
      </c>
      <c r="AS236">
        <f t="shared" si="130"/>
        <v>0</v>
      </c>
    </row>
    <row r="237" spans="3:45" x14ac:dyDescent="0.25">
      <c r="C237" s="36" t="s">
        <v>110</v>
      </c>
      <c r="D237">
        <f t="shared" ref="D237:AS237" si="131">IF($C237=D$196,$BJ102,0)</f>
        <v>0</v>
      </c>
      <c r="E237">
        <f t="shared" si="131"/>
        <v>0</v>
      </c>
      <c r="F237">
        <f t="shared" si="131"/>
        <v>0</v>
      </c>
      <c r="G237">
        <f t="shared" si="131"/>
        <v>0</v>
      </c>
      <c r="H237">
        <f t="shared" si="131"/>
        <v>0</v>
      </c>
      <c r="I237">
        <f t="shared" si="131"/>
        <v>0</v>
      </c>
      <c r="J237">
        <f t="shared" si="131"/>
        <v>0</v>
      </c>
      <c r="K237">
        <f t="shared" si="131"/>
        <v>0</v>
      </c>
      <c r="L237">
        <f t="shared" si="131"/>
        <v>0</v>
      </c>
      <c r="M237">
        <f t="shared" si="131"/>
        <v>0</v>
      </c>
      <c r="N237">
        <f t="shared" si="131"/>
        <v>0</v>
      </c>
      <c r="O237">
        <f t="shared" si="131"/>
        <v>0</v>
      </c>
      <c r="P237">
        <f t="shared" si="131"/>
        <v>0</v>
      </c>
      <c r="Q237">
        <f t="shared" si="131"/>
        <v>0</v>
      </c>
      <c r="R237">
        <f t="shared" si="131"/>
        <v>0</v>
      </c>
      <c r="S237">
        <f t="shared" si="131"/>
        <v>0</v>
      </c>
      <c r="T237">
        <f t="shared" si="131"/>
        <v>0</v>
      </c>
      <c r="U237">
        <f t="shared" si="131"/>
        <v>0</v>
      </c>
      <c r="V237">
        <f t="shared" si="131"/>
        <v>0</v>
      </c>
      <c r="W237">
        <f t="shared" si="131"/>
        <v>0</v>
      </c>
      <c r="X237">
        <f t="shared" si="131"/>
        <v>0</v>
      </c>
      <c r="Y237">
        <f t="shared" si="131"/>
        <v>0</v>
      </c>
      <c r="Z237">
        <f t="shared" si="131"/>
        <v>0</v>
      </c>
      <c r="AA237">
        <f t="shared" si="131"/>
        <v>0</v>
      </c>
      <c r="AB237">
        <f t="shared" si="131"/>
        <v>0</v>
      </c>
      <c r="AC237">
        <f t="shared" si="131"/>
        <v>0</v>
      </c>
      <c r="AD237">
        <f t="shared" si="131"/>
        <v>0</v>
      </c>
      <c r="AE237">
        <f t="shared" si="131"/>
        <v>0</v>
      </c>
      <c r="AF237">
        <f t="shared" si="131"/>
        <v>0</v>
      </c>
      <c r="AG237">
        <f t="shared" si="131"/>
        <v>0</v>
      </c>
      <c r="AH237">
        <f t="shared" si="131"/>
        <v>0</v>
      </c>
      <c r="AI237">
        <f t="shared" si="131"/>
        <v>0</v>
      </c>
      <c r="AJ237">
        <f t="shared" si="131"/>
        <v>0</v>
      </c>
      <c r="AK237">
        <f t="shared" si="131"/>
        <v>0</v>
      </c>
      <c r="AL237">
        <f t="shared" si="131"/>
        <v>0</v>
      </c>
      <c r="AM237">
        <f t="shared" si="131"/>
        <v>0</v>
      </c>
      <c r="AN237">
        <f t="shared" si="131"/>
        <v>0</v>
      </c>
      <c r="AO237">
        <f t="shared" si="131"/>
        <v>0</v>
      </c>
      <c r="AP237">
        <f t="shared" si="131"/>
        <v>0</v>
      </c>
      <c r="AQ237">
        <f t="shared" si="131"/>
        <v>0</v>
      </c>
      <c r="AR237">
        <f t="shared" si="131"/>
        <v>6.8437471591401053E-2</v>
      </c>
      <c r="AS237">
        <f t="shared" si="131"/>
        <v>0</v>
      </c>
    </row>
    <row r="238" spans="3:45" x14ac:dyDescent="0.25">
      <c r="C238" s="36" t="s">
        <v>107</v>
      </c>
      <c r="D238">
        <f t="shared" ref="D238:AS238" si="132">IF($C238=D$196,$BJ103,0)</f>
        <v>0</v>
      </c>
      <c r="E238">
        <f t="shared" si="132"/>
        <v>0</v>
      </c>
      <c r="F238">
        <f t="shared" si="132"/>
        <v>0</v>
      </c>
      <c r="G238">
        <f t="shared" si="132"/>
        <v>0</v>
      </c>
      <c r="H238">
        <f t="shared" si="132"/>
        <v>0</v>
      </c>
      <c r="I238">
        <f t="shared" si="132"/>
        <v>0</v>
      </c>
      <c r="J238">
        <f t="shared" si="132"/>
        <v>0</v>
      </c>
      <c r="K238">
        <f t="shared" si="132"/>
        <v>0</v>
      </c>
      <c r="L238">
        <f t="shared" si="132"/>
        <v>0</v>
      </c>
      <c r="M238">
        <f t="shared" si="132"/>
        <v>0</v>
      </c>
      <c r="N238">
        <f t="shared" si="132"/>
        <v>0</v>
      </c>
      <c r="O238">
        <f t="shared" si="132"/>
        <v>0</v>
      </c>
      <c r="P238">
        <f t="shared" si="132"/>
        <v>0</v>
      </c>
      <c r="Q238">
        <f t="shared" si="132"/>
        <v>0</v>
      </c>
      <c r="R238">
        <f t="shared" si="132"/>
        <v>0</v>
      </c>
      <c r="S238">
        <f t="shared" si="132"/>
        <v>0</v>
      </c>
      <c r="T238">
        <f t="shared" si="132"/>
        <v>0</v>
      </c>
      <c r="U238">
        <f t="shared" si="132"/>
        <v>0</v>
      </c>
      <c r="V238">
        <f t="shared" si="132"/>
        <v>0</v>
      </c>
      <c r="W238">
        <f t="shared" si="132"/>
        <v>0</v>
      </c>
      <c r="X238">
        <f t="shared" si="132"/>
        <v>0</v>
      </c>
      <c r="Y238">
        <f t="shared" si="132"/>
        <v>0</v>
      </c>
      <c r="Z238">
        <f t="shared" si="132"/>
        <v>0</v>
      </c>
      <c r="AA238">
        <f t="shared" si="132"/>
        <v>0</v>
      </c>
      <c r="AB238">
        <f t="shared" si="132"/>
        <v>0</v>
      </c>
      <c r="AC238">
        <f t="shared" si="132"/>
        <v>0</v>
      </c>
      <c r="AD238">
        <f t="shared" si="132"/>
        <v>0</v>
      </c>
      <c r="AE238">
        <f t="shared" si="132"/>
        <v>0</v>
      </c>
      <c r="AF238">
        <f t="shared" si="132"/>
        <v>0</v>
      </c>
      <c r="AG238">
        <f t="shared" si="132"/>
        <v>0</v>
      </c>
      <c r="AH238">
        <f t="shared" si="132"/>
        <v>0</v>
      </c>
      <c r="AI238">
        <f t="shared" si="132"/>
        <v>0</v>
      </c>
      <c r="AJ238">
        <f t="shared" si="132"/>
        <v>0</v>
      </c>
      <c r="AK238">
        <f t="shared" si="132"/>
        <v>0</v>
      </c>
      <c r="AL238">
        <f t="shared" si="132"/>
        <v>0</v>
      </c>
      <c r="AM238">
        <f t="shared" si="132"/>
        <v>0</v>
      </c>
      <c r="AN238">
        <f t="shared" si="132"/>
        <v>0</v>
      </c>
      <c r="AO238">
        <f t="shared" si="132"/>
        <v>0</v>
      </c>
      <c r="AP238">
        <f t="shared" si="132"/>
        <v>0</v>
      </c>
      <c r="AQ238">
        <f t="shared" si="132"/>
        <v>0</v>
      </c>
      <c r="AR238">
        <f t="shared" si="132"/>
        <v>0</v>
      </c>
      <c r="AS238">
        <f t="shared" si="132"/>
        <v>3.7685427435237341E-3</v>
      </c>
    </row>
    <row r="241" spans="2:45" x14ac:dyDescent="0.25">
      <c r="B241" s="76" t="s">
        <v>148</v>
      </c>
      <c r="C241" s="34" t="s">
        <v>144</v>
      </c>
      <c r="D241" s="35" t="s">
        <v>70</v>
      </c>
      <c r="E241" s="35" t="s">
        <v>71</v>
      </c>
      <c r="F241" s="35" t="s">
        <v>72</v>
      </c>
      <c r="G241" s="35" t="s">
        <v>73</v>
      </c>
      <c r="H241" s="35" t="s">
        <v>74</v>
      </c>
      <c r="I241" s="35" t="s">
        <v>75</v>
      </c>
      <c r="J241" s="35" t="s">
        <v>76</v>
      </c>
      <c r="K241" s="35" t="s">
        <v>77</v>
      </c>
      <c r="L241" s="35" t="s">
        <v>78</v>
      </c>
      <c r="M241" s="35" t="s">
        <v>79</v>
      </c>
      <c r="N241" s="35" t="s">
        <v>80</v>
      </c>
      <c r="O241" s="35" t="s">
        <v>81</v>
      </c>
      <c r="P241" s="35" t="s">
        <v>82</v>
      </c>
      <c r="Q241" s="35" t="s">
        <v>88</v>
      </c>
      <c r="R241" s="35" t="s">
        <v>83</v>
      </c>
      <c r="S241" s="35" t="s">
        <v>84</v>
      </c>
      <c r="T241" s="35" t="s">
        <v>85</v>
      </c>
      <c r="U241" s="35" t="s">
        <v>86</v>
      </c>
      <c r="V241" s="35" t="s">
        <v>92</v>
      </c>
      <c r="W241" s="35" t="s">
        <v>149</v>
      </c>
      <c r="X241" s="35" t="s">
        <v>87</v>
      </c>
      <c r="Y241" s="35" t="s">
        <v>89</v>
      </c>
      <c r="Z241" s="35" t="s">
        <v>90</v>
      </c>
      <c r="AA241" s="35" t="s">
        <v>93</v>
      </c>
      <c r="AB241" s="35" t="s">
        <v>94</v>
      </c>
      <c r="AC241" s="35" t="s">
        <v>95</v>
      </c>
      <c r="AD241" s="35" t="s">
        <v>96</v>
      </c>
      <c r="AE241" s="35" t="s">
        <v>97</v>
      </c>
      <c r="AF241" s="35" t="s">
        <v>98</v>
      </c>
      <c r="AG241" s="35" t="s">
        <v>99</v>
      </c>
      <c r="AH241" s="35" t="s">
        <v>100</v>
      </c>
      <c r="AI241" s="35" t="s">
        <v>101</v>
      </c>
      <c r="AJ241" s="35" t="s">
        <v>104</v>
      </c>
      <c r="AK241" s="35" t="s">
        <v>105</v>
      </c>
      <c r="AL241" s="35" t="s">
        <v>102</v>
      </c>
      <c r="AM241" s="35" t="s">
        <v>103</v>
      </c>
      <c r="AN241" s="35" t="s">
        <v>106</v>
      </c>
      <c r="AO241" s="35" t="s">
        <v>111</v>
      </c>
      <c r="AP241" s="35" t="s">
        <v>108</v>
      </c>
      <c r="AQ241" s="35" t="s">
        <v>109</v>
      </c>
      <c r="AR241" s="35" t="s">
        <v>110</v>
      </c>
      <c r="AS241" s="35" t="s">
        <v>107</v>
      </c>
    </row>
    <row r="242" spans="2:45" x14ac:dyDescent="0.25">
      <c r="C242" s="36" t="s">
        <v>70</v>
      </c>
      <c r="D242" cm="1">
        <f t="array" ref="D242:AS283">MMULT((_xlfn.ANCHORARRAY(D153)-D197:AS238),D108:AS149)</f>
        <v>0.13110629293241255</v>
      </c>
      <c r="E242">
        <v>8.2527471688720766E-4</v>
      </c>
      <c r="F242">
        <v>1.9751797639115163E-5</v>
      </c>
      <c r="G242">
        <v>1.495845361362683E-4</v>
      </c>
      <c r="H242">
        <v>5.5848599932480448E-6</v>
      </c>
      <c r="I242">
        <v>0.35623367425013619</v>
      </c>
      <c r="J242">
        <v>0.10322496954324707</v>
      </c>
      <c r="K242">
        <v>0.11484794555397605</v>
      </c>
      <c r="L242">
        <v>7.3838675532869338E-2</v>
      </c>
      <c r="M242">
        <v>3.6809159971506595E-5</v>
      </c>
      <c r="N242">
        <v>1.2836807642085585E-2</v>
      </c>
      <c r="O242">
        <v>0.14241084476365504</v>
      </c>
      <c r="P242">
        <v>2.0443313584152592E-2</v>
      </c>
      <c r="Q242">
        <v>1.9576503806795204E-4</v>
      </c>
      <c r="R242">
        <v>2.8466994107383944E-4</v>
      </c>
      <c r="S242">
        <v>2.8770716336827909E-5</v>
      </c>
      <c r="T242">
        <v>2.906959031065E-5</v>
      </c>
      <c r="U242">
        <v>1.7858753649778862E-4</v>
      </c>
      <c r="V242">
        <v>1.7451092156204333E-6</v>
      </c>
      <c r="W242">
        <v>9.3022513229170268E-5</v>
      </c>
      <c r="X242">
        <v>4.9038842019787398E-5</v>
      </c>
      <c r="Y242">
        <v>3.593641898752482E-5</v>
      </c>
      <c r="Z242">
        <v>7.6786284266442287E-5</v>
      </c>
      <c r="AA242">
        <v>2.003923171757464E-2</v>
      </c>
      <c r="AB242">
        <v>1.3863674109368195E-4</v>
      </c>
      <c r="AC242">
        <v>1.537632364704957E-5</v>
      </c>
      <c r="AD242">
        <v>0</v>
      </c>
      <c r="AE242">
        <v>6.2775507191331296E-3</v>
      </c>
      <c r="AF242">
        <v>8.7596066467141239E-6</v>
      </c>
      <c r="AG242">
        <v>1.2274219839046328E-4</v>
      </c>
      <c r="AH242">
        <v>0.11885716878089604</v>
      </c>
      <c r="AI242">
        <v>5.0326117134082875E-4</v>
      </c>
      <c r="AJ242">
        <v>7.292772646245174E-3</v>
      </c>
      <c r="AK242">
        <v>1.7417247830104891E-2</v>
      </c>
      <c r="AL242">
        <v>5.2174425380968668E-5</v>
      </c>
      <c r="AM242">
        <v>3.0115831353306967E-4</v>
      </c>
      <c r="AN242">
        <v>2.1088155983275854E-3</v>
      </c>
      <c r="AO242">
        <v>9.9983920237642562E-3</v>
      </c>
      <c r="AP242">
        <v>1.096198294087218E-3</v>
      </c>
      <c r="AQ242">
        <v>1.1545588798202238E-3</v>
      </c>
      <c r="AR242">
        <v>2.9226286162559413E-3</v>
      </c>
      <c r="AS242">
        <v>7.2008445125179106E-3</v>
      </c>
    </row>
    <row r="243" spans="2:45" x14ac:dyDescent="0.25">
      <c r="C243" s="36" t="s">
        <v>71</v>
      </c>
      <c r="D243">
        <v>4.2479327508915189E-4</v>
      </c>
      <c r="E243">
        <v>0.14480630668559041</v>
      </c>
      <c r="F243">
        <v>5.5688942668870973E-4</v>
      </c>
      <c r="G243">
        <v>8.3823958975682445E-3</v>
      </c>
      <c r="H243">
        <v>2.8114427031152513E-3</v>
      </c>
      <c r="I243">
        <v>1.6285058071134932E-3</v>
      </c>
      <c r="J243">
        <v>2.2462639702256438E-3</v>
      </c>
      <c r="K243">
        <v>9.9218477316069683E-4</v>
      </c>
      <c r="L243">
        <v>5.0124684568387916E-3</v>
      </c>
      <c r="M243">
        <v>5.0534870734627847E-2</v>
      </c>
      <c r="N243">
        <v>2.3963909955994234E-2</v>
      </c>
      <c r="O243">
        <v>1.366239852845735E-3</v>
      </c>
      <c r="P243">
        <v>1.4755628832013553E-3</v>
      </c>
      <c r="Q243">
        <v>6.1290510689513908E-4</v>
      </c>
      <c r="R243">
        <v>4.3824669901799132E-2</v>
      </c>
      <c r="S243">
        <v>2.9274168350260508E-2</v>
      </c>
      <c r="T243">
        <v>5.9174618999729995E-3</v>
      </c>
      <c r="U243">
        <v>8.9540446926301975E-4</v>
      </c>
      <c r="V243">
        <v>1.5877312684974071E-5</v>
      </c>
      <c r="W243">
        <v>2.8870641186081743E-4</v>
      </c>
      <c r="X243">
        <v>6.3639135869663775E-4</v>
      </c>
      <c r="Y243">
        <v>6.4305420038214973E-5</v>
      </c>
      <c r="Z243">
        <v>3.0074320751177411E-4</v>
      </c>
      <c r="AA243">
        <v>1.0198275559341707E-3</v>
      </c>
      <c r="AB243">
        <v>0.12607775066598972</v>
      </c>
      <c r="AC243">
        <v>2.7308299359765757E-2</v>
      </c>
      <c r="AD243">
        <v>0</v>
      </c>
      <c r="AE243">
        <v>2.7718131490869454E-4</v>
      </c>
      <c r="AF243">
        <v>2.8587945510820913E-5</v>
      </c>
      <c r="AG243">
        <v>1.004290150023226E-4</v>
      </c>
      <c r="AH243">
        <v>1.0975828597166828E-4</v>
      </c>
      <c r="AI243">
        <v>0</v>
      </c>
      <c r="AJ243">
        <v>6.2808502709066444E-8</v>
      </c>
      <c r="AK243">
        <v>9.5235838713242068E-4</v>
      </c>
      <c r="AL243">
        <v>1.3168286381682937E-5</v>
      </c>
      <c r="AM243">
        <v>5.5803917281090339E-5</v>
      </c>
      <c r="AN243">
        <v>3.0765016941018876E-4</v>
      </c>
      <c r="AO243">
        <v>6.2529717755072784E-4</v>
      </c>
      <c r="AP243">
        <v>1.0731601265521579E-3</v>
      </c>
      <c r="AQ243">
        <v>6.7828087845057548E-4</v>
      </c>
      <c r="AR243">
        <v>2.5105029248187965E-4</v>
      </c>
      <c r="AS243">
        <v>1.0229151506781289E-3</v>
      </c>
    </row>
    <row r="244" spans="2:45" x14ac:dyDescent="0.25">
      <c r="C244" s="36" t="s">
        <v>72</v>
      </c>
      <c r="D244">
        <v>0</v>
      </c>
      <c r="E244">
        <v>7.9893120427106698E-5</v>
      </c>
      <c r="F244">
        <v>2.104254784476138E-3</v>
      </c>
      <c r="G244">
        <v>6.8934928157873083E-5</v>
      </c>
      <c r="H244">
        <v>3.2759031322101206E-4</v>
      </c>
      <c r="I244">
        <v>0</v>
      </c>
      <c r="J244">
        <v>0</v>
      </c>
      <c r="K244">
        <v>0</v>
      </c>
      <c r="L244">
        <v>3.6148255260762214E-5</v>
      </c>
      <c r="M244">
        <v>0.19425290051006469</v>
      </c>
      <c r="N244">
        <v>8.3588682553617233E-3</v>
      </c>
      <c r="O244">
        <v>3.7635251372245117E-5</v>
      </c>
      <c r="P244">
        <v>9.7225489170863692E-4</v>
      </c>
      <c r="Q244">
        <v>4.0694337603884524E-4</v>
      </c>
      <c r="R244">
        <v>7.8732395825199222E-4</v>
      </c>
      <c r="S244">
        <v>2.3052086844969492E-4</v>
      </c>
      <c r="T244">
        <v>6.0690030499424574E-4</v>
      </c>
      <c r="U244">
        <v>4.7817735637247497E-4</v>
      </c>
      <c r="V244">
        <v>0</v>
      </c>
      <c r="W244">
        <v>4.128962586619063E-5</v>
      </c>
      <c r="X244">
        <v>4.4826903270687069E-4</v>
      </c>
      <c r="Y244">
        <v>2.5474116219545293E-4</v>
      </c>
      <c r="Z244">
        <v>3.9029760615393895E-4</v>
      </c>
      <c r="AA244">
        <v>0</v>
      </c>
      <c r="AB244">
        <v>4.0748930290503685E-3</v>
      </c>
      <c r="AC244">
        <v>0.17614036220235504</v>
      </c>
      <c r="AD244">
        <v>0</v>
      </c>
      <c r="AE244">
        <v>0</v>
      </c>
      <c r="AF244">
        <v>0</v>
      </c>
      <c r="AG244">
        <v>1.7219338313386924E-7</v>
      </c>
      <c r="AH244">
        <v>0</v>
      </c>
      <c r="AI244">
        <v>0</v>
      </c>
      <c r="AJ244">
        <v>0</v>
      </c>
      <c r="AK244">
        <v>4.5821988234365053E-6</v>
      </c>
      <c r="AL244">
        <v>0</v>
      </c>
      <c r="AM244">
        <v>0</v>
      </c>
      <c r="AN244">
        <v>0</v>
      </c>
      <c r="AO244">
        <v>2.2522794037133824E-5</v>
      </c>
      <c r="AP244">
        <v>0</v>
      </c>
      <c r="AQ244">
        <v>2.9264450589726439E-5</v>
      </c>
      <c r="AR244">
        <v>4.7686111021085619E-6</v>
      </c>
      <c r="AS244">
        <v>0</v>
      </c>
    </row>
    <row r="245" spans="2:45" x14ac:dyDescent="0.25">
      <c r="C245" s="36" t="s">
        <v>73</v>
      </c>
      <c r="D245">
        <v>1.0146855470017516E-6</v>
      </c>
      <c r="E245">
        <v>1.1275634139870384E-4</v>
      </c>
      <c r="F245">
        <v>1.1173048991221875E-4</v>
      </c>
      <c r="G245">
        <v>3.6484222762023982E-2</v>
      </c>
      <c r="H245">
        <v>2.154576875777108E-3</v>
      </c>
      <c r="I245">
        <v>2.9237058216809999E-5</v>
      </c>
      <c r="J245">
        <v>1.6169302737512698E-5</v>
      </c>
      <c r="K245">
        <v>3.1172398640432973E-5</v>
      </c>
      <c r="L245">
        <v>7.7455114802791084E-4</v>
      </c>
      <c r="M245">
        <v>5.0302026938640334E-4</v>
      </c>
      <c r="N245">
        <v>9.3560562985164873E-3</v>
      </c>
      <c r="O245">
        <v>4.2648313170084686E-4</v>
      </c>
      <c r="P245">
        <v>9.4421094035859038E-5</v>
      </c>
      <c r="Q245">
        <v>1.8518656483199069E-4</v>
      </c>
      <c r="R245">
        <v>4.0809218177185726E-2</v>
      </c>
      <c r="S245">
        <v>0.11344950478461274</v>
      </c>
      <c r="T245">
        <v>8.7605578386667229E-2</v>
      </c>
      <c r="U245">
        <v>7.3303917705547905E-3</v>
      </c>
      <c r="V245">
        <v>4.4593402409956755E-5</v>
      </c>
      <c r="W245">
        <v>5.1602792897712392E-4</v>
      </c>
      <c r="X245">
        <v>7.123877983792065E-5</v>
      </c>
      <c r="Y245">
        <v>1.3712187366950583E-4</v>
      </c>
      <c r="Z245">
        <v>1.9299368088781979E-4</v>
      </c>
      <c r="AA245">
        <v>2.023755831209636E-4</v>
      </c>
      <c r="AB245">
        <v>8.9218393354308542E-5</v>
      </c>
      <c r="AC245">
        <v>0</v>
      </c>
      <c r="AD245">
        <v>0</v>
      </c>
      <c r="AE245">
        <v>4.936120127770359E-3</v>
      </c>
      <c r="AF245">
        <v>2.3660523927359234E-5</v>
      </c>
      <c r="AG245">
        <v>8.7529408415027243E-5</v>
      </c>
      <c r="AH245">
        <v>5.4443312677044313E-6</v>
      </c>
      <c r="AI245">
        <v>5.2842314190478114E-8</v>
      </c>
      <c r="AJ245">
        <v>1.0212106727408271E-6</v>
      </c>
      <c r="AK245">
        <v>8.4340590800632029E-4</v>
      </c>
      <c r="AL245">
        <v>3.558843088468773E-7</v>
      </c>
      <c r="AM245">
        <v>2.0687807568198216E-7</v>
      </c>
      <c r="AN245">
        <v>4.3712498019923934E-6</v>
      </c>
      <c r="AO245">
        <v>2.034557035184811E-5</v>
      </c>
      <c r="AP245">
        <v>3.2603524576610533E-6</v>
      </c>
      <c r="AQ245">
        <v>1.1978392380186409E-6</v>
      </c>
      <c r="AR245">
        <v>2.0419515052034739E-5</v>
      </c>
      <c r="AS245">
        <v>7.2670271530074054E-6</v>
      </c>
    </row>
    <row r="246" spans="2:45" x14ac:dyDescent="0.25">
      <c r="C246" s="36" t="s">
        <v>74</v>
      </c>
      <c r="D246">
        <v>0</v>
      </c>
      <c r="E246">
        <v>5.8376540942140301E-3</v>
      </c>
      <c r="F246">
        <v>0.15732691462019369</v>
      </c>
      <c r="G246">
        <v>5.4148337602964143E-3</v>
      </c>
      <c r="H246">
        <v>8.7470766979377921E-3</v>
      </c>
      <c r="I246">
        <v>3.7243123184510664E-4</v>
      </c>
      <c r="J246">
        <v>0</v>
      </c>
      <c r="K246">
        <v>0</v>
      </c>
      <c r="L246">
        <v>0</v>
      </c>
      <c r="M246">
        <v>0</v>
      </c>
      <c r="N246">
        <v>0</v>
      </c>
      <c r="O246">
        <v>0</v>
      </c>
      <c r="P246">
        <v>0</v>
      </c>
      <c r="Q246">
        <v>0</v>
      </c>
      <c r="R246">
        <v>0</v>
      </c>
      <c r="S246">
        <v>0</v>
      </c>
      <c r="T246">
        <v>0</v>
      </c>
      <c r="U246">
        <v>0</v>
      </c>
      <c r="V246">
        <v>1.0662182052824717E-8</v>
      </c>
      <c r="W246">
        <v>0</v>
      </c>
      <c r="X246">
        <v>0</v>
      </c>
      <c r="Y246">
        <v>0</v>
      </c>
      <c r="Z246">
        <v>0</v>
      </c>
      <c r="AA246">
        <v>0</v>
      </c>
      <c r="AB246">
        <v>3.3024169072609286E-4</v>
      </c>
      <c r="AC246">
        <v>0</v>
      </c>
      <c r="AD246">
        <v>0</v>
      </c>
      <c r="AE246">
        <v>0</v>
      </c>
      <c r="AF246">
        <v>0</v>
      </c>
      <c r="AG246">
        <v>0</v>
      </c>
      <c r="AH246">
        <v>0</v>
      </c>
      <c r="AI246">
        <v>0</v>
      </c>
      <c r="AJ246">
        <v>0</v>
      </c>
      <c r="AK246">
        <v>0</v>
      </c>
      <c r="AL246">
        <v>0</v>
      </c>
      <c r="AM246">
        <v>0</v>
      </c>
      <c r="AN246">
        <v>0</v>
      </c>
      <c r="AO246">
        <v>0</v>
      </c>
      <c r="AP246">
        <v>0</v>
      </c>
      <c r="AQ246">
        <v>0</v>
      </c>
      <c r="AR246">
        <v>0</v>
      </c>
      <c r="AS246">
        <v>0</v>
      </c>
    </row>
    <row r="247" spans="2:45" x14ac:dyDescent="0.25">
      <c r="C247" s="36" t="s">
        <v>75</v>
      </c>
      <c r="D247">
        <v>7.6153202623112301E-2</v>
      </c>
      <c r="E247">
        <v>1.647996109210123E-3</v>
      </c>
      <c r="F247">
        <v>6.905198413577117E-4</v>
      </c>
      <c r="G247">
        <v>4.5626776309577568E-3</v>
      </c>
      <c r="H247">
        <v>7.1663974821841022E-4</v>
      </c>
      <c r="I247">
        <v>0.18680474372794686</v>
      </c>
      <c r="J247">
        <v>1.74866546118383E-2</v>
      </c>
      <c r="K247">
        <v>4.4057408765470381E-3</v>
      </c>
      <c r="L247">
        <v>4.075012034519215E-3</v>
      </c>
      <c r="M247">
        <v>7.4564183849451793E-3</v>
      </c>
      <c r="N247">
        <v>2.7531451104120391E-2</v>
      </c>
      <c r="O247">
        <v>2.3620044506556106E-2</v>
      </c>
      <c r="P247">
        <v>1.9647655320736753E-3</v>
      </c>
      <c r="Q247">
        <v>5.9317960665908895E-3</v>
      </c>
      <c r="R247">
        <v>2.2583880137380359E-3</v>
      </c>
      <c r="S247">
        <v>5.2420863041572185E-3</v>
      </c>
      <c r="T247">
        <v>7.4537255472954004E-3</v>
      </c>
      <c r="U247">
        <v>5.137047036256886E-3</v>
      </c>
      <c r="V247">
        <v>5.7604628097604428E-3</v>
      </c>
      <c r="W247">
        <v>6.0786391692501775E-3</v>
      </c>
      <c r="X247">
        <v>7.7446623303719002E-3</v>
      </c>
      <c r="Y247">
        <v>2.8629703131917558E-3</v>
      </c>
      <c r="Z247">
        <v>7.4802555324342684E-3</v>
      </c>
      <c r="AA247">
        <v>3.5300132539324786E-3</v>
      </c>
      <c r="AB247">
        <v>6.7090951638075135E-3</v>
      </c>
      <c r="AC247">
        <v>6.2085007647064185E-3</v>
      </c>
      <c r="AD247">
        <v>9.9654651635470472E-3</v>
      </c>
      <c r="AE247">
        <v>1.8821628171116513E-3</v>
      </c>
      <c r="AF247">
        <v>1.4398044719848857E-3</v>
      </c>
      <c r="AG247">
        <v>5.9808923017884994E-3</v>
      </c>
      <c r="AH247">
        <v>0.27719718128325599</v>
      </c>
      <c r="AI247">
        <v>5.4339814692370356E-3</v>
      </c>
      <c r="AJ247">
        <v>1.613572040316864E-2</v>
      </c>
      <c r="AK247">
        <v>1.9362178089632726E-2</v>
      </c>
      <c r="AL247">
        <v>2.1778832776209807E-3</v>
      </c>
      <c r="AM247">
        <v>4.1073136898735381E-3</v>
      </c>
      <c r="AN247">
        <v>5.9330007043528823E-3</v>
      </c>
      <c r="AO247">
        <v>7.8976852349947873E-3</v>
      </c>
      <c r="AP247">
        <v>2.2010671506724085E-2</v>
      </c>
      <c r="AQ247">
        <v>1.3133176735741752E-2</v>
      </c>
      <c r="AR247">
        <v>5.8174280672828114E-2</v>
      </c>
      <c r="AS247">
        <v>2.3449723147342689E-2</v>
      </c>
    </row>
    <row r="248" spans="2:45" x14ac:dyDescent="0.25">
      <c r="C248" s="36" t="s">
        <v>76</v>
      </c>
      <c r="D248">
        <v>1.8192123899321555E-4</v>
      </c>
      <c r="E248">
        <v>6.210084078722789E-3</v>
      </c>
      <c r="F248">
        <v>1.5251230813784654E-3</v>
      </c>
      <c r="G248">
        <v>2.1174067322563641E-3</v>
      </c>
      <c r="H248">
        <v>1.4038602123005294E-2</v>
      </c>
      <c r="I248">
        <v>2.8062139565897199E-3</v>
      </c>
      <c r="J248">
        <v>0.39489931727986</v>
      </c>
      <c r="K248">
        <v>2.9025614808208595E-2</v>
      </c>
      <c r="L248">
        <v>2.8946876492852911E-2</v>
      </c>
      <c r="M248">
        <v>2.0714295451333409E-3</v>
      </c>
      <c r="N248">
        <v>4.1018425865624883E-3</v>
      </c>
      <c r="O248">
        <v>1.2873441256335485E-2</v>
      </c>
      <c r="P248">
        <v>8.9293609000856474E-3</v>
      </c>
      <c r="Q248">
        <v>4.8080208412990544E-3</v>
      </c>
      <c r="R248">
        <v>5.2489202797880562E-3</v>
      </c>
      <c r="S248">
        <v>9.020824251861143E-4</v>
      </c>
      <c r="T248">
        <v>8.0726591560690262E-4</v>
      </c>
      <c r="U248">
        <v>3.7040330246396729E-3</v>
      </c>
      <c r="V248">
        <v>2.4265843856802909E-3</v>
      </c>
      <c r="W248">
        <v>4.1388726779483243E-3</v>
      </c>
      <c r="X248">
        <v>3.4794498156336343E-3</v>
      </c>
      <c r="Y248">
        <v>7.5830416973402303E-3</v>
      </c>
      <c r="Z248">
        <v>8.3720597617487486E-3</v>
      </c>
      <c r="AA248">
        <v>2.4228357334972476E-2</v>
      </c>
      <c r="AB248">
        <v>1.1743907930781563E-3</v>
      </c>
      <c r="AC248">
        <v>4.0165317801599282E-3</v>
      </c>
      <c r="AD248">
        <v>9.1513195981459614E-3</v>
      </c>
      <c r="AE248">
        <v>1.5081770957700816E-3</v>
      </c>
      <c r="AF248">
        <v>2.040950887722816E-3</v>
      </c>
      <c r="AG248">
        <v>4.0517920705143316E-3</v>
      </c>
      <c r="AH248">
        <v>7.7179677679146868E-3</v>
      </c>
      <c r="AI248">
        <v>9.8367090059770369E-4</v>
      </c>
      <c r="AJ248">
        <v>1.6462256228020382E-2</v>
      </c>
      <c r="AK248">
        <v>1.0694370674595362E-2</v>
      </c>
      <c r="AL248">
        <v>3.6381362820586878E-3</v>
      </c>
      <c r="AM248">
        <v>1.8756962133964481E-3</v>
      </c>
      <c r="AN248">
        <v>2.7863568267159776E-3</v>
      </c>
      <c r="AO248">
        <v>2.6493531541293171E-2</v>
      </c>
      <c r="AP248">
        <v>2.764870952227451E-3</v>
      </c>
      <c r="AQ248">
        <v>1.8110896768728759E-2</v>
      </c>
      <c r="AR248">
        <v>2.8857720804934071E-2</v>
      </c>
      <c r="AS248">
        <v>7.9181677399182727E-3</v>
      </c>
    </row>
    <row r="249" spans="2:45" x14ac:dyDescent="0.25">
      <c r="C249" s="36" t="s">
        <v>77</v>
      </c>
      <c r="D249">
        <v>2.4178453853551128E-4</v>
      </c>
      <c r="E249">
        <v>1.4500285614357207E-2</v>
      </c>
      <c r="F249">
        <v>1.3953117318085187E-3</v>
      </c>
      <c r="G249">
        <v>1.2600488473066419E-3</v>
      </c>
      <c r="H249">
        <v>2.9946884953538171E-4</v>
      </c>
      <c r="I249">
        <v>6.4690849052479826E-4</v>
      </c>
      <c r="J249">
        <v>1.1614443672912555E-3</v>
      </c>
      <c r="K249">
        <v>0.29510338544988224</v>
      </c>
      <c r="L249">
        <v>0.12435416930884648</v>
      </c>
      <c r="M249">
        <v>4.3680791279987295E-4</v>
      </c>
      <c r="N249">
        <v>1.4586048849715471E-3</v>
      </c>
      <c r="O249">
        <v>3.6609350826447663E-4</v>
      </c>
      <c r="P249">
        <v>1.8942869794915662E-3</v>
      </c>
      <c r="Q249">
        <v>1.575388193287583E-3</v>
      </c>
      <c r="R249">
        <v>2.5571983096965983E-3</v>
      </c>
      <c r="S249">
        <v>6.8754608599213586E-5</v>
      </c>
      <c r="T249">
        <v>3.3817908545259295E-4</v>
      </c>
      <c r="U249">
        <v>8.8355972527558741E-3</v>
      </c>
      <c r="V249">
        <v>8.2165584504800902E-4</v>
      </c>
      <c r="W249">
        <v>1.6167802588908009E-3</v>
      </c>
      <c r="X249">
        <v>1.6741032854705041E-3</v>
      </c>
      <c r="Y249">
        <v>8.0347381162397882E-3</v>
      </c>
      <c r="Z249">
        <v>4.0069881555661307E-3</v>
      </c>
      <c r="AA249">
        <v>7.5573096103465432E-3</v>
      </c>
      <c r="AB249">
        <v>2.7618554323840036E-4</v>
      </c>
      <c r="AC249">
        <v>4.727767917801718E-5</v>
      </c>
      <c r="AD249">
        <v>7.8083928423050615E-5</v>
      </c>
      <c r="AE249">
        <v>1.9168293705086277E-2</v>
      </c>
      <c r="AF249">
        <v>2.7076576590424417E-4</v>
      </c>
      <c r="AG249">
        <v>7.466880591413225E-4</v>
      </c>
      <c r="AH249">
        <v>4.3461077984348822E-4</v>
      </c>
      <c r="AI249">
        <v>9.1528217293732723E-4</v>
      </c>
      <c r="AJ249">
        <v>5.9677474879230377E-4</v>
      </c>
      <c r="AK249">
        <v>2.0912931665506711E-4</v>
      </c>
      <c r="AL249">
        <v>3.6984766755907434E-4</v>
      </c>
      <c r="AM249">
        <v>4.9069332009798268E-4</v>
      </c>
      <c r="AN249">
        <v>7.3905463630360643E-4</v>
      </c>
      <c r="AO249">
        <v>4.2025986972948843E-3</v>
      </c>
      <c r="AP249">
        <v>6.167062687317793E-4</v>
      </c>
      <c r="AQ249">
        <v>1.4390024806868417E-4</v>
      </c>
      <c r="AR249">
        <v>1.9650092023713152E-3</v>
      </c>
      <c r="AS249">
        <v>2.0277861677726883E-3</v>
      </c>
    </row>
    <row r="250" spans="2:45" x14ac:dyDescent="0.25">
      <c r="C250" s="36" t="s">
        <v>78</v>
      </c>
      <c r="D250">
        <v>7.188102332466264E-4</v>
      </c>
      <c r="E250">
        <v>1.2334623948469749E-4</v>
      </c>
      <c r="F250">
        <v>8.3963648803069384E-5</v>
      </c>
      <c r="G250">
        <v>1.5196340387555092E-3</v>
      </c>
      <c r="H250">
        <v>8.3206172010862924E-4</v>
      </c>
      <c r="I250">
        <v>9.8552542471637694E-3</v>
      </c>
      <c r="J250">
        <v>4.4350979760818593E-3</v>
      </c>
      <c r="K250">
        <v>8.8381514706993326E-3</v>
      </c>
      <c r="L250">
        <v>0.14146985591362024</v>
      </c>
      <c r="M250">
        <v>8.1511764298194012E-4</v>
      </c>
      <c r="N250">
        <v>4.4326496338457375E-3</v>
      </c>
      <c r="O250">
        <v>1.5265164241514095E-2</v>
      </c>
      <c r="P250">
        <v>4.6435755382024952E-3</v>
      </c>
      <c r="Q250">
        <v>4.4378159248989737E-3</v>
      </c>
      <c r="R250">
        <v>1.135105797458179E-2</v>
      </c>
      <c r="S250">
        <v>1.221032899419753E-4</v>
      </c>
      <c r="T250">
        <v>5.9883622380737936E-4</v>
      </c>
      <c r="U250">
        <v>3.443589274812117E-3</v>
      </c>
      <c r="V250">
        <v>4.2009355884483311E-3</v>
      </c>
      <c r="W250">
        <v>7.3745155975959951E-3</v>
      </c>
      <c r="X250">
        <v>3.3734096284506079E-3</v>
      </c>
      <c r="Y250">
        <v>2.1101946087617638E-3</v>
      </c>
      <c r="Z250">
        <v>2.0616338128767141E-3</v>
      </c>
      <c r="AA250">
        <v>4.5925112167799521E-3</v>
      </c>
      <c r="AB250">
        <v>6.111706123802991E-4</v>
      </c>
      <c r="AC250">
        <v>1.5018562921296005E-4</v>
      </c>
      <c r="AD250">
        <v>4.8591746782492956E-4</v>
      </c>
      <c r="AE250">
        <v>1.7338000971968081E-3</v>
      </c>
      <c r="AF250">
        <v>5.4739282675936333E-3</v>
      </c>
      <c r="AG250">
        <v>3.3682220915053789E-3</v>
      </c>
      <c r="AH250">
        <v>3.7431213115537397E-3</v>
      </c>
      <c r="AI250">
        <v>2.6608817259432621E-2</v>
      </c>
      <c r="AJ250">
        <v>6.7394270437552029E-2</v>
      </c>
      <c r="AK250">
        <v>1.0500975540082192E-2</v>
      </c>
      <c r="AL250">
        <v>1.5212028310823678E-2</v>
      </c>
      <c r="AM250">
        <v>4.6771209035862066E-3</v>
      </c>
      <c r="AN250">
        <v>9.8991773106379376E-3</v>
      </c>
      <c r="AO250">
        <v>2.0610901344373857E-2</v>
      </c>
      <c r="AP250">
        <v>2.2164244743693069E-2</v>
      </c>
      <c r="AQ250">
        <v>5.3827221646633836E-4</v>
      </c>
      <c r="AR250">
        <v>4.4637530347758685E-2</v>
      </c>
      <c r="AS250">
        <v>5.4679156529859321E-3</v>
      </c>
    </row>
    <row r="251" spans="2:45" x14ac:dyDescent="0.25">
      <c r="C251" s="36" t="s">
        <v>79</v>
      </c>
      <c r="D251">
        <v>3.5444843699497745E-3</v>
      </c>
      <c r="E251">
        <v>2.8171286106968467E-3</v>
      </c>
      <c r="F251">
        <v>3.4768122354328162E-3</v>
      </c>
      <c r="G251">
        <v>3.7994618567131745E-2</v>
      </c>
      <c r="H251">
        <v>3.7341543315825038E-2</v>
      </c>
      <c r="I251">
        <v>7.6699099759869728E-4</v>
      </c>
      <c r="J251">
        <v>1.3986412124294086E-3</v>
      </c>
      <c r="K251">
        <v>3.5780530295002524E-3</v>
      </c>
      <c r="L251">
        <v>2.5324091803065898E-3</v>
      </c>
      <c r="M251">
        <v>5.2409063620776464E-2</v>
      </c>
      <c r="N251">
        <v>7.0601268789230495E-2</v>
      </c>
      <c r="O251">
        <v>1.4946552626753221E-3</v>
      </c>
      <c r="P251">
        <v>5.7824191255108244E-3</v>
      </c>
      <c r="Q251">
        <v>2.5266955643036596E-3</v>
      </c>
      <c r="R251">
        <v>2.5782418878806553E-2</v>
      </c>
      <c r="S251">
        <v>5.8301297761787163E-2</v>
      </c>
      <c r="T251">
        <v>1.3013700598495033E-2</v>
      </c>
      <c r="U251">
        <v>5.6030444997880553E-3</v>
      </c>
      <c r="V251">
        <v>8.4239865397229261E-4</v>
      </c>
      <c r="W251">
        <v>1.5200322715572189E-3</v>
      </c>
      <c r="X251">
        <v>3.6112609830385375E-3</v>
      </c>
      <c r="Y251">
        <v>1.4814606549303304E-3</v>
      </c>
      <c r="Z251">
        <v>2.6938505825471874E-3</v>
      </c>
      <c r="AA251">
        <v>4.8200544549046528E-3</v>
      </c>
      <c r="AB251">
        <v>1.3937202064114545E-2</v>
      </c>
      <c r="AC251">
        <v>2.1902005175231738E-2</v>
      </c>
      <c r="AD251">
        <v>8.9406343838965212E-4</v>
      </c>
      <c r="AE251">
        <v>1.227128364889897E-2</v>
      </c>
      <c r="AF251">
        <v>2.0796921256102069E-3</v>
      </c>
      <c r="AG251">
        <v>7.5958117395237473E-2</v>
      </c>
      <c r="AH251">
        <v>2.2525650132329276E-3</v>
      </c>
      <c r="AI251">
        <v>1.0933812466113312E-3</v>
      </c>
      <c r="AJ251">
        <v>1.8916654745466503E-2</v>
      </c>
      <c r="AK251">
        <v>6.0246710182987172E-3</v>
      </c>
      <c r="AL251">
        <v>2.8684853794688969E-3</v>
      </c>
      <c r="AM251">
        <v>1.3547736026585557E-3</v>
      </c>
      <c r="AN251">
        <v>2.2511425543069147E-2</v>
      </c>
      <c r="AO251">
        <v>6.0077810074605749E-3</v>
      </c>
      <c r="AP251">
        <v>4.9474040222708491E-3</v>
      </c>
      <c r="AQ251">
        <v>4.5328099719188248E-4</v>
      </c>
      <c r="AR251">
        <v>2.8462991325696602E-3</v>
      </c>
      <c r="AS251">
        <v>3.8349969943778303E-3</v>
      </c>
    </row>
    <row r="252" spans="2:45" x14ac:dyDescent="0.25">
      <c r="C252" s="36" t="s">
        <v>80</v>
      </c>
      <c r="D252">
        <v>4.9325185777442548E-2</v>
      </c>
      <c r="E252">
        <v>1.0024320056418025E-2</v>
      </c>
      <c r="F252">
        <v>3.1704340907513104E-2</v>
      </c>
      <c r="G252">
        <v>4.35006738474688E-2</v>
      </c>
      <c r="H252">
        <v>5.3279084271815137E-2</v>
      </c>
      <c r="I252">
        <v>3.5067022622833591E-3</v>
      </c>
      <c r="J252">
        <v>6.235400866033685E-2</v>
      </c>
      <c r="K252">
        <v>5.2875188662152864E-2</v>
      </c>
      <c r="L252">
        <v>6.4022176276970377E-2</v>
      </c>
      <c r="M252">
        <v>3.1003897586330535E-2</v>
      </c>
      <c r="N252">
        <v>0.29637476688356212</v>
      </c>
      <c r="O252">
        <v>3.441217530480941E-2</v>
      </c>
      <c r="P252">
        <v>0.26631136426202323</v>
      </c>
      <c r="Q252">
        <v>5.0099024947296757E-3</v>
      </c>
      <c r="R252">
        <v>3.6913437713544967E-2</v>
      </c>
      <c r="S252">
        <v>4.7602414994982805E-3</v>
      </c>
      <c r="T252">
        <v>1.5401517140580379E-2</v>
      </c>
      <c r="U252">
        <v>1.7720126812527076E-2</v>
      </c>
      <c r="V252">
        <v>1.1246349219634837E-2</v>
      </c>
      <c r="W252">
        <v>3.283146552861553E-2</v>
      </c>
      <c r="X252">
        <v>7.5530869480538946E-3</v>
      </c>
      <c r="Y252">
        <v>8.5350985501138083E-3</v>
      </c>
      <c r="Z252">
        <v>1.1744821001861049E-2</v>
      </c>
      <c r="AA252">
        <v>2.6802071559544758E-2</v>
      </c>
      <c r="AB252">
        <v>2.7384494499889378E-4</v>
      </c>
      <c r="AC252">
        <v>3.3308452178098835E-4</v>
      </c>
      <c r="AD252">
        <v>5.2383953943026411E-2</v>
      </c>
      <c r="AE252">
        <v>2.2736310441585708E-2</v>
      </c>
      <c r="AF252">
        <v>5.8342277891045534E-5</v>
      </c>
      <c r="AG252">
        <v>7.1301145051086076E-4</v>
      </c>
      <c r="AH252">
        <v>5.010955389505794E-3</v>
      </c>
      <c r="AI252">
        <v>1.0916322399461165E-3</v>
      </c>
      <c r="AJ252">
        <v>3.8666189825732511E-3</v>
      </c>
      <c r="AK252">
        <v>5.3955727391556081E-2</v>
      </c>
      <c r="AL252">
        <v>2.1206581728685028E-4</v>
      </c>
      <c r="AM252">
        <v>2.7497049208427722E-4</v>
      </c>
      <c r="AN252">
        <v>3.3865166120466396E-2</v>
      </c>
      <c r="AO252">
        <v>8.3169394346683852E-3</v>
      </c>
      <c r="AP252">
        <v>1.2212142088858541E-2</v>
      </c>
      <c r="AQ252">
        <v>9.3218575579330748E-4</v>
      </c>
      <c r="AR252">
        <v>8.9351940230414859E-3</v>
      </c>
      <c r="AS252">
        <v>3.894949884908562E-2</v>
      </c>
    </row>
    <row r="253" spans="2:45" x14ac:dyDescent="0.25">
      <c r="C253" s="36" t="s">
        <v>81</v>
      </c>
      <c r="D253">
        <v>4.099680159180716E-3</v>
      </c>
      <c r="E253">
        <v>1.6030923253811509E-4</v>
      </c>
      <c r="F253">
        <v>1.5707863514558115E-4</v>
      </c>
      <c r="G253">
        <v>2.840131281077363E-5</v>
      </c>
      <c r="H253">
        <v>2.9779221083486473E-5</v>
      </c>
      <c r="I253">
        <v>5.8355014083478747E-4</v>
      </c>
      <c r="J253">
        <v>1.0466096199601693E-4</v>
      </c>
      <c r="K253">
        <v>9.3634207416990103E-6</v>
      </c>
      <c r="L253">
        <v>8.5114840159629249E-4</v>
      </c>
      <c r="M253">
        <v>3.2902720477074374E-5</v>
      </c>
      <c r="N253">
        <v>1.2587097351616605E-3</v>
      </c>
      <c r="O253">
        <v>0.18555265693984219</v>
      </c>
      <c r="P253">
        <v>2.0391289064679963E-4</v>
      </c>
      <c r="Q253">
        <v>9.8549299984717134E-4</v>
      </c>
      <c r="R253">
        <v>6.9840571321948101E-4</v>
      </c>
      <c r="S253">
        <v>1.3786856471286607E-4</v>
      </c>
      <c r="T253">
        <v>2.4181993454489454E-5</v>
      </c>
      <c r="U253">
        <v>3.0124374945278664E-4</v>
      </c>
      <c r="V253">
        <v>3.7925700435681334E-4</v>
      </c>
      <c r="W253">
        <v>1.6022118319573649E-4</v>
      </c>
      <c r="X253">
        <v>1.3182498131494027E-5</v>
      </c>
      <c r="Y253">
        <v>1.2989909523495068E-5</v>
      </c>
      <c r="Z253">
        <v>6.2651658039330254E-5</v>
      </c>
      <c r="AA253">
        <v>6.8446869520842678E-4</v>
      </c>
      <c r="AB253">
        <v>2.131589314512736E-5</v>
      </c>
      <c r="AC253">
        <v>4.1539940988195238E-6</v>
      </c>
      <c r="AD253">
        <v>3.6638577101476597E-4</v>
      </c>
      <c r="AE253">
        <v>7.0374643125622734E-4</v>
      </c>
      <c r="AF253">
        <v>6.4967282656514178E-6</v>
      </c>
      <c r="AG253">
        <v>1.1458859018321563E-4</v>
      </c>
      <c r="AH253">
        <v>1.6950636002539593E-6</v>
      </c>
      <c r="AI253">
        <v>2.8216148920540341E-4</v>
      </c>
      <c r="AJ253">
        <v>1.6678121867954115E-4</v>
      </c>
      <c r="AK253">
        <v>4.1194759325704324E-3</v>
      </c>
      <c r="AL253">
        <v>5.2348289463186582E-5</v>
      </c>
      <c r="AM253">
        <v>1.2856725591790346E-5</v>
      </c>
      <c r="AN253">
        <v>4.484987406292015E-3</v>
      </c>
      <c r="AO253">
        <v>2.6186054361742515E-4</v>
      </c>
      <c r="AP253">
        <v>1.199749913032427E-3</v>
      </c>
      <c r="AQ253">
        <v>0.29461425669210406</v>
      </c>
      <c r="AR253">
        <v>1.4209601127602376E-4</v>
      </c>
      <c r="AS253">
        <v>5.5191212986424251E-4</v>
      </c>
    </row>
    <row r="254" spans="2:45" x14ac:dyDescent="0.25">
      <c r="C254" s="36" t="s">
        <v>82</v>
      </c>
      <c r="D254">
        <v>6.1686467097394442E-3</v>
      </c>
      <c r="E254">
        <v>2.2349606115586586E-3</v>
      </c>
      <c r="F254">
        <v>6.0261935995022857E-4</v>
      </c>
      <c r="G254">
        <v>4.8674319239660575E-3</v>
      </c>
      <c r="H254">
        <v>3.4830144837422652E-2</v>
      </c>
      <c r="I254">
        <v>8.9609913991144149E-3</v>
      </c>
      <c r="J254">
        <v>1.3728910583810656E-2</v>
      </c>
      <c r="K254">
        <v>1.3966235522147806E-2</v>
      </c>
      <c r="L254">
        <v>2.545287160530919E-2</v>
      </c>
      <c r="M254">
        <v>3.3091650053740898E-3</v>
      </c>
      <c r="N254">
        <v>1.935814432681069E-2</v>
      </c>
      <c r="O254">
        <v>5.1856817723359115E-3</v>
      </c>
      <c r="P254">
        <v>0.1770048276363054</v>
      </c>
      <c r="Q254">
        <v>2.362552762974517E-2</v>
      </c>
      <c r="R254">
        <v>8.4708567437627828E-3</v>
      </c>
      <c r="S254">
        <v>2.8250007439969022E-4</v>
      </c>
      <c r="T254">
        <v>1.2089979080650408E-3</v>
      </c>
      <c r="U254">
        <v>9.6525591745817534E-3</v>
      </c>
      <c r="V254">
        <v>1.6243670444052803E-2</v>
      </c>
      <c r="W254">
        <v>3.5723123852441876E-2</v>
      </c>
      <c r="X254">
        <v>1.4164800238978885E-2</v>
      </c>
      <c r="Y254">
        <v>3.1666618704030931E-2</v>
      </c>
      <c r="Z254">
        <v>3.2258472773880706E-2</v>
      </c>
      <c r="AA254">
        <v>1.8637114773891069E-2</v>
      </c>
      <c r="AB254">
        <v>4.530426691169141E-5</v>
      </c>
      <c r="AC254">
        <v>5.7801760159834634E-4</v>
      </c>
      <c r="AD254">
        <v>1.6272438217728578E-2</v>
      </c>
      <c r="AE254">
        <v>1.1488262964722707E-2</v>
      </c>
      <c r="AF254">
        <v>1.764441964856908E-3</v>
      </c>
      <c r="AG254">
        <v>8.909266591237322E-3</v>
      </c>
      <c r="AH254">
        <v>2.4226150648423467E-3</v>
      </c>
      <c r="AI254">
        <v>1.4080684703491496E-3</v>
      </c>
      <c r="AJ254">
        <v>3.1831650289556755E-3</v>
      </c>
      <c r="AK254">
        <v>4.4141701885194885E-3</v>
      </c>
      <c r="AL254">
        <v>6.5022743202256588E-5</v>
      </c>
      <c r="AM254">
        <v>3.3837521311440549E-4</v>
      </c>
      <c r="AN254">
        <v>2.9849331044280178E-3</v>
      </c>
      <c r="AO254">
        <v>2.1607529263283371E-3</v>
      </c>
      <c r="AP254">
        <v>1.0032139346618977E-4</v>
      </c>
      <c r="AQ254">
        <v>1.0263994557913978E-3</v>
      </c>
      <c r="AR254">
        <v>1.5791777233326338E-3</v>
      </c>
      <c r="AS254">
        <v>8.5807901889709878E-3</v>
      </c>
    </row>
    <row r="255" spans="2:45" x14ac:dyDescent="0.25">
      <c r="C255" s="36" t="s">
        <v>88</v>
      </c>
      <c r="D255">
        <v>6.0059778545356862E-3</v>
      </c>
      <c r="E255">
        <v>1.5722290557688302E-2</v>
      </c>
      <c r="F255">
        <v>2.254329978992093E-2</v>
      </c>
      <c r="G255">
        <v>2.3869380936374109E-2</v>
      </c>
      <c r="H255">
        <v>7.5758082819947808E-2</v>
      </c>
      <c r="I255">
        <v>3.8683029757324736E-4</v>
      </c>
      <c r="J255">
        <v>1.3668344916440106E-3</v>
      </c>
      <c r="K255">
        <v>2.5760101892734096E-3</v>
      </c>
      <c r="L255">
        <v>3.4342449336392123E-3</v>
      </c>
      <c r="M255">
        <v>1.7256327582847485E-3</v>
      </c>
      <c r="N255">
        <v>3.2544816127500543E-3</v>
      </c>
      <c r="O255">
        <v>6.6358467547615553E-4</v>
      </c>
      <c r="P255">
        <v>3.0169550937477686E-3</v>
      </c>
      <c r="Q255">
        <v>0.10676847223722784</v>
      </c>
      <c r="R255">
        <v>3.8231207948199396E-3</v>
      </c>
      <c r="S255">
        <v>6.5087014169490425E-3</v>
      </c>
      <c r="T255">
        <v>5.6220858818185259E-3</v>
      </c>
      <c r="U255">
        <v>6.1381955634959972E-3</v>
      </c>
      <c r="V255">
        <v>1.5111488180538271E-2</v>
      </c>
      <c r="W255">
        <v>5.0896220230013563E-3</v>
      </c>
      <c r="X255">
        <v>7.0490744380780155E-3</v>
      </c>
      <c r="Y255">
        <v>5.2210531343208364E-3</v>
      </c>
      <c r="Z255">
        <v>5.557625224343353E-3</v>
      </c>
      <c r="AA255">
        <v>3.5788756529666573E-3</v>
      </c>
      <c r="AB255">
        <v>2.177051586731924E-4</v>
      </c>
      <c r="AC255">
        <v>8.8282208003272341E-5</v>
      </c>
      <c r="AD255">
        <v>2.2655417614196225E-3</v>
      </c>
      <c r="AE255">
        <v>5.2854958186864037E-3</v>
      </c>
      <c r="AF255">
        <v>1.9716654768813735E-5</v>
      </c>
      <c r="AG255">
        <v>9.7678183174546907E-4</v>
      </c>
      <c r="AH255">
        <v>2.798684834980128E-4</v>
      </c>
      <c r="AI255">
        <v>8.975004203624925E-5</v>
      </c>
      <c r="AJ255">
        <v>4.6059003174094405E-4</v>
      </c>
      <c r="AK255">
        <v>1.4603371762290991E-4</v>
      </c>
      <c r="AL255">
        <v>6.3638525171526034E-4</v>
      </c>
      <c r="AM255">
        <v>6.5858333308425412E-6</v>
      </c>
      <c r="AN255">
        <v>2.618239072484374E-4</v>
      </c>
      <c r="AO255">
        <v>2.4712764377946331E-4</v>
      </c>
      <c r="AP255">
        <v>2.1242116314519984E-4</v>
      </c>
      <c r="AQ255">
        <v>2.825616197337923E-2</v>
      </c>
      <c r="AR255">
        <v>6.1285475791612401E-5</v>
      </c>
      <c r="AS255">
        <v>4.5167477134071482E-4</v>
      </c>
    </row>
    <row r="256" spans="2:45" x14ac:dyDescent="0.25">
      <c r="C256" s="36" t="s">
        <v>83</v>
      </c>
      <c r="D256">
        <v>3.8931261765829403E-4</v>
      </c>
      <c r="E256">
        <v>2.7222190055484607E-3</v>
      </c>
      <c r="F256">
        <v>4.0683050795996956E-4</v>
      </c>
      <c r="G256">
        <v>8.4774777513310206E-3</v>
      </c>
      <c r="H256">
        <v>3.0190292607948723E-2</v>
      </c>
      <c r="I256">
        <v>3.8378858863125187E-3</v>
      </c>
      <c r="J256">
        <v>7.4101090057018251E-4</v>
      </c>
      <c r="K256">
        <v>7.1118062860099146E-3</v>
      </c>
      <c r="L256">
        <v>4.0090445424950036E-3</v>
      </c>
      <c r="M256">
        <v>6.5406759244570649E-3</v>
      </c>
      <c r="N256">
        <v>4.8134105772003506E-3</v>
      </c>
      <c r="O256">
        <v>8.8617458845684401E-3</v>
      </c>
      <c r="P256">
        <v>4.4168539371101795E-3</v>
      </c>
      <c r="Q256">
        <v>1.0314600093322237E-2</v>
      </c>
      <c r="R256">
        <v>0.18649865001163435</v>
      </c>
      <c r="S256">
        <v>1.3563568867992625E-2</v>
      </c>
      <c r="T256">
        <v>1.1076029730066767E-2</v>
      </c>
      <c r="U256">
        <v>1.2830636229650168E-2</v>
      </c>
      <c r="V256">
        <v>1.5468367903256699E-2</v>
      </c>
      <c r="W256">
        <v>2.7088191999125221E-2</v>
      </c>
      <c r="X256">
        <v>5.2982039828821954E-3</v>
      </c>
      <c r="Y256">
        <v>1.384274661457343E-2</v>
      </c>
      <c r="Z256">
        <v>4.2261826421726529E-3</v>
      </c>
      <c r="AA256">
        <v>2.9069935558174282E-3</v>
      </c>
      <c r="AB256">
        <v>2.7973921928710044E-3</v>
      </c>
      <c r="AC256">
        <v>8.8741342363092083E-5</v>
      </c>
      <c r="AD256">
        <v>5.5180731491850227E-4</v>
      </c>
      <c r="AE256">
        <v>0.15616321262386748</v>
      </c>
      <c r="AF256">
        <v>1.581750100100257E-4</v>
      </c>
      <c r="AG256">
        <v>3.7810980486050616E-4</v>
      </c>
      <c r="AH256">
        <v>8.1437874355862064E-4</v>
      </c>
      <c r="AI256">
        <v>9.2929217319992735E-5</v>
      </c>
      <c r="AJ256">
        <v>2.6591718358453864E-4</v>
      </c>
      <c r="AK256">
        <v>9.6258240695284436E-3</v>
      </c>
      <c r="AL256">
        <v>1.8939168764562952E-5</v>
      </c>
      <c r="AM256">
        <v>3.0115388131274345E-5</v>
      </c>
      <c r="AN256">
        <v>3.7529790370778994E-4</v>
      </c>
      <c r="AO256">
        <v>9.0095824608802766E-4</v>
      </c>
      <c r="AP256">
        <v>2.0861356579252323E-3</v>
      </c>
      <c r="AQ256">
        <v>6.3995133910594714E-4</v>
      </c>
      <c r="AR256">
        <v>3.0198162877558098E-5</v>
      </c>
      <c r="AS256">
        <v>3.1339346345785583E-4</v>
      </c>
    </row>
    <row r="257" spans="3:45" x14ac:dyDescent="0.25">
      <c r="C257" s="36" t="s">
        <v>84</v>
      </c>
      <c r="D257">
        <v>1.6708600646232012E-4</v>
      </c>
      <c r="E257">
        <v>2.447178858231502E-2</v>
      </c>
      <c r="F257">
        <v>9.9806279013748972E-3</v>
      </c>
      <c r="G257">
        <v>3.5797964916124501E-3</v>
      </c>
      <c r="H257">
        <v>5.3263503501059545E-2</v>
      </c>
      <c r="I257">
        <v>2.091669377899095E-4</v>
      </c>
      <c r="J257">
        <v>4.8568745003896204E-4</v>
      </c>
      <c r="K257">
        <v>8.5751746723319415E-3</v>
      </c>
      <c r="L257">
        <v>6.2138692255618187E-3</v>
      </c>
      <c r="M257">
        <v>4.6542107738380931E-4</v>
      </c>
      <c r="N257">
        <v>8.0723966727506567E-4</v>
      </c>
      <c r="O257">
        <v>1.4311422314291933E-4</v>
      </c>
      <c r="P257">
        <v>3.9309316600321898E-3</v>
      </c>
      <c r="Q257">
        <v>6.0596393311603401E-2</v>
      </c>
      <c r="R257">
        <v>1.8267967874181893E-2</v>
      </c>
      <c r="S257">
        <v>0.18053954907978015</v>
      </c>
      <c r="T257">
        <v>5.0573192257574694E-3</v>
      </c>
      <c r="U257">
        <v>0.20322481807707482</v>
      </c>
      <c r="V257">
        <v>3.9085228158173705E-3</v>
      </c>
      <c r="W257">
        <v>2.4921628034740424E-2</v>
      </c>
      <c r="X257">
        <v>8.1225216350425705E-2</v>
      </c>
      <c r="Y257">
        <v>3.3100418919141485E-2</v>
      </c>
      <c r="Z257">
        <v>4.7562365220024654E-2</v>
      </c>
      <c r="AA257">
        <v>7.6550269494131329E-3</v>
      </c>
      <c r="AB257">
        <v>3.527633562317318E-4</v>
      </c>
      <c r="AC257">
        <v>1.3579661487471955E-3</v>
      </c>
      <c r="AD257">
        <v>1.6978584240556686E-3</v>
      </c>
      <c r="AE257">
        <v>9.3647694651033578E-2</v>
      </c>
      <c r="AF257">
        <v>5.3560923012348689E-6</v>
      </c>
      <c r="AG257">
        <v>4.8457575583860996E-4</v>
      </c>
      <c r="AH257">
        <v>4.0569591904935465E-6</v>
      </c>
      <c r="AI257">
        <v>6.180019337642213E-6</v>
      </c>
      <c r="AJ257">
        <v>1.1964649466467988E-6</v>
      </c>
      <c r="AK257">
        <v>7.3641377660942108E-4</v>
      </c>
      <c r="AL257">
        <v>8.8801250747307119E-9</v>
      </c>
      <c r="AM257">
        <v>1.686176333610909E-6</v>
      </c>
      <c r="AN257">
        <v>6.1362794854957921E-4</v>
      </c>
      <c r="AO257">
        <v>1.4895716645704757E-4</v>
      </c>
      <c r="AP257">
        <v>4.8517923799547035E-5</v>
      </c>
      <c r="AQ257">
        <v>6.3231257319951834E-7</v>
      </c>
      <c r="AR257">
        <v>5.1124697224434631E-6</v>
      </c>
      <c r="AS257">
        <v>2.6918771274441736E-5</v>
      </c>
    </row>
    <row r="258" spans="3:45" x14ac:dyDescent="0.25">
      <c r="C258" s="36" t="s">
        <v>85</v>
      </c>
      <c r="D258">
        <v>6.032843581573568E-6</v>
      </c>
      <c r="E258">
        <v>5.9193323718491887E-5</v>
      </c>
      <c r="F258">
        <v>1.9095577644467781E-6</v>
      </c>
      <c r="G258">
        <v>2.0698244390331801E-3</v>
      </c>
      <c r="H258">
        <v>7.4141902936043762E-3</v>
      </c>
      <c r="I258">
        <v>7.8737716256548106E-5</v>
      </c>
      <c r="J258">
        <v>2.6273427113721401E-4</v>
      </c>
      <c r="K258">
        <v>3.0820764608087254E-3</v>
      </c>
      <c r="L258">
        <v>2.5989759631326326E-2</v>
      </c>
      <c r="M258">
        <v>3.3352660581110098E-5</v>
      </c>
      <c r="N258">
        <v>9.102609124630609E-3</v>
      </c>
      <c r="O258">
        <v>3.6077624874614319E-4</v>
      </c>
      <c r="P258">
        <v>5.5490981761985563E-3</v>
      </c>
      <c r="Q258">
        <v>2.9634237440402288E-2</v>
      </c>
      <c r="R258">
        <v>8.907355113645099E-3</v>
      </c>
      <c r="S258">
        <v>1.1198067739243638E-2</v>
      </c>
      <c r="T258">
        <v>0.3382207051154687</v>
      </c>
      <c r="U258">
        <v>8.5039090260797964E-2</v>
      </c>
      <c r="V258">
        <v>2.3954611630028693E-2</v>
      </c>
      <c r="W258">
        <v>0.16610999762447021</v>
      </c>
      <c r="X258">
        <v>6.3856152003942526E-2</v>
      </c>
      <c r="Y258">
        <v>4.4231240997366507E-2</v>
      </c>
      <c r="Z258">
        <v>4.3920708194425055E-2</v>
      </c>
      <c r="AA258">
        <v>2.8850440983681745E-2</v>
      </c>
      <c r="AB258">
        <v>1.0629031434102036E-4</v>
      </c>
      <c r="AC258">
        <v>8.6162309316906015E-6</v>
      </c>
      <c r="AD258">
        <v>1.28731753802423E-4</v>
      </c>
      <c r="AE258">
        <v>3.381477145874748E-3</v>
      </c>
      <c r="AF258">
        <v>1.4061945758374857E-5</v>
      </c>
      <c r="AG258">
        <v>5.2237414792317344E-5</v>
      </c>
      <c r="AH258">
        <v>7.7051140344346084E-6</v>
      </c>
      <c r="AI258">
        <v>0</v>
      </c>
      <c r="AJ258">
        <v>1.5566430188450994E-6</v>
      </c>
      <c r="AK258">
        <v>6.7449456142684347E-4</v>
      </c>
      <c r="AL258">
        <v>0</v>
      </c>
      <c r="AM258">
        <v>0</v>
      </c>
      <c r="AN258">
        <v>1.6038154881672559E-4</v>
      </c>
      <c r="AO258">
        <v>5.2945242994311578E-12</v>
      </c>
      <c r="AP258">
        <v>7.6966040532453053E-5</v>
      </c>
      <c r="AQ258">
        <v>2.0279988493088365E-6</v>
      </c>
      <c r="AR258">
        <v>1.9345049696094813E-6</v>
      </c>
      <c r="AS258">
        <v>4.3989052997113373E-4</v>
      </c>
    </row>
    <row r="259" spans="3:45" x14ac:dyDescent="0.25">
      <c r="C259" s="36" t="s">
        <v>86</v>
      </c>
      <c r="D259">
        <v>6.07317095608763E-4</v>
      </c>
      <c r="E259">
        <v>2.8601691854760278E-2</v>
      </c>
      <c r="F259">
        <v>4.3315286237443983E-4</v>
      </c>
      <c r="G259">
        <v>2.1193210614601454E-2</v>
      </c>
      <c r="H259">
        <v>2.8499861631864822E-2</v>
      </c>
      <c r="I259">
        <v>2.7665062532058688E-3</v>
      </c>
      <c r="J259">
        <v>2.8074042692015173E-3</v>
      </c>
      <c r="K259">
        <v>2.2804084478152888E-2</v>
      </c>
      <c r="L259">
        <v>1.3823622702343736E-2</v>
      </c>
      <c r="M259">
        <v>8.8094076435533692E-4</v>
      </c>
      <c r="N259">
        <v>3.70666655860326E-3</v>
      </c>
      <c r="O259">
        <v>3.9618039011621344E-3</v>
      </c>
      <c r="P259">
        <v>1.361482628313463E-2</v>
      </c>
      <c r="Q259">
        <v>4.1686843723122181E-2</v>
      </c>
      <c r="R259">
        <v>2.2686022376466775E-2</v>
      </c>
      <c r="S259">
        <v>1.7507705585030515E-3</v>
      </c>
      <c r="T259">
        <v>1.9787579018148774E-3</v>
      </c>
      <c r="U259">
        <v>0.13186173410121491</v>
      </c>
      <c r="V259">
        <v>1.4047254123005771E-2</v>
      </c>
      <c r="W259">
        <v>3.6220124554264613E-2</v>
      </c>
      <c r="X259">
        <v>5.0999916253250913E-2</v>
      </c>
      <c r="Y259">
        <v>2.0674023725977975E-2</v>
      </c>
      <c r="Z259">
        <v>3.3722022019525878E-2</v>
      </c>
      <c r="AA259">
        <v>1.5256503237892885E-2</v>
      </c>
      <c r="AB259">
        <v>3.8724275620821832E-4</v>
      </c>
      <c r="AC259">
        <v>4.4531273203518053E-4</v>
      </c>
      <c r="AD259">
        <v>2.0370332814936946E-2</v>
      </c>
      <c r="AE259">
        <v>4.5392370533244068E-2</v>
      </c>
      <c r="AF259">
        <v>1.9055745959216958E-4</v>
      </c>
      <c r="AG259">
        <v>2.5684033960470028E-3</v>
      </c>
      <c r="AH259">
        <v>8.7513128985168749E-4</v>
      </c>
      <c r="AI259">
        <v>6.0995656957646286E-4</v>
      </c>
      <c r="AJ259">
        <v>2.5631577593597705E-2</v>
      </c>
      <c r="AK259">
        <v>2.4108920145825923E-2</v>
      </c>
      <c r="AL259">
        <v>6.9369947293661772E-5</v>
      </c>
      <c r="AM259">
        <v>1.1021444571198851E-3</v>
      </c>
      <c r="AN259">
        <v>2.524118987709743E-2</v>
      </c>
      <c r="AO259">
        <v>2.2977051403907777E-3</v>
      </c>
      <c r="AP259">
        <v>1.400160896944949E-3</v>
      </c>
      <c r="AQ259">
        <v>1.0561035439226665E-4</v>
      </c>
      <c r="AR259">
        <v>9.6240314053087125E-4</v>
      </c>
      <c r="AS259">
        <v>1.0802549135828586E-2</v>
      </c>
    </row>
    <row r="260" spans="3:45" x14ac:dyDescent="0.25">
      <c r="C260" s="36" t="s">
        <v>92</v>
      </c>
      <c r="D260">
        <v>1.6201521696014164E-4</v>
      </c>
      <c r="E260">
        <v>9.9865740776720804E-4</v>
      </c>
      <c r="F260">
        <v>5.2515498081023727E-3</v>
      </c>
      <c r="G260">
        <v>4.8888722116892651E-4</v>
      </c>
      <c r="H260">
        <v>1.2072894897007733E-2</v>
      </c>
      <c r="I260">
        <v>3.8845257896171908E-4</v>
      </c>
      <c r="J260">
        <v>3.5139393380662027E-4</v>
      </c>
      <c r="K260">
        <v>2.8116724049579637E-4</v>
      </c>
      <c r="L260">
        <v>3.1643737934586853E-3</v>
      </c>
      <c r="M260">
        <v>1.7793027206142297E-3</v>
      </c>
      <c r="N260">
        <v>8.1732020547900953E-4</v>
      </c>
      <c r="O260">
        <v>1.043244390018738E-3</v>
      </c>
      <c r="P260">
        <v>2.1834944017293904E-3</v>
      </c>
      <c r="Q260">
        <v>4.5394841555648227E-2</v>
      </c>
      <c r="R260">
        <v>1.0724171477574267E-3</v>
      </c>
      <c r="S260">
        <v>8.8774319967680924E-4</v>
      </c>
      <c r="T260">
        <v>1.9588555330677355E-4</v>
      </c>
      <c r="U260">
        <v>1.2088462248021703E-3</v>
      </c>
      <c r="V260">
        <v>0.3305817991769523</v>
      </c>
      <c r="W260">
        <v>5.0208642427798544E-2</v>
      </c>
      <c r="X260">
        <v>3.0991535963381986E-2</v>
      </c>
      <c r="Y260">
        <v>1.5466994736143902E-2</v>
      </c>
      <c r="Z260">
        <v>3.4928514883417271E-2</v>
      </c>
      <c r="AA260">
        <v>9.1264449517000756E-3</v>
      </c>
      <c r="AB260">
        <v>1.6163881197877223E-2</v>
      </c>
      <c r="AC260">
        <v>1.4501850161338585E-3</v>
      </c>
      <c r="AD260">
        <v>2.1073915826309809E-3</v>
      </c>
      <c r="AE260">
        <v>3.0448085508550608E-3</v>
      </c>
      <c r="AF260">
        <v>3.6188044558357569E-3</v>
      </c>
      <c r="AG260">
        <v>3.697159667330128E-3</v>
      </c>
      <c r="AH260">
        <v>1.7714809121734227E-3</v>
      </c>
      <c r="AI260">
        <v>3.8163180103747245E-2</v>
      </c>
      <c r="AJ260">
        <v>1.5072852366423847E-2</v>
      </c>
      <c r="AK260">
        <v>4.5744324171739216E-2</v>
      </c>
      <c r="AL260">
        <v>6.1691746071108465E-4</v>
      </c>
      <c r="AM260">
        <v>2.7269160396182221E-4</v>
      </c>
      <c r="AN260">
        <v>6.0089326841615352E-2</v>
      </c>
      <c r="AO260">
        <v>4.700512030346952E-3</v>
      </c>
      <c r="AP260">
        <v>7.1476862495592477E-3</v>
      </c>
      <c r="AQ260">
        <v>1.5648663228036714E-3</v>
      </c>
      <c r="AR260">
        <v>4.6646971507545926E-3</v>
      </c>
      <c r="AS260">
        <v>2.7737517239900152E-2</v>
      </c>
    </row>
    <row r="261" spans="3:45" x14ac:dyDescent="0.25">
      <c r="C261" s="36" t="s">
        <v>149</v>
      </c>
      <c r="D261">
        <v>1.3550616658210266E-4</v>
      </c>
      <c r="E261">
        <v>3.4229322628578792E-3</v>
      </c>
      <c r="F261">
        <v>8.7395802046896754E-4</v>
      </c>
      <c r="G261">
        <v>4.6275902270659945E-3</v>
      </c>
      <c r="H261">
        <v>4.8096344396277085E-3</v>
      </c>
      <c r="I261">
        <v>4.7648597406336639E-4</v>
      </c>
      <c r="J261">
        <v>5.9669690592989563E-4</v>
      </c>
      <c r="K261">
        <v>9.8537009093461092E-4</v>
      </c>
      <c r="L261">
        <v>2.3058301934227418E-3</v>
      </c>
      <c r="M261">
        <v>4.0321132798214172E-4</v>
      </c>
      <c r="N261">
        <v>8.7744282198531866E-4</v>
      </c>
      <c r="O261">
        <v>3.8154698181507073E-4</v>
      </c>
      <c r="P261">
        <v>2.927663033675326E-3</v>
      </c>
      <c r="Q261">
        <v>4.1045420241435336E-2</v>
      </c>
      <c r="R261">
        <v>1.8024144224258452E-3</v>
      </c>
      <c r="S261">
        <v>7.5546940531383115E-4</v>
      </c>
      <c r="T261">
        <v>4.68757555664398E-4</v>
      </c>
      <c r="U261">
        <v>2.1405122831886247E-3</v>
      </c>
      <c r="V261">
        <v>4.3579738777832826E-2</v>
      </c>
      <c r="W261">
        <v>0.15366024313372936</v>
      </c>
      <c r="X261">
        <v>5.2515366056751056E-2</v>
      </c>
      <c r="Y261">
        <v>2.1924727532902324E-2</v>
      </c>
      <c r="Z261">
        <v>9.5505533497975484E-2</v>
      </c>
      <c r="AA261">
        <v>1.1453456898238215E-2</v>
      </c>
      <c r="AB261">
        <v>5.5457021408552687E-2</v>
      </c>
      <c r="AC261">
        <v>8.8905469698180594E-4</v>
      </c>
      <c r="AD261">
        <v>1.8324193352265553E-3</v>
      </c>
      <c r="AE261">
        <v>2.9802557822668555E-2</v>
      </c>
      <c r="AF261">
        <v>8.8573824947750547E-3</v>
      </c>
      <c r="AG261">
        <v>3.9628048653152382E-3</v>
      </c>
      <c r="AH261">
        <v>1.1033515057291248E-3</v>
      </c>
      <c r="AI261">
        <v>1.0038236793750186E-2</v>
      </c>
      <c r="AJ261">
        <v>1.2085770597624616E-2</v>
      </c>
      <c r="AK261">
        <v>2.8853798019625568E-2</v>
      </c>
      <c r="AL261">
        <v>8.1990314489914883E-5</v>
      </c>
      <c r="AM261">
        <v>4.9700675991105928E-5</v>
      </c>
      <c r="AN261">
        <v>1.7328563490155619E-2</v>
      </c>
      <c r="AO261">
        <v>3.2862055618320821E-3</v>
      </c>
      <c r="AP261">
        <v>1.6128893472345678E-4</v>
      </c>
      <c r="AQ261">
        <v>8.7791878542939491E-4</v>
      </c>
      <c r="AR261">
        <v>6.1417501039675345E-4</v>
      </c>
      <c r="AS261">
        <v>9.8906781830469456E-3</v>
      </c>
    </row>
    <row r="262" spans="3:45" x14ac:dyDescent="0.25">
      <c r="C262" s="36" t="s">
        <v>87</v>
      </c>
      <c r="D262">
        <v>5.3773792088675925E-4</v>
      </c>
      <c r="E262">
        <v>1.074347993140185E-2</v>
      </c>
      <c r="F262">
        <v>5.7480130267574337E-3</v>
      </c>
      <c r="G262">
        <v>1.1650358389784449E-2</v>
      </c>
      <c r="H262">
        <v>5.0158891326399328E-3</v>
      </c>
      <c r="I262">
        <v>1.0324794607805075E-3</v>
      </c>
      <c r="J262">
        <v>2.145423736043278E-3</v>
      </c>
      <c r="K262">
        <v>4.2785841185160574E-3</v>
      </c>
      <c r="L262">
        <v>3.1083477988766259E-3</v>
      </c>
      <c r="M262">
        <v>5.2990999766122709E-3</v>
      </c>
      <c r="N262">
        <v>4.6961566493700377E-3</v>
      </c>
      <c r="O262">
        <v>1.6268441899058511E-3</v>
      </c>
      <c r="P262">
        <v>2.7648342689432083E-3</v>
      </c>
      <c r="Q262">
        <v>8.1294002962602696E-2</v>
      </c>
      <c r="R262">
        <v>1.3539080103599594E-2</v>
      </c>
      <c r="S262">
        <v>1.0020703076239066E-2</v>
      </c>
      <c r="T262">
        <v>1.6067878581733969E-3</v>
      </c>
      <c r="U262">
        <v>2.2875594964853904E-2</v>
      </c>
      <c r="V262">
        <v>6.7547593591470532E-3</v>
      </c>
      <c r="W262">
        <v>3.060595950799094E-2</v>
      </c>
      <c r="X262">
        <v>0.1891513519417343</v>
      </c>
      <c r="Y262">
        <v>3.2336592729047757E-2</v>
      </c>
      <c r="Z262">
        <v>6.410717512563828E-2</v>
      </c>
      <c r="AA262">
        <v>1.1682642876663195E-2</v>
      </c>
      <c r="AB262">
        <v>3.4893441684829222E-3</v>
      </c>
      <c r="AC262">
        <v>1.7547796736038072E-3</v>
      </c>
      <c r="AD262">
        <v>3.2765564883453619E-3</v>
      </c>
      <c r="AE262">
        <v>6.5443900664875227E-3</v>
      </c>
      <c r="AF262">
        <v>1.4405294644448372E-4</v>
      </c>
      <c r="AG262">
        <v>7.4743812778019529E-3</v>
      </c>
      <c r="AH262">
        <v>6.1194871610255753E-4</v>
      </c>
      <c r="AI262">
        <v>3.7113926338077014E-4</v>
      </c>
      <c r="AJ262">
        <v>2.7395028846657812E-4</v>
      </c>
      <c r="AK262">
        <v>8.3048622850391963E-4</v>
      </c>
      <c r="AL262">
        <v>4.6582395723384804E-4</v>
      </c>
      <c r="AM262">
        <v>2.5670056631262652E-4</v>
      </c>
      <c r="AN262">
        <v>1.2322598360394079E-3</v>
      </c>
      <c r="AO262">
        <v>3.6778387486839859E-4</v>
      </c>
      <c r="AP262">
        <v>1.0833278941500006E-3</v>
      </c>
      <c r="AQ262">
        <v>1.9136974728894214E-4</v>
      </c>
      <c r="AR262">
        <v>2.950053250294551E-4</v>
      </c>
      <c r="AS262">
        <v>3.8764673499822321E-4</v>
      </c>
    </row>
    <row r="263" spans="3:45" x14ac:dyDescent="0.25">
      <c r="C263" s="36" t="s">
        <v>89</v>
      </c>
      <c r="D263">
        <v>9.8295100467924649E-4</v>
      </c>
      <c r="E263">
        <v>7.8549701188253892E-4</v>
      </c>
      <c r="F263">
        <v>1.5381977039486251E-4</v>
      </c>
      <c r="G263">
        <v>4.9091346491694603E-3</v>
      </c>
      <c r="H263">
        <v>6.9268573086477079E-3</v>
      </c>
      <c r="I263">
        <v>1.2964701170786673E-4</v>
      </c>
      <c r="J263">
        <v>3.111331469946588E-4</v>
      </c>
      <c r="K263">
        <v>4.1651684068684655E-4</v>
      </c>
      <c r="L263">
        <v>4.1508334070123725E-4</v>
      </c>
      <c r="M263">
        <v>2.5331540377700057E-5</v>
      </c>
      <c r="N263">
        <v>3.982373466358632E-4</v>
      </c>
      <c r="O263">
        <v>1.0923901237649271E-4</v>
      </c>
      <c r="P263">
        <v>4.1940453414082696E-4</v>
      </c>
      <c r="Q263">
        <v>2.1222261041991267E-2</v>
      </c>
      <c r="R263">
        <v>3.0047538744255595E-3</v>
      </c>
      <c r="S263">
        <v>2.5446508886769765E-4</v>
      </c>
      <c r="T263">
        <v>1.0741249608925986E-4</v>
      </c>
      <c r="U263">
        <v>1.0620451774564384E-3</v>
      </c>
      <c r="V263">
        <v>5.432172291428331E-4</v>
      </c>
      <c r="W263">
        <v>1.7903897184134651E-3</v>
      </c>
      <c r="X263">
        <v>1.3186255573929689E-2</v>
      </c>
      <c r="Y263">
        <v>0.3123903992642495</v>
      </c>
      <c r="Z263">
        <v>5.8884443370787239E-3</v>
      </c>
      <c r="AA263">
        <v>1.6512052310406543E-3</v>
      </c>
      <c r="AB263">
        <v>7.832075982498915E-5</v>
      </c>
      <c r="AC263">
        <v>1.2114601263098549E-4</v>
      </c>
      <c r="AD263">
        <v>2.3484078184108975E-4</v>
      </c>
      <c r="AE263">
        <v>3.6105092760343202E-4</v>
      </c>
      <c r="AF263">
        <v>7.3680028864998065E-5</v>
      </c>
      <c r="AG263">
        <v>5.4242521490994206E-2</v>
      </c>
      <c r="AH263">
        <v>1.0147225949482138E-3</v>
      </c>
      <c r="AI263">
        <v>2.5024358474927551E-4</v>
      </c>
      <c r="AJ263">
        <v>3.1208948251615444E-2</v>
      </c>
      <c r="AK263">
        <v>1.4300024279733049E-3</v>
      </c>
      <c r="AL263">
        <v>2.1845862887150084E-4</v>
      </c>
      <c r="AM263">
        <v>2.468595305491367E-5</v>
      </c>
      <c r="AN263">
        <v>6.1262973358897207E-3</v>
      </c>
      <c r="AO263">
        <v>4.1761087076105652E-3</v>
      </c>
      <c r="AP263">
        <v>2.0081261732696521E-4</v>
      </c>
      <c r="AQ263">
        <v>8.277091781133905E-5</v>
      </c>
      <c r="AR263">
        <v>5.4306585249096228E-4</v>
      </c>
      <c r="AS263">
        <v>2.4938458646958424E-2</v>
      </c>
    </row>
    <row r="264" spans="3:45" x14ac:dyDescent="0.25">
      <c r="C264" s="36" t="s">
        <v>90</v>
      </c>
      <c r="D264">
        <v>1.1438611136173162E-3</v>
      </c>
      <c r="E264">
        <v>5.4491264658453867E-4</v>
      </c>
      <c r="F264">
        <v>2.8569121838051692E-5</v>
      </c>
      <c r="G264">
        <v>3.2682229156731109E-4</v>
      </c>
      <c r="H264">
        <v>2.2019977937423607E-4</v>
      </c>
      <c r="I264">
        <v>4.7314710012543538E-5</v>
      </c>
      <c r="J264">
        <v>8.5568815302901815E-5</v>
      </c>
      <c r="K264">
        <v>2.451411012028311E-4</v>
      </c>
      <c r="L264">
        <v>1.4516092690968315E-4</v>
      </c>
      <c r="M264">
        <v>9.7593259588450818E-5</v>
      </c>
      <c r="N264">
        <v>1.6644795564116878E-4</v>
      </c>
      <c r="O264">
        <v>1.3012796331255327E-4</v>
      </c>
      <c r="P264">
        <v>6.3290998602903126E-5</v>
      </c>
      <c r="Q264">
        <v>3.8032970716979997E-3</v>
      </c>
      <c r="R264">
        <v>7.9654827001619441E-5</v>
      </c>
      <c r="S264">
        <v>5.1425138813755646E-5</v>
      </c>
      <c r="T264">
        <v>3.0754711013036953E-6</v>
      </c>
      <c r="U264">
        <v>1.1822444365722872E-4</v>
      </c>
      <c r="V264">
        <v>2.3011011075273088E-4</v>
      </c>
      <c r="W264">
        <v>5.5466621634409595E-4</v>
      </c>
      <c r="X264">
        <v>3.5185003058293748E-3</v>
      </c>
      <c r="Y264">
        <v>7.4796710636945891E-4</v>
      </c>
      <c r="Z264">
        <v>0.15795710447283737</v>
      </c>
      <c r="AA264">
        <v>1.2897521814559091E-2</v>
      </c>
      <c r="AB264">
        <v>2.8626719935128997E-6</v>
      </c>
      <c r="AC264">
        <v>3.3376754563309114E-5</v>
      </c>
      <c r="AD264">
        <v>7.6769033224605125E-5</v>
      </c>
      <c r="AE264">
        <v>4.3757432888005533E-4</v>
      </c>
      <c r="AF264">
        <v>2.1053952339129804E-5</v>
      </c>
      <c r="AG264">
        <v>1.3676848514216643E-2</v>
      </c>
      <c r="AH264">
        <v>1.2853388560592376E-5</v>
      </c>
      <c r="AI264">
        <v>9.4026418691233591E-6</v>
      </c>
      <c r="AJ264">
        <v>2.9837331516757049E-5</v>
      </c>
      <c r="AK264">
        <v>3.9307491192418827E-4</v>
      </c>
      <c r="AL264">
        <v>2.8759782512156648E-5</v>
      </c>
      <c r="AM264">
        <v>1.8674869730363656E-6</v>
      </c>
      <c r="AN264">
        <v>2.8611464494796506E-4</v>
      </c>
      <c r="AO264">
        <v>6.4804928591341647E-4</v>
      </c>
      <c r="AP264">
        <v>3.1804191293386895E-5</v>
      </c>
      <c r="AQ264">
        <v>3.9475560724273596E-4</v>
      </c>
      <c r="AR264">
        <v>1.1262509803589293E-4</v>
      </c>
      <c r="AS264">
        <v>1.4101736309943118E-2</v>
      </c>
    </row>
    <row r="265" spans="3:45" x14ac:dyDescent="0.25">
      <c r="C265" s="36" t="s">
        <v>93</v>
      </c>
      <c r="D265">
        <v>1.2185648418584622E-4</v>
      </c>
      <c r="E265">
        <v>1.6991614892630936E-3</v>
      </c>
      <c r="F265">
        <v>1.3435764602332389E-3</v>
      </c>
      <c r="G265">
        <v>1.0134058460540109E-3</v>
      </c>
      <c r="H265">
        <v>6.5095613536054987E-3</v>
      </c>
      <c r="I265">
        <v>5.1255254063163787E-4</v>
      </c>
      <c r="J265">
        <v>1.7763497784827494E-3</v>
      </c>
      <c r="K265">
        <v>8.9971391058366241E-4</v>
      </c>
      <c r="L265">
        <v>1.9029283589970032E-2</v>
      </c>
      <c r="M265">
        <v>1.3562574167365685E-3</v>
      </c>
      <c r="N265">
        <v>2.3966994479320985E-3</v>
      </c>
      <c r="O265">
        <v>3.7385675171430234E-4</v>
      </c>
      <c r="P265">
        <v>8.0935871048004992E-3</v>
      </c>
      <c r="Q265">
        <v>2.1901647032361452E-3</v>
      </c>
      <c r="R265">
        <v>4.8777891196282079E-3</v>
      </c>
      <c r="S265">
        <v>7.6511125591697579E-2</v>
      </c>
      <c r="T265">
        <v>2.6078893966138928E-2</v>
      </c>
      <c r="U265">
        <v>1.6371200679524991E-2</v>
      </c>
      <c r="V265">
        <v>1.236514667095671E-3</v>
      </c>
      <c r="W265">
        <v>1.3464059056691646E-3</v>
      </c>
      <c r="X265">
        <v>1.6274473687102929E-3</v>
      </c>
      <c r="Y265">
        <v>1.1820817783286825E-3</v>
      </c>
      <c r="Z265">
        <v>3.8676217042713261E-3</v>
      </c>
      <c r="AA265">
        <v>7.9101934516508571E-2</v>
      </c>
      <c r="AB265">
        <v>5.1619291724331771E-3</v>
      </c>
      <c r="AC265">
        <v>1.8768370301148491E-3</v>
      </c>
      <c r="AD265">
        <v>2.1575183354342153E-3</v>
      </c>
      <c r="AE265">
        <v>1.3370596142450453E-3</v>
      </c>
      <c r="AF265">
        <v>8.7907881981538243E-5</v>
      </c>
      <c r="AG265">
        <v>1.156443915477924E-3</v>
      </c>
      <c r="AH265">
        <v>4.6785490527799224E-4</v>
      </c>
      <c r="AI265">
        <v>4.7245819430916493E-4</v>
      </c>
      <c r="AJ265">
        <v>9.1629740716251511E-3</v>
      </c>
      <c r="AK265">
        <v>7.5880938004194301E-3</v>
      </c>
      <c r="AL265">
        <v>5.7965483325940785E-5</v>
      </c>
      <c r="AM265">
        <v>1.188415227856015E-3</v>
      </c>
      <c r="AN265">
        <v>1.0310018319736219E-2</v>
      </c>
      <c r="AO265">
        <v>1.5026118605730547E-3</v>
      </c>
      <c r="AP265">
        <v>4.918446817977249E-4</v>
      </c>
      <c r="AQ265">
        <v>4.264034975574751E-4</v>
      </c>
      <c r="AR265">
        <v>3.9581068322526855E-3</v>
      </c>
      <c r="AS265">
        <v>7.0303836745975639E-3</v>
      </c>
    </row>
    <row r="266" spans="3:45" x14ac:dyDescent="0.25">
      <c r="C266" s="36" t="s">
        <v>94</v>
      </c>
      <c r="D266">
        <v>7.9828549916964777E-3</v>
      </c>
      <c r="E266">
        <v>3.6118803439570378E-2</v>
      </c>
      <c r="F266">
        <v>3.553969608787113E-2</v>
      </c>
      <c r="G266">
        <v>7.539146833998879E-2</v>
      </c>
      <c r="H266">
        <v>2.3766355703551345E-2</v>
      </c>
      <c r="I266">
        <v>6.6613291810960875E-3</v>
      </c>
      <c r="J266">
        <v>1.2239016185801985E-2</v>
      </c>
      <c r="K266">
        <v>1.9583451091698494E-2</v>
      </c>
      <c r="L266">
        <v>1.8229837463526997E-2</v>
      </c>
      <c r="M266">
        <v>2.1784597066960395E-2</v>
      </c>
      <c r="N266">
        <v>4.8506627273784735E-2</v>
      </c>
      <c r="O266">
        <v>1.4970923664006021E-2</v>
      </c>
      <c r="P266">
        <v>1.7947693367489134E-2</v>
      </c>
      <c r="Q266">
        <v>1.5039787301457651E-2</v>
      </c>
      <c r="R266">
        <v>4.9800075430876459E-2</v>
      </c>
      <c r="S266">
        <v>5.086140772859353E-2</v>
      </c>
      <c r="T266">
        <v>5.4679515427770796E-2</v>
      </c>
      <c r="U266">
        <v>4.55035310406827E-2</v>
      </c>
      <c r="V266">
        <v>9.676897686730121E-3</v>
      </c>
      <c r="W266">
        <v>1.1896145078157356E-2</v>
      </c>
      <c r="X266">
        <v>1.6955560030006187E-2</v>
      </c>
      <c r="Y266">
        <v>8.1936242786570003E-3</v>
      </c>
      <c r="Z266">
        <v>1.030826376688922E-2</v>
      </c>
      <c r="AA266">
        <v>1.2327714883038274E-2</v>
      </c>
      <c r="AB266">
        <v>0.29696309019917433</v>
      </c>
      <c r="AC266">
        <v>2.4472538659977901E-2</v>
      </c>
      <c r="AD266">
        <v>0.12725335696478637</v>
      </c>
      <c r="AE266">
        <v>1.4606316936129555E-2</v>
      </c>
      <c r="AF266">
        <v>8.4422726453395932E-3</v>
      </c>
      <c r="AG266">
        <v>1.3806790629020427E-2</v>
      </c>
      <c r="AH266">
        <v>9.654156205039538E-3</v>
      </c>
      <c r="AI266">
        <v>9.8270953211576917E-3</v>
      </c>
      <c r="AJ266">
        <v>3.9320726047950231E-3</v>
      </c>
      <c r="AK266">
        <v>1.3369527538933678E-2</v>
      </c>
      <c r="AL266">
        <v>3.5313532188286463E-3</v>
      </c>
      <c r="AM266">
        <v>4.2658996489359155E-3</v>
      </c>
      <c r="AN266">
        <v>4.7882971112467162E-3</v>
      </c>
      <c r="AO266">
        <v>1.1298733558584784E-2</v>
      </c>
      <c r="AP266">
        <v>6.4635228496582051E-3</v>
      </c>
      <c r="AQ266">
        <v>6.3792233582956031E-3</v>
      </c>
      <c r="AR266">
        <v>1.0052225650792137E-2</v>
      </c>
      <c r="AS266">
        <v>1.140385482326396E-2</v>
      </c>
    </row>
    <row r="267" spans="3:45" x14ac:dyDescent="0.25">
      <c r="C267" s="36" t="s">
        <v>95</v>
      </c>
      <c r="D267">
        <v>1.1919854259951213E-4</v>
      </c>
      <c r="E267">
        <v>1.2294692579019328E-4</v>
      </c>
      <c r="F267">
        <v>1.9946132885387464E-4</v>
      </c>
      <c r="G267">
        <v>1.1992916215124458E-4</v>
      </c>
      <c r="H267">
        <v>3.2820220527190287E-3</v>
      </c>
      <c r="I267">
        <v>3.5429612821080562E-4</v>
      </c>
      <c r="J267">
        <v>2.4796353890182765E-4</v>
      </c>
      <c r="K267">
        <v>9.8733721120252817E-5</v>
      </c>
      <c r="L267">
        <v>6.5704938112229739E-4</v>
      </c>
      <c r="M267">
        <v>1.9975024739186929E-3</v>
      </c>
      <c r="N267">
        <v>2.3513509415451768E-3</v>
      </c>
      <c r="O267">
        <v>1.0760194583241328E-5</v>
      </c>
      <c r="P267">
        <v>1.4065969745736759E-5</v>
      </c>
      <c r="Q267">
        <v>7.9101939528617598E-4</v>
      </c>
      <c r="R267">
        <v>3.2865667001281046E-4</v>
      </c>
      <c r="S267">
        <v>3.4209554447811656E-4</v>
      </c>
      <c r="T267">
        <v>1.331465121740506E-4</v>
      </c>
      <c r="U267">
        <v>8.4718776903372722E-4</v>
      </c>
      <c r="V267">
        <v>1.17515040744809E-4</v>
      </c>
      <c r="W267">
        <v>3.5881140706369379E-4</v>
      </c>
      <c r="X267">
        <v>3.4347759515786518E-4</v>
      </c>
      <c r="Y267">
        <v>1.4764743620480857E-4</v>
      </c>
      <c r="Z267">
        <v>8.7314393610195371E-4</v>
      </c>
      <c r="AA267">
        <v>2.5663144769181327E-3</v>
      </c>
      <c r="AB267">
        <v>2.8583958237567322E-3</v>
      </c>
      <c r="AC267">
        <v>0.12290009917320427</v>
      </c>
      <c r="AD267">
        <v>1.4187076587293971E-5</v>
      </c>
      <c r="AE267">
        <v>1.525946235651028E-5</v>
      </c>
      <c r="AF267">
        <v>7.2558118038802127E-5</v>
      </c>
      <c r="AG267">
        <v>1.6396034755574728E-2</v>
      </c>
      <c r="AH267">
        <v>5.9333311796565006E-3</v>
      </c>
      <c r="AI267">
        <v>8.2761774047288928E-5</v>
      </c>
      <c r="AJ267">
        <v>4.792331266182451E-4</v>
      </c>
      <c r="AK267">
        <v>7.8554023291010249E-4</v>
      </c>
      <c r="AL267">
        <v>2.4343691163563862E-5</v>
      </c>
      <c r="AM267">
        <v>1.8787675131342271E-3</v>
      </c>
      <c r="AN267">
        <v>4.0763895606465913E-4</v>
      </c>
      <c r="AO267">
        <v>3.8248691157275914E-4</v>
      </c>
      <c r="AP267">
        <v>1.0027457250570185E-3</v>
      </c>
      <c r="AQ267">
        <v>5.0771914012092876E-4</v>
      </c>
      <c r="AR267">
        <v>1.7966531736517183E-3</v>
      </c>
      <c r="AS267">
        <v>3.6872866458431464E-3</v>
      </c>
    </row>
    <row r="268" spans="3:45" x14ac:dyDescent="0.25">
      <c r="C268" s="36" t="s">
        <v>96</v>
      </c>
      <c r="D268">
        <v>3.1025837596234784E-5</v>
      </c>
      <c r="E268">
        <v>2.4188805843203566E-4</v>
      </c>
      <c r="F268">
        <v>6.1960218448248075E-4</v>
      </c>
      <c r="G268">
        <v>3.9011585798893035E-4</v>
      </c>
      <c r="H268">
        <v>7.5554908032439579E-4</v>
      </c>
      <c r="I268">
        <v>9.4046471539952815E-4</v>
      </c>
      <c r="J268">
        <v>3.7046145914598218E-4</v>
      </c>
      <c r="K268">
        <v>4.4597473740588318E-4</v>
      </c>
      <c r="L268">
        <v>6.373077657503603E-4</v>
      </c>
      <c r="M268">
        <v>3.6480970574334951E-4</v>
      </c>
      <c r="N268">
        <v>5.6252263671106742E-4</v>
      </c>
      <c r="O268">
        <v>7.836241865182349E-4</v>
      </c>
      <c r="P268">
        <v>4.2098477891464031E-4</v>
      </c>
      <c r="Q268">
        <v>4.790235971635285E-4</v>
      </c>
      <c r="R268">
        <v>7.2675234858791645E-4</v>
      </c>
      <c r="S268">
        <v>4.5877571749870322E-4</v>
      </c>
      <c r="T268">
        <v>2.1115372496029013E-4</v>
      </c>
      <c r="U268">
        <v>3.0256953457810307E-4</v>
      </c>
      <c r="V268">
        <v>4.4816003201899885E-4</v>
      </c>
      <c r="W268">
        <v>5.8144554912347986E-4</v>
      </c>
      <c r="X268">
        <v>6.3890706616437864E-4</v>
      </c>
      <c r="Y268">
        <v>2.3691864231500581E-4</v>
      </c>
      <c r="Z268">
        <v>7.7645060017721222E-4</v>
      </c>
      <c r="AA268">
        <v>1.109471117767757E-3</v>
      </c>
      <c r="AB268">
        <v>1.7642947260520579E-3</v>
      </c>
      <c r="AC268">
        <v>4.5050930347973627E-4</v>
      </c>
      <c r="AD268">
        <v>5.1450175481644086E-2</v>
      </c>
      <c r="AE268">
        <v>1.0118368730285868E-3</v>
      </c>
      <c r="AF268">
        <v>3.6840302847757989E-4</v>
      </c>
      <c r="AG268">
        <v>4.1381928912033163E-4</v>
      </c>
      <c r="AH268">
        <v>2.6893185880593989E-3</v>
      </c>
      <c r="AI268">
        <v>2.7940503109327139E-4</v>
      </c>
      <c r="AJ268">
        <v>1.2386029231603907E-4</v>
      </c>
      <c r="AK268">
        <v>2.183921394307967E-3</v>
      </c>
      <c r="AL268">
        <v>2.9904382904927571E-4</v>
      </c>
      <c r="AM268">
        <v>5.2166311785843537E-4</v>
      </c>
      <c r="AN268">
        <v>2.4209696815861466E-4</v>
      </c>
      <c r="AO268">
        <v>9.9571994150396068E-4</v>
      </c>
      <c r="AP268">
        <v>8.1782672567649449E-4</v>
      </c>
      <c r="AQ268">
        <v>6.3373469429920033E-4</v>
      </c>
      <c r="AR268">
        <v>1.7532638184018245E-3</v>
      </c>
      <c r="AS268">
        <v>1.4211480936032349E-3</v>
      </c>
    </row>
    <row r="269" spans="3:45" x14ac:dyDescent="0.25">
      <c r="C269" s="36" t="s">
        <v>97</v>
      </c>
      <c r="D269">
        <v>5.7549423786994289E-4</v>
      </c>
      <c r="E269">
        <v>5.804480509385173E-4</v>
      </c>
      <c r="F269">
        <v>2.6398285406625073E-4</v>
      </c>
      <c r="G269">
        <v>2.0398660567883279E-4</v>
      </c>
      <c r="H269">
        <v>2.9220541133504569E-4</v>
      </c>
      <c r="I269">
        <v>1.7168154603548112E-4</v>
      </c>
      <c r="J269">
        <v>2.9875935058382364E-4</v>
      </c>
      <c r="K269">
        <v>4.9871954118162198E-4</v>
      </c>
      <c r="L269">
        <v>3.43072828416428E-4</v>
      </c>
      <c r="M269">
        <v>1.2231615795366377E-4</v>
      </c>
      <c r="N269">
        <v>3.9621125179607866E-4</v>
      </c>
      <c r="O269">
        <v>2.0729835125665936E-4</v>
      </c>
      <c r="P269">
        <v>2.6119173482455654E-4</v>
      </c>
      <c r="Q269">
        <v>3.2127972271381457E-4</v>
      </c>
      <c r="R269">
        <v>2.2149090341089364E-4</v>
      </c>
      <c r="S269">
        <v>1.3951397180245217E-4</v>
      </c>
      <c r="T269">
        <v>1.4983694200190051E-4</v>
      </c>
      <c r="U269">
        <v>2.1675345327514591E-4</v>
      </c>
      <c r="V269">
        <v>5.6045634157098545E-4</v>
      </c>
      <c r="W269">
        <v>2.5767886165535818E-4</v>
      </c>
      <c r="X269">
        <v>5.8158167796581073E-4</v>
      </c>
      <c r="Y269">
        <v>1.9762807664181644E-4</v>
      </c>
      <c r="Z269">
        <v>3.0319023933408521E-4</v>
      </c>
      <c r="AA269">
        <v>5.44904949584036E-4</v>
      </c>
      <c r="AB269">
        <v>3.8234486559637617E-3</v>
      </c>
      <c r="AC269">
        <v>3.5116764828256451E-4</v>
      </c>
      <c r="AD269">
        <v>1.8529706487916582E-3</v>
      </c>
      <c r="AE269">
        <v>3.5862665677299503E-2</v>
      </c>
      <c r="AF269">
        <v>9.904902703182809E-4</v>
      </c>
      <c r="AG269">
        <v>1.6773035517506957E-3</v>
      </c>
      <c r="AH269">
        <v>2.0831880500972897E-3</v>
      </c>
      <c r="AI269">
        <v>9.8659088268337547E-4</v>
      </c>
      <c r="AJ269">
        <v>4.6223287245084928E-4</v>
      </c>
      <c r="AK269">
        <v>1.8289741819597612E-3</v>
      </c>
      <c r="AL269">
        <v>2.0214959808548391E-3</v>
      </c>
      <c r="AM269">
        <v>1.3281405265826704E-2</v>
      </c>
      <c r="AN269">
        <v>9.8813313588476176E-4</v>
      </c>
      <c r="AO269">
        <v>1.1959107858597901E-2</v>
      </c>
      <c r="AP269">
        <v>6.2219276800330537E-3</v>
      </c>
      <c r="AQ269">
        <v>2.1387471062053556E-3</v>
      </c>
      <c r="AR269">
        <v>6.3630365877631505E-3</v>
      </c>
      <c r="AS269">
        <v>1.7576095809834925E-3</v>
      </c>
    </row>
    <row r="270" spans="3:45" x14ac:dyDescent="0.25">
      <c r="C270" s="36" t="s">
        <v>98</v>
      </c>
      <c r="D270">
        <v>2.4364158529811605E-2</v>
      </c>
      <c r="E270">
        <v>2.5684773230793084E-2</v>
      </c>
      <c r="F270">
        <v>7.2002543387271658E-3</v>
      </c>
      <c r="G270">
        <v>2.1376949157751953E-2</v>
      </c>
      <c r="H270">
        <v>4.0075641094804056E-2</v>
      </c>
      <c r="I270">
        <v>6.5279139015505222E-2</v>
      </c>
      <c r="J270">
        <v>6.5248445381015804E-2</v>
      </c>
      <c r="K270">
        <v>9.0246348780159982E-2</v>
      </c>
      <c r="L270">
        <v>7.4555519448252769E-2</v>
      </c>
      <c r="M270">
        <v>2.6594220279878032E-2</v>
      </c>
      <c r="N270">
        <v>4.2062147786862673E-2</v>
      </c>
      <c r="O270">
        <v>6.6331441052623466E-2</v>
      </c>
      <c r="P270">
        <v>5.5046278327253964E-2</v>
      </c>
      <c r="Q270">
        <v>5.0590326411742506E-2</v>
      </c>
      <c r="R270">
        <v>5.0598934109726233E-2</v>
      </c>
      <c r="S270">
        <v>2.6464331168939828E-2</v>
      </c>
      <c r="T270">
        <v>2.5696324401839974E-2</v>
      </c>
      <c r="U270">
        <v>4.2688540987194788E-2</v>
      </c>
      <c r="V270">
        <v>5.0039732999407956E-2</v>
      </c>
      <c r="W270">
        <v>6.1238394848395439E-2</v>
      </c>
      <c r="X270">
        <v>5.1954584748516004E-2</v>
      </c>
      <c r="Y270">
        <v>7.659471167971979E-2</v>
      </c>
      <c r="Z270">
        <v>6.7746356848300104E-2</v>
      </c>
      <c r="AA270">
        <v>2.4400851086036714E-2</v>
      </c>
      <c r="AB270">
        <v>2.2089491754010884E-2</v>
      </c>
      <c r="AC270">
        <v>2.8323764830259609E-2</v>
      </c>
      <c r="AD270">
        <v>1.3904749288024919E-2</v>
      </c>
      <c r="AE270">
        <v>5.0022593138818558E-2</v>
      </c>
      <c r="AF270">
        <v>7.4915226340700825E-3</v>
      </c>
      <c r="AG270">
        <v>2.9567522367691442E-2</v>
      </c>
      <c r="AH270">
        <v>6.4899087083358217E-2</v>
      </c>
      <c r="AI270">
        <v>1.6444477699939272E-2</v>
      </c>
      <c r="AJ270">
        <v>3.6224248856842049E-2</v>
      </c>
      <c r="AK270">
        <v>3.1572821006458661E-2</v>
      </c>
      <c r="AL270">
        <v>4.6654547537414359E-3</v>
      </c>
      <c r="AM270">
        <v>3.1046593202044676E-3</v>
      </c>
      <c r="AN270">
        <v>2.6736951077795345E-2</v>
      </c>
      <c r="AO270">
        <v>1.6641479155213836E-2</v>
      </c>
      <c r="AP270">
        <v>1.1965333960454053E-2</v>
      </c>
      <c r="AQ270">
        <v>6.8482551792756585E-2</v>
      </c>
      <c r="AR270">
        <v>3.1045437432382243E-2</v>
      </c>
      <c r="AS270">
        <v>2.8245241427330453E-2</v>
      </c>
    </row>
    <row r="271" spans="3:45" x14ac:dyDescent="0.25">
      <c r="C271" s="36" t="s">
        <v>99</v>
      </c>
      <c r="D271">
        <v>1.8492195239791759E-2</v>
      </c>
      <c r="E271">
        <v>2.2455242397904744E-2</v>
      </c>
      <c r="F271">
        <v>5.9388093248014893E-3</v>
      </c>
      <c r="G271">
        <v>1.8487418977468598E-2</v>
      </c>
      <c r="H271">
        <v>2.1945451256366415E-2</v>
      </c>
      <c r="I271">
        <v>2.5902800805909797E-2</v>
      </c>
      <c r="J271">
        <v>3.9081918166243922E-2</v>
      </c>
      <c r="K271">
        <v>3.2677970512375462E-2</v>
      </c>
      <c r="L271">
        <v>2.9009501610654062E-2</v>
      </c>
      <c r="M271">
        <v>2.6404732876139394E-2</v>
      </c>
      <c r="N271">
        <v>3.5200858270050935E-2</v>
      </c>
      <c r="O271">
        <v>3.6072352512495305E-2</v>
      </c>
      <c r="P271">
        <v>3.7021425566012907E-2</v>
      </c>
      <c r="Q271">
        <v>3.5195188517691926E-2</v>
      </c>
      <c r="R271">
        <v>3.3387518933777539E-2</v>
      </c>
      <c r="S271">
        <v>2.8069703036459701E-2</v>
      </c>
      <c r="T271">
        <v>2.4288697124735859E-2</v>
      </c>
      <c r="U271">
        <v>2.8018105826755305E-2</v>
      </c>
      <c r="V271">
        <v>1.5053218185369841E-2</v>
      </c>
      <c r="W271">
        <v>3.0661510354589645E-2</v>
      </c>
      <c r="X271">
        <v>2.989733814353215E-2</v>
      </c>
      <c r="Y271">
        <v>3.3855556588880002E-2</v>
      </c>
      <c r="Z271">
        <v>2.7984753530621603E-2</v>
      </c>
      <c r="AA271">
        <v>1.4374132828007393E-2</v>
      </c>
      <c r="AB271">
        <v>1.780447058441996E-2</v>
      </c>
      <c r="AC271">
        <v>2.0084866505878117E-2</v>
      </c>
      <c r="AD271">
        <v>9.472706940429558E-3</v>
      </c>
      <c r="AE271">
        <v>2.6148966425366064E-2</v>
      </c>
      <c r="AF271">
        <v>5.8622695060429268E-2</v>
      </c>
      <c r="AG271">
        <v>0.13950814956982915</v>
      </c>
      <c r="AH271">
        <v>3.4156748723644811E-2</v>
      </c>
      <c r="AI271">
        <v>1.378549813886706E-2</v>
      </c>
      <c r="AJ271">
        <v>5.7721741088028244E-2</v>
      </c>
      <c r="AK271">
        <v>3.8564229418807106E-2</v>
      </c>
      <c r="AL271">
        <v>1.0636838190668279E-2</v>
      </c>
      <c r="AM271">
        <v>3.8737444553365676E-3</v>
      </c>
      <c r="AN271">
        <v>3.5112092316075198E-2</v>
      </c>
      <c r="AO271">
        <v>3.2844771920027604E-2</v>
      </c>
      <c r="AP271">
        <v>2.2070312584130385E-2</v>
      </c>
      <c r="AQ271">
        <v>3.0459205864943825E-2</v>
      </c>
      <c r="AR271">
        <v>3.232247300264867E-2</v>
      </c>
      <c r="AS271">
        <v>2.4003378165324336E-2</v>
      </c>
    </row>
    <row r="272" spans="3:45" x14ac:dyDescent="0.25">
      <c r="C272" s="36" t="s">
        <v>100</v>
      </c>
      <c r="D272">
        <v>1.6684614344295483E-3</v>
      </c>
      <c r="E272">
        <v>3.0453176906839381E-3</v>
      </c>
      <c r="F272">
        <v>1.7408702434936185E-3</v>
      </c>
      <c r="G272">
        <v>4.0870550204066113E-3</v>
      </c>
      <c r="H272">
        <v>5.072162353923688E-3</v>
      </c>
      <c r="I272">
        <v>3.8141675180366871E-3</v>
      </c>
      <c r="J272">
        <v>2.9629585806948727E-3</v>
      </c>
      <c r="K272">
        <v>4.0118655365602857E-3</v>
      </c>
      <c r="L272">
        <v>4.1803089286619917E-3</v>
      </c>
      <c r="M272">
        <v>1.9698899896950367E-3</v>
      </c>
      <c r="N272">
        <v>3.8439703312668559E-3</v>
      </c>
      <c r="O272">
        <v>1.2417967205247717E-2</v>
      </c>
      <c r="P272">
        <v>3.6573351265838179E-3</v>
      </c>
      <c r="Q272">
        <v>8.4264782510860576E-3</v>
      </c>
      <c r="R272">
        <v>5.211415408800716E-3</v>
      </c>
      <c r="S272">
        <v>3.317677319429922E-3</v>
      </c>
      <c r="T272">
        <v>1.8497225106865389E-3</v>
      </c>
      <c r="U272">
        <v>5.2329520187142011E-3</v>
      </c>
      <c r="V272">
        <v>3.6129005180066355E-3</v>
      </c>
      <c r="W272">
        <v>5.1208858150304185E-3</v>
      </c>
      <c r="X272">
        <v>4.8169312956506914E-3</v>
      </c>
      <c r="Y272">
        <v>3.8346587714976222E-3</v>
      </c>
      <c r="Z272">
        <v>5.0448786489821918E-3</v>
      </c>
      <c r="AA272">
        <v>3.1641839571732431E-3</v>
      </c>
      <c r="AB272">
        <v>2.7542385088853848E-3</v>
      </c>
      <c r="AC272">
        <v>2.597308056236443E-3</v>
      </c>
      <c r="AD272">
        <v>4.5410731196381619E-3</v>
      </c>
      <c r="AE272">
        <v>4.8876360767313668E-3</v>
      </c>
      <c r="AF272">
        <v>4.5066734625070336E-3</v>
      </c>
      <c r="AG272">
        <v>1.7094160285240079E-2</v>
      </c>
      <c r="AH272">
        <v>2.0427862803121775E-3</v>
      </c>
      <c r="AI272">
        <v>5.731571740413304E-3</v>
      </c>
      <c r="AJ272">
        <v>4.4935232967115657E-2</v>
      </c>
      <c r="AK272">
        <v>3.8556348319851858E-2</v>
      </c>
      <c r="AL272">
        <v>2.1737358399703401E-2</v>
      </c>
      <c r="AM272">
        <v>3.68853357383836E-3</v>
      </c>
      <c r="AN272">
        <v>3.2240933231575536E-2</v>
      </c>
      <c r="AO272">
        <v>3.9480728434117436E-2</v>
      </c>
      <c r="AP272">
        <v>2.2370582777901275E-2</v>
      </c>
      <c r="AQ272">
        <v>3.7324292727550896E-3</v>
      </c>
      <c r="AR272">
        <v>3.0764109086408593E-2</v>
      </c>
      <c r="AS272">
        <v>1.0514617028167753E-2</v>
      </c>
    </row>
    <row r="273" spans="3:45" x14ac:dyDescent="0.25">
      <c r="C273" s="36" t="s">
        <v>101</v>
      </c>
      <c r="D273">
        <v>1.7361203708837738E-3</v>
      </c>
      <c r="E273">
        <v>1.3272530331486395E-3</v>
      </c>
      <c r="F273">
        <v>1.1799745140333795E-3</v>
      </c>
      <c r="G273">
        <v>3.3166769963104961E-3</v>
      </c>
      <c r="H273">
        <v>2.4628474381077148E-3</v>
      </c>
      <c r="I273">
        <v>2.3171993827910816E-3</v>
      </c>
      <c r="J273">
        <v>3.5846526718766101E-3</v>
      </c>
      <c r="K273">
        <v>2.5695055918437486E-3</v>
      </c>
      <c r="L273">
        <v>4.0186048222407072E-3</v>
      </c>
      <c r="M273">
        <v>7.0548816547328914E-4</v>
      </c>
      <c r="N273">
        <v>3.3262630696761549E-3</v>
      </c>
      <c r="O273">
        <v>5.8354665844950306E-3</v>
      </c>
      <c r="P273">
        <v>2.9101843187398202E-3</v>
      </c>
      <c r="Q273">
        <v>5.2592293450710835E-3</v>
      </c>
      <c r="R273">
        <v>2.4907609331651492E-3</v>
      </c>
      <c r="S273">
        <v>1.0778030235697638E-3</v>
      </c>
      <c r="T273">
        <v>1.4062327187721771E-3</v>
      </c>
      <c r="U273">
        <v>3.1160086964762967E-3</v>
      </c>
      <c r="V273">
        <v>2.1941222030296029E-2</v>
      </c>
      <c r="W273">
        <v>5.4171344081330427E-3</v>
      </c>
      <c r="X273">
        <v>5.8630568092861305E-3</v>
      </c>
      <c r="Y273">
        <v>3.1796907708085288E-3</v>
      </c>
      <c r="Z273">
        <v>4.6033316911340948E-3</v>
      </c>
      <c r="AA273">
        <v>1.7177537410740841E-3</v>
      </c>
      <c r="AB273">
        <v>6.5463367474527401E-3</v>
      </c>
      <c r="AC273">
        <v>4.5245799922157617E-3</v>
      </c>
      <c r="AD273">
        <v>8.6915941933971355E-3</v>
      </c>
      <c r="AE273">
        <v>1.338951627883537E-2</v>
      </c>
      <c r="AF273">
        <v>7.302227109517891E-3</v>
      </c>
      <c r="AG273">
        <v>2.9451059409847335E-2</v>
      </c>
      <c r="AH273">
        <v>7.1704829994208193E-3</v>
      </c>
      <c r="AI273">
        <v>0.19531514719480253</v>
      </c>
      <c r="AJ273">
        <v>1.4552074298143555E-2</v>
      </c>
      <c r="AK273">
        <v>1.3090429096372048E-2</v>
      </c>
      <c r="AL273">
        <v>3.2788697983892168E-2</v>
      </c>
      <c r="AM273">
        <v>7.9291308112254665E-3</v>
      </c>
      <c r="AN273">
        <v>2.1176198283932142E-2</v>
      </c>
      <c r="AO273">
        <v>5.4846689115235298E-2</v>
      </c>
      <c r="AP273">
        <v>1.962741628805522E-2</v>
      </c>
      <c r="AQ273">
        <v>2.0132425931876325E-2</v>
      </c>
      <c r="AR273">
        <v>1.8046064714534165E-2</v>
      </c>
      <c r="AS273">
        <v>5.8374420516514192E-3</v>
      </c>
    </row>
    <row r="274" spans="3:45" x14ac:dyDescent="0.25">
      <c r="C274" s="36" t="s">
        <v>104</v>
      </c>
      <c r="D274">
        <v>2.2752137321013599E-3</v>
      </c>
      <c r="E274">
        <v>3.2325671521815376E-2</v>
      </c>
      <c r="F274">
        <v>1.3978474545375255E-2</v>
      </c>
      <c r="G274">
        <v>2.0605626940556229E-2</v>
      </c>
      <c r="H274">
        <v>1.7828135765402459E-2</v>
      </c>
      <c r="I274">
        <v>2.2785162946692795E-2</v>
      </c>
      <c r="J274">
        <v>1.6790949302043671E-2</v>
      </c>
      <c r="K274">
        <v>1.1642478803284961E-2</v>
      </c>
      <c r="L274">
        <v>1.8529350187398493E-2</v>
      </c>
      <c r="M274">
        <v>1.2918190763736711E-2</v>
      </c>
      <c r="N274">
        <v>1.4224647306017055E-2</v>
      </c>
      <c r="O274">
        <v>5.6708237233873589E-2</v>
      </c>
      <c r="P274">
        <v>2.1309894499392024E-2</v>
      </c>
      <c r="Q274">
        <v>2.5597714520986522E-2</v>
      </c>
      <c r="R274">
        <v>1.658831363559984E-2</v>
      </c>
      <c r="S274">
        <v>6.7643807150572126E-3</v>
      </c>
      <c r="T274">
        <v>4.9622529857812868E-3</v>
      </c>
      <c r="U274">
        <v>1.5573070393180384E-2</v>
      </c>
      <c r="V274">
        <v>1.6369929463108578E-2</v>
      </c>
      <c r="W274">
        <v>1.8706784376385156E-2</v>
      </c>
      <c r="X274">
        <v>2.1233216330407142E-2</v>
      </c>
      <c r="Y274">
        <v>2.3747797963549755E-2</v>
      </c>
      <c r="Z274">
        <v>1.3429482795348276E-2</v>
      </c>
      <c r="AA274">
        <v>1.0182906166515295E-2</v>
      </c>
      <c r="AB274">
        <v>6.3274913442584986E-3</v>
      </c>
      <c r="AC274">
        <v>2.1181071436758223E-2</v>
      </c>
      <c r="AD274">
        <v>1.181093512917044E-2</v>
      </c>
      <c r="AE274">
        <v>1.778505605376168E-2</v>
      </c>
      <c r="AF274">
        <v>0.10331845178948931</v>
      </c>
      <c r="AG274">
        <v>2.9211933410664203E-2</v>
      </c>
      <c r="AH274">
        <v>1.9468814315497865E-2</v>
      </c>
      <c r="AI274">
        <v>7.4431198458719372E-2</v>
      </c>
      <c r="AJ274">
        <v>0.10520474260626149</v>
      </c>
      <c r="AK274">
        <v>3.6984671682501628E-2</v>
      </c>
      <c r="AL274">
        <v>6.0665780528063373E-2</v>
      </c>
      <c r="AM274">
        <v>5.9561864041768567E-2</v>
      </c>
      <c r="AN274">
        <v>5.1129206784773902E-2</v>
      </c>
      <c r="AO274">
        <v>2.9994073853543413E-2</v>
      </c>
      <c r="AP274">
        <v>1.0377475367566122E-2</v>
      </c>
      <c r="AQ274">
        <v>5.2845944704131079E-3</v>
      </c>
      <c r="AR274">
        <v>4.4805434105381486E-2</v>
      </c>
      <c r="AS274">
        <v>2.3255979352033648E-2</v>
      </c>
    </row>
    <row r="275" spans="3:45" x14ac:dyDescent="0.25">
      <c r="C275" s="36" t="s">
        <v>105</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3.3021282248322757E-3</v>
      </c>
      <c r="AL275">
        <v>0</v>
      </c>
      <c r="AM275">
        <v>0</v>
      </c>
      <c r="AN275">
        <v>0</v>
      </c>
      <c r="AO275">
        <v>0</v>
      </c>
      <c r="AP275">
        <v>0</v>
      </c>
      <c r="AQ275">
        <v>0</v>
      </c>
      <c r="AR275">
        <v>0</v>
      </c>
      <c r="AS275">
        <v>0</v>
      </c>
    </row>
    <row r="276" spans="3:45" x14ac:dyDescent="0.25">
      <c r="C276" s="36" t="s">
        <v>102</v>
      </c>
      <c r="D276">
        <v>1.1738337856825003E-2</v>
      </c>
      <c r="E276">
        <v>4.789167051828784E-2</v>
      </c>
      <c r="F276">
        <v>3.2442940646030871E-2</v>
      </c>
      <c r="G276">
        <v>2.6094462545816443E-2</v>
      </c>
      <c r="H276">
        <v>1.7874146686307806E-2</v>
      </c>
      <c r="I276">
        <v>5.0999145924245128E-3</v>
      </c>
      <c r="J276">
        <v>8.1812665065309435E-3</v>
      </c>
      <c r="K276">
        <v>9.2957659442775703E-3</v>
      </c>
      <c r="L276">
        <v>1.2591190380262724E-2</v>
      </c>
      <c r="M276">
        <v>1.3119324050466967E-2</v>
      </c>
      <c r="N276">
        <v>1.5180028579372175E-2</v>
      </c>
      <c r="O276">
        <v>2.1816528764700693E-2</v>
      </c>
      <c r="P276">
        <v>1.1743097323696709E-2</v>
      </c>
      <c r="Q276">
        <v>1.9615262749568103E-2</v>
      </c>
      <c r="R276">
        <v>1.9337049562313521E-2</v>
      </c>
      <c r="S276">
        <v>2.9837153083196087E-2</v>
      </c>
      <c r="T276">
        <v>2.3804839847036567E-2</v>
      </c>
      <c r="U276">
        <v>1.8303453065898149E-2</v>
      </c>
      <c r="V276">
        <v>1.5876036619493314E-2</v>
      </c>
      <c r="W276">
        <v>1.390826518918804E-2</v>
      </c>
      <c r="X276">
        <v>1.3571745875179278E-2</v>
      </c>
      <c r="Y276">
        <v>7.5516999181807097E-3</v>
      </c>
      <c r="Z276">
        <v>1.2459132660649594E-2</v>
      </c>
      <c r="AA276">
        <v>1.1304438304598746E-2</v>
      </c>
      <c r="AB276">
        <v>4.3514782762698365E-2</v>
      </c>
      <c r="AC276">
        <v>3.597635384516365E-2</v>
      </c>
      <c r="AD276">
        <v>5.698014777114245E-2</v>
      </c>
      <c r="AE276">
        <v>3.6286889241897283E-2</v>
      </c>
      <c r="AF276">
        <v>4.4073840689066307E-2</v>
      </c>
      <c r="AG276">
        <v>9.2969201896322046E-2</v>
      </c>
      <c r="AH276">
        <v>9.3505007796397931E-3</v>
      </c>
      <c r="AI276">
        <v>1.9651204178445156E-2</v>
      </c>
      <c r="AJ276">
        <v>6.8163111797662032E-2</v>
      </c>
      <c r="AK276">
        <v>9.4871350166238454E-3</v>
      </c>
      <c r="AL276">
        <v>7.1064520229691383E-2</v>
      </c>
      <c r="AM276">
        <v>0.1121602817151655</v>
      </c>
      <c r="AN276">
        <v>3.8928421926485525E-2</v>
      </c>
      <c r="AO276">
        <v>2.7221546148246799E-2</v>
      </c>
      <c r="AP276">
        <v>2.6442621809932738E-2</v>
      </c>
      <c r="AQ276">
        <v>7.113909309851822E-3</v>
      </c>
      <c r="AR276">
        <v>2.4620699552365174E-2</v>
      </c>
      <c r="AS276">
        <v>1.2610356499963541E-2</v>
      </c>
    </row>
    <row r="277" spans="3:45" x14ac:dyDescent="0.25">
      <c r="C277" s="36" t="s">
        <v>103</v>
      </c>
      <c r="D277">
        <v>1.5080658023152722E-5</v>
      </c>
      <c r="E277">
        <v>6.5668229027746917E-4</v>
      </c>
      <c r="F277">
        <v>2.8385132203902241E-4</v>
      </c>
      <c r="G277">
        <v>1.0281431164911452E-4</v>
      </c>
      <c r="H277">
        <v>1.1477479102861246E-3</v>
      </c>
      <c r="I277">
        <v>2.9476795853493581E-4</v>
      </c>
      <c r="J277">
        <v>3.8142374056566894E-4</v>
      </c>
      <c r="K277">
        <v>8.7233843797060874E-4</v>
      </c>
      <c r="L277">
        <v>5.9992537281922619E-4</v>
      </c>
      <c r="M277">
        <v>2.9312319366438006E-5</v>
      </c>
      <c r="N277">
        <v>1.8972270514898247E-4</v>
      </c>
      <c r="O277">
        <v>2.7712260802590738E-4</v>
      </c>
      <c r="P277">
        <v>1.0674063935870511E-3</v>
      </c>
      <c r="Q277">
        <v>5.6571667362936417E-4</v>
      </c>
      <c r="R277">
        <v>4.2119454350238378E-4</v>
      </c>
      <c r="S277">
        <v>2.0130801130682462E-5</v>
      </c>
      <c r="T277">
        <v>5.0254027543712059E-5</v>
      </c>
      <c r="U277">
        <v>5.287725461902888E-4</v>
      </c>
      <c r="V277">
        <v>5.8856664126999956E-4</v>
      </c>
      <c r="W277">
        <v>6.7497597629363347E-4</v>
      </c>
      <c r="X277">
        <v>6.8163986020911482E-4</v>
      </c>
      <c r="Y277">
        <v>3.5502565806887996E-4</v>
      </c>
      <c r="Z277">
        <v>9.413785703835172E-4</v>
      </c>
      <c r="AA277">
        <v>1.8756288184336709E-3</v>
      </c>
      <c r="AB277">
        <v>2.0356788201583804E-4</v>
      </c>
      <c r="AC277">
        <v>8.2445141253771831E-4</v>
      </c>
      <c r="AD277">
        <v>1.4060486128119663E-3</v>
      </c>
      <c r="AE277">
        <v>1.8529355050314988E-4</v>
      </c>
      <c r="AF277">
        <v>7.3114096434690967E-2</v>
      </c>
      <c r="AG277">
        <v>1.2754025174743822E-2</v>
      </c>
      <c r="AH277">
        <v>4.2138094507565622E-2</v>
      </c>
      <c r="AI277">
        <v>6.5651324288671181E-2</v>
      </c>
      <c r="AJ277">
        <v>6.0269867726049413E-2</v>
      </c>
      <c r="AK277">
        <v>1.6146139190853236E-2</v>
      </c>
      <c r="AL277">
        <v>6.0766766794073349E-2</v>
      </c>
      <c r="AM277">
        <v>4.137648942380024E-2</v>
      </c>
      <c r="AN277">
        <v>1.6850682574928454E-2</v>
      </c>
      <c r="AO277">
        <v>1.8654856519844217E-2</v>
      </c>
      <c r="AP277">
        <v>4.0573879071910492E-2</v>
      </c>
      <c r="AQ277">
        <v>1.4849585050839685E-2</v>
      </c>
      <c r="AR277">
        <v>3.9182781309385767E-2</v>
      </c>
      <c r="AS277">
        <v>0.10163030130039674</v>
      </c>
    </row>
    <row r="278" spans="3:45" x14ac:dyDescent="0.25">
      <c r="C278" s="36" t="s">
        <v>106</v>
      </c>
      <c r="D278">
        <v>6.1453636898808244E-3</v>
      </c>
      <c r="E278">
        <v>8.726922148085273E-3</v>
      </c>
      <c r="F278">
        <v>4.0856024745737907E-3</v>
      </c>
      <c r="G278">
        <v>1.1124445677624021E-2</v>
      </c>
      <c r="H278">
        <v>1.1460365856642549E-2</v>
      </c>
      <c r="I278">
        <v>1.3397160896681745E-3</v>
      </c>
      <c r="J278">
        <v>1.9431016975025633E-3</v>
      </c>
      <c r="K278">
        <v>3.5923925918311343E-3</v>
      </c>
      <c r="L278">
        <v>3.3114278436911899E-3</v>
      </c>
      <c r="M278">
        <v>5.6473391382406545E-4</v>
      </c>
      <c r="N278">
        <v>8.5085821843155253E-3</v>
      </c>
      <c r="O278">
        <v>6.4328470671250523E-3</v>
      </c>
      <c r="P278">
        <v>3.5576129474265855E-3</v>
      </c>
      <c r="Q278">
        <v>1.017509627243667E-2</v>
      </c>
      <c r="R278">
        <v>3.8274044799275222E-3</v>
      </c>
      <c r="S278">
        <v>3.2075856306605873E-3</v>
      </c>
      <c r="T278">
        <v>2.0816031857437641E-3</v>
      </c>
      <c r="U278">
        <v>4.5310916804631972E-3</v>
      </c>
      <c r="V278">
        <v>8.544007381465971E-3</v>
      </c>
      <c r="W278">
        <v>5.1110726966999386E-3</v>
      </c>
      <c r="X278">
        <v>4.6935758514664513E-3</v>
      </c>
      <c r="Y278">
        <v>1.0641176898533606E-2</v>
      </c>
      <c r="Z278">
        <v>1.2292972443260127E-2</v>
      </c>
      <c r="AA278">
        <v>1.3918915290813893E-3</v>
      </c>
      <c r="AB278">
        <v>5.2215188961977112E-3</v>
      </c>
      <c r="AC278">
        <v>1.2364375440320749E-4</v>
      </c>
      <c r="AD278">
        <v>1.0757681878001747E-3</v>
      </c>
      <c r="AE278">
        <v>8.4227053045207875E-2</v>
      </c>
      <c r="AF278">
        <v>7.528812478723515E-3</v>
      </c>
      <c r="AG278">
        <v>3.1705166347700642E-3</v>
      </c>
      <c r="AH278">
        <v>3.8849653261476642E-4</v>
      </c>
      <c r="AI278">
        <v>3.399477921538429E-3</v>
      </c>
      <c r="AJ278">
        <v>1.2815665551203667E-4</v>
      </c>
      <c r="AK278">
        <v>5.8695167477318205E-2</v>
      </c>
      <c r="AL278">
        <v>6.8420770161299973E-4</v>
      </c>
      <c r="AM278">
        <v>8.3144566627201412E-4</v>
      </c>
      <c r="AN278">
        <v>0.14011060934809655</v>
      </c>
      <c r="AO278">
        <v>7.6028607887306096E-4</v>
      </c>
      <c r="AP278">
        <v>2.5795832773084912E-3</v>
      </c>
      <c r="AQ278">
        <v>5.0141727837307284E-4</v>
      </c>
      <c r="AR278">
        <v>2.0391127303494844E-4</v>
      </c>
      <c r="AS278">
        <v>4.6950773170133287E-5</v>
      </c>
    </row>
    <row r="279" spans="3:45" x14ac:dyDescent="0.25">
      <c r="C279" s="36" t="s">
        <v>111</v>
      </c>
      <c r="D279">
        <v>1.6564049122455551E-3</v>
      </c>
      <c r="E279">
        <v>7.2159036176134607E-4</v>
      </c>
      <c r="F279">
        <v>6.3308846832687117E-4</v>
      </c>
      <c r="G279">
        <v>1.9589892043221481E-3</v>
      </c>
      <c r="H279">
        <v>3.1468842920008626E-4</v>
      </c>
      <c r="I279">
        <v>5.9149930067957661E-4</v>
      </c>
      <c r="J279">
        <v>1.3937911408821171E-3</v>
      </c>
      <c r="K279">
        <v>7.734114214591497E-4</v>
      </c>
      <c r="L279">
        <v>1.6380976229488002E-3</v>
      </c>
      <c r="M279">
        <v>7.5634514040853089E-4</v>
      </c>
      <c r="N279">
        <v>9.209198606399293E-4</v>
      </c>
      <c r="O279">
        <v>1.4439276831890383E-3</v>
      </c>
      <c r="P279">
        <v>8.6021324133942032E-4</v>
      </c>
      <c r="Q279">
        <v>1.353415244083628E-3</v>
      </c>
      <c r="R279">
        <v>1.1617219684676721E-3</v>
      </c>
      <c r="S279">
        <v>1.1411917418562929E-3</v>
      </c>
      <c r="T279">
        <v>5.8009519550924723E-4</v>
      </c>
      <c r="U279">
        <v>8.8988971754484216E-4</v>
      </c>
      <c r="V279">
        <v>5.804150634156237E-4</v>
      </c>
      <c r="W279">
        <v>6.9998764899634083E-4</v>
      </c>
      <c r="X279">
        <v>1.0690031763859042E-3</v>
      </c>
      <c r="Y279">
        <v>6.6993454382267153E-4</v>
      </c>
      <c r="Z279">
        <v>9.5863263416080574E-4</v>
      </c>
      <c r="AA279">
        <v>1.5467290606739268E-3</v>
      </c>
      <c r="AB279">
        <v>3.2558104108176005E-3</v>
      </c>
      <c r="AC279">
        <v>5.24865489218725E-4</v>
      </c>
      <c r="AD279">
        <v>5.4976040635074032E-2</v>
      </c>
      <c r="AE279">
        <v>5.4201378074965594E-4</v>
      </c>
      <c r="AF279">
        <v>1.5737131883142798E-3</v>
      </c>
      <c r="AG279">
        <v>2.1567084803191987E-3</v>
      </c>
      <c r="AH279">
        <v>1.0085869471581407E-3</v>
      </c>
      <c r="AI279">
        <v>1.6692599456165087E-3</v>
      </c>
      <c r="AJ279">
        <v>5.2373509367212596E-3</v>
      </c>
      <c r="AK279">
        <v>3.7898030393766829E-3</v>
      </c>
      <c r="AL279">
        <v>2.0788222992826079E-3</v>
      </c>
      <c r="AM279">
        <v>1.6215886240242702E-3</v>
      </c>
      <c r="AN279">
        <v>2.261032298615382E-3</v>
      </c>
      <c r="AO279">
        <v>2.8857930283605851E-2</v>
      </c>
      <c r="AP279">
        <v>2.7722853555903946E-3</v>
      </c>
      <c r="AQ279">
        <v>1.1227470763821154E-3</v>
      </c>
      <c r="AR279">
        <v>3.2223282841423507E-3</v>
      </c>
      <c r="AS279">
        <v>2.313317843183818E-3</v>
      </c>
    </row>
    <row r="280" spans="3:45" x14ac:dyDescent="0.25">
      <c r="C280" s="36" t="s">
        <v>108</v>
      </c>
      <c r="D280">
        <v>1.2546606956720635E-4</v>
      </c>
      <c r="E280">
        <v>3.5856943741294705E-4</v>
      </c>
      <c r="F280">
        <v>9.4945514776234504E-5</v>
      </c>
      <c r="G280">
        <v>1.2855255773193362E-4</v>
      </c>
      <c r="H280">
        <v>1.354545796508566E-4</v>
      </c>
      <c r="I280">
        <v>1.1380004425368148E-4</v>
      </c>
      <c r="J280">
        <v>1.4181929752481184E-4</v>
      </c>
      <c r="K280">
        <v>2.4160162799190176E-4</v>
      </c>
      <c r="L280">
        <v>1.5612397158650703E-4</v>
      </c>
      <c r="M280">
        <v>9.4572917902117096E-5</v>
      </c>
      <c r="N280">
        <v>1.1872911787837857E-4</v>
      </c>
      <c r="O280">
        <v>3.5661924975733403E-4</v>
      </c>
      <c r="P280">
        <v>1.489376034292412E-4</v>
      </c>
      <c r="Q280">
        <v>2.5598410561708523E-4</v>
      </c>
      <c r="R280">
        <v>1.7314945213960575E-4</v>
      </c>
      <c r="S280">
        <v>4.9237482247548531E-5</v>
      </c>
      <c r="T280">
        <v>5.3729062112436532E-5</v>
      </c>
      <c r="U280">
        <v>2.1880634276557397E-4</v>
      </c>
      <c r="V280">
        <v>1.1501502991329055E-4</v>
      </c>
      <c r="W280">
        <v>1.311334743298938E-4</v>
      </c>
      <c r="X280">
        <v>2.8895925343049093E-4</v>
      </c>
      <c r="Y280">
        <v>1.4763655951412037E-4</v>
      </c>
      <c r="Z280">
        <v>1.8455679893427705E-4</v>
      </c>
      <c r="AA280">
        <v>2.3138706908399021E-4</v>
      </c>
      <c r="AB280">
        <v>3.0911172254633052E-5</v>
      </c>
      <c r="AC280">
        <v>2.5380747698966249E-4</v>
      </c>
      <c r="AD280">
        <v>6.1998540358127472E-4</v>
      </c>
      <c r="AE280">
        <v>3.0225907165895333E-4</v>
      </c>
      <c r="AF280">
        <v>1.038379418441489E-3</v>
      </c>
      <c r="AG280">
        <v>1.0964641268299163E-3</v>
      </c>
      <c r="AH280">
        <v>6.9103796917781637E-4</v>
      </c>
      <c r="AI280">
        <v>5.991285565578509E-4</v>
      </c>
      <c r="AJ280">
        <v>5.993363626602392E-4</v>
      </c>
      <c r="AK280">
        <v>6.1686553201441361E-4</v>
      </c>
      <c r="AL280">
        <v>2.5233416712750175E-3</v>
      </c>
      <c r="AM280">
        <v>2.574421812212461E-4</v>
      </c>
      <c r="AN280">
        <v>9.4775980946849208E-4</v>
      </c>
      <c r="AO280">
        <v>8.3474918324847967E-3</v>
      </c>
      <c r="AP280">
        <v>1.4452935993603E-2</v>
      </c>
      <c r="AQ280">
        <v>1.5852403705972514E-3</v>
      </c>
      <c r="AR280">
        <v>1.5732446302881536E-3</v>
      </c>
      <c r="AS280">
        <v>6.2972577819837003E-4</v>
      </c>
    </row>
    <row r="281" spans="3:45" x14ac:dyDescent="0.25">
      <c r="C281" s="36" t="s">
        <v>109</v>
      </c>
      <c r="D281">
        <v>7.9569924745373277E-5</v>
      </c>
      <c r="E281">
        <v>6.1687926707062806E-4</v>
      </c>
      <c r="F281">
        <v>1.2180438895070689E-4</v>
      </c>
      <c r="G281">
        <v>5.0012170922207535E-4</v>
      </c>
      <c r="H281">
        <v>0</v>
      </c>
      <c r="I281">
        <v>5.9019854372743992E-5</v>
      </c>
      <c r="J281">
        <v>1.6350362013905579E-4</v>
      </c>
      <c r="K281">
        <v>1.8182247261028052E-4</v>
      </c>
      <c r="L281">
        <v>1.959616583996646E-4</v>
      </c>
      <c r="M281">
        <v>2.0424288453731107E-3</v>
      </c>
      <c r="N281">
        <v>1.1185999531796936E-4</v>
      </c>
      <c r="O281">
        <v>2.0648885439980422E-4</v>
      </c>
      <c r="P281">
        <v>3.2297198945881083E-5</v>
      </c>
      <c r="Q281">
        <v>6.740113736849162E-4</v>
      </c>
      <c r="R281">
        <v>3.2626936259452327E-4</v>
      </c>
      <c r="S281">
        <v>4.3114358159634052E-4</v>
      </c>
      <c r="T281">
        <v>1.853846836953219E-4</v>
      </c>
      <c r="U281">
        <v>5.1895774826924822E-4</v>
      </c>
      <c r="V281">
        <v>1.505897605260445E-4</v>
      </c>
      <c r="W281">
        <v>4.3963372189822076E-4</v>
      </c>
      <c r="X281">
        <v>7.7264989460380394E-4</v>
      </c>
      <c r="Y281">
        <v>3.3266205024531394E-4</v>
      </c>
      <c r="Z281">
        <v>7.0217800721429126E-4</v>
      </c>
      <c r="AA281">
        <v>1.1136658008019481E-4</v>
      </c>
      <c r="AB281">
        <v>5.0296712552981625E-4</v>
      </c>
      <c r="AC281">
        <v>4.5902600492477881E-4</v>
      </c>
      <c r="AD281">
        <v>4.5323269210693993E-5</v>
      </c>
      <c r="AE281">
        <v>4.2393911085033355E-4</v>
      </c>
      <c r="AF281">
        <v>2.7040502422039081E-4</v>
      </c>
      <c r="AG281">
        <v>4.8852375074322468E-4</v>
      </c>
      <c r="AH281">
        <v>2.5468778271778865E-5</v>
      </c>
      <c r="AI281">
        <v>2.5986507348673969E-5</v>
      </c>
      <c r="AJ281">
        <v>6.6594802329575002E-6</v>
      </c>
      <c r="AK281">
        <v>8.4006132345624648E-5</v>
      </c>
      <c r="AL281">
        <v>2.2469774774946846E-4</v>
      </c>
      <c r="AM281">
        <v>2.3306809636049188E-6</v>
      </c>
      <c r="AN281">
        <v>8.1650194077203235E-5</v>
      </c>
      <c r="AO281">
        <v>2.6693408194441528E-3</v>
      </c>
      <c r="AP281">
        <v>3.8497949481478591E-4</v>
      </c>
      <c r="AQ281">
        <v>5.7401803326038127E-3</v>
      </c>
      <c r="AR281">
        <v>3.2083333279095362E-4</v>
      </c>
      <c r="AS281">
        <v>2.4557249764613258E-4</v>
      </c>
    </row>
    <row r="282" spans="3:45" x14ac:dyDescent="0.25">
      <c r="C282" s="36" t="s">
        <v>110</v>
      </c>
      <c r="D282">
        <v>7.0684796171255974E-5</v>
      </c>
      <c r="E282">
        <v>1.0810168085405498E-3</v>
      </c>
      <c r="F282">
        <v>1.0806223773556867E-3</v>
      </c>
      <c r="G282">
        <v>8.3495068184246226E-4</v>
      </c>
      <c r="H282">
        <v>6.8188523555404461E-4</v>
      </c>
      <c r="I282">
        <v>6.6455329202326887E-4</v>
      </c>
      <c r="J282">
        <v>1.0883480521026382E-3</v>
      </c>
      <c r="K282">
        <v>1.0312755039138582E-3</v>
      </c>
      <c r="L282">
        <v>8.0874852211525378E-4</v>
      </c>
      <c r="M282">
        <v>7.1477919506611866E-4</v>
      </c>
      <c r="N282">
        <v>7.0931732275697653E-4</v>
      </c>
      <c r="O282">
        <v>1.8307783859811183E-3</v>
      </c>
      <c r="P282">
        <v>1.3319335876806242E-3</v>
      </c>
      <c r="Q282">
        <v>1.2937980104367006E-3</v>
      </c>
      <c r="R282">
        <v>1.1540462252091902E-3</v>
      </c>
      <c r="S282">
        <v>8.404517048467158E-4</v>
      </c>
      <c r="T282">
        <v>6.2879878495939107E-4</v>
      </c>
      <c r="U282">
        <v>8.1351044231852538E-4</v>
      </c>
      <c r="V282">
        <v>9.1731524514659783E-4</v>
      </c>
      <c r="W282">
        <v>1.1222208647670006E-3</v>
      </c>
      <c r="X282">
        <v>1.8359093091024101E-3</v>
      </c>
      <c r="Y282">
        <v>1.9596837516982863E-3</v>
      </c>
      <c r="Z282">
        <v>7.1032742527687943E-4</v>
      </c>
      <c r="AA282">
        <v>7.5616899484920702E-4</v>
      </c>
      <c r="AB282">
        <v>1.3358520292772135E-3</v>
      </c>
      <c r="AC282">
        <v>1.1519996627979041E-3</v>
      </c>
      <c r="AD282">
        <v>3.06472793685087E-3</v>
      </c>
      <c r="AE282">
        <v>9.1868168702440131E-4</v>
      </c>
      <c r="AF282">
        <v>1.0735820478576742E-3</v>
      </c>
      <c r="AG282">
        <v>1.9858730585633846E-3</v>
      </c>
      <c r="AH282">
        <v>1.4531311142446002E-3</v>
      </c>
      <c r="AI282">
        <v>3.4921698194914008E-3</v>
      </c>
      <c r="AJ282">
        <v>3.82723106837792E-3</v>
      </c>
      <c r="AK282">
        <v>4.5741269720461488E-3</v>
      </c>
      <c r="AL282">
        <v>8.0997952887866074E-3</v>
      </c>
      <c r="AM282">
        <v>1.1507951866287225E-3</v>
      </c>
      <c r="AN282">
        <v>2.3484178161873931E-3</v>
      </c>
      <c r="AO282">
        <v>7.1933460816112826E-3</v>
      </c>
      <c r="AP282">
        <v>4.1870992797165812E-3</v>
      </c>
      <c r="AQ282">
        <v>5.9640197453724776E-4</v>
      </c>
      <c r="AR282">
        <v>5.5189717309890529E-2</v>
      </c>
      <c r="AS282">
        <v>3.5222844478484897E-3</v>
      </c>
    </row>
    <row r="283" spans="3:45" x14ac:dyDescent="0.25">
      <c r="C283" s="36" t="s">
        <v>107</v>
      </c>
      <c r="D283">
        <v>8.6958881087376909E-4</v>
      </c>
      <c r="E283">
        <v>6.6528997826975468E-3</v>
      </c>
      <c r="F283">
        <v>1.4744766827143197E-3</v>
      </c>
      <c r="G283">
        <v>1.6417960146589243E-3</v>
      </c>
      <c r="H283">
        <v>1.5479118916387976E-3</v>
      </c>
      <c r="I283">
        <v>1.4345793519786655E-3</v>
      </c>
      <c r="J283">
        <v>1.6655870357979964E-3</v>
      </c>
      <c r="K283">
        <v>2.8110200236709927E-3</v>
      </c>
      <c r="L283">
        <v>2.8142027477059462E-3</v>
      </c>
      <c r="M283">
        <v>1.6946477664504633E-3</v>
      </c>
      <c r="N283">
        <v>2.1937143839427672E-3</v>
      </c>
      <c r="O283">
        <v>4.5629887007674133E-3</v>
      </c>
      <c r="P283">
        <v>3.1832333281940906E-3</v>
      </c>
      <c r="Q283">
        <v>3.7050822250019747E-3</v>
      </c>
      <c r="R283">
        <v>2.9249443445809064E-3</v>
      </c>
      <c r="S283">
        <v>1.6655510668182362E-3</v>
      </c>
      <c r="T283">
        <v>7.0178837446873614E-4</v>
      </c>
      <c r="U283">
        <v>3.5881960005545196E-3</v>
      </c>
      <c r="V283">
        <v>2.6680707696135173E-3</v>
      </c>
      <c r="W283">
        <v>3.7849058545565304E-3</v>
      </c>
      <c r="X283">
        <v>4.0705284612106889E-3</v>
      </c>
      <c r="Y283">
        <v>5.1628984525678634E-3</v>
      </c>
      <c r="Z283">
        <v>3.0381052838763713E-3</v>
      </c>
      <c r="AA283">
        <v>2.1424947150543781E-3</v>
      </c>
      <c r="AB283">
        <v>3.4120737010173304E-3</v>
      </c>
      <c r="AC283">
        <v>3.0321978946383976E-3</v>
      </c>
      <c r="AD283">
        <v>9.2424684763938794E-3</v>
      </c>
      <c r="AE283">
        <v>6.4745626703520461E-3</v>
      </c>
      <c r="AF283">
        <v>7.2709339424319903E-3</v>
      </c>
      <c r="AG283">
        <v>1.4917299301989225E-2</v>
      </c>
      <c r="AH283">
        <v>5.4656784443940362E-3</v>
      </c>
      <c r="AI283">
        <v>2.2348629196129173E-3</v>
      </c>
      <c r="AJ283">
        <v>7.8173370589836675E-3</v>
      </c>
      <c r="AK283">
        <v>1.5063750661333785E-2</v>
      </c>
      <c r="AL283">
        <v>2.9874466125910074E-3</v>
      </c>
      <c r="AM283">
        <v>1.6972743146765421E-3</v>
      </c>
      <c r="AN283">
        <v>1.1668728039269207E-2</v>
      </c>
      <c r="AO283">
        <v>2.3414866600242029E-2</v>
      </c>
      <c r="AP283">
        <v>1.1950804301436644E-2</v>
      </c>
      <c r="AQ283">
        <v>7.4273247678888201E-3</v>
      </c>
      <c r="AR283">
        <v>1.3811572580798853E-2</v>
      </c>
      <c r="AS283">
        <v>1.8172025561729338E-2</v>
      </c>
    </row>
  </sheetData>
  <mergeCells count="12">
    <mergeCell ref="AU58:BD58"/>
    <mergeCell ref="A55:B55"/>
    <mergeCell ref="A105:B105"/>
    <mergeCell ref="A7:A49"/>
    <mergeCell ref="A50:A54"/>
    <mergeCell ref="C4:C5"/>
    <mergeCell ref="BE4:BE5"/>
    <mergeCell ref="BF4:BF5"/>
    <mergeCell ref="A4:B5"/>
    <mergeCell ref="AU3:BC3"/>
    <mergeCell ref="D4:AT4"/>
    <mergeCell ref="AU4:BD4"/>
  </mergeCells>
  <phoneticPr fontId="7" type="noConversion"/>
  <conditionalFormatting sqref="T8:X9 T11:X11 T18:X18 T23:X23 T31:X33 T40:X40 T42:X42 T45:X45 U49:X55">
    <cfRule type="cellIs" dxfId="0" priority="1" operator="lessThan">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7603-9D8B-4064-86EC-16F7E27887B6}">
  <dimension ref="A1:AQ43"/>
  <sheetViews>
    <sheetView tabSelected="1" workbookViewId="0">
      <selection activeCell="B2" sqref="B2"/>
    </sheetView>
  </sheetViews>
  <sheetFormatPr defaultRowHeight="14.4" x14ac:dyDescent="0.25"/>
  <cols>
    <col min="1" max="1" width="15.44140625" style="1" bestFit="1" customWidth="1"/>
  </cols>
  <sheetData>
    <row r="1" spans="1:43" s="1" customFormat="1" x14ac:dyDescent="0.25">
      <c r="A1" s="2"/>
      <c r="B1" s="80" t="s">
        <v>70</v>
      </c>
      <c r="C1" s="80" t="s">
        <v>71</v>
      </c>
      <c r="D1" s="80" t="s">
        <v>72</v>
      </c>
      <c r="E1" s="80" t="s">
        <v>73</v>
      </c>
      <c r="F1" s="80" t="s">
        <v>74</v>
      </c>
      <c r="G1" s="80" t="s">
        <v>75</v>
      </c>
      <c r="H1" s="80" t="s">
        <v>76</v>
      </c>
      <c r="I1" s="80" t="s">
        <v>77</v>
      </c>
      <c r="J1" s="80" t="s">
        <v>78</v>
      </c>
      <c r="K1" s="80" t="s">
        <v>79</v>
      </c>
      <c r="L1" s="80" t="s">
        <v>80</v>
      </c>
      <c r="M1" s="80" t="s">
        <v>81</v>
      </c>
      <c r="N1" s="80" t="s">
        <v>82</v>
      </c>
      <c r="O1" s="80" t="s">
        <v>88</v>
      </c>
      <c r="P1" s="80" t="s">
        <v>83</v>
      </c>
      <c r="Q1" s="80" t="s">
        <v>84</v>
      </c>
      <c r="R1" s="80" t="s">
        <v>85</v>
      </c>
      <c r="S1" s="80" t="s">
        <v>86</v>
      </c>
      <c r="T1" s="80" t="s">
        <v>92</v>
      </c>
      <c r="U1" s="80" t="s">
        <v>91</v>
      </c>
      <c r="V1" s="80" t="s">
        <v>87</v>
      </c>
      <c r="W1" s="80" t="s">
        <v>89</v>
      </c>
      <c r="X1" s="80" t="s">
        <v>90</v>
      </c>
      <c r="Y1" s="80" t="s">
        <v>93</v>
      </c>
      <c r="Z1" s="80" t="s">
        <v>94</v>
      </c>
      <c r="AA1" s="80" t="s">
        <v>95</v>
      </c>
      <c r="AB1" s="80" t="s">
        <v>96</v>
      </c>
      <c r="AC1" s="80" t="s">
        <v>97</v>
      </c>
      <c r="AD1" s="80" t="s">
        <v>98</v>
      </c>
      <c r="AE1" s="80" t="s">
        <v>99</v>
      </c>
      <c r="AF1" s="80" t="s">
        <v>100</v>
      </c>
      <c r="AG1" s="80" t="s">
        <v>101</v>
      </c>
      <c r="AH1" s="80" t="s">
        <v>104</v>
      </c>
      <c r="AI1" s="80" t="s">
        <v>105</v>
      </c>
      <c r="AJ1" s="80" t="s">
        <v>102</v>
      </c>
      <c r="AK1" s="80" t="s">
        <v>103</v>
      </c>
      <c r="AL1" s="80" t="s">
        <v>106</v>
      </c>
      <c r="AM1" s="80" t="s">
        <v>111</v>
      </c>
      <c r="AN1" s="80" t="s">
        <v>108</v>
      </c>
      <c r="AO1" s="80" t="s">
        <v>109</v>
      </c>
      <c r="AP1" s="80" t="s">
        <v>110</v>
      </c>
      <c r="AQ1" s="80" t="s">
        <v>107</v>
      </c>
    </row>
    <row r="2" spans="1:43" x14ac:dyDescent="0.25">
      <c r="A2" s="80" t="s">
        <v>70</v>
      </c>
      <c r="B2" cm="1">
        <f t="array" ref="B2:AQ43">MINVERSE(_xlfn.ANCHORARRAY('2020 National eps IO'!D153)-'2020 National eps IO'!D108:AS149)</f>
        <v>1.2256585400399449</v>
      </c>
      <c r="C2">
        <v>2.3559091862205398E-2</v>
      </c>
      <c r="D2">
        <v>1.4751492227719735E-2</v>
      </c>
      <c r="E2">
        <v>2.1529910324226381E-2</v>
      </c>
      <c r="F2">
        <v>2.8382400307769479E-2</v>
      </c>
      <c r="G2">
        <v>0.58483353264192317</v>
      </c>
      <c r="H2">
        <v>0.26977290773638518</v>
      </c>
      <c r="I2">
        <v>0.25179662112842915</v>
      </c>
      <c r="J2">
        <v>0.18410516448486794</v>
      </c>
      <c r="K2">
        <v>2.293759175038157E-2</v>
      </c>
      <c r="L2">
        <v>7.4322317445884814E-2</v>
      </c>
      <c r="M2">
        <v>0.27931068172822404</v>
      </c>
      <c r="N2">
        <v>7.7336234864150533E-2</v>
      </c>
      <c r="O2">
        <v>3.5657533264140007E-2</v>
      </c>
      <c r="P2">
        <v>2.9236300654577337E-2</v>
      </c>
      <c r="Q2">
        <v>2.6683725325577456E-2</v>
      </c>
      <c r="R2">
        <v>2.7258713119818524E-2</v>
      </c>
      <c r="S2">
        <v>3.2527999677609054E-2</v>
      </c>
      <c r="T2">
        <v>3.7143496651493364E-2</v>
      </c>
      <c r="U2">
        <v>3.8195431259477587E-2</v>
      </c>
      <c r="V2">
        <v>3.4200175242157141E-2</v>
      </c>
      <c r="W2">
        <v>3.5812154742168256E-2</v>
      </c>
      <c r="X2">
        <v>3.8565795784308035E-2</v>
      </c>
      <c r="Y2">
        <v>5.405888899009334E-2</v>
      </c>
      <c r="Z2">
        <v>2.4300216952822799E-2</v>
      </c>
      <c r="AA2">
        <v>2.1131923273691934E-2</v>
      </c>
      <c r="AB2">
        <v>2.957920582095222E-2</v>
      </c>
      <c r="AC2">
        <v>4.1955053379005063E-2</v>
      </c>
      <c r="AD2">
        <v>1.8500471647074142E-2</v>
      </c>
      <c r="AE2">
        <v>3.0755242850218634E-2</v>
      </c>
      <c r="AF2">
        <v>0.33638309168525521</v>
      </c>
      <c r="AG2">
        <v>2.9672794784668794E-2</v>
      </c>
      <c r="AH2">
        <v>7.3367396713250696E-2</v>
      </c>
      <c r="AI2">
        <v>7.5770204667684513E-2</v>
      </c>
      <c r="AJ2">
        <v>2.3510852381281425E-2</v>
      </c>
      <c r="AK2">
        <v>1.5351373180963407E-2</v>
      </c>
      <c r="AL2">
        <v>4.68924567301226E-2</v>
      </c>
      <c r="AM2">
        <v>5.7680316200371187E-2</v>
      </c>
      <c r="AN2">
        <v>3.6481478493760586E-2</v>
      </c>
      <c r="AO2">
        <v>0.11452284627919303</v>
      </c>
      <c r="AP2">
        <v>8.3409291979324257E-2</v>
      </c>
      <c r="AQ2">
        <v>4.7114465481842407E-2</v>
      </c>
    </row>
    <row r="3" spans="1:43" x14ac:dyDescent="0.25">
      <c r="A3" s="80" t="s">
        <v>71</v>
      </c>
      <c r="B3">
        <v>1.2263526532608303E-2</v>
      </c>
      <c r="C3">
        <v>1.2032521587782792</v>
      </c>
      <c r="D3">
        <v>2.1700303189390615E-2</v>
      </c>
      <c r="E3">
        <v>4.5768593412109634E-2</v>
      </c>
      <c r="F3">
        <v>3.642253166674745E-2</v>
      </c>
      <c r="G3">
        <v>1.4892572485503477E-2</v>
      </c>
      <c r="H3">
        <v>2.8872314408883312E-2</v>
      </c>
      <c r="I3">
        <v>2.8949627088149004E-2</v>
      </c>
      <c r="J3">
        <v>3.5616557581776759E-2</v>
      </c>
      <c r="K3">
        <v>9.0807048866874573E-2</v>
      </c>
      <c r="L3">
        <v>8.4794107968595309E-2</v>
      </c>
      <c r="M3">
        <v>2.0690591302746673E-2</v>
      </c>
      <c r="N3">
        <v>4.6729086899065103E-2</v>
      </c>
      <c r="O3">
        <v>3.0898157574858049E-2</v>
      </c>
      <c r="P3">
        <v>0.10434951904081008</v>
      </c>
      <c r="Q3">
        <v>8.6523235074040208E-2</v>
      </c>
      <c r="R3">
        <v>5.4482608486987508E-2</v>
      </c>
      <c r="S3">
        <v>5.0775341945986173E-2</v>
      </c>
      <c r="T3">
        <v>2.6584964298354954E-2</v>
      </c>
      <c r="U3">
        <v>3.7669022539363495E-2</v>
      </c>
      <c r="V3">
        <v>3.4953093091723862E-2</v>
      </c>
      <c r="W3">
        <v>2.7957132214916473E-2</v>
      </c>
      <c r="X3">
        <v>3.1076814552070987E-2</v>
      </c>
      <c r="Y3">
        <v>1.7701170283202762E-2</v>
      </c>
      <c r="Z3">
        <v>0.23933924182571661</v>
      </c>
      <c r="AA3">
        <v>6.1486735777268195E-2</v>
      </c>
      <c r="AB3">
        <v>4.2707877342454847E-2</v>
      </c>
      <c r="AC3">
        <v>4.3311912011032197E-2</v>
      </c>
      <c r="AD3">
        <v>7.1622366966044735E-3</v>
      </c>
      <c r="AE3">
        <v>2.0752664185148359E-2</v>
      </c>
      <c r="AF3">
        <v>1.2460934987162281E-2</v>
      </c>
      <c r="AG3">
        <v>1.0160539477310505E-2</v>
      </c>
      <c r="AH3">
        <v>1.5116843012910866E-2</v>
      </c>
      <c r="AI3">
        <v>2.1724867838483798E-2</v>
      </c>
      <c r="AJ3">
        <v>4.7467513773803887E-3</v>
      </c>
      <c r="AK3">
        <v>4.3700423475777602E-3</v>
      </c>
      <c r="AL3">
        <v>1.8464814932687919E-2</v>
      </c>
      <c r="AM3">
        <v>1.185601659849831E-2</v>
      </c>
      <c r="AN3">
        <v>8.9576502522026764E-3</v>
      </c>
      <c r="AO3">
        <v>1.3371130431046372E-2</v>
      </c>
      <c r="AP3">
        <v>1.1882575443162678E-2</v>
      </c>
      <c r="AQ3">
        <v>1.5696974514739233E-2</v>
      </c>
    </row>
    <row r="4" spans="1:43" x14ac:dyDescent="0.25">
      <c r="A4" s="80" t="s">
        <v>72</v>
      </c>
      <c r="B4">
        <v>1.4085403970685148E-2</v>
      </c>
      <c r="C4">
        <v>1.4908481540476543E-2</v>
      </c>
      <c r="D4">
        <v>1.0226025924994366</v>
      </c>
      <c r="E4">
        <v>3.7590891473503994E-2</v>
      </c>
      <c r="F4">
        <v>4.5293447117837546E-2</v>
      </c>
      <c r="G4">
        <v>1.393913246891941E-2</v>
      </c>
      <c r="H4">
        <v>2.7604869347063941E-2</v>
      </c>
      <c r="I4">
        <v>2.7116273558862487E-2</v>
      </c>
      <c r="J4">
        <v>2.8130430639478177E-2</v>
      </c>
      <c r="K4">
        <v>0.50765528491437739</v>
      </c>
      <c r="L4">
        <v>0.10498431189432156</v>
      </c>
      <c r="M4">
        <v>1.9412976120661108E-2</v>
      </c>
      <c r="N4">
        <v>5.5323549286585783E-2</v>
      </c>
      <c r="O4">
        <v>2.6669329750076395E-2</v>
      </c>
      <c r="P4">
        <v>4.1394469367843544E-2</v>
      </c>
      <c r="Q4">
        <v>5.9355345219025989E-2</v>
      </c>
      <c r="R4">
        <v>3.5675534150638885E-2</v>
      </c>
      <c r="S4">
        <v>3.5948435344232636E-2</v>
      </c>
      <c r="T4">
        <v>2.1953816573357106E-2</v>
      </c>
      <c r="U4">
        <v>3.0529925931587081E-2</v>
      </c>
      <c r="V4">
        <v>2.8964956392636805E-2</v>
      </c>
      <c r="W4">
        <v>2.5999294116817857E-2</v>
      </c>
      <c r="X4">
        <v>2.8553744922978016E-2</v>
      </c>
      <c r="Y4">
        <v>1.7255845278186556E-2</v>
      </c>
      <c r="Z4">
        <v>3.7317049991765966E-2</v>
      </c>
      <c r="AA4">
        <v>0.50389445554164136</v>
      </c>
      <c r="AB4">
        <v>1.7866332043218646E-2</v>
      </c>
      <c r="AC4">
        <v>3.4627475104424134E-2</v>
      </c>
      <c r="AD4">
        <v>1.0450677464532274E-2</v>
      </c>
      <c r="AE4">
        <v>6.5485946684565879E-2</v>
      </c>
      <c r="AF4">
        <v>1.5975981369642345E-2</v>
      </c>
      <c r="AG4">
        <v>9.8107848160747871E-3</v>
      </c>
      <c r="AH4">
        <v>2.614823828674032E-2</v>
      </c>
      <c r="AI4">
        <v>2.36729849102905E-2</v>
      </c>
      <c r="AJ4">
        <v>6.6610529952093435E-3</v>
      </c>
      <c r="AK4">
        <v>5.8554455804104453E-3</v>
      </c>
      <c r="AL4">
        <v>3.1235963516402315E-2</v>
      </c>
      <c r="AM4">
        <v>1.3620423481329778E-2</v>
      </c>
      <c r="AN4">
        <v>1.0159817318503954E-2</v>
      </c>
      <c r="AO4">
        <v>1.2812600419994167E-2</v>
      </c>
      <c r="AP4">
        <v>1.3669038304870347E-2</v>
      </c>
      <c r="AQ4">
        <v>1.744877782812039E-2</v>
      </c>
    </row>
    <row r="5" spans="1:43" x14ac:dyDescent="0.25">
      <c r="A5" s="80" t="s">
        <v>73</v>
      </c>
      <c r="B5">
        <v>5.4457465117339933E-3</v>
      </c>
      <c r="C5">
        <v>1.9732057113952439E-2</v>
      </c>
      <c r="D5">
        <v>1.5144012132601978E-2</v>
      </c>
      <c r="E5">
        <v>1.0817120591114788</v>
      </c>
      <c r="F5">
        <v>4.2060989456217245E-2</v>
      </c>
      <c r="G5">
        <v>6.4575164995070164E-3</v>
      </c>
      <c r="H5">
        <v>1.1563743562959757E-2</v>
      </c>
      <c r="I5">
        <v>1.9619057006643209E-2</v>
      </c>
      <c r="J5">
        <v>2.7451742102666914E-2</v>
      </c>
      <c r="K5">
        <v>1.4334857090488715E-2</v>
      </c>
      <c r="L5">
        <v>4.1043748218767759E-2</v>
      </c>
      <c r="M5">
        <v>1.0570187127968957E-2</v>
      </c>
      <c r="N5">
        <v>2.5787869901592844E-2</v>
      </c>
      <c r="O5">
        <v>5.8681726004761209E-2</v>
      </c>
      <c r="P5">
        <v>0.11574474113824507</v>
      </c>
      <c r="Q5">
        <v>0.27263070108921933</v>
      </c>
      <c r="R5">
        <v>0.26993032902416098</v>
      </c>
      <c r="S5">
        <v>0.1208932047560516</v>
      </c>
      <c r="T5">
        <v>4.1619012294696299E-2</v>
      </c>
      <c r="U5">
        <v>9.1445285259261405E-2</v>
      </c>
      <c r="V5">
        <v>7.6908823966376244E-2</v>
      </c>
      <c r="W5">
        <v>5.5278666074607255E-2</v>
      </c>
      <c r="X5">
        <v>6.3832139403556268E-2</v>
      </c>
      <c r="Y5">
        <v>2.2642094859314597E-2</v>
      </c>
      <c r="Z5">
        <v>1.694374066238806E-2</v>
      </c>
      <c r="AA5">
        <v>1.0844150998268631E-2</v>
      </c>
      <c r="AB5">
        <v>1.1043816024216417E-2</v>
      </c>
      <c r="AC5">
        <v>7.2368215281789119E-2</v>
      </c>
      <c r="AD5">
        <v>4.6084930947351953E-3</v>
      </c>
      <c r="AE5">
        <v>1.1519082982747052E-2</v>
      </c>
      <c r="AF5">
        <v>5.4343992162014633E-3</v>
      </c>
      <c r="AG5">
        <v>8.1509000880409244E-3</v>
      </c>
      <c r="AH5">
        <v>1.3769882612857196E-2</v>
      </c>
      <c r="AI5">
        <v>1.8983592645370844E-2</v>
      </c>
      <c r="AJ5">
        <v>2.8685321496326457E-3</v>
      </c>
      <c r="AK5">
        <v>3.0180190242970278E-3</v>
      </c>
      <c r="AL5">
        <v>1.6646689025033537E-2</v>
      </c>
      <c r="AM5">
        <v>6.5329334238620222E-3</v>
      </c>
      <c r="AN5">
        <v>4.4517534070173505E-3</v>
      </c>
      <c r="AO5">
        <v>7.6306906586293168E-3</v>
      </c>
      <c r="AP5">
        <v>6.2396828348330619E-3</v>
      </c>
      <c r="AQ5">
        <v>1.1458874560528977E-2</v>
      </c>
    </row>
    <row r="6" spans="1:43" x14ac:dyDescent="0.25">
      <c r="A6" s="80" t="s">
        <v>74</v>
      </c>
      <c r="B6">
        <v>2.399539506041941E-3</v>
      </c>
      <c r="C6">
        <v>9.5977468008085834E-3</v>
      </c>
      <c r="D6">
        <v>0.1625460851796455</v>
      </c>
      <c r="E6">
        <v>1.2204153674035337E-2</v>
      </c>
      <c r="F6">
        <v>1.0164980437374163</v>
      </c>
      <c r="G6">
        <v>2.8455249983169017E-3</v>
      </c>
      <c r="H6">
        <v>4.6730932544279714E-3</v>
      </c>
      <c r="I6">
        <v>4.6329158435805358E-3</v>
      </c>
      <c r="J6">
        <v>4.8740201617394792E-3</v>
      </c>
      <c r="K6">
        <v>8.1227330944957155E-2</v>
      </c>
      <c r="L6">
        <v>1.7467737154867161E-2</v>
      </c>
      <c r="M6">
        <v>3.3162251018947681E-3</v>
      </c>
      <c r="N6">
        <v>9.2520460306643026E-3</v>
      </c>
      <c r="O6">
        <v>4.7820176195279207E-3</v>
      </c>
      <c r="P6">
        <v>7.8755632311168916E-3</v>
      </c>
      <c r="Q6">
        <v>1.1483705311820585E-2</v>
      </c>
      <c r="R6">
        <v>7.5334899051962504E-3</v>
      </c>
      <c r="S6">
        <v>6.7316337143126861E-3</v>
      </c>
      <c r="T6">
        <v>3.9141059629951135E-3</v>
      </c>
      <c r="U6">
        <v>5.6214599662888741E-3</v>
      </c>
      <c r="V6">
        <v>5.2747192191210639E-3</v>
      </c>
      <c r="W6">
        <v>4.6341256848221228E-3</v>
      </c>
      <c r="X6">
        <v>5.1115453529385971E-3</v>
      </c>
      <c r="Y6">
        <v>2.9940013314416324E-3</v>
      </c>
      <c r="Z6">
        <v>7.9248364066693867E-3</v>
      </c>
      <c r="AA6">
        <v>8.0437638731323022E-2</v>
      </c>
      <c r="AB6">
        <v>3.2351086519895869E-3</v>
      </c>
      <c r="AC6">
        <v>6.1910893090197068E-3</v>
      </c>
      <c r="AD6">
        <v>1.7421646367982006E-3</v>
      </c>
      <c r="AE6">
        <v>1.0611104041469852E-2</v>
      </c>
      <c r="AF6">
        <v>2.8090626006996959E-3</v>
      </c>
      <c r="AG6">
        <v>1.6859506408840959E-3</v>
      </c>
      <c r="AH6">
        <v>4.3547151821472282E-3</v>
      </c>
      <c r="AI6">
        <v>4.0366222441620961E-3</v>
      </c>
      <c r="AJ6">
        <v>1.115508584314293E-3</v>
      </c>
      <c r="AK6">
        <v>9.8321759298985187E-4</v>
      </c>
      <c r="AL6">
        <v>5.1927741288552761E-3</v>
      </c>
      <c r="AM6">
        <v>2.2980668712738513E-3</v>
      </c>
      <c r="AN6">
        <v>1.717046118958307E-3</v>
      </c>
      <c r="AO6">
        <v>2.1903356933491809E-3</v>
      </c>
      <c r="AP6">
        <v>2.3312650663335922E-3</v>
      </c>
      <c r="AQ6">
        <v>2.9610577633241188E-3</v>
      </c>
    </row>
    <row r="7" spans="1:43" x14ac:dyDescent="0.25">
      <c r="A7" s="80" t="s">
        <v>75</v>
      </c>
      <c r="B7">
        <v>0.13550207920511861</v>
      </c>
      <c r="C7">
        <v>2.0666156540418038E-2</v>
      </c>
      <c r="D7">
        <v>1.5837466116034097E-2</v>
      </c>
      <c r="E7">
        <v>2.655166916915238E-2</v>
      </c>
      <c r="F7">
        <v>2.8102799287245975E-2</v>
      </c>
      <c r="G7">
        <v>1.3227867620624991</v>
      </c>
      <c r="H7">
        <v>9.1532381200668742E-2</v>
      </c>
      <c r="I7">
        <v>5.9221672750702441E-2</v>
      </c>
      <c r="J7">
        <v>5.3208218618652527E-2</v>
      </c>
      <c r="K7">
        <v>2.9661536606828319E-2</v>
      </c>
      <c r="L7">
        <v>8.3841317456464115E-2</v>
      </c>
      <c r="M7">
        <v>9.3912324611137923E-2</v>
      </c>
      <c r="N7">
        <v>5.1758227104287853E-2</v>
      </c>
      <c r="O7">
        <v>4.2140969987101262E-2</v>
      </c>
      <c r="P7">
        <v>2.9622798065472494E-2</v>
      </c>
      <c r="Q7">
        <v>3.197654805013813E-2</v>
      </c>
      <c r="R7">
        <v>3.79251573789584E-2</v>
      </c>
      <c r="S7">
        <v>3.7041519327201892E-2</v>
      </c>
      <c r="T7">
        <v>4.6108760832644584E-2</v>
      </c>
      <c r="U7">
        <v>4.5466909310842935E-2</v>
      </c>
      <c r="V7">
        <v>4.3668360928176206E-2</v>
      </c>
      <c r="W7">
        <v>3.6473124454831939E-2</v>
      </c>
      <c r="X7">
        <v>4.5799400061653804E-2</v>
      </c>
      <c r="Y7">
        <v>2.6101112928500481E-2</v>
      </c>
      <c r="Z7">
        <v>3.212662610229948E-2</v>
      </c>
      <c r="AA7">
        <v>2.7050438968249914E-2</v>
      </c>
      <c r="AB7">
        <v>3.7380791018461833E-2</v>
      </c>
      <c r="AC7">
        <v>3.3883409661975422E-2</v>
      </c>
      <c r="AD7">
        <v>1.9310667025484375E-2</v>
      </c>
      <c r="AE7">
        <v>3.7433364099569676E-2</v>
      </c>
      <c r="AF7">
        <v>0.41739052045706904</v>
      </c>
      <c r="AG7">
        <v>3.0716552121090073E-2</v>
      </c>
      <c r="AH7">
        <v>6.9644707372127357E-2</v>
      </c>
      <c r="AI7">
        <v>7.2207311457230208E-2</v>
      </c>
      <c r="AJ7">
        <v>2.4623961492807274E-2</v>
      </c>
      <c r="AK7">
        <v>1.7445059041094214E-2</v>
      </c>
      <c r="AL7">
        <v>5.1215623836164528E-2</v>
      </c>
      <c r="AM7">
        <v>4.7709373466252841E-2</v>
      </c>
      <c r="AN7">
        <v>5.1484176151263369E-2</v>
      </c>
      <c r="AO7">
        <v>5.9988019446272585E-2</v>
      </c>
      <c r="AP7">
        <v>0.11893076539857075</v>
      </c>
      <c r="AQ7">
        <v>5.6871848600140273E-2</v>
      </c>
    </row>
    <row r="8" spans="1:43" x14ac:dyDescent="0.25">
      <c r="A8" s="80" t="s">
        <v>76</v>
      </c>
      <c r="B8">
        <v>6.4137136754793562E-3</v>
      </c>
      <c r="C8">
        <v>2.3972722654784541E-2</v>
      </c>
      <c r="D8">
        <v>1.4079453518365244E-2</v>
      </c>
      <c r="E8">
        <v>1.4123902986124459E-2</v>
      </c>
      <c r="F8">
        <v>3.9515063530924287E-2</v>
      </c>
      <c r="G8">
        <v>1.5701140519519204E-2</v>
      </c>
      <c r="H8">
        <v>1.7247272268471208</v>
      </c>
      <c r="I8">
        <v>8.8733186713364193E-2</v>
      </c>
      <c r="J8">
        <v>8.7177625676647885E-2</v>
      </c>
      <c r="K8">
        <v>1.6912736267688553E-2</v>
      </c>
      <c r="L8">
        <v>2.488654644195935E-2</v>
      </c>
      <c r="M8">
        <v>4.3210574500271798E-2</v>
      </c>
      <c r="N8">
        <v>3.6923430312210945E-2</v>
      </c>
      <c r="O8">
        <v>2.7730417615185597E-2</v>
      </c>
      <c r="P8">
        <v>2.5878370260622879E-2</v>
      </c>
      <c r="Q8">
        <v>1.8506297189224332E-2</v>
      </c>
      <c r="R8">
        <v>1.5286224982388219E-2</v>
      </c>
      <c r="S8">
        <v>2.3633353540786842E-2</v>
      </c>
      <c r="T8">
        <v>2.5342129010694603E-2</v>
      </c>
      <c r="U8">
        <v>2.7029909524610228E-2</v>
      </c>
      <c r="V8">
        <v>2.4563474542374328E-2</v>
      </c>
      <c r="W8">
        <v>3.778087675949536E-2</v>
      </c>
      <c r="X8">
        <v>3.6362908375820818E-2</v>
      </c>
      <c r="Y8">
        <v>5.6343559233998447E-2</v>
      </c>
      <c r="Z8">
        <v>1.6173712431800435E-2</v>
      </c>
      <c r="AA8">
        <v>2.0574172490645099E-2</v>
      </c>
      <c r="AB8">
        <v>2.968630976536446E-2</v>
      </c>
      <c r="AC8">
        <v>2.1124886715361994E-2</v>
      </c>
      <c r="AD8">
        <v>1.4235516843921357E-2</v>
      </c>
      <c r="AE8">
        <v>2.2064728120503661E-2</v>
      </c>
      <c r="AF8">
        <v>2.4613085567811523E-2</v>
      </c>
      <c r="AG8">
        <v>1.6044987429899928E-2</v>
      </c>
      <c r="AH8">
        <v>5.205075746770458E-2</v>
      </c>
      <c r="AI8">
        <v>3.4558747486181207E-2</v>
      </c>
      <c r="AJ8">
        <v>1.5655543250848024E-2</v>
      </c>
      <c r="AK8">
        <v>1.0546411191775467E-2</v>
      </c>
      <c r="AL8">
        <v>2.200762880098589E-2</v>
      </c>
      <c r="AM8">
        <v>6.0539026853290816E-2</v>
      </c>
      <c r="AN8">
        <v>1.2821989952502121E-2</v>
      </c>
      <c r="AO8">
        <v>5.1970084242985326E-2</v>
      </c>
      <c r="AP8">
        <v>6.9186224176216823E-2</v>
      </c>
      <c r="AQ8">
        <v>2.5812269396914809E-2</v>
      </c>
    </row>
    <row r="9" spans="1:43" x14ac:dyDescent="0.25">
      <c r="A9" s="80" t="s">
        <v>77</v>
      </c>
      <c r="B9">
        <v>3.5162094144694793E-3</v>
      </c>
      <c r="C9">
        <v>3.0944306863870043E-2</v>
      </c>
      <c r="D9">
        <v>5.8740673167851391E-3</v>
      </c>
      <c r="E9">
        <v>7.8191894491137347E-3</v>
      </c>
      <c r="F9">
        <v>7.7718428968271682E-3</v>
      </c>
      <c r="G9">
        <v>8.3749381812576584E-3</v>
      </c>
      <c r="H9">
        <v>1.0901666436974527E-2</v>
      </c>
      <c r="I9">
        <v>1.4548739589442079</v>
      </c>
      <c r="J9">
        <v>0.22868122177802305</v>
      </c>
      <c r="K9">
        <v>7.7620456851232892E-3</v>
      </c>
      <c r="L9">
        <v>1.2033534955257474E-2</v>
      </c>
      <c r="M9">
        <v>1.1499216954206855E-2</v>
      </c>
      <c r="N9">
        <v>1.3072336998887938E-2</v>
      </c>
      <c r="O9">
        <v>1.313472607213698E-2</v>
      </c>
      <c r="P9">
        <v>1.5887324248543465E-2</v>
      </c>
      <c r="Q9">
        <v>8.3867948904231271E-3</v>
      </c>
      <c r="R9">
        <v>7.5826838009808691E-3</v>
      </c>
      <c r="S9">
        <v>2.3415917148120684E-2</v>
      </c>
      <c r="T9">
        <v>1.2833230155837235E-2</v>
      </c>
      <c r="U9">
        <v>1.3930749430951779E-2</v>
      </c>
      <c r="V9">
        <v>1.2955606211886692E-2</v>
      </c>
      <c r="W9">
        <v>2.7049630676838649E-2</v>
      </c>
      <c r="X9">
        <v>1.6987682216162918E-2</v>
      </c>
      <c r="Y9">
        <v>1.7694452225693005E-2</v>
      </c>
      <c r="Z9">
        <v>1.0918058693848147E-2</v>
      </c>
      <c r="AA9">
        <v>6.3436316003467634E-3</v>
      </c>
      <c r="AB9">
        <v>6.1267416081425422E-3</v>
      </c>
      <c r="AC9">
        <v>3.9720840545026788E-2</v>
      </c>
      <c r="AD9">
        <v>6.6756476360982399E-3</v>
      </c>
      <c r="AE9">
        <v>9.3408811715308699E-3</v>
      </c>
      <c r="AF9">
        <v>6.9183181609531628E-3</v>
      </c>
      <c r="AG9">
        <v>1.5102258969032998E-2</v>
      </c>
      <c r="AH9">
        <v>2.5572837345637294E-2</v>
      </c>
      <c r="AI9">
        <v>9.9840833279076866E-3</v>
      </c>
      <c r="AJ9">
        <v>8.1410872595824354E-3</v>
      </c>
      <c r="AK9">
        <v>5.6385055438016324E-3</v>
      </c>
      <c r="AL9">
        <v>1.1652770458256443E-2</v>
      </c>
      <c r="AM9">
        <v>1.6725581222735229E-2</v>
      </c>
      <c r="AN9">
        <v>9.3437486602549798E-3</v>
      </c>
      <c r="AO9">
        <v>6.7172337320974577E-3</v>
      </c>
      <c r="AP9">
        <v>1.9573781645150837E-2</v>
      </c>
      <c r="AQ9">
        <v>9.9756010289723755E-3</v>
      </c>
    </row>
    <row r="10" spans="1:43" x14ac:dyDescent="0.25">
      <c r="A10" s="80" t="s">
        <v>78</v>
      </c>
      <c r="B10">
        <v>8.7706164035241951E-3</v>
      </c>
      <c r="C10">
        <v>1.3274627900531513E-2</v>
      </c>
      <c r="D10">
        <v>9.0632061323029558E-3</v>
      </c>
      <c r="E10">
        <v>1.3493201127857521E-2</v>
      </c>
      <c r="F10">
        <v>1.5975416930448069E-2</v>
      </c>
      <c r="G10">
        <v>2.78263611162443E-2</v>
      </c>
      <c r="H10">
        <v>2.5873807552450601E-2</v>
      </c>
      <c r="I10">
        <v>3.1704816434822425E-2</v>
      </c>
      <c r="J10">
        <v>1.1975757016440105</v>
      </c>
      <c r="K10">
        <v>1.2264028842340379E-2</v>
      </c>
      <c r="L10">
        <v>2.3312510877352696E-2</v>
      </c>
      <c r="M10">
        <v>4.3907272291933877E-2</v>
      </c>
      <c r="N10">
        <v>2.5733606992759232E-2</v>
      </c>
      <c r="O10">
        <v>2.6422600738334731E-2</v>
      </c>
      <c r="P10">
        <v>3.1701929840768625E-2</v>
      </c>
      <c r="Q10">
        <v>1.3544760200079255E-2</v>
      </c>
      <c r="R10">
        <v>1.3787743320743598E-2</v>
      </c>
      <c r="S10">
        <v>2.0025729229027577E-2</v>
      </c>
      <c r="T10">
        <v>3.2465081758692921E-2</v>
      </c>
      <c r="U10">
        <v>3.0964462389433133E-2</v>
      </c>
      <c r="V10">
        <v>2.3978574362599279E-2</v>
      </c>
      <c r="W10">
        <v>2.3845519315862068E-2</v>
      </c>
      <c r="X10">
        <v>2.3262431354398701E-2</v>
      </c>
      <c r="Y10">
        <v>1.5478687277096151E-2</v>
      </c>
      <c r="Z10">
        <v>1.4835027399824773E-2</v>
      </c>
      <c r="AA10">
        <v>1.2523263993395754E-2</v>
      </c>
      <c r="AB10">
        <v>1.3948930021357862E-2</v>
      </c>
      <c r="AC10">
        <v>2.3623540348747012E-2</v>
      </c>
      <c r="AD10">
        <v>2.5410536139341692E-2</v>
      </c>
      <c r="AE10">
        <v>2.2532137872725296E-2</v>
      </c>
      <c r="AF10">
        <v>2.1745812674615429E-2</v>
      </c>
      <c r="AG10">
        <v>6.1133919177878658E-2</v>
      </c>
      <c r="AH10">
        <v>0.11123626653840459</v>
      </c>
      <c r="AI10">
        <v>3.2352966051334843E-2</v>
      </c>
      <c r="AJ10">
        <v>3.4397482690165633E-2</v>
      </c>
      <c r="AK10">
        <v>1.9224843747704241E-2</v>
      </c>
      <c r="AL10">
        <v>3.5813039771214264E-2</v>
      </c>
      <c r="AM10">
        <v>4.207198992208129E-2</v>
      </c>
      <c r="AN10">
        <v>3.725453072489935E-2</v>
      </c>
      <c r="AO10">
        <v>2.2640048299442436E-2</v>
      </c>
      <c r="AP10">
        <v>7.6074541437833515E-2</v>
      </c>
      <c r="AQ10">
        <v>2.0539654980658531E-2</v>
      </c>
    </row>
    <row r="11" spans="1:43" x14ac:dyDescent="0.25">
      <c r="A11" s="80" t="s">
        <v>79</v>
      </c>
      <c r="B11">
        <v>2.2522044850670712E-2</v>
      </c>
      <c r="C11">
        <v>2.4913815145393304E-2</v>
      </c>
      <c r="D11">
        <v>2.9315900688994617E-2</v>
      </c>
      <c r="E11">
        <v>6.9863494856626601E-2</v>
      </c>
      <c r="F11">
        <v>7.9840555201751651E-2</v>
      </c>
      <c r="G11">
        <v>2.2636784056932955E-2</v>
      </c>
      <c r="H11">
        <v>4.275624987105036E-2</v>
      </c>
      <c r="I11">
        <v>4.3678832939541473E-2</v>
      </c>
      <c r="J11">
        <v>4.3831058774952893E-2</v>
      </c>
      <c r="K11">
        <v>1.0879097344897166</v>
      </c>
      <c r="L11">
        <v>0.14809834379125844</v>
      </c>
      <c r="M11">
        <v>3.1275207806280653E-2</v>
      </c>
      <c r="N11">
        <v>7.9195990786613643E-2</v>
      </c>
      <c r="O11">
        <v>4.3457512692190267E-2</v>
      </c>
      <c r="P11">
        <v>7.1578290197179803E-2</v>
      </c>
      <c r="Q11">
        <v>0.11625257809831001</v>
      </c>
      <c r="R11">
        <v>6.0366651931652651E-2</v>
      </c>
      <c r="S11">
        <v>6.1479251120664546E-2</v>
      </c>
      <c r="T11">
        <v>3.5973742804214288E-2</v>
      </c>
      <c r="U11">
        <v>4.993905782904795E-2</v>
      </c>
      <c r="V11">
        <v>4.8219489561330917E-2</v>
      </c>
      <c r="W11">
        <v>4.2539384282697316E-2</v>
      </c>
      <c r="X11">
        <v>4.5886864845993358E-2</v>
      </c>
      <c r="Y11">
        <v>2.664480276629359E-2</v>
      </c>
      <c r="Z11">
        <v>4.1345711888381938E-2</v>
      </c>
      <c r="AA11">
        <v>5.1098226007115347E-2</v>
      </c>
      <c r="AB11">
        <v>2.5467178135842532E-2</v>
      </c>
      <c r="AC11">
        <v>6.2753508060619689E-2</v>
      </c>
      <c r="AD11">
        <v>1.8561795715631459E-2</v>
      </c>
      <c r="AE11">
        <v>0.11627532887349404</v>
      </c>
      <c r="AF11">
        <v>2.2162184452420537E-2</v>
      </c>
      <c r="AG11">
        <v>1.6644954313003679E-2</v>
      </c>
      <c r="AH11">
        <v>4.820945398740191E-2</v>
      </c>
      <c r="AI11">
        <v>3.8793994775207459E-2</v>
      </c>
      <c r="AJ11">
        <v>1.1951676795512978E-2</v>
      </c>
      <c r="AK11">
        <v>8.9211328363639052E-3</v>
      </c>
      <c r="AL11">
        <v>5.7299607089619557E-2</v>
      </c>
      <c r="AM11">
        <v>2.3361746622864277E-2</v>
      </c>
      <c r="AN11">
        <v>1.6901887185852046E-2</v>
      </c>
      <c r="AO11">
        <v>2.0606112960955304E-2</v>
      </c>
      <c r="AP11">
        <v>2.1503638958445589E-2</v>
      </c>
      <c r="AQ11">
        <v>2.5570743893971678E-2</v>
      </c>
    </row>
    <row r="12" spans="1:43" x14ac:dyDescent="0.25">
      <c r="A12" s="80" t="s">
        <v>80</v>
      </c>
      <c r="B12">
        <v>0.12475566784311146</v>
      </c>
      <c r="C12">
        <v>5.1854362802549257E-2</v>
      </c>
      <c r="D12">
        <v>9.5790347073140547E-2</v>
      </c>
      <c r="E12">
        <v>0.11601475410803887</v>
      </c>
      <c r="F12">
        <v>0.16353435799539695</v>
      </c>
      <c r="G12">
        <v>8.6571799116013204E-2</v>
      </c>
      <c r="H12">
        <v>0.252956539309178</v>
      </c>
      <c r="I12">
        <v>0.20855053178643834</v>
      </c>
      <c r="J12">
        <v>0.23075454235833792</v>
      </c>
      <c r="K12">
        <v>0.12129872181083627</v>
      </c>
      <c r="L12">
        <v>1.5900764062217636</v>
      </c>
      <c r="M12">
        <v>0.1361272376361661</v>
      </c>
      <c r="N12">
        <v>0.62650532405352222</v>
      </c>
      <c r="O12">
        <v>8.8287865974592969E-2</v>
      </c>
      <c r="P12">
        <v>0.13352013395005446</v>
      </c>
      <c r="Q12">
        <v>7.4481262023578021E-2</v>
      </c>
      <c r="R12">
        <v>9.7297000242985418E-2</v>
      </c>
      <c r="S12">
        <v>9.8016256105072558E-2</v>
      </c>
      <c r="T12">
        <v>0.11542329271194478</v>
      </c>
      <c r="U12">
        <v>0.16220939860933992</v>
      </c>
      <c r="V12">
        <v>8.9363036216060676E-2</v>
      </c>
      <c r="W12">
        <v>0.10729879240128082</v>
      </c>
      <c r="X12">
        <v>0.11845166431205081</v>
      </c>
      <c r="Y12">
        <v>9.905934323684891E-2</v>
      </c>
      <c r="Z12">
        <v>4.3553688075045421E-2</v>
      </c>
      <c r="AA12">
        <v>6.098028543321881E-2</v>
      </c>
      <c r="AB12">
        <v>0.13459162840511074</v>
      </c>
      <c r="AC12">
        <v>0.11958532805358085</v>
      </c>
      <c r="AD12">
        <v>2.0699686022550391E-2</v>
      </c>
      <c r="AE12">
        <v>4.8026435317996406E-2</v>
      </c>
      <c r="AF12">
        <v>6.3986618885361529E-2</v>
      </c>
      <c r="AG12">
        <v>3.5912108134071349E-2</v>
      </c>
      <c r="AH12">
        <v>6.5268683732206567E-2</v>
      </c>
      <c r="AI12">
        <v>0.15079518141842407</v>
      </c>
      <c r="AJ12">
        <v>1.7140543681895295E-2</v>
      </c>
      <c r="AK12">
        <v>1.3123327188313194E-2</v>
      </c>
      <c r="AL12">
        <v>0.11846613067161754</v>
      </c>
      <c r="AM12">
        <v>5.1867291808777659E-2</v>
      </c>
      <c r="AN12">
        <v>4.2996125662008569E-2</v>
      </c>
      <c r="AO12">
        <v>6.3689842960966664E-2</v>
      </c>
      <c r="AP12">
        <v>6.0183839480156077E-2</v>
      </c>
      <c r="AQ12">
        <v>0.10753933226877102</v>
      </c>
    </row>
    <row r="13" spans="1:43" x14ac:dyDescent="0.25">
      <c r="A13" s="80" t="s">
        <v>81</v>
      </c>
      <c r="B13">
        <v>7.6666596469062327E-3</v>
      </c>
      <c r="C13">
        <v>1.2933424514906542E-3</v>
      </c>
      <c r="D13">
        <v>9.5238756725704338E-4</v>
      </c>
      <c r="E13">
        <v>1.1826540674206389E-3</v>
      </c>
      <c r="F13">
        <v>1.3873822227692002E-3</v>
      </c>
      <c r="G13">
        <v>4.9682121014526116E-3</v>
      </c>
      <c r="H13">
        <v>2.905603879944495E-3</v>
      </c>
      <c r="I13">
        <v>2.5475092049130807E-3</v>
      </c>
      <c r="J13">
        <v>3.5995219736690552E-3</v>
      </c>
      <c r="K13">
        <v>1.8892949314009283E-3</v>
      </c>
      <c r="L13">
        <v>4.0890764150129768E-3</v>
      </c>
      <c r="M13">
        <v>1.2625006371353626</v>
      </c>
      <c r="N13">
        <v>2.5825303758543919E-3</v>
      </c>
      <c r="O13">
        <v>3.2217733652671449E-3</v>
      </c>
      <c r="P13">
        <v>2.4390695009159635E-3</v>
      </c>
      <c r="Q13">
        <v>1.5507056214503078E-3</v>
      </c>
      <c r="R13">
        <v>1.1673419179021489E-3</v>
      </c>
      <c r="S13">
        <v>1.9164883491790052E-3</v>
      </c>
      <c r="T13">
        <v>2.5203434904268055E-3</v>
      </c>
      <c r="U13">
        <v>1.9513903461915465E-3</v>
      </c>
      <c r="V13">
        <v>1.6798972240590314E-3</v>
      </c>
      <c r="W13">
        <v>1.5013929772499574E-3</v>
      </c>
      <c r="X13">
        <v>1.904548710582363E-3</v>
      </c>
      <c r="Y13">
        <v>1.9679487935092017E-3</v>
      </c>
      <c r="Z13">
        <v>1.2381736411692967E-3</v>
      </c>
      <c r="AA13">
        <v>1.0215428394680468E-3</v>
      </c>
      <c r="AB13">
        <v>1.4874610167927601E-3</v>
      </c>
      <c r="AC13">
        <v>3.218359855518613E-3</v>
      </c>
      <c r="AD13">
        <v>6.1374304247299347E-4</v>
      </c>
      <c r="AE13">
        <v>1.2669215275383466E-3</v>
      </c>
      <c r="AF13">
        <v>2.7276788536595912E-3</v>
      </c>
      <c r="AG13">
        <v>1.2323294964580764E-3</v>
      </c>
      <c r="AH13">
        <v>1.4743056755922735E-3</v>
      </c>
      <c r="AI13">
        <v>7.6153904649085644E-3</v>
      </c>
      <c r="AJ13">
        <v>5.8698226131015656E-4</v>
      </c>
      <c r="AK13">
        <v>3.4609391941469993E-4</v>
      </c>
      <c r="AL13">
        <v>8.5231729047305239E-3</v>
      </c>
      <c r="AM13">
        <v>2.3891051875713173E-3</v>
      </c>
      <c r="AN13">
        <v>2.4702371154736746E-3</v>
      </c>
      <c r="AO13">
        <v>0.41644954786089272</v>
      </c>
      <c r="AP13">
        <v>1.4461655758981628E-3</v>
      </c>
      <c r="AQ13">
        <v>1.7997991427630008E-3</v>
      </c>
    </row>
    <row r="14" spans="1:43" x14ac:dyDescent="0.25">
      <c r="A14" s="80" t="s">
        <v>82</v>
      </c>
      <c r="B14">
        <v>1.8294564611802549E-2</v>
      </c>
      <c r="C14">
        <v>1.4111786198694661E-2</v>
      </c>
      <c r="D14">
        <v>1.7794311458974844E-2</v>
      </c>
      <c r="E14">
        <v>1.9500000863106947E-2</v>
      </c>
      <c r="F14">
        <v>6.5447988762440568E-2</v>
      </c>
      <c r="G14">
        <v>2.8277373385684704E-2</v>
      </c>
      <c r="H14">
        <v>4.8285154114672935E-2</v>
      </c>
      <c r="I14">
        <v>4.4621667320610986E-2</v>
      </c>
      <c r="J14">
        <v>6.1709073979701483E-2</v>
      </c>
      <c r="K14">
        <v>1.963985386059015E-2</v>
      </c>
      <c r="L14">
        <v>5.2196910577008072E-2</v>
      </c>
      <c r="M14">
        <v>2.407165733052373E-2</v>
      </c>
      <c r="N14">
        <v>1.2574344498163605</v>
      </c>
      <c r="O14">
        <v>6.1521320999965101E-2</v>
      </c>
      <c r="P14">
        <v>2.8951905523843122E-2</v>
      </c>
      <c r="Q14">
        <v>1.6908871663026959E-2</v>
      </c>
      <c r="R14">
        <v>1.6851914027941291E-2</v>
      </c>
      <c r="S14">
        <v>3.0570714429474163E-2</v>
      </c>
      <c r="T14">
        <v>6.5109824910970698E-2</v>
      </c>
      <c r="U14">
        <v>7.9281841499434264E-2</v>
      </c>
      <c r="V14">
        <v>4.6997031696435175E-2</v>
      </c>
      <c r="W14">
        <v>8.2648502731402188E-2</v>
      </c>
      <c r="X14">
        <v>7.9990227927973584E-2</v>
      </c>
      <c r="Y14">
        <v>3.8788234195624757E-2</v>
      </c>
      <c r="Z14">
        <v>1.6459053528782231E-2</v>
      </c>
      <c r="AA14">
        <v>1.3918147648438968E-2</v>
      </c>
      <c r="AB14">
        <v>3.3348867332593041E-2</v>
      </c>
      <c r="AC14">
        <v>3.5910812943595986E-2</v>
      </c>
      <c r="AD14">
        <v>9.916400622941501E-3</v>
      </c>
      <c r="AE14">
        <v>2.912700119017865E-2</v>
      </c>
      <c r="AF14">
        <v>1.8522201911224105E-2</v>
      </c>
      <c r="AG14">
        <v>1.5243559970167412E-2</v>
      </c>
      <c r="AH14">
        <v>2.4311996822816689E-2</v>
      </c>
      <c r="AI14">
        <v>2.6181961651915713E-2</v>
      </c>
      <c r="AJ14">
        <v>5.5297974972646742E-3</v>
      </c>
      <c r="AK14">
        <v>4.5377100007037777E-3</v>
      </c>
      <c r="AL14">
        <v>2.4917457314048364E-2</v>
      </c>
      <c r="AM14">
        <v>1.3940965974073375E-2</v>
      </c>
      <c r="AN14">
        <v>7.3919901358541346E-3</v>
      </c>
      <c r="AO14">
        <v>1.5859873143570107E-2</v>
      </c>
      <c r="AP14">
        <v>1.5239927140552176E-2</v>
      </c>
      <c r="AQ14">
        <v>2.6659681266468185E-2</v>
      </c>
    </row>
    <row r="15" spans="1:43" x14ac:dyDescent="0.25">
      <c r="A15" s="80" t="s">
        <v>88</v>
      </c>
      <c r="B15">
        <v>1.27642057385916E-2</v>
      </c>
      <c r="C15">
        <v>3.1274647830249962E-2</v>
      </c>
      <c r="D15">
        <v>5.1874648918583587E-2</v>
      </c>
      <c r="E15">
        <v>4.2020292367081186E-2</v>
      </c>
      <c r="F15">
        <v>0.11417447536584487</v>
      </c>
      <c r="G15">
        <v>8.7299912618722768E-3</v>
      </c>
      <c r="H15">
        <v>1.1244798249169597E-2</v>
      </c>
      <c r="I15">
        <v>1.3892687669418449E-2</v>
      </c>
      <c r="J15">
        <v>1.564969982689831E-2</v>
      </c>
      <c r="K15">
        <v>3.203450196697126E-2</v>
      </c>
      <c r="L15">
        <v>1.9196684691505653E-2</v>
      </c>
      <c r="M15">
        <v>8.2001689633598735E-3</v>
      </c>
      <c r="N15">
        <v>1.629889051341538E-2</v>
      </c>
      <c r="O15">
        <v>1.1605153780236457</v>
      </c>
      <c r="P15">
        <v>1.9167916317345126E-2</v>
      </c>
      <c r="Q15">
        <v>2.897957534426588E-2</v>
      </c>
      <c r="R15">
        <v>2.7570262788423089E-2</v>
      </c>
      <c r="S15">
        <v>2.4913597896990915E-2</v>
      </c>
      <c r="T15">
        <v>5.1674567955622391E-2</v>
      </c>
      <c r="U15">
        <v>2.6523701785702493E-2</v>
      </c>
      <c r="V15">
        <v>2.7785569553303729E-2</v>
      </c>
      <c r="W15">
        <v>2.3337939733488446E-2</v>
      </c>
      <c r="X15">
        <v>2.5798854431499148E-2</v>
      </c>
      <c r="Y15">
        <v>1.1835976050876129E-2</v>
      </c>
      <c r="Z15">
        <v>1.360582387092143E-2</v>
      </c>
      <c r="AA15">
        <v>2.8281188282615242E-2</v>
      </c>
      <c r="AB15">
        <v>8.8316815706139112E-3</v>
      </c>
      <c r="AC15">
        <v>2.0466405219552657E-2</v>
      </c>
      <c r="AD15">
        <v>3.0422288693673018E-3</v>
      </c>
      <c r="AE15">
        <v>1.0064865054896122E-2</v>
      </c>
      <c r="AF15">
        <v>6.5344600965175463E-3</v>
      </c>
      <c r="AG15">
        <v>6.7886752421351948E-3</v>
      </c>
      <c r="AH15">
        <v>8.6656823170322122E-3</v>
      </c>
      <c r="AI15">
        <v>1.0406305548832734E-2</v>
      </c>
      <c r="AJ15">
        <v>2.9356867864220979E-3</v>
      </c>
      <c r="AK15">
        <v>1.7892357044606705E-3</v>
      </c>
      <c r="AL15">
        <v>1.1838395200691279E-2</v>
      </c>
      <c r="AM15">
        <v>4.7788494494300374E-3</v>
      </c>
      <c r="AN15">
        <v>3.3850855509312207E-3</v>
      </c>
      <c r="AO15">
        <v>4.3294376992294999E-2</v>
      </c>
      <c r="AP15">
        <v>4.6725689615474218E-3</v>
      </c>
      <c r="AQ15">
        <v>7.5938612121694421E-3</v>
      </c>
    </row>
    <row r="16" spans="1:43" x14ac:dyDescent="0.25">
      <c r="A16" s="80" t="s">
        <v>83</v>
      </c>
      <c r="B16">
        <v>4.4358407666532035E-3</v>
      </c>
      <c r="C16">
        <v>1.1244708576714377E-2</v>
      </c>
      <c r="D16">
        <v>1.2525115803346046E-2</v>
      </c>
      <c r="E16">
        <v>1.9294870270372175E-2</v>
      </c>
      <c r="F16">
        <v>5.0934083136729695E-2</v>
      </c>
      <c r="G16">
        <v>1.0398436218757077E-2</v>
      </c>
      <c r="H16">
        <v>8.5268605163316882E-3</v>
      </c>
      <c r="I16">
        <v>2.0998983888828184E-2</v>
      </c>
      <c r="J16">
        <v>1.6959041630354551E-2</v>
      </c>
      <c r="K16">
        <v>1.8048266655046701E-2</v>
      </c>
      <c r="L16">
        <v>1.832261266975839E-2</v>
      </c>
      <c r="M16">
        <v>1.9801863259393523E-2</v>
      </c>
      <c r="N16">
        <v>1.8002530137338626E-2</v>
      </c>
      <c r="O16">
        <v>3.4786458195292531E-2</v>
      </c>
      <c r="P16">
        <v>1.2445442111686464</v>
      </c>
      <c r="Q16">
        <v>3.2326253153636651E-2</v>
      </c>
      <c r="R16">
        <v>3.2206481855229986E-2</v>
      </c>
      <c r="S16">
        <v>3.5359602328803356E-2</v>
      </c>
      <c r="T16">
        <v>5.4665098943244853E-2</v>
      </c>
      <c r="U16">
        <v>6.1214256091321882E-2</v>
      </c>
      <c r="V16">
        <v>2.9046795293241626E-2</v>
      </c>
      <c r="W16">
        <v>4.1549797397468016E-2</v>
      </c>
      <c r="X16">
        <v>2.9167217175990627E-2</v>
      </c>
      <c r="Y16">
        <v>1.148806976903808E-2</v>
      </c>
      <c r="Z16">
        <v>1.766340063223637E-2</v>
      </c>
      <c r="AA16">
        <v>8.8880356234768386E-3</v>
      </c>
      <c r="AB16">
        <v>7.8781173779318477E-3</v>
      </c>
      <c r="AC16">
        <v>0.21729187241395614</v>
      </c>
      <c r="AD16">
        <v>4.1561156925833476E-3</v>
      </c>
      <c r="AE16">
        <v>9.653594024510841E-3</v>
      </c>
      <c r="AF16">
        <v>7.2307847549814954E-3</v>
      </c>
      <c r="AG16">
        <v>8.2498266415293245E-3</v>
      </c>
      <c r="AH16">
        <v>1.006472773540191E-2</v>
      </c>
      <c r="AI16">
        <v>2.4313802239290434E-2</v>
      </c>
      <c r="AJ16">
        <v>2.8651373435739143E-3</v>
      </c>
      <c r="AK16">
        <v>4.6474841851805162E-3</v>
      </c>
      <c r="AL16">
        <v>1.3659397073057182E-2</v>
      </c>
      <c r="AM16">
        <v>8.3406256815447659E-3</v>
      </c>
      <c r="AN16">
        <v>7.2247978026392084E-3</v>
      </c>
      <c r="AO16">
        <v>1.0746388938123411E-2</v>
      </c>
      <c r="AP16">
        <v>6.3465665583191033E-3</v>
      </c>
      <c r="AQ16">
        <v>9.1446983627521145E-3</v>
      </c>
    </row>
    <row r="17" spans="1:43" x14ac:dyDescent="0.25">
      <c r="A17" s="80" t="s">
        <v>84</v>
      </c>
      <c r="B17">
        <v>6.1996364198271744E-3</v>
      </c>
      <c r="C17">
        <v>6.1129606945906828E-2</v>
      </c>
      <c r="D17">
        <v>3.8072336527374975E-2</v>
      </c>
      <c r="E17">
        <v>2.8600228817724043E-2</v>
      </c>
      <c r="F17">
        <v>0.10417115379631595</v>
      </c>
      <c r="G17">
        <v>8.6813358898388381E-3</v>
      </c>
      <c r="H17">
        <v>1.3426205916263208E-2</v>
      </c>
      <c r="I17">
        <v>3.8357478395882251E-2</v>
      </c>
      <c r="J17">
        <v>3.1881288247169799E-2</v>
      </c>
      <c r="K17">
        <v>2.805108175328748E-2</v>
      </c>
      <c r="L17">
        <v>2.105886070327339E-2</v>
      </c>
      <c r="M17">
        <v>1.1577558538279424E-2</v>
      </c>
      <c r="N17">
        <v>2.6640078858494964E-2</v>
      </c>
      <c r="O17">
        <v>0.14217434131688828</v>
      </c>
      <c r="P17">
        <v>5.707527420269147E-2</v>
      </c>
      <c r="Q17">
        <v>1.2549786253818105</v>
      </c>
      <c r="R17">
        <v>2.900760873999619E-2</v>
      </c>
      <c r="S17">
        <v>0.32352699415781516</v>
      </c>
      <c r="T17">
        <v>4.5327181657532217E-2</v>
      </c>
      <c r="U17">
        <v>8.0242684946860612E-2</v>
      </c>
      <c r="V17">
        <v>0.17619938964655513</v>
      </c>
      <c r="W17">
        <v>0.10087625890177271</v>
      </c>
      <c r="X17">
        <v>0.12538476392017833</v>
      </c>
      <c r="Y17">
        <v>2.8694541812272361E-2</v>
      </c>
      <c r="Z17">
        <v>2.6650974583874519E-2</v>
      </c>
      <c r="AA17">
        <v>2.6367460754176814E-2</v>
      </c>
      <c r="AB17">
        <v>1.8821252468066048E-2</v>
      </c>
      <c r="AC17">
        <v>0.16423306981704355</v>
      </c>
      <c r="AD17">
        <v>6.7946988213202497E-3</v>
      </c>
      <c r="AE17">
        <v>2.0617301365793598E-2</v>
      </c>
      <c r="AF17">
        <v>7.6673279725703097E-3</v>
      </c>
      <c r="AG17">
        <v>1.0426687857942952E-2</v>
      </c>
      <c r="AH17">
        <v>2.3493700455903151E-2</v>
      </c>
      <c r="AI17">
        <v>2.356163764326194E-2</v>
      </c>
      <c r="AJ17">
        <v>4.5480377955097783E-3</v>
      </c>
      <c r="AK17">
        <v>5.6349373373221897E-3</v>
      </c>
      <c r="AL17">
        <v>2.5305562009687893E-2</v>
      </c>
      <c r="AM17">
        <v>1.0024486554842811E-2</v>
      </c>
      <c r="AN17">
        <v>6.2270054658559509E-3</v>
      </c>
      <c r="AO17">
        <v>1.1813082807297646E-2</v>
      </c>
      <c r="AP17">
        <v>8.8660297988317864E-3</v>
      </c>
      <c r="AQ17">
        <v>1.6541197605669078E-2</v>
      </c>
    </row>
    <row r="18" spans="1:43" x14ac:dyDescent="0.25">
      <c r="A18" s="80" t="s">
        <v>85</v>
      </c>
      <c r="B18">
        <v>9.4177854059725088E-3</v>
      </c>
      <c r="C18">
        <v>2.6618195568430703E-2</v>
      </c>
      <c r="D18">
        <v>2.201110905142736E-2</v>
      </c>
      <c r="E18">
        <v>3.2147654227344766E-2</v>
      </c>
      <c r="F18">
        <v>5.6093371330547322E-2</v>
      </c>
      <c r="G18">
        <v>1.2681859424513303E-2</v>
      </c>
      <c r="H18">
        <v>2.0902245028851619E-2</v>
      </c>
      <c r="I18">
        <v>3.4891417758687752E-2</v>
      </c>
      <c r="J18">
        <v>8.2937522966704369E-2</v>
      </c>
      <c r="K18">
        <v>2.0983104084268137E-2</v>
      </c>
      <c r="L18">
        <v>4.7088081222004148E-2</v>
      </c>
      <c r="M18">
        <v>1.8508689945987235E-2</v>
      </c>
      <c r="N18">
        <v>4.563208081977102E-2</v>
      </c>
      <c r="O18">
        <v>0.14597621997527352</v>
      </c>
      <c r="P18">
        <v>5.122870291147693E-2</v>
      </c>
      <c r="Q18">
        <v>5.5895799763192984E-2</v>
      </c>
      <c r="R18">
        <v>1.6250669665398605</v>
      </c>
      <c r="S18">
        <v>0.21152039131136954</v>
      </c>
      <c r="T18">
        <v>0.1561316847627966</v>
      </c>
      <c r="U18">
        <v>0.40785593214611532</v>
      </c>
      <c r="V18">
        <v>0.2190600611097048</v>
      </c>
      <c r="W18">
        <v>0.17557022606830835</v>
      </c>
      <c r="X18">
        <v>0.1991980283397283</v>
      </c>
      <c r="Y18">
        <v>8.2624736217949357E-2</v>
      </c>
      <c r="Z18">
        <v>5.2898591234437221E-2</v>
      </c>
      <c r="AA18">
        <v>1.8237325414727844E-2</v>
      </c>
      <c r="AB18">
        <v>2.250614936461557E-2</v>
      </c>
      <c r="AC18">
        <v>5.9631742869588673E-2</v>
      </c>
      <c r="AD18">
        <v>1.3876855010876592E-2</v>
      </c>
      <c r="AE18">
        <v>3.0985321821274836E-2</v>
      </c>
      <c r="AF18">
        <v>1.1834956073711654E-2</v>
      </c>
      <c r="AG18">
        <v>2.7208371796269112E-2</v>
      </c>
      <c r="AH18">
        <v>3.779702414400915E-2</v>
      </c>
      <c r="AI18">
        <v>4.5606701659891002E-2</v>
      </c>
      <c r="AJ18">
        <v>7.5484824907287203E-3</v>
      </c>
      <c r="AK18">
        <v>6.1660865953303808E-3</v>
      </c>
      <c r="AL18">
        <v>4.616581472971016E-2</v>
      </c>
      <c r="AM18">
        <v>1.5434310757419153E-2</v>
      </c>
      <c r="AN18">
        <v>9.9916147717908892E-3</v>
      </c>
      <c r="AO18">
        <v>1.6487482106635021E-2</v>
      </c>
      <c r="AP18">
        <v>1.521067671532416E-2</v>
      </c>
      <c r="AQ18">
        <v>3.1050466108576182E-2</v>
      </c>
    </row>
    <row r="19" spans="1:43" x14ac:dyDescent="0.25">
      <c r="A19" s="80" t="s">
        <v>86</v>
      </c>
      <c r="B19">
        <v>6.8306335106630353E-3</v>
      </c>
      <c r="C19">
        <v>5.2507281167250161E-2</v>
      </c>
      <c r="D19">
        <v>1.6697388951983323E-2</v>
      </c>
      <c r="E19">
        <v>4.0598724017628075E-2</v>
      </c>
      <c r="F19">
        <v>5.5829787543920553E-2</v>
      </c>
      <c r="G19">
        <v>1.2710769459322448E-2</v>
      </c>
      <c r="H19">
        <v>1.7905018052754504E-2</v>
      </c>
      <c r="I19">
        <v>5.1897205428894755E-2</v>
      </c>
      <c r="J19">
        <v>3.9617024136297842E-2</v>
      </c>
      <c r="K19">
        <v>1.7325513420416761E-2</v>
      </c>
      <c r="L19">
        <v>2.295979343228206E-2</v>
      </c>
      <c r="M19">
        <v>1.8438140688350649E-2</v>
      </c>
      <c r="N19">
        <v>3.6141439323056912E-2</v>
      </c>
      <c r="O19">
        <v>8.8043046383397272E-2</v>
      </c>
      <c r="P19">
        <v>5.1939028743160066E-2</v>
      </c>
      <c r="Q19">
        <v>2.6162936276212963E-2</v>
      </c>
      <c r="R19">
        <v>2.3543513237640919E-2</v>
      </c>
      <c r="S19">
        <v>1.1762137352518443</v>
      </c>
      <c r="T19">
        <v>5.8426119235506356E-2</v>
      </c>
      <c r="U19">
        <v>7.7586245960807362E-2</v>
      </c>
      <c r="V19">
        <v>0.10038709183477991</v>
      </c>
      <c r="W19">
        <v>6.1789869577194331E-2</v>
      </c>
      <c r="X19">
        <v>8.1905457727156683E-2</v>
      </c>
      <c r="Y19">
        <v>3.1239223457960114E-2</v>
      </c>
      <c r="Z19">
        <v>2.4443072184950267E-2</v>
      </c>
      <c r="AA19">
        <v>1.4793072052116853E-2</v>
      </c>
      <c r="AB19">
        <v>3.5497855542659627E-2</v>
      </c>
      <c r="AC19">
        <v>8.2703419157034566E-2</v>
      </c>
      <c r="AD19">
        <v>1.0085568939311684E-2</v>
      </c>
      <c r="AE19">
        <v>1.8877697531118134E-2</v>
      </c>
      <c r="AF19">
        <v>1.0335291385428245E-2</v>
      </c>
      <c r="AG19">
        <v>1.4980023285719079E-2</v>
      </c>
      <c r="AH19">
        <v>4.8436281028167404E-2</v>
      </c>
      <c r="AI19">
        <v>4.7481733450476495E-2</v>
      </c>
      <c r="AJ19">
        <v>6.6040179743018746E-3</v>
      </c>
      <c r="AK19">
        <v>7.4685462094713833E-3</v>
      </c>
      <c r="AL19">
        <v>5.2755839634151244E-2</v>
      </c>
      <c r="AM19">
        <v>1.2617482329080484E-2</v>
      </c>
      <c r="AN19">
        <v>7.9295816898354732E-3</v>
      </c>
      <c r="AO19">
        <v>1.2849631716464274E-2</v>
      </c>
      <c r="AP19">
        <v>1.1808902843834285E-2</v>
      </c>
      <c r="AQ19">
        <v>2.5919509098797335E-2</v>
      </c>
    </row>
    <row r="20" spans="1:43" x14ac:dyDescent="0.25">
      <c r="A20" s="80" t="s">
        <v>92</v>
      </c>
      <c r="B20">
        <v>1.4850407844885869E-2</v>
      </c>
      <c r="C20">
        <v>3.4076813577389807E-2</v>
      </c>
      <c r="D20">
        <v>4.8779458819553048E-2</v>
      </c>
      <c r="E20">
        <v>3.7967824834270518E-2</v>
      </c>
      <c r="F20">
        <v>8.6620951538873808E-2</v>
      </c>
      <c r="G20">
        <v>2.0725110013728853E-2</v>
      </c>
      <c r="H20">
        <v>2.9945084781352549E-2</v>
      </c>
      <c r="I20">
        <v>3.1331106495859344E-2</v>
      </c>
      <c r="J20">
        <v>4.341779304750213E-2</v>
      </c>
      <c r="K20">
        <v>4.3421602497709079E-2</v>
      </c>
      <c r="L20">
        <v>4.1598380518022685E-2</v>
      </c>
      <c r="M20">
        <v>3.2370002257678152E-2</v>
      </c>
      <c r="N20">
        <v>4.3333760369874789E-2</v>
      </c>
      <c r="O20">
        <v>0.22643116992546211</v>
      </c>
      <c r="P20">
        <v>3.9904295598963281E-2</v>
      </c>
      <c r="Q20">
        <v>4.2665314782131952E-2</v>
      </c>
      <c r="R20">
        <v>3.6483120145109044E-2</v>
      </c>
      <c r="S20">
        <v>4.6123025656884829E-2</v>
      </c>
      <c r="T20">
        <v>2.099878235461524</v>
      </c>
      <c r="U20">
        <v>0.23407267183541863</v>
      </c>
      <c r="V20">
        <v>0.17685815384163114</v>
      </c>
      <c r="W20">
        <v>0.1248668526818298</v>
      </c>
      <c r="X20">
        <v>0.20729036483115892</v>
      </c>
      <c r="Y20">
        <v>5.5074154650183949E-2</v>
      </c>
      <c r="Z20">
        <v>0.11435120202446318</v>
      </c>
      <c r="AA20">
        <v>4.217366745181686E-2</v>
      </c>
      <c r="AB20">
        <v>3.9114990229283018E-2</v>
      </c>
      <c r="AC20">
        <v>7.1301598120122558E-2</v>
      </c>
      <c r="AD20">
        <v>3.4422514202462472E-2</v>
      </c>
      <c r="AE20">
        <v>5.396592937460535E-2</v>
      </c>
      <c r="AF20">
        <v>2.5722585101436105E-2</v>
      </c>
      <c r="AG20">
        <v>0.17448070806289703</v>
      </c>
      <c r="AH20">
        <v>8.4748968344217912E-2</v>
      </c>
      <c r="AI20">
        <v>0.19230211974043687</v>
      </c>
      <c r="AJ20">
        <v>1.9745503780180879E-2</v>
      </c>
      <c r="AK20">
        <v>1.3479313133834004E-2</v>
      </c>
      <c r="AL20">
        <v>0.25625819888577905</v>
      </c>
      <c r="AM20">
        <v>4.400549631096938E-2</v>
      </c>
      <c r="AN20">
        <v>3.8061474421879564E-2</v>
      </c>
      <c r="AO20">
        <v>3.5508925460683009E-2</v>
      </c>
      <c r="AP20">
        <v>3.8467766707241245E-2</v>
      </c>
      <c r="AQ20">
        <v>0.11469882422834404</v>
      </c>
    </row>
    <row r="21" spans="1:43" x14ac:dyDescent="0.25">
      <c r="A21" s="80" t="s">
        <v>91</v>
      </c>
      <c r="B21">
        <v>7.8111497789629314E-3</v>
      </c>
      <c r="C21">
        <v>2.2643100166381658E-2</v>
      </c>
      <c r="D21">
        <v>1.846563295298179E-2</v>
      </c>
      <c r="E21">
        <v>2.8922190887192507E-2</v>
      </c>
      <c r="F21">
        <v>3.345519474541158E-2</v>
      </c>
      <c r="G21">
        <v>1.1145263720107624E-2</v>
      </c>
      <c r="H21">
        <v>1.7230125811089535E-2</v>
      </c>
      <c r="I21">
        <v>1.9696089090230611E-2</v>
      </c>
      <c r="J21">
        <v>2.2739079015104278E-2</v>
      </c>
      <c r="K21">
        <v>1.8815824017772605E-2</v>
      </c>
      <c r="L21">
        <v>2.4838323666546456E-2</v>
      </c>
      <c r="M21">
        <v>1.5360856251624613E-2</v>
      </c>
      <c r="N21">
        <v>2.5177616119112289E-2</v>
      </c>
      <c r="O21">
        <v>0.10353879593162554</v>
      </c>
      <c r="P21">
        <v>2.6710747508272431E-2</v>
      </c>
      <c r="Q21">
        <v>2.800334586542241E-2</v>
      </c>
      <c r="R21">
        <v>2.689098695364911E-2</v>
      </c>
      <c r="S21">
        <v>3.081979161001808E-2</v>
      </c>
      <c r="T21">
        <v>0.14156933399910343</v>
      </c>
      <c r="U21">
        <v>1.2396691855063702</v>
      </c>
      <c r="V21">
        <v>0.11869387679076263</v>
      </c>
      <c r="W21">
        <v>7.3255550789356666E-2</v>
      </c>
      <c r="X21">
        <v>0.1900597427523068</v>
      </c>
      <c r="Y21">
        <v>3.2138244759620176E-2</v>
      </c>
      <c r="Z21">
        <v>0.12213513993918129</v>
      </c>
      <c r="AA21">
        <v>1.8716160336345909E-2</v>
      </c>
      <c r="AB21">
        <v>2.6887781828742293E-2</v>
      </c>
      <c r="AC21">
        <v>6.5563206661034171E-2</v>
      </c>
      <c r="AD21">
        <v>2.1567839931400438E-2</v>
      </c>
      <c r="AE21">
        <v>2.7007111052814881E-2</v>
      </c>
      <c r="AF21">
        <v>1.2316788915709228E-2</v>
      </c>
      <c r="AG21">
        <v>3.5743564838891406E-2</v>
      </c>
      <c r="AH21">
        <v>3.5237564918698866E-2</v>
      </c>
      <c r="AI21">
        <v>6.36408093830758E-2</v>
      </c>
      <c r="AJ21">
        <v>6.7584768934239167E-3</v>
      </c>
      <c r="AK21">
        <v>5.7683788702806021E-3</v>
      </c>
      <c r="AL21">
        <v>5.4189664245547976E-2</v>
      </c>
      <c r="AM21">
        <v>1.6757218277546965E-2</v>
      </c>
      <c r="AN21">
        <v>8.1388051888647943E-3</v>
      </c>
      <c r="AO21">
        <v>1.554830455479364E-2</v>
      </c>
      <c r="AP21">
        <v>1.25235467862844E-2</v>
      </c>
      <c r="AQ21">
        <v>3.2581014974626642E-2</v>
      </c>
    </row>
    <row r="22" spans="1:43" x14ac:dyDescent="0.25">
      <c r="A22" s="80" t="s">
        <v>87</v>
      </c>
      <c r="B22">
        <v>6.7054931416460359E-3</v>
      </c>
      <c r="C22">
        <v>3.0326586405585922E-2</v>
      </c>
      <c r="D22">
        <v>2.1715162830305432E-2</v>
      </c>
      <c r="E22">
        <v>3.2329826655881737E-2</v>
      </c>
      <c r="F22">
        <v>3.4807219997936588E-2</v>
      </c>
      <c r="G22">
        <v>8.6854524560935759E-3</v>
      </c>
      <c r="H22">
        <v>1.5722434424209571E-2</v>
      </c>
      <c r="I22">
        <v>2.1333673790825097E-2</v>
      </c>
      <c r="J22">
        <v>1.9735368800220993E-2</v>
      </c>
      <c r="K22">
        <v>2.4485007312674965E-2</v>
      </c>
      <c r="L22">
        <v>2.4250023518351586E-2</v>
      </c>
      <c r="M22">
        <v>1.1716470579174415E-2</v>
      </c>
      <c r="N22">
        <v>2.102306405985661E-2</v>
      </c>
      <c r="O22">
        <v>0.15702515731991012</v>
      </c>
      <c r="P22">
        <v>4.0029965239533602E-2</v>
      </c>
      <c r="Q22">
        <v>3.7777658183690839E-2</v>
      </c>
      <c r="R22">
        <v>2.1415345834669437E-2</v>
      </c>
      <c r="S22">
        <v>5.8133323787491732E-2</v>
      </c>
      <c r="T22">
        <v>4.295705372987367E-2</v>
      </c>
      <c r="U22">
        <v>7.4129009831512535E-2</v>
      </c>
      <c r="V22">
        <v>1.2966742752006213</v>
      </c>
      <c r="W22">
        <v>8.8875921805457003E-2</v>
      </c>
      <c r="X22">
        <v>0.1372876677199498</v>
      </c>
      <c r="Y22">
        <v>2.9085251198239463E-2</v>
      </c>
      <c r="Z22">
        <v>2.4392303112898524E-2</v>
      </c>
      <c r="AA22">
        <v>1.7650367793353484E-2</v>
      </c>
      <c r="AB22">
        <v>1.4346467289678691E-2</v>
      </c>
      <c r="AC22">
        <v>3.2858363776368957E-2</v>
      </c>
      <c r="AD22">
        <v>5.7548868373034738E-3</v>
      </c>
      <c r="AE22">
        <v>2.7918888016189549E-2</v>
      </c>
      <c r="AF22">
        <v>7.6762539395800978E-3</v>
      </c>
      <c r="AG22">
        <v>8.8398126205994718E-3</v>
      </c>
      <c r="AH22">
        <v>1.4536082181268471E-2</v>
      </c>
      <c r="AI22">
        <v>1.5614630034742906E-2</v>
      </c>
      <c r="AJ22">
        <v>3.8562650623512286E-3</v>
      </c>
      <c r="AK22">
        <v>3.0656057724558067E-3</v>
      </c>
      <c r="AL22">
        <v>1.7036451729965665E-2</v>
      </c>
      <c r="AM22">
        <v>7.2882181518007134E-3</v>
      </c>
      <c r="AN22">
        <v>5.7621779214183716E-3</v>
      </c>
      <c r="AO22">
        <v>1.2252795052780499E-2</v>
      </c>
      <c r="AP22">
        <v>7.0037742243802626E-3</v>
      </c>
      <c r="AQ22">
        <v>1.3014481578433231E-2</v>
      </c>
    </row>
    <row r="23" spans="1:43" x14ac:dyDescent="0.25">
      <c r="A23" s="80" t="s">
        <v>89</v>
      </c>
      <c r="B23">
        <v>9.1700598322707553E-3</v>
      </c>
      <c r="C23">
        <v>1.4589257297929523E-2</v>
      </c>
      <c r="D23">
        <v>1.0948945647089229E-2</v>
      </c>
      <c r="E23">
        <v>2.0507560396790823E-2</v>
      </c>
      <c r="F23">
        <v>2.8917647121549709E-2</v>
      </c>
      <c r="G23">
        <v>1.3495570709942489E-2</v>
      </c>
      <c r="H23">
        <v>1.9595210189735431E-2</v>
      </c>
      <c r="I23">
        <v>1.8015271738025758E-2</v>
      </c>
      <c r="J23">
        <v>1.7819876428355724E-2</v>
      </c>
      <c r="K23">
        <v>1.3382231371974189E-2</v>
      </c>
      <c r="L23">
        <v>1.8160018018620803E-2</v>
      </c>
      <c r="M23">
        <v>1.8571430833259683E-2</v>
      </c>
      <c r="N23">
        <v>1.9484591277544677E-2</v>
      </c>
      <c r="O23">
        <v>6.143644873245404E-2</v>
      </c>
      <c r="P23">
        <v>2.2518453069132662E-2</v>
      </c>
      <c r="Q23">
        <v>1.7181511838001633E-2</v>
      </c>
      <c r="R23">
        <v>1.6069805665053831E-2</v>
      </c>
      <c r="S23">
        <v>1.9591923220782858E-2</v>
      </c>
      <c r="T23">
        <v>2.1282412669807897E-2</v>
      </c>
      <c r="U23">
        <v>2.4198831083826859E-2</v>
      </c>
      <c r="V23">
        <v>4.6126693740014497E-2</v>
      </c>
      <c r="W23">
        <v>1.5286181509720802</v>
      </c>
      <c r="X23">
        <v>3.3022219148866952E-2</v>
      </c>
      <c r="Y23">
        <v>1.2175990708555056E-2</v>
      </c>
      <c r="Z23">
        <v>1.2757913538810423E-2</v>
      </c>
      <c r="AA23">
        <v>1.2961896573247597E-2</v>
      </c>
      <c r="AB23">
        <v>9.9467137591716451E-3</v>
      </c>
      <c r="AC23">
        <v>1.975964195930097E-2</v>
      </c>
      <c r="AD23">
        <v>1.7563143860998186E-2</v>
      </c>
      <c r="AE23">
        <v>0.11435042341046696</v>
      </c>
      <c r="AF23">
        <v>1.5226295418212566E-2</v>
      </c>
      <c r="AG23">
        <v>1.4338596332197117E-2</v>
      </c>
      <c r="AH23">
        <v>7.33148736606858E-2</v>
      </c>
      <c r="AI23">
        <v>1.9753443474332222E-2</v>
      </c>
      <c r="AJ23">
        <v>9.251931923743819E-3</v>
      </c>
      <c r="AK23">
        <v>7.4013768226713229E-3</v>
      </c>
      <c r="AL23">
        <v>2.9563506209464956E-2</v>
      </c>
      <c r="AM23">
        <v>1.9542938146680275E-2</v>
      </c>
      <c r="AN23">
        <v>7.8965127766570525E-3</v>
      </c>
      <c r="AO23">
        <v>1.5454599922090242E-2</v>
      </c>
      <c r="AP23">
        <v>1.4810042112361472E-2</v>
      </c>
      <c r="AQ23">
        <v>5.2396362435616482E-2</v>
      </c>
    </row>
    <row r="24" spans="1:43" x14ac:dyDescent="0.25">
      <c r="A24" s="80" t="s">
        <v>90</v>
      </c>
      <c r="B24">
        <v>3.030154658368154E-3</v>
      </c>
      <c r="C24">
        <v>2.9065453823176914E-3</v>
      </c>
      <c r="D24">
        <v>1.5115845691967592E-3</v>
      </c>
      <c r="E24">
        <v>2.3714538658343698E-3</v>
      </c>
      <c r="F24">
        <v>3.2921195695582283E-3</v>
      </c>
      <c r="G24">
        <v>2.8199800917045499E-3</v>
      </c>
      <c r="H24">
        <v>3.6307566866693908E-3</v>
      </c>
      <c r="I24">
        <v>3.6375508594497135E-3</v>
      </c>
      <c r="J24">
        <v>3.6672778499250869E-3</v>
      </c>
      <c r="K24">
        <v>2.2490835484540459E-3</v>
      </c>
      <c r="L24">
        <v>3.2939902313214682E-3</v>
      </c>
      <c r="M24">
        <v>3.0970212743943451E-3</v>
      </c>
      <c r="N24">
        <v>3.4677091666603559E-3</v>
      </c>
      <c r="O24">
        <v>9.5870594991941411E-3</v>
      </c>
      <c r="P24">
        <v>2.9937650256580219E-3</v>
      </c>
      <c r="Q24">
        <v>4.3733420545496726E-3</v>
      </c>
      <c r="R24">
        <v>3.1967497135716116E-3</v>
      </c>
      <c r="S24">
        <v>3.8666281939615924E-3</v>
      </c>
      <c r="T24">
        <v>3.7244681648752843E-3</v>
      </c>
      <c r="U24">
        <v>4.519411812002226E-3</v>
      </c>
      <c r="V24">
        <v>9.1721151812225888E-3</v>
      </c>
      <c r="W24">
        <v>5.2390094507150098E-3</v>
      </c>
      <c r="X24">
        <v>1.2079257638222578</v>
      </c>
      <c r="Y24">
        <v>1.9720480238212872E-2</v>
      </c>
      <c r="Z24">
        <v>2.3676583601575235E-3</v>
      </c>
      <c r="AA24">
        <v>1.9462802344140777E-3</v>
      </c>
      <c r="AB24">
        <v>1.7912371567734315E-3</v>
      </c>
      <c r="AC24">
        <v>3.7194932756788872E-3</v>
      </c>
      <c r="AD24">
        <v>2.2061950752441258E-3</v>
      </c>
      <c r="AE24">
        <v>2.24626690370828E-2</v>
      </c>
      <c r="AF24">
        <v>2.5812136375412032E-3</v>
      </c>
      <c r="AG24">
        <v>1.5456663088351445E-3</v>
      </c>
      <c r="AH24">
        <v>3.3671771161615884E-3</v>
      </c>
      <c r="AI24">
        <v>3.5001058991760048E-3</v>
      </c>
      <c r="AJ24">
        <v>9.4579643171877894E-4</v>
      </c>
      <c r="AK24">
        <v>6.5288993442165759E-4</v>
      </c>
      <c r="AL24">
        <v>3.4211090231773987E-3</v>
      </c>
      <c r="AM24">
        <v>3.0898036856467845E-3</v>
      </c>
      <c r="AN24">
        <v>1.4127053207616451E-3</v>
      </c>
      <c r="AO24">
        <v>3.139366084309599E-3</v>
      </c>
      <c r="AP24">
        <v>2.4242717144538125E-3</v>
      </c>
      <c r="AQ24">
        <v>2.041046161085977E-2</v>
      </c>
    </row>
    <row r="25" spans="1:43" x14ac:dyDescent="0.25">
      <c r="A25" s="80" t="s">
        <v>93</v>
      </c>
      <c r="B25">
        <v>2.8405711534491181E-3</v>
      </c>
      <c r="C25">
        <v>1.1988607907428513E-2</v>
      </c>
      <c r="D25">
        <v>9.1351623079410482E-3</v>
      </c>
      <c r="E25">
        <v>8.7273215297065838E-3</v>
      </c>
      <c r="F25">
        <v>2.3078512480780231E-2</v>
      </c>
      <c r="G25">
        <v>4.8413450526211699E-3</v>
      </c>
      <c r="H25">
        <v>9.4047955388385836E-3</v>
      </c>
      <c r="I25">
        <v>1.0799241038584553E-2</v>
      </c>
      <c r="J25">
        <v>3.4972636926588536E-2</v>
      </c>
      <c r="K25">
        <v>9.0663721675373239E-3</v>
      </c>
      <c r="L25">
        <v>1.2098646135589015E-2</v>
      </c>
      <c r="M25">
        <v>6.6675925629283298E-3</v>
      </c>
      <c r="N25">
        <v>2.0554113219032256E-2</v>
      </c>
      <c r="O25">
        <v>2.5551708466076385E-2</v>
      </c>
      <c r="P25">
        <v>1.8154422601821131E-2</v>
      </c>
      <c r="Q25">
        <v>0.11199001006511866</v>
      </c>
      <c r="R25">
        <v>5.3463779499549856E-2</v>
      </c>
      <c r="S25">
        <v>5.8811101136889782E-2</v>
      </c>
      <c r="T25">
        <v>1.7147582502448352E-2</v>
      </c>
      <c r="U25">
        <v>2.7069488647270639E-2</v>
      </c>
      <c r="V25">
        <v>2.9740702037449045E-2</v>
      </c>
      <c r="W25">
        <v>2.1617423954800426E-2</v>
      </c>
      <c r="X25">
        <v>2.8081645079652304E-2</v>
      </c>
      <c r="Y25">
        <v>1.0952874325099835</v>
      </c>
      <c r="Z25">
        <v>1.5496469483828731E-2</v>
      </c>
      <c r="AA25">
        <v>9.3686557477248023E-3</v>
      </c>
      <c r="AB25">
        <v>9.0791449561658712E-3</v>
      </c>
      <c r="AC25">
        <v>2.47899114719261E-2</v>
      </c>
      <c r="AD25">
        <v>4.4240082727447696E-3</v>
      </c>
      <c r="AE25">
        <v>8.1026468748773995E-3</v>
      </c>
      <c r="AF25">
        <v>4.5056435242160648E-3</v>
      </c>
      <c r="AG25">
        <v>6.799209743542956E-3</v>
      </c>
      <c r="AH25">
        <v>2.0234447348488692E-2</v>
      </c>
      <c r="AI25">
        <v>1.7468065991272774E-2</v>
      </c>
      <c r="AJ25">
        <v>3.2485023072794206E-3</v>
      </c>
      <c r="AK25">
        <v>4.0356520443862046E-3</v>
      </c>
      <c r="AL25">
        <v>2.1963691491885533E-2</v>
      </c>
      <c r="AM25">
        <v>6.4320866604456513E-3</v>
      </c>
      <c r="AN25">
        <v>3.7078614480449724E-3</v>
      </c>
      <c r="AO25">
        <v>5.1743552254063961E-3</v>
      </c>
      <c r="AP25">
        <v>1.0138139566871826E-2</v>
      </c>
      <c r="AQ25">
        <v>1.3720244181999507E-2</v>
      </c>
    </row>
    <row r="26" spans="1:43" x14ac:dyDescent="0.25">
      <c r="A26" s="80" t="s">
        <v>94</v>
      </c>
      <c r="B26">
        <v>3.3290767994022197E-2</v>
      </c>
      <c r="C26">
        <v>8.955981711015891E-2</v>
      </c>
      <c r="D26">
        <v>8.1126298716501372E-2</v>
      </c>
      <c r="E26">
        <v>0.14832398467688376</v>
      </c>
      <c r="F26">
        <v>9.0649994502793707E-2</v>
      </c>
      <c r="G26">
        <v>3.9616075529084603E-2</v>
      </c>
      <c r="H26">
        <v>7.2602148360568844E-2</v>
      </c>
      <c r="I26">
        <v>8.7764637985769403E-2</v>
      </c>
      <c r="J26">
        <v>8.8820541125830002E-2</v>
      </c>
      <c r="K26">
        <v>9.1512463560620802E-2</v>
      </c>
      <c r="L26">
        <v>0.15024853629410101</v>
      </c>
      <c r="M26">
        <v>6.067568531131614E-2</v>
      </c>
      <c r="N26">
        <v>0.10759466174863358</v>
      </c>
      <c r="O26">
        <v>9.2550414323440855E-2</v>
      </c>
      <c r="P26">
        <v>0.14317731300633424</v>
      </c>
      <c r="Q26">
        <v>0.15688803291374076</v>
      </c>
      <c r="R26">
        <v>0.1849215119236424</v>
      </c>
      <c r="S26">
        <v>0.15828946345465142</v>
      </c>
      <c r="T26">
        <v>8.5374326430068856E-2</v>
      </c>
      <c r="U26">
        <v>0.11238447836828466</v>
      </c>
      <c r="V26">
        <v>0.10554607292477332</v>
      </c>
      <c r="W26">
        <v>8.202474261423974E-2</v>
      </c>
      <c r="X26">
        <v>9.2193780108965409E-2</v>
      </c>
      <c r="Y26">
        <v>5.2524348660512317E-2</v>
      </c>
      <c r="Z26">
        <v>1.4645258559698207</v>
      </c>
      <c r="AA26">
        <v>9.130314084999111E-2</v>
      </c>
      <c r="AB26">
        <v>0.22080670194412794</v>
      </c>
      <c r="AC26">
        <v>9.6231764873849268E-2</v>
      </c>
      <c r="AD26">
        <v>2.6634435520261145E-2</v>
      </c>
      <c r="AE26">
        <v>5.4878697771405888E-2</v>
      </c>
      <c r="AF26">
        <v>4.0640299822507019E-2</v>
      </c>
      <c r="AG26">
        <v>3.8795370243070289E-2</v>
      </c>
      <c r="AH26">
        <v>4.2560369932657154E-2</v>
      </c>
      <c r="AI26">
        <v>6.1792178978474915E-2</v>
      </c>
      <c r="AJ26">
        <v>1.6275259249820945E-2</v>
      </c>
      <c r="AK26">
        <v>1.5285868172193368E-2</v>
      </c>
      <c r="AL26">
        <v>4.8714272410685502E-2</v>
      </c>
      <c r="AM26">
        <v>3.8612022933701147E-2</v>
      </c>
      <c r="AN26">
        <v>2.4353023829631264E-2</v>
      </c>
      <c r="AO26">
        <v>4.1463633490047162E-2</v>
      </c>
      <c r="AP26">
        <v>3.9118433445111546E-2</v>
      </c>
      <c r="AQ26">
        <v>4.5818867985159772E-2</v>
      </c>
    </row>
    <row r="27" spans="1:43" x14ac:dyDescent="0.25">
      <c r="A27" s="80" t="s">
        <v>95</v>
      </c>
      <c r="B27">
        <v>1.8810962589200398E-3</v>
      </c>
      <c r="C27">
        <v>2.4336025078980535E-3</v>
      </c>
      <c r="D27">
        <v>2.4921311308710296E-3</v>
      </c>
      <c r="E27">
        <v>2.7401469830771602E-3</v>
      </c>
      <c r="F27">
        <v>6.9677265368996493E-3</v>
      </c>
      <c r="G27">
        <v>2.9502086900320824E-3</v>
      </c>
      <c r="H27">
        <v>4.5757950741016351E-3</v>
      </c>
      <c r="I27">
        <v>3.9153952779428782E-3</v>
      </c>
      <c r="J27">
        <v>4.6473046058907886E-3</v>
      </c>
      <c r="K27">
        <v>5.288472194022043E-3</v>
      </c>
      <c r="L27">
        <v>7.8637743714850186E-3</v>
      </c>
      <c r="M27">
        <v>3.3198560561262958E-3</v>
      </c>
      <c r="N27">
        <v>5.2025136704702971E-3</v>
      </c>
      <c r="O27">
        <v>4.809932370515798E-3</v>
      </c>
      <c r="P27">
        <v>3.9527847242960346E-3</v>
      </c>
      <c r="Q27">
        <v>4.0106566328755493E-3</v>
      </c>
      <c r="R27">
        <v>3.5789180662498896E-3</v>
      </c>
      <c r="S27">
        <v>4.8173783791978153E-3</v>
      </c>
      <c r="T27">
        <v>3.6552288338907181E-3</v>
      </c>
      <c r="U27">
        <v>4.5271675233104023E-3</v>
      </c>
      <c r="V27">
        <v>4.1978231169942787E-3</v>
      </c>
      <c r="W27">
        <v>4.1379230540540459E-3</v>
      </c>
      <c r="X27">
        <v>5.0266481306986679E-3</v>
      </c>
      <c r="Y27">
        <v>5.0834774310786635E-3</v>
      </c>
      <c r="Z27">
        <v>6.9352953479304919E-3</v>
      </c>
      <c r="AA27">
        <v>1.142726708104701</v>
      </c>
      <c r="AB27">
        <v>2.591177924693263E-3</v>
      </c>
      <c r="AC27">
        <v>3.6128561089498936E-3</v>
      </c>
      <c r="AD27">
        <v>2.6866812551157191E-3</v>
      </c>
      <c r="AE27">
        <v>2.4031424818550123E-2</v>
      </c>
      <c r="AF27">
        <v>9.4785400812177553E-3</v>
      </c>
      <c r="AG27">
        <v>2.131979662076702E-3</v>
      </c>
      <c r="AH27">
        <v>4.5684269080775919E-3</v>
      </c>
      <c r="AI27">
        <v>4.4807497545665117E-3</v>
      </c>
      <c r="AJ27">
        <v>1.4137076760106632E-3</v>
      </c>
      <c r="AK27">
        <v>3.054037571166342E-3</v>
      </c>
      <c r="AL27">
        <v>4.0328072818954777E-3</v>
      </c>
      <c r="AM27">
        <v>3.0061130171011277E-3</v>
      </c>
      <c r="AN27">
        <v>2.8512343401925562E-3</v>
      </c>
      <c r="AO27">
        <v>3.2429075874932946E-3</v>
      </c>
      <c r="AP27">
        <v>4.8779497600538787E-3</v>
      </c>
      <c r="AQ27">
        <v>6.7623719045605711E-3</v>
      </c>
    </row>
    <row r="28" spans="1:43" x14ac:dyDescent="0.25">
      <c r="A28" s="80" t="s">
        <v>96</v>
      </c>
      <c r="B28">
        <v>5.1277522724307736E-4</v>
      </c>
      <c r="C28">
        <v>9.4217107111310673E-4</v>
      </c>
      <c r="D28">
        <v>1.3189198012039036E-3</v>
      </c>
      <c r="E28">
        <v>1.2308984553687278E-3</v>
      </c>
      <c r="F28">
        <v>1.7643470431190577E-3</v>
      </c>
      <c r="G28">
        <v>1.7810211777356752E-3</v>
      </c>
      <c r="H28">
        <v>1.5114037438451185E-3</v>
      </c>
      <c r="I28">
        <v>1.5720005779553254E-3</v>
      </c>
      <c r="J28">
        <v>1.8278440059998726E-3</v>
      </c>
      <c r="K28">
        <v>1.4356390027471834E-3</v>
      </c>
      <c r="L28">
        <v>1.9179475856243378E-3</v>
      </c>
      <c r="M28">
        <v>1.8204595925407857E-3</v>
      </c>
      <c r="N28">
        <v>1.7267538166539193E-3</v>
      </c>
      <c r="O28">
        <v>1.7747980121810571E-3</v>
      </c>
      <c r="P28">
        <v>1.9130867155858924E-3</v>
      </c>
      <c r="Q28">
        <v>1.7054271855110577E-3</v>
      </c>
      <c r="R28">
        <v>1.3868228304607323E-3</v>
      </c>
      <c r="S28">
        <v>1.5774561841313951E-3</v>
      </c>
      <c r="T28">
        <v>1.9943906924769247E-3</v>
      </c>
      <c r="U28">
        <v>1.9891860062989132E-3</v>
      </c>
      <c r="V28">
        <v>1.99772452973687E-3</v>
      </c>
      <c r="W28">
        <v>1.442946351609497E-3</v>
      </c>
      <c r="X28">
        <v>2.2389202731079457E-3</v>
      </c>
      <c r="Y28">
        <v>1.8429232163367196E-3</v>
      </c>
      <c r="Z28">
        <v>3.3756792979771533E-3</v>
      </c>
      <c r="AA28">
        <v>1.5238666327168479E-3</v>
      </c>
      <c r="AB28">
        <v>1.0552102340015042</v>
      </c>
      <c r="AC28">
        <v>2.2822900981804817E-3</v>
      </c>
      <c r="AD28">
        <v>8.3586130769963023E-4</v>
      </c>
      <c r="AE28">
        <v>1.3102504932842921E-3</v>
      </c>
      <c r="AF28">
        <v>3.7309835812430183E-3</v>
      </c>
      <c r="AG28">
        <v>9.78985102160085E-4</v>
      </c>
      <c r="AH28">
        <v>1.1303090526620391E-3</v>
      </c>
      <c r="AI28">
        <v>3.3204220395382173E-3</v>
      </c>
      <c r="AJ28">
        <v>7.3473199744701352E-4</v>
      </c>
      <c r="AK28">
        <v>8.5815688701946461E-4</v>
      </c>
      <c r="AL28">
        <v>1.272549696529041E-3</v>
      </c>
      <c r="AM28">
        <v>1.782252731462732E-3</v>
      </c>
      <c r="AN28">
        <v>1.3454488523361723E-3</v>
      </c>
      <c r="AO28">
        <v>1.6133537740422581E-3</v>
      </c>
      <c r="AP28">
        <v>2.7191938111917951E-3</v>
      </c>
      <c r="AQ28">
        <v>2.2295601220556878E-3</v>
      </c>
    </row>
    <row r="29" spans="1:43" x14ac:dyDescent="0.25">
      <c r="A29" s="80" t="s">
        <v>97</v>
      </c>
      <c r="B29">
        <v>1.4957205010752764E-3</v>
      </c>
      <c r="C29">
        <v>2.1503326346656356E-3</v>
      </c>
      <c r="D29">
        <v>1.3982440840983018E-3</v>
      </c>
      <c r="E29">
        <v>1.8041200257292588E-3</v>
      </c>
      <c r="F29">
        <v>1.9623381647914545E-3</v>
      </c>
      <c r="G29">
        <v>1.7147266205730586E-3</v>
      </c>
      <c r="H29">
        <v>2.4318019168536645E-3</v>
      </c>
      <c r="I29">
        <v>2.7189398890989634E-3</v>
      </c>
      <c r="J29">
        <v>2.4798916069156368E-3</v>
      </c>
      <c r="K29">
        <v>1.6652445773392547E-3</v>
      </c>
      <c r="L29">
        <v>2.6281042802842477E-3</v>
      </c>
      <c r="M29">
        <v>2.0991708586241284E-3</v>
      </c>
      <c r="N29">
        <v>2.4343001483062648E-3</v>
      </c>
      <c r="O29">
        <v>2.5355285136173466E-3</v>
      </c>
      <c r="P29">
        <v>2.219334067686771E-3</v>
      </c>
      <c r="Q29">
        <v>2.1326032185123591E-3</v>
      </c>
      <c r="R29">
        <v>2.2091623752949572E-3</v>
      </c>
      <c r="S29">
        <v>2.3528620183328984E-3</v>
      </c>
      <c r="T29">
        <v>3.2820277144218288E-3</v>
      </c>
      <c r="U29">
        <v>2.5847257158282603E-3</v>
      </c>
      <c r="V29">
        <v>2.8393538597403E-3</v>
      </c>
      <c r="W29">
        <v>2.393951459824514E-3</v>
      </c>
      <c r="X29">
        <v>2.5757045469719606E-3</v>
      </c>
      <c r="Y29">
        <v>1.6949875236259401E-3</v>
      </c>
      <c r="Z29">
        <v>7.2465995910003887E-3</v>
      </c>
      <c r="AA29">
        <v>2.0004082434558813E-3</v>
      </c>
      <c r="AB29">
        <v>4.7587276508785246E-3</v>
      </c>
      <c r="AC29">
        <v>1.039387328920268</v>
      </c>
      <c r="AD29">
        <v>3.2602797959109327E-3</v>
      </c>
      <c r="AE29">
        <v>4.0073990314294762E-3</v>
      </c>
      <c r="AF29">
        <v>4.2419491851053356E-3</v>
      </c>
      <c r="AG29">
        <v>3.7508010394496243E-3</v>
      </c>
      <c r="AH29">
        <v>3.4511455025100727E-3</v>
      </c>
      <c r="AI29">
        <v>4.0432584210478824E-3</v>
      </c>
      <c r="AJ29">
        <v>4.0716470071609934E-3</v>
      </c>
      <c r="AK29">
        <v>1.5335233059414585E-2</v>
      </c>
      <c r="AL29">
        <v>3.3838660456327681E-3</v>
      </c>
      <c r="AM29">
        <v>1.457508799116479E-2</v>
      </c>
      <c r="AN29">
        <v>8.0826380425134334E-3</v>
      </c>
      <c r="AO29">
        <v>3.9604720547739359E-3</v>
      </c>
      <c r="AP29">
        <v>9.0632240601849143E-3</v>
      </c>
      <c r="AQ29">
        <v>4.5995157816300083E-3</v>
      </c>
    </row>
    <row r="30" spans="1:43" x14ac:dyDescent="0.25">
      <c r="A30" s="80" t="s">
        <v>98</v>
      </c>
      <c r="B30">
        <v>5.7519715325091078E-2</v>
      </c>
      <c r="C30">
        <v>6.605838388624842E-2</v>
      </c>
      <c r="D30">
        <v>4.2440265115880754E-2</v>
      </c>
      <c r="E30">
        <v>6.2102316003802553E-2</v>
      </c>
      <c r="F30">
        <v>9.9806480511473394E-2</v>
      </c>
      <c r="G30">
        <v>0.12613472122876737</v>
      </c>
      <c r="H30">
        <v>0.16522012528533128</v>
      </c>
      <c r="I30">
        <v>0.18808620203480628</v>
      </c>
      <c r="J30">
        <v>0.1662296010385641</v>
      </c>
      <c r="K30">
        <v>7.0026322763741072E-2</v>
      </c>
      <c r="L30">
        <v>0.11567121515328507</v>
      </c>
      <c r="M30">
        <v>0.13517851662953634</v>
      </c>
      <c r="N30">
        <v>0.1371945981771158</v>
      </c>
      <c r="O30">
        <v>0.13771578570533299</v>
      </c>
      <c r="P30">
        <v>0.11321612509431053</v>
      </c>
      <c r="Q30">
        <v>8.2996719606737768E-2</v>
      </c>
      <c r="R30">
        <v>8.6503444312162642E-2</v>
      </c>
      <c r="S30">
        <v>0.1116218036254288</v>
      </c>
      <c r="T30">
        <v>0.16708970205122686</v>
      </c>
      <c r="U30">
        <v>0.15457865463023535</v>
      </c>
      <c r="V30">
        <v>0.13883217428026284</v>
      </c>
      <c r="W30">
        <v>0.18402591364415782</v>
      </c>
      <c r="X30">
        <v>0.16606111002079624</v>
      </c>
      <c r="Y30">
        <v>6.5192802498374794E-2</v>
      </c>
      <c r="Z30">
        <v>7.8741151917602795E-2</v>
      </c>
      <c r="AA30">
        <v>6.9850188643476238E-2</v>
      </c>
      <c r="AB30">
        <v>5.3221904027121875E-2</v>
      </c>
      <c r="AC30">
        <v>0.12298197134549842</v>
      </c>
      <c r="AD30">
        <v>1.0339219979964112</v>
      </c>
      <c r="AE30">
        <v>8.2452212923142212E-2</v>
      </c>
      <c r="AF30">
        <v>0.12500899365700566</v>
      </c>
      <c r="AG30">
        <v>6.0494383395669378E-2</v>
      </c>
      <c r="AH30">
        <v>0.10056201019471853</v>
      </c>
      <c r="AI30">
        <v>9.3318706071447766E-2</v>
      </c>
      <c r="AJ30">
        <v>2.61512619371814E-2</v>
      </c>
      <c r="AK30">
        <v>1.9352571458933619E-2</v>
      </c>
      <c r="AL30">
        <v>9.1692823454341765E-2</v>
      </c>
      <c r="AM30">
        <v>5.599962746334948E-2</v>
      </c>
      <c r="AN30">
        <v>3.7010550521817544E-2</v>
      </c>
      <c r="AO30">
        <v>0.13367327436912457</v>
      </c>
      <c r="AP30">
        <v>7.8804057676403833E-2</v>
      </c>
      <c r="AQ30">
        <v>7.2374489420139659E-2</v>
      </c>
    </row>
    <row r="31" spans="1:43" x14ac:dyDescent="0.25">
      <c r="A31" s="80" t="s">
        <v>99</v>
      </c>
      <c r="B31">
        <v>5.1733301936859412E-2</v>
      </c>
      <c r="C31">
        <v>6.6946212159521873E-2</v>
      </c>
      <c r="D31">
        <v>3.9165537915166485E-2</v>
      </c>
      <c r="E31">
        <v>6.1989551666164273E-2</v>
      </c>
      <c r="F31">
        <v>8.3602570554626873E-2</v>
      </c>
      <c r="G31">
        <v>8.4320458993688382E-2</v>
      </c>
      <c r="H31">
        <v>0.13595336356110718</v>
      </c>
      <c r="I31">
        <v>0.11721835677686433</v>
      </c>
      <c r="J31">
        <v>0.1104934393429335</v>
      </c>
      <c r="K31">
        <v>7.4001161879888408E-2</v>
      </c>
      <c r="L31">
        <v>0.11536340154668143</v>
      </c>
      <c r="M31">
        <v>0.10710675069806058</v>
      </c>
      <c r="N31">
        <v>0.12565687163206515</v>
      </c>
      <c r="O31">
        <v>0.11900105978059598</v>
      </c>
      <c r="P31">
        <v>0.10078053335943089</v>
      </c>
      <c r="Q31">
        <v>9.111213465233152E-2</v>
      </c>
      <c r="R31">
        <v>9.1897494564391946E-2</v>
      </c>
      <c r="S31">
        <v>0.10298278127957955</v>
      </c>
      <c r="T31">
        <v>0.10196429858575717</v>
      </c>
      <c r="U31">
        <v>0.12084390837848859</v>
      </c>
      <c r="V31">
        <v>0.11370799031309566</v>
      </c>
      <c r="W31">
        <v>0.12950870621466762</v>
      </c>
      <c r="X31">
        <v>0.11695473999667913</v>
      </c>
      <c r="Y31">
        <v>5.3926437807092789E-2</v>
      </c>
      <c r="Z31">
        <v>7.3679682029094043E-2</v>
      </c>
      <c r="AA31">
        <v>6.4958194226029414E-2</v>
      </c>
      <c r="AB31">
        <v>5.0468931754811083E-2</v>
      </c>
      <c r="AC31">
        <v>0.10212072641871534</v>
      </c>
      <c r="AD31">
        <v>9.7615080084809347E-2</v>
      </c>
      <c r="AE31">
        <v>1.2137602811086268</v>
      </c>
      <c r="AF31">
        <v>9.0849593145175253E-2</v>
      </c>
      <c r="AG31">
        <v>5.6428831610074295E-2</v>
      </c>
      <c r="AH31">
        <v>0.12679561279454193</v>
      </c>
      <c r="AI31">
        <v>0.10077975432043491</v>
      </c>
      <c r="AJ31">
        <v>3.4522584473323431E-2</v>
      </c>
      <c r="AK31">
        <v>2.2618941347336528E-2</v>
      </c>
      <c r="AL31">
        <v>0.10105007465920078</v>
      </c>
      <c r="AM31">
        <v>7.4736926441570498E-2</v>
      </c>
      <c r="AN31">
        <v>4.8126210350734555E-2</v>
      </c>
      <c r="AO31">
        <v>9.3705451949436663E-2</v>
      </c>
      <c r="AP31">
        <v>8.0966259651814421E-2</v>
      </c>
      <c r="AQ31">
        <v>6.7074712296495989E-2</v>
      </c>
    </row>
    <row r="32" spans="1:43" x14ac:dyDescent="0.25">
      <c r="A32" s="80" t="s">
        <v>100</v>
      </c>
      <c r="B32">
        <v>8.3302483727042999E-3</v>
      </c>
      <c r="C32">
        <v>1.5224733070755713E-2</v>
      </c>
      <c r="D32">
        <v>1.0564055232074765E-2</v>
      </c>
      <c r="E32">
        <v>1.5077136487078058E-2</v>
      </c>
      <c r="F32">
        <v>1.9036785955581614E-2</v>
      </c>
      <c r="G32">
        <v>1.5453079062659449E-2</v>
      </c>
      <c r="H32">
        <v>1.9219699917010176E-2</v>
      </c>
      <c r="I32">
        <v>1.9746950236093651E-2</v>
      </c>
      <c r="J32">
        <v>2.0158370146278408E-2</v>
      </c>
      <c r="K32">
        <v>1.3393843896055352E-2</v>
      </c>
      <c r="L32">
        <v>1.9828775112687838E-2</v>
      </c>
      <c r="M32">
        <v>3.1881262211504259E-2</v>
      </c>
      <c r="N32">
        <v>2.0611029173608141E-2</v>
      </c>
      <c r="O32">
        <v>2.7835909961664129E-2</v>
      </c>
      <c r="P32">
        <v>2.0051616148766403E-2</v>
      </c>
      <c r="Q32">
        <v>1.748264218649237E-2</v>
      </c>
      <c r="R32">
        <v>1.5472233005472884E-2</v>
      </c>
      <c r="S32">
        <v>2.1190796322180586E-2</v>
      </c>
      <c r="T32">
        <v>2.4803637056339742E-2</v>
      </c>
      <c r="U32">
        <v>2.3964665087047927E-2</v>
      </c>
      <c r="V32">
        <v>2.2945749991963579E-2</v>
      </c>
      <c r="W32">
        <v>2.3236332831011317E-2</v>
      </c>
      <c r="X32">
        <v>2.4114833065871182E-2</v>
      </c>
      <c r="Y32">
        <v>1.1597100373777295E-2</v>
      </c>
      <c r="Z32">
        <v>1.6653016233869753E-2</v>
      </c>
      <c r="AA32">
        <v>1.4849707683991391E-2</v>
      </c>
      <c r="AB32">
        <v>1.772380565264357E-2</v>
      </c>
      <c r="AC32">
        <v>2.4901112077331828E-2</v>
      </c>
      <c r="AD32">
        <v>1.8625763027275435E-2</v>
      </c>
      <c r="AE32">
        <v>3.5232597454216079E-2</v>
      </c>
      <c r="AF32">
        <v>1.0139679126940802</v>
      </c>
      <c r="AG32">
        <v>2.1345616086689567E-2</v>
      </c>
      <c r="AH32">
        <v>6.7808892538615551E-2</v>
      </c>
      <c r="AI32">
        <v>5.7577770352318897E-2</v>
      </c>
      <c r="AJ32">
        <v>3.3543940800571485E-2</v>
      </c>
      <c r="AK32">
        <v>1.3885720917889156E-2</v>
      </c>
      <c r="AL32">
        <v>5.6038568107503711E-2</v>
      </c>
      <c r="AM32">
        <v>5.4050544464946962E-2</v>
      </c>
      <c r="AN32">
        <v>3.1042990086100428E-2</v>
      </c>
      <c r="AO32">
        <v>2.0467215284556032E-2</v>
      </c>
      <c r="AP32">
        <v>4.6731253233686876E-2</v>
      </c>
      <c r="AQ32">
        <v>2.199308909717337E-2</v>
      </c>
    </row>
    <row r="33" spans="1:43" x14ac:dyDescent="0.25">
      <c r="A33" s="80" t="s">
        <v>101</v>
      </c>
      <c r="B33">
        <v>1.0452314093182405E-2</v>
      </c>
      <c r="C33">
        <v>1.5762740309412413E-2</v>
      </c>
      <c r="D33">
        <v>1.2247776007052978E-2</v>
      </c>
      <c r="E33">
        <v>1.760618989690951E-2</v>
      </c>
      <c r="F33">
        <v>2.0242357486448613E-2</v>
      </c>
      <c r="G33">
        <v>1.6228190396425039E-2</v>
      </c>
      <c r="H33">
        <v>2.5274360905040566E-2</v>
      </c>
      <c r="I33">
        <v>2.2060383239895256E-2</v>
      </c>
      <c r="J33">
        <v>2.4401585362700821E-2</v>
      </c>
      <c r="K33">
        <v>1.4665871681241215E-2</v>
      </c>
      <c r="L33">
        <v>2.3762082329141742E-2</v>
      </c>
      <c r="M33">
        <v>2.6529263425003828E-2</v>
      </c>
      <c r="N33">
        <v>2.4092618203357275E-2</v>
      </c>
      <c r="O33">
        <v>3.3227648584209096E-2</v>
      </c>
      <c r="P33">
        <v>2.0648556268960297E-2</v>
      </c>
      <c r="Q33">
        <v>1.8667622611724773E-2</v>
      </c>
      <c r="R33">
        <v>1.9266854816554806E-2</v>
      </c>
      <c r="S33">
        <v>2.277085979548361E-2</v>
      </c>
      <c r="T33">
        <v>7.7784749022557997E-2</v>
      </c>
      <c r="U33">
        <v>3.4004447883486805E-2</v>
      </c>
      <c r="V33">
        <v>3.2363972099905616E-2</v>
      </c>
      <c r="W33">
        <v>2.8430220864304259E-2</v>
      </c>
      <c r="X33">
        <v>3.2594900123855013E-2</v>
      </c>
      <c r="Y33">
        <v>1.3072208738682476E-2</v>
      </c>
      <c r="Z33">
        <v>2.9652912390895805E-2</v>
      </c>
      <c r="AA33">
        <v>2.0830378191411307E-2</v>
      </c>
      <c r="AB33">
        <v>3.0004301212699317E-2</v>
      </c>
      <c r="AC33">
        <v>4.0185389723087481E-2</v>
      </c>
      <c r="AD33">
        <v>2.4272475518701663E-2</v>
      </c>
      <c r="AE33">
        <v>6.1683389495789297E-2</v>
      </c>
      <c r="AF33">
        <v>2.3357856695061546E-2</v>
      </c>
      <c r="AG33">
        <v>1.2692031548273097</v>
      </c>
      <c r="AH33">
        <v>4.2278259519718774E-2</v>
      </c>
      <c r="AI33">
        <v>3.9083996376039376E-2</v>
      </c>
      <c r="AJ33">
        <v>5.3637895571596865E-2</v>
      </c>
      <c r="AK33">
        <v>2.1726175170994438E-2</v>
      </c>
      <c r="AL33">
        <v>5.5429235674020985E-2</v>
      </c>
      <c r="AM33">
        <v>8.5916412690550628E-2</v>
      </c>
      <c r="AN33">
        <v>3.504331433578501E-2</v>
      </c>
      <c r="AO33">
        <v>4.2749227473001215E-2</v>
      </c>
      <c r="AP33">
        <v>3.8984048730892534E-2</v>
      </c>
      <c r="AQ33">
        <v>2.2942889825884872E-2</v>
      </c>
    </row>
    <row r="34" spans="1:43" x14ac:dyDescent="0.25">
      <c r="A34" s="80" t="s">
        <v>104</v>
      </c>
      <c r="B34">
        <v>2.7460792881141873E-2</v>
      </c>
      <c r="C34">
        <v>7.7304261497346885E-2</v>
      </c>
      <c r="D34">
        <v>4.4428506849851557E-2</v>
      </c>
      <c r="E34">
        <v>5.9352636161315149E-2</v>
      </c>
      <c r="F34">
        <v>6.8928181926984355E-2</v>
      </c>
      <c r="G34">
        <v>6.9442605850961181E-2</v>
      </c>
      <c r="H34">
        <v>8.463162620756691E-2</v>
      </c>
      <c r="I34">
        <v>7.448999440511038E-2</v>
      </c>
      <c r="J34">
        <v>8.2010535859995584E-2</v>
      </c>
      <c r="K34">
        <v>5.9072794127332823E-2</v>
      </c>
      <c r="L34">
        <v>7.5316351140194679E-2</v>
      </c>
      <c r="M34">
        <v>0.12881416124916659</v>
      </c>
      <c r="N34">
        <v>8.7329502836362108E-2</v>
      </c>
      <c r="O34">
        <v>9.6318063192586914E-2</v>
      </c>
      <c r="P34">
        <v>7.2699430681482477E-2</v>
      </c>
      <c r="Q34">
        <v>5.851119241753111E-2</v>
      </c>
      <c r="R34">
        <v>5.4720308265058658E-2</v>
      </c>
      <c r="S34">
        <v>7.2257223207224941E-2</v>
      </c>
      <c r="T34">
        <v>0.10244294147588802</v>
      </c>
      <c r="U34">
        <v>9.0636429210310246E-2</v>
      </c>
      <c r="V34">
        <v>8.979342357353734E-2</v>
      </c>
      <c r="W34">
        <v>0.10372611805147049</v>
      </c>
      <c r="X34">
        <v>8.60081794876736E-2</v>
      </c>
      <c r="Y34">
        <v>4.1696313855263983E-2</v>
      </c>
      <c r="Z34">
        <v>5.8924905557570108E-2</v>
      </c>
      <c r="AA34">
        <v>7.0788093080070461E-2</v>
      </c>
      <c r="AB34">
        <v>5.0864002174261895E-2</v>
      </c>
      <c r="AC34">
        <v>8.4444242213169332E-2</v>
      </c>
      <c r="AD34">
        <v>0.14986381573989405</v>
      </c>
      <c r="AE34">
        <v>8.929055797031131E-2</v>
      </c>
      <c r="AF34">
        <v>7.11994000029465E-2</v>
      </c>
      <c r="AG34">
        <v>0.14397138126071826</v>
      </c>
      <c r="AH34">
        <v>1.1786038303299831</v>
      </c>
      <c r="AI34">
        <v>9.4303188214867939E-2</v>
      </c>
      <c r="AJ34">
        <v>9.8900926523942528E-2</v>
      </c>
      <c r="AK34">
        <v>9.3122344692304432E-2</v>
      </c>
      <c r="AL34">
        <v>0.12046509804806357</v>
      </c>
      <c r="AM34">
        <v>7.3191631393843173E-2</v>
      </c>
      <c r="AN34">
        <v>3.798562346217467E-2</v>
      </c>
      <c r="AO34">
        <v>7.5536319220828735E-2</v>
      </c>
      <c r="AP34">
        <v>9.4901126652508647E-2</v>
      </c>
      <c r="AQ34">
        <v>6.8677936432619865E-2</v>
      </c>
    </row>
    <row r="35" spans="1:43" x14ac:dyDescent="0.25">
      <c r="A35" s="80" t="s">
        <v>105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1.0037289298613574</v>
      </c>
      <c r="AJ35">
        <v>0</v>
      </c>
      <c r="AK35">
        <v>0</v>
      </c>
      <c r="AL35">
        <v>0</v>
      </c>
      <c r="AM35">
        <v>0</v>
      </c>
      <c r="AN35">
        <v>0</v>
      </c>
      <c r="AO35">
        <v>0</v>
      </c>
      <c r="AP35">
        <v>0</v>
      </c>
      <c r="AQ35">
        <v>0</v>
      </c>
    </row>
    <row r="36" spans="1:43" x14ac:dyDescent="0.25">
      <c r="A36" s="80" t="s">
        <v>102</v>
      </c>
      <c r="B36">
        <v>3.645103935665453E-2</v>
      </c>
      <c r="C36">
        <v>9.7128291758852792E-2</v>
      </c>
      <c r="D36">
        <v>6.4885708193443817E-2</v>
      </c>
      <c r="E36">
        <v>6.9095683649253822E-2</v>
      </c>
      <c r="F36">
        <v>7.0638377103764444E-2</v>
      </c>
      <c r="G36">
        <v>4.7002887233349618E-2</v>
      </c>
      <c r="H36">
        <v>6.8238533723192427E-2</v>
      </c>
      <c r="I36">
        <v>6.907159313070782E-2</v>
      </c>
      <c r="J36">
        <v>7.3029588762371658E-2</v>
      </c>
      <c r="K36">
        <v>7.1069751211219015E-2</v>
      </c>
      <c r="L36">
        <v>8.1345929953755711E-2</v>
      </c>
      <c r="M36">
        <v>7.9179990947013459E-2</v>
      </c>
      <c r="N36">
        <v>7.7018115045077926E-2</v>
      </c>
      <c r="O36">
        <v>8.9903952168997089E-2</v>
      </c>
      <c r="P36">
        <v>8.10655569275886E-2</v>
      </c>
      <c r="Q36">
        <v>9.5390129762670361E-2</v>
      </c>
      <c r="R36">
        <v>9.3051994904657626E-2</v>
      </c>
      <c r="S36">
        <v>8.9344058077895014E-2</v>
      </c>
      <c r="T36">
        <v>9.5142162663407914E-2</v>
      </c>
      <c r="U36">
        <v>9.0978186968278668E-2</v>
      </c>
      <c r="V36">
        <v>8.4769762624380407E-2</v>
      </c>
      <c r="W36">
        <v>7.7544775940631916E-2</v>
      </c>
      <c r="X36">
        <v>8.4808277141309132E-2</v>
      </c>
      <c r="Y36">
        <v>4.384582098824763E-2</v>
      </c>
      <c r="Z36">
        <v>0.11531865318901528</v>
      </c>
      <c r="AA36">
        <v>9.7821436041431481E-2</v>
      </c>
      <c r="AB36">
        <v>0.10482624813227841</v>
      </c>
      <c r="AC36">
        <v>0.10586984021236774</v>
      </c>
      <c r="AD36">
        <v>9.0507906520026132E-2</v>
      </c>
      <c r="AE36">
        <v>0.1589072712172562</v>
      </c>
      <c r="AF36">
        <v>5.5099575958838569E-2</v>
      </c>
      <c r="AG36">
        <v>7.2288192832891424E-2</v>
      </c>
      <c r="AH36">
        <v>0.13633180379293491</v>
      </c>
      <c r="AI36">
        <v>6.3346466636293591E-2</v>
      </c>
      <c r="AJ36">
        <v>1.1064228965826144</v>
      </c>
      <c r="AK36">
        <v>0.14495803108810992</v>
      </c>
      <c r="AL36">
        <v>0.10184532775542043</v>
      </c>
      <c r="AM36">
        <v>6.5833758183978505E-2</v>
      </c>
      <c r="AN36">
        <v>5.4634223159976056E-2</v>
      </c>
      <c r="AO36">
        <v>5.7615895281378636E-2</v>
      </c>
      <c r="AP36">
        <v>6.9279469441308583E-2</v>
      </c>
      <c r="AQ36">
        <v>6.0479069513032148E-2</v>
      </c>
    </row>
    <row r="37" spans="1:43" x14ac:dyDescent="0.25">
      <c r="A37" s="80" t="s">
        <v>103</v>
      </c>
      <c r="B37">
        <v>1.1190223729217148E-2</v>
      </c>
      <c r="C37">
        <v>2.1730616444908323E-2</v>
      </c>
      <c r="D37">
        <v>1.3664383137234887E-2</v>
      </c>
      <c r="E37">
        <v>1.7337468212148131E-2</v>
      </c>
      <c r="F37">
        <v>2.3040254284754695E-2</v>
      </c>
      <c r="G37">
        <v>2.1611580353512266E-2</v>
      </c>
      <c r="H37">
        <v>2.9295308724047633E-2</v>
      </c>
      <c r="I37">
        <v>3.0845573411528385E-2</v>
      </c>
      <c r="J37">
        <v>2.9658018420418739E-2</v>
      </c>
      <c r="K37">
        <v>1.7987999789959724E-2</v>
      </c>
      <c r="L37">
        <v>2.5324692752130801E-2</v>
      </c>
      <c r="M37">
        <v>3.0721478808487558E-2</v>
      </c>
      <c r="N37">
        <v>2.8842915073246808E-2</v>
      </c>
      <c r="O37">
        <v>3.0988268749851174E-2</v>
      </c>
      <c r="P37">
        <v>2.467954078975584E-2</v>
      </c>
      <c r="Q37">
        <v>2.1449398969257034E-2</v>
      </c>
      <c r="R37">
        <v>2.0981718035260111E-2</v>
      </c>
      <c r="S37">
        <v>2.5578139455074901E-2</v>
      </c>
      <c r="T37">
        <v>3.7128970872990504E-2</v>
      </c>
      <c r="U37">
        <v>3.1916314911000505E-2</v>
      </c>
      <c r="V37">
        <v>3.0040687522433707E-2</v>
      </c>
      <c r="W37">
        <v>3.3995913597693023E-2</v>
      </c>
      <c r="X37">
        <v>3.252348147890155E-2</v>
      </c>
      <c r="Y37">
        <v>1.5966753458553556E-2</v>
      </c>
      <c r="Z37">
        <v>2.3545323339351422E-2</v>
      </c>
      <c r="AA37">
        <v>2.1788425715653006E-2</v>
      </c>
      <c r="AB37">
        <v>2.2680552946957682E-2</v>
      </c>
      <c r="AC37">
        <v>3.136827700874923E-2</v>
      </c>
      <c r="AD37">
        <v>9.9733411859403084E-2</v>
      </c>
      <c r="AE37">
        <v>4.7406345517644222E-2</v>
      </c>
      <c r="AF37">
        <v>6.679648212357428E-2</v>
      </c>
      <c r="AG37">
        <v>0.10862408723242191</v>
      </c>
      <c r="AH37">
        <v>0.10082602799719981</v>
      </c>
      <c r="AI37">
        <v>4.5310360742675158E-2</v>
      </c>
      <c r="AJ37">
        <v>8.5468525589273064E-2</v>
      </c>
      <c r="AK37">
        <v>1.0629506349932456</v>
      </c>
      <c r="AL37">
        <v>5.2390166304698588E-2</v>
      </c>
      <c r="AM37">
        <v>4.6727856739501222E-2</v>
      </c>
      <c r="AN37">
        <v>5.830527003771508E-2</v>
      </c>
      <c r="AO37">
        <v>4.1679445060792325E-2</v>
      </c>
      <c r="AP37">
        <v>6.8456278120184788E-2</v>
      </c>
      <c r="AQ37">
        <v>0.12649634819264294</v>
      </c>
    </row>
    <row r="38" spans="1:43" x14ac:dyDescent="0.25">
      <c r="A38" s="80" t="s">
        <v>106</v>
      </c>
      <c r="B38">
        <v>1.249226369591553E-2</v>
      </c>
      <c r="C38">
        <v>1.7336047532427838E-2</v>
      </c>
      <c r="D38">
        <v>1.1825291670964782E-2</v>
      </c>
      <c r="E38">
        <v>2.0420367689944357E-2</v>
      </c>
      <c r="F38">
        <v>2.3258629160861362E-2</v>
      </c>
      <c r="G38">
        <v>1.0569814044537518E-2</v>
      </c>
      <c r="H38">
        <v>1.350653575495349E-2</v>
      </c>
      <c r="I38">
        <v>1.6004858869462225E-2</v>
      </c>
      <c r="J38">
        <v>1.5327802089126399E-2</v>
      </c>
      <c r="K38">
        <v>1.0297087376599588E-2</v>
      </c>
      <c r="L38">
        <v>2.3489323195881033E-2</v>
      </c>
      <c r="M38">
        <v>1.7381239422626784E-2</v>
      </c>
      <c r="N38">
        <v>1.8004767441191089E-2</v>
      </c>
      <c r="O38">
        <v>2.5608308480833411E-2</v>
      </c>
      <c r="P38">
        <v>1.5019374072526315E-2</v>
      </c>
      <c r="Q38">
        <v>1.5221698150851795E-2</v>
      </c>
      <c r="R38">
        <v>1.4006271794740914E-2</v>
      </c>
      <c r="S38">
        <v>1.6497169994529184E-2</v>
      </c>
      <c r="T38">
        <v>3.0124055342800552E-2</v>
      </c>
      <c r="U38">
        <v>2.0146320568644346E-2</v>
      </c>
      <c r="V38">
        <v>1.847632645392816E-2</v>
      </c>
      <c r="W38">
        <v>2.9072874819958541E-2</v>
      </c>
      <c r="X38">
        <v>2.9922795402902387E-2</v>
      </c>
      <c r="Y38">
        <v>7.5980647310851124E-3</v>
      </c>
      <c r="Z38">
        <v>1.746629353606035E-2</v>
      </c>
      <c r="AA38">
        <v>8.645507498505161E-3</v>
      </c>
      <c r="AB38">
        <v>7.9417152137775081E-3</v>
      </c>
      <c r="AC38">
        <v>0.11185241382502535</v>
      </c>
      <c r="AD38">
        <v>1.1912527707246101E-2</v>
      </c>
      <c r="AE38">
        <v>1.1347263494506831E-2</v>
      </c>
      <c r="AF38">
        <v>7.8783466483125873E-3</v>
      </c>
      <c r="AG38">
        <v>1.038042148271931E-2</v>
      </c>
      <c r="AH38">
        <v>7.8310956879929245E-3</v>
      </c>
      <c r="AI38">
        <v>7.7371460899764488E-2</v>
      </c>
      <c r="AJ38">
        <v>3.3289499835530861E-3</v>
      </c>
      <c r="AK38">
        <v>4.0541521498176688E-3</v>
      </c>
      <c r="AL38">
        <v>1.1718981516544407</v>
      </c>
      <c r="AM38">
        <v>6.7170418261622775E-3</v>
      </c>
      <c r="AN38">
        <v>6.7538732262123983E-3</v>
      </c>
      <c r="AO38">
        <v>9.7952130164004041E-3</v>
      </c>
      <c r="AP38">
        <v>5.933123672917341E-3</v>
      </c>
      <c r="AQ38">
        <v>6.9699904489222177E-3</v>
      </c>
    </row>
    <row r="39" spans="1:43" x14ac:dyDescent="0.25">
      <c r="A39" s="80" t="s">
        <v>111</v>
      </c>
      <c r="B39">
        <v>3.1570997608652458E-3</v>
      </c>
      <c r="C39">
        <v>2.8797460211055712E-3</v>
      </c>
      <c r="D39">
        <v>2.2256633281673862E-3</v>
      </c>
      <c r="E39">
        <v>4.2650275355503881E-3</v>
      </c>
      <c r="F39">
        <v>2.9838648430176233E-3</v>
      </c>
      <c r="G39">
        <v>3.4052412874754192E-3</v>
      </c>
      <c r="H39">
        <v>5.3017490095379899E-3</v>
      </c>
      <c r="I39">
        <v>4.1270299916378386E-3</v>
      </c>
      <c r="J39">
        <v>5.1307923157101892E-3</v>
      </c>
      <c r="K39">
        <v>3.0515048471822805E-3</v>
      </c>
      <c r="L39">
        <v>4.2532785687184119E-3</v>
      </c>
      <c r="M39">
        <v>4.8087680679425255E-3</v>
      </c>
      <c r="N39">
        <v>4.2492445068948847E-3</v>
      </c>
      <c r="O39">
        <v>4.8834575949480265E-3</v>
      </c>
      <c r="P39">
        <v>4.2854555894291527E-3</v>
      </c>
      <c r="Q39">
        <v>4.5186316269801123E-3</v>
      </c>
      <c r="R39">
        <v>3.8688212806943113E-3</v>
      </c>
      <c r="S39">
        <v>4.3579105304762892E-3</v>
      </c>
      <c r="T39">
        <v>4.3277720595584898E-3</v>
      </c>
      <c r="U39">
        <v>4.3530268940951636E-3</v>
      </c>
      <c r="V39">
        <v>4.6216191978134865E-3</v>
      </c>
      <c r="W39">
        <v>4.2025402987949569E-3</v>
      </c>
      <c r="X39">
        <v>4.5753430585100258E-3</v>
      </c>
      <c r="Y39">
        <v>3.408310609813539E-3</v>
      </c>
      <c r="Z39">
        <v>6.9941665260530314E-3</v>
      </c>
      <c r="AA39">
        <v>2.8556019362592218E-3</v>
      </c>
      <c r="AB39">
        <v>6.2293501017497831E-2</v>
      </c>
      <c r="AC39">
        <v>4.0039115047768529E-3</v>
      </c>
      <c r="AD39">
        <v>3.6333585667882671E-3</v>
      </c>
      <c r="AE39">
        <v>4.9688221854900195E-3</v>
      </c>
      <c r="AF39">
        <v>3.6812098627621655E-3</v>
      </c>
      <c r="AG39">
        <v>4.3500404604837816E-3</v>
      </c>
      <c r="AH39">
        <v>8.6831266139343298E-3</v>
      </c>
      <c r="AI39">
        <v>6.7746728468193627E-3</v>
      </c>
      <c r="AJ39">
        <v>3.7259649928128007E-3</v>
      </c>
      <c r="AK39">
        <v>3.0623089160353835E-3</v>
      </c>
      <c r="AL39">
        <v>5.4409520897414892E-3</v>
      </c>
      <c r="AM39">
        <v>1.0319032151273531</v>
      </c>
      <c r="AN39">
        <v>4.189930846905581E-3</v>
      </c>
      <c r="AO39">
        <v>3.8882289011907705E-3</v>
      </c>
      <c r="AP39">
        <v>5.8199630421700323E-3</v>
      </c>
      <c r="AQ39">
        <v>4.4894754284881535E-3</v>
      </c>
    </row>
    <row r="40" spans="1:43" x14ac:dyDescent="0.25">
      <c r="A40" s="80" t="s">
        <v>108</v>
      </c>
      <c r="B40">
        <v>5.0793758173431998E-4</v>
      </c>
      <c r="C40">
        <v>1.0482684428496378E-3</v>
      </c>
      <c r="D40">
        <v>5.414153419095745E-4</v>
      </c>
      <c r="E40">
        <v>6.9590487521618534E-4</v>
      </c>
      <c r="F40">
        <v>8.3093107685253088E-4</v>
      </c>
      <c r="G40">
        <v>7.4855633066259533E-4</v>
      </c>
      <c r="H40">
        <v>1.0508801987450277E-3</v>
      </c>
      <c r="I40">
        <v>1.1654070795300408E-3</v>
      </c>
      <c r="J40">
        <v>1.0488177540141533E-3</v>
      </c>
      <c r="K40">
        <v>7.2090934224745438E-4</v>
      </c>
      <c r="L40">
        <v>9.5325423128830291E-4</v>
      </c>
      <c r="M40">
        <v>1.2478110399928434E-3</v>
      </c>
      <c r="N40">
        <v>1.0197346652715857E-3</v>
      </c>
      <c r="O40">
        <v>1.2196903726962715E-3</v>
      </c>
      <c r="P40">
        <v>9.6532260726442669E-4</v>
      </c>
      <c r="Q40">
        <v>8.1884558502438106E-4</v>
      </c>
      <c r="R40">
        <v>7.919722298345797E-4</v>
      </c>
      <c r="S40">
        <v>1.0457204274768774E-3</v>
      </c>
      <c r="T40">
        <v>1.1597721861979259E-3</v>
      </c>
      <c r="U40">
        <v>1.0882123986464792E-3</v>
      </c>
      <c r="V40">
        <v>1.2297855111844073E-3</v>
      </c>
      <c r="W40">
        <v>1.1367288964069619E-3</v>
      </c>
      <c r="X40">
        <v>1.1649793730066898E-3</v>
      </c>
      <c r="Y40">
        <v>6.9372520921457705E-4</v>
      </c>
      <c r="Z40">
        <v>8.5719475805401684E-4</v>
      </c>
      <c r="AA40">
        <v>9.5592467416062362E-4</v>
      </c>
      <c r="AB40">
        <v>1.7678387425121773E-3</v>
      </c>
      <c r="AC40">
        <v>1.2930038005126167E-3</v>
      </c>
      <c r="AD40">
        <v>1.6746890147101951E-3</v>
      </c>
      <c r="AE40">
        <v>2.1713156574668952E-3</v>
      </c>
      <c r="AF40">
        <v>1.3573063598977932E-3</v>
      </c>
      <c r="AG40">
        <v>1.3597788963784329E-3</v>
      </c>
      <c r="AH40">
        <v>1.6513259967849889E-3</v>
      </c>
      <c r="AI40">
        <v>1.4380331760894807E-3</v>
      </c>
      <c r="AJ40">
        <v>3.1304210491866309E-3</v>
      </c>
      <c r="AK40">
        <v>8.4388537313017742E-4</v>
      </c>
      <c r="AL40">
        <v>1.9681166511920961E-3</v>
      </c>
      <c r="AM40">
        <v>9.3247271686255594E-3</v>
      </c>
      <c r="AN40">
        <v>1.0150953822496722</v>
      </c>
      <c r="AO40">
        <v>2.4061974170200059E-3</v>
      </c>
      <c r="AP40">
        <v>2.3487476727236975E-3</v>
      </c>
      <c r="AQ40">
        <v>1.2254827487045172E-3</v>
      </c>
    </row>
    <row r="41" spans="1:43" x14ac:dyDescent="0.25">
      <c r="A41" s="80" t="s">
        <v>109</v>
      </c>
      <c r="B41">
        <v>2.9893458936834877E-4</v>
      </c>
      <c r="C41">
        <v>1.1003658853825631E-3</v>
      </c>
      <c r="D41">
        <v>4.3194708021978857E-4</v>
      </c>
      <c r="E41">
        <v>1.0318863935875086E-3</v>
      </c>
      <c r="F41">
        <v>6.4835744565914805E-4</v>
      </c>
      <c r="G41">
        <v>3.7499904664579892E-4</v>
      </c>
      <c r="H41">
        <v>7.1775765139373959E-4</v>
      </c>
      <c r="I41">
        <v>7.5563470953880058E-4</v>
      </c>
      <c r="J41">
        <v>7.6619206835537416E-4</v>
      </c>
      <c r="K41">
        <v>2.6200495300427104E-3</v>
      </c>
      <c r="L41">
        <v>8.9733410878540187E-4</v>
      </c>
      <c r="M41">
        <v>6.3308239624564695E-4</v>
      </c>
      <c r="N41">
        <v>6.4296997598523649E-4</v>
      </c>
      <c r="O41">
        <v>1.5298282096106585E-3</v>
      </c>
      <c r="P41">
        <v>1.0477745588396818E-3</v>
      </c>
      <c r="Q41">
        <v>1.3184614699609575E-3</v>
      </c>
      <c r="R41">
        <v>9.2998750392842141E-4</v>
      </c>
      <c r="S41">
        <v>1.3634409751079109E-3</v>
      </c>
      <c r="T41">
        <v>8.949934669960362E-4</v>
      </c>
      <c r="U41">
        <v>1.2669196857457786E-3</v>
      </c>
      <c r="V41">
        <v>1.6969469323461907E-3</v>
      </c>
      <c r="W41">
        <v>1.1488309762597941E-3</v>
      </c>
      <c r="X41">
        <v>1.6336855374873421E-3</v>
      </c>
      <c r="Y41">
        <v>4.536592893848566E-4</v>
      </c>
      <c r="Z41">
        <v>1.2716315899439392E-3</v>
      </c>
      <c r="AA41">
        <v>9.7183757901804751E-4</v>
      </c>
      <c r="AB41">
        <v>5.942646468386065E-4</v>
      </c>
      <c r="AC41">
        <v>1.1527633299678287E-3</v>
      </c>
      <c r="AD41">
        <v>4.8637102015982269E-4</v>
      </c>
      <c r="AE41">
        <v>1.1422907949175233E-3</v>
      </c>
      <c r="AF41">
        <v>3.2915437425064844E-4</v>
      </c>
      <c r="AG41">
        <v>2.8853022418042266E-4</v>
      </c>
      <c r="AH41">
        <v>4.8176562009732011E-4</v>
      </c>
      <c r="AI41">
        <v>5.3545630445580065E-4</v>
      </c>
      <c r="AJ41">
        <v>3.7458553346204741E-4</v>
      </c>
      <c r="AK41">
        <v>1.3473489150805996E-4</v>
      </c>
      <c r="AL41">
        <v>5.7699871977669344E-4</v>
      </c>
      <c r="AM41">
        <v>3.0357119644762271E-3</v>
      </c>
      <c r="AN41">
        <v>5.751850097329707E-4</v>
      </c>
      <c r="AO41">
        <v>1.0061817981550556</v>
      </c>
      <c r="AP41">
        <v>6.2352926692236133E-4</v>
      </c>
      <c r="AQ41">
        <v>5.7675818368277463E-4</v>
      </c>
    </row>
    <row r="42" spans="1:43" x14ac:dyDescent="0.25">
      <c r="A42" s="80" t="s">
        <v>110</v>
      </c>
      <c r="B42">
        <v>1.3832411696368819E-3</v>
      </c>
      <c r="C42">
        <v>3.9295722874282592E-3</v>
      </c>
      <c r="D42">
        <v>3.1455654411603855E-3</v>
      </c>
      <c r="E42">
        <v>3.3521365457156744E-3</v>
      </c>
      <c r="F42">
        <v>3.7381351058367765E-3</v>
      </c>
      <c r="G42">
        <v>2.7999889150706644E-3</v>
      </c>
      <c r="H42">
        <v>4.8187848431203223E-3</v>
      </c>
      <c r="I42">
        <v>4.496018032877692E-3</v>
      </c>
      <c r="J42">
        <v>4.2724610876890938E-3</v>
      </c>
      <c r="K42">
        <v>3.704123439293439E-3</v>
      </c>
      <c r="L42">
        <v>4.2653901658827147E-3</v>
      </c>
      <c r="M42">
        <v>5.4305979349960178E-3</v>
      </c>
      <c r="N42">
        <v>5.1323200359374372E-3</v>
      </c>
      <c r="O42">
        <v>5.6294675400824475E-3</v>
      </c>
      <c r="P42">
        <v>4.5898830973670401E-3</v>
      </c>
      <c r="Q42">
        <v>4.3036895480101844E-3</v>
      </c>
      <c r="R42">
        <v>4.0431376985183131E-3</v>
      </c>
      <c r="S42">
        <v>4.5172310946750586E-3</v>
      </c>
      <c r="T42">
        <v>5.8217844477145703E-3</v>
      </c>
      <c r="U42">
        <v>5.472717025071753E-3</v>
      </c>
      <c r="V42">
        <v>6.270477708491571E-3</v>
      </c>
      <c r="W42">
        <v>6.9339906756460488E-3</v>
      </c>
      <c r="X42">
        <v>4.9377656589965971E-3</v>
      </c>
      <c r="Y42">
        <v>2.7121069321131459E-3</v>
      </c>
      <c r="Z42">
        <v>5.2144277553834032E-3</v>
      </c>
      <c r="AA42">
        <v>4.5196163347341421E-3</v>
      </c>
      <c r="AB42">
        <v>6.7772286328903119E-3</v>
      </c>
      <c r="AC42">
        <v>5.016954942415372E-3</v>
      </c>
      <c r="AD42">
        <v>3.7039775485339771E-3</v>
      </c>
      <c r="AE42">
        <v>6.2914390516413451E-3</v>
      </c>
      <c r="AF42">
        <v>3.9279740294943678E-3</v>
      </c>
      <c r="AG42">
        <v>7.4779153938284619E-3</v>
      </c>
      <c r="AH42">
        <v>8.399452181808419E-3</v>
      </c>
      <c r="AI42">
        <v>8.3247995072848538E-3</v>
      </c>
      <c r="AJ42">
        <v>1.1481340676083012E-2</v>
      </c>
      <c r="AK42">
        <v>3.5987988291959617E-3</v>
      </c>
      <c r="AL42">
        <v>6.5572468139173355E-3</v>
      </c>
      <c r="AM42">
        <v>1.0882740225241499E-2</v>
      </c>
      <c r="AN42">
        <v>6.4287015425095288E-3</v>
      </c>
      <c r="AO42">
        <v>3.7781362771430516E-3</v>
      </c>
      <c r="AP42">
        <v>1.0654422825547367</v>
      </c>
      <c r="AQ42">
        <v>6.396925047620996E-3</v>
      </c>
    </row>
    <row r="43" spans="1:43" x14ac:dyDescent="0.25">
      <c r="A43" s="80" t="s">
        <v>107</v>
      </c>
      <c r="B43">
        <v>4.1598269861456184E-3</v>
      </c>
      <c r="C43">
        <v>1.285420533120951E-2</v>
      </c>
      <c r="D43">
        <v>5.2944755525568188E-3</v>
      </c>
      <c r="E43">
        <v>6.9252296424130132E-3</v>
      </c>
      <c r="F43">
        <v>8.4140671160744286E-3</v>
      </c>
      <c r="G43">
        <v>6.9564031804352274E-3</v>
      </c>
      <c r="H43">
        <v>1.0089665417290047E-2</v>
      </c>
      <c r="I43">
        <v>1.1420891492201553E-2</v>
      </c>
      <c r="J43">
        <v>1.1244710225856814E-2</v>
      </c>
      <c r="K43">
        <v>7.7232621428040323E-3</v>
      </c>
      <c r="L43">
        <v>1.0624933459249199E-2</v>
      </c>
      <c r="M43">
        <v>1.252392765280552E-2</v>
      </c>
      <c r="N43">
        <v>1.2133625562404172E-2</v>
      </c>
      <c r="O43">
        <v>1.341990387313861E-2</v>
      </c>
      <c r="P43">
        <v>1.0744564882436624E-2</v>
      </c>
      <c r="Q43">
        <v>8.864860563594994E-3</v>
      </c>
      <c r="R43">
        <v>7.3977166054764428E-3</v>
      </c>
      <c r="S43">
        <v>1.1697122593416362E-2</v>
      </c>
      <c r="T43">
        <v>1.3691599457568263E-2</v>
      </c>
      <c r="U43">
        <v>1.3549191156464914E-2</v>
      </c>
      <c r="V43">
        <v>1.3662988429218599E-2</v>
      </c>
      <c r="W43">
        <v>1.6639262552592089E-2</v>
      </c>
      <c r="X43">
        <v>1.3134191258281426E-2</v>
      </c>
      <c r="Y43">
        <v>6.4398569644193247E-3</v>
      </c>
      <c r="Z43">
        <v>1.1810525549939185E-2</v>
      </c>
      <c r="AA43">
        <v>9.0346731981012993E-3</v>
      </c>
      <c r="AB43">
        <v>1.6164222710680794E-2</v>
      </c>
      <c r="AC43">
        <v>1.5930664336571417E-2</v>
      </c>
      <c r="AD43">
        <v>1.2161286279232891E-2</v>
      </c>
      <c r="AE43">
        <v>2.3577623458191834E-2</v>
      </c>
      <c r="AF43">
        <v>1.1146022279876223E-2</v>
      </c>
      <c r="AG43">
        <v>7.8903824229948922E-3</v>
      </c>
      <c r="AH43">
        <v>1.6123897994016527E-2</v>
      </c>
      <c r="AI43">
        <v>2.3089163469716179E-2</v>
      </c>
      <c r="AJ43">
        <v>6.3233846158095184E-3</v>
      </c>
      <c r="AK43">
        <v>4.4230605624937776E-3</v>
      </c>
      <c r="AL43">
        <v>2.101243732773294E-2</v>
      </c>
      <c r="AM43">
        <v>2.943593063779425E-2</v>
      </c>
      <c r="AN43">
        <v>1.5480138661533346E-2</v>
      </c>
      <c r="AO43">
        <v>1.4865076003346828E-2</v>
      </c>
      <c r="AP43">
        <v>2.0168494046122865E-2</v>
      </c>
      <c r="AQ43">
        <v>1.0236614086920033</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About</vt:lpstr>
      <vt:lpstr>2020 National official IO</vt:lpstr>
      <vt:lpstr>2020 National eps IO</vt:lpstr>
      <vt:lpstr>TLIM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zhlx2</dc:creator>
  <cp:lastModifiedBy>2020 zhlx</cp:lastModifiedBy>
  <dcterms:created xsi:type="dcterms:W3CDTF">2023-02-09T08:36:00Z</dcterms:created>
  <dcterms:modified xsi:type="dcterms:W3CDTF">2025-08-21T03:39:17Z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48183988C8AE4E45AF348D026C1E1B9A</vt:lpwstr>
  </property>
  <property fmtid="{D5CDD505-2E9C-101B-9397-08002B2CF9AE}" pid="3" name="KSOProductBuildVer">
    <vt:lpwstr>2052-12.1.0.21915</vt:lpwstr>
  </property>
</Properties>
</file>