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C:\Users\zhlx\Desktop\EPS Package\www\ing\eps-china2022-smart-trans\InputData\io-model\BObIC\"/>
    </mc:Choice>
  </mc:AlternateContent>
  <xr:revisionPtr revIDLastSave="0" documentId="13_ncr:1_{485340AA-963F-4042-B8D3-ADB73198E3BD}" xr6:coauthVersionLast="47" xr6:coauthVersionMax="47" xr10:uidLastSave="{00000000-0000-0000-0000-000000000000}"/>
  <bookViews>
    <workbookView xWindow="-120" yWindow="-120" windowWidth="29040" windowHeight="15840" activeTab="1" xr2:uid="{00000000-000D-0000-FFFF-FFFF00000000}"/>
  </bookViews>
  <sheets>
    <sheet name="About" sheetId="1" r:id="rId1"/>
    <sheet name="2020 National IO" sheetId="2" r:id="rId2"/>
    <sheet name="BObIC" sheetId="3" r:id="rId3"/>
  </sheets>
  <calcPr calcId="181029"/>
</workbook>
</file>

<file path=xl/calcChain.xml><?xml version="1.0" encoding="utf-8"?>
<calcChain xmlns="http://schemas.openxmlformats.org/spreadsheetml/2006/main">
  <c r="C2" i="3" l="1"/>
  <c r="D2" i="3"/>
  <c r="E2" i="3"/>
  <c r="F2" i="3"/>
  <c r="G2" i="3"/>
  <c r="H2" i="3"/>
  <c r="I2" i="3"/>
  <c r="J2" i="3"/>
  <c r="K2" i="3"/>
  <c r="L2" i="3"/>
  <c r="M2" i="3"/>
  <c r="N2" i="3"/>
  <c r="O2" i="3"/>
  <c r="P2" i="3"/>
  <c r="Q2" i="3"/>
  <c r="R2" i="3"/>
  <c r="S2" i="3"/>
  <c r="T2" i="3"/>
  <c r="U2" i="3"/>
  <c r="V2" i="3"/>
  <c r="W2" i="3"/>
  <c r="X2" i="3"/>
  <c r="Y2" i="3"/>
  <c r="Z2" i="3"/>
  <c r="AA2" i="3"/>
  <c r="AB2" i="3"/>
  <c r="AC2" i="3"/>
  <c r="AD2" i="3"/>
  <c r="AE2" i="3"/>
  <c r="AF2" i="3"/>
  <c r="AG2" i="3"/>
  <c r="AH2" i="3"/>
  <c r="AI2" i="3"/>
  <c r="AJ2" i="3"/>
  <c r="AK2" i="3"/>
  <c r="AL2" i="3"/>
  <c r="AM2" i="3"/>
  <c r="AN2" i="3"/>
  <c r="AO2" i="3"/>
  <c r="AP2" i="3"/>
  <c r="AQ2" i="3"/>
  <c r="B2" i="3"/>
</calcChain>
</file>

<file path=xl/sharedStrings.xml><?xml version="1.0" encoding="utf-8"?>
<sst xmlns="http://schemas.openxmlformats.org/spreadsheetml/2006/main" count="272" uniqueCount="145">
  <si>
    <t>BObIC BAU Output by ISIC Code</t>
  </si>
  <si>
    <t>Source:</t>
  </si>
  <si>
    <t>2020年全国投入产出表</t>
  </si>
  <si>
    <t>https://data.stats.gov.cn/files/html/quickSearch/trcc/trcc01.html</t>
  </si>
  <si>
    <t>Notes</t>
  </si>
  <si>
    <t>We convert 2020 RMB to 2012 USD with the following conversion factor:</t>
  </si>
  <si>
    <t>(按当年生产者价格计算） （Data are calculated at producers' prices in 2020)</t>
  </si>
  <si>
    <t>单位：万元</t>
  </si>
  <si>
    <t xml:space="preserve">   投入                  产出</t>
  </si>
  <si>
    <t>部门名称</t>
  </si>
  <si>
    <t>最终使用</t>
  </si>
  <si>
    <t>进口</t>
  </si>
  <si>
    <t>总产出</t>
  </si>
  <si>
    <t>农林牧渔产品和服务</t>
  </si>
  <si>
    <t>煤炭开采和洗选产品</t>
  </si>
  <si>
    <t>石油和天然气开采产品</t>
  </si>
  <si>
    <t>金属矿采选产品&amp;非金属矿</t>
  </si>
  <si>
    <t>开采辅助活动和其他采矿产品</t>
  </si>
  <si>
    <t>食品和烟草</t>
  </si>
  <si>
    <t>纺织品、纺织服装鞋帽皮革羽绒及其制品</t>
  </si>
  <si>
    <t>木材加工品和家具</t>
  </si>
  <si>
    <t>造纸印刷和文教体育用品</t>
  </si>
  <si>
    <t>石油、炼焦产品和核燃料加工品</t>
  </si>
  <si>
    <t>化学原料和化学制品制造业&amp;化学纤维制造业</t>
  </si>
  <si>
    <t>医药制造业</t>
  </si>
  <si>
    <t>橡胶和塑料制品业</t>
  </si>
  <si>
    <t>非金属矿物制品</t>
  </si>
  <si>
    <t>黑色金属冶炼和压延加工品</t>
  </si>
  <si>
    <t>有色金属冶炼和压延加工品</t>
  </si>
  <si>
    <t>金属制品</t>
  </si>
  <si>
    <t>通用设备</t>
  </si>
  <si>
    <t>专用设备</t>
  </si>
  <si>
    <t>汽车制造业</t>
  </si>
  <si>
    <t>铁路、船舶、航空航天和其他运输设备</t>
  </si>
  <si>
    <t>电气机械和器材</t>
  </si>
  <si>
    <t>通信设备、计算机和其他电子设备&amp;仪器仪表</t>
  </si>
  <si>
    <t>其他制造产品和废品废料、金属制品、机械和设备修理服务</t>
  </si>
  <si>
    <t>电力、热力生产和供应</t>
  </si>
  <si>
    <t>燃气生产和供应</t>
  </si>
  <si>
    <t>水的生产和供应</t>
  </si>
  <si>
    <t>建筑</t>
  </si>
  <si>
    <t>批发和零售</t>
  </si>
  <si>
    <t>交通运输、仓储和邮政</t>
  </si>
  <si>
    <t>住宿和餐饮</t>
  </si>
  <si>
    <t>信息传输、软件和信息技术服务</t>
  </si>
  <si>
    <t>金融</t>
  </si>
  <si>
    <t>房地产</t>
  </si>
  <si>
    <t>租赁和商务服务</t>
  </si>
  <si>
    <t>研究和试验发展</t>
  </si>
  <si>
    <t>综合技术服务</t>
  </si>
  <si>
    <t>居民服务、修理和其他服务</t>
  </si>
  <si>
    <t>教育</t>
  </si>
  <si>
    <t>卫生和社会工作</t>
  </si>
  <si>
    <t>文化、体育和娱乐</t>
  </si>
  <si>
    <t>水利、环境和公共设施管理、公共管理、社会保障和社会组织</t>
  </si>
  <si>
    <t>中间使用合计</t>
  </si>
  <si>
    <t>农村居民消费支出</t>
  </si>
  <si>
    <t>城镇居民消费支出</t>
  </si>
  <si>
    <t>居民消费支出</t>
  </si>
  <si>
    <t>政府消费支出</t>
  </si>
  <si>
    <t>消费支出合计</t>
  </si>
  <si>
    <t>固定资本形成总额</t>
  </si>
  <si>
    <t>存货变动</t>
  </si>
  <si>
    <t>资本形成总额</t>
  </si>
  <si>
    <t>出口</t>
  </si>
  <si>
    <t>最终使用合计</t>
  </si>
  <si>
    <t>代码</t>
  </si>
  <si>
    <t>ISIC 01T03</t>
  </si>
  <si>
    <t>ISIC 05</t>
  </si>
  <si>
    <t>ISIC 06</t>
  </si>
  <si>
    <t>ISIC 07T08</t>
  </si>
  <si>
    <t>ISIC 09</t>
  </si>
  <si>
    <t>ISIC 10T12</t>
  </si>
  <si>
    <t>ISIC 13T15</t>
  </si>
  <si>
    <t>ISIC 16</t>
  </si>
  <si>
    <t>ISIC 17T18</t>
  </si>
  <si>
    <t>ISIC 19</t>
  </si>
  <si>
    <t>ISIC 20</t>
  </si>
  <si>
    <t>ISIC 21</t>
  </si>
  <si>
    <t>ISIC 22</t>
  </si>
  <si>
    <t>ISIC 231</t>
  </si>
  <si>
    <t>ISIC 241</t>
  </si>
  <si>
    <t>ISIC 242</t>
  </si>
  <si>
    <t>ISIC 25</t>
  </si>
  <si>
    <t>ISIC 28</t>
  </si>
  <si>
    <t>ISIC 239</t>
  </si>
  <si>
    <t>ISIC 29</t>
  </si>
  <si>
    <t>ISIC 30</t>
  </si>
  <si>
    <t>ISIC 27</t>
  </si>
  <si>
    <t>ISIC 26</t>
  </si>
  <si>
    <t>ISIC 31T33</t>
  </si>
  <si>
    <t>ISIC 351</t>
  </si>
  <si>
    <t>ISIC 352T353</t>
  </si>
  <si>
    <t>ISIC 36T39</t>
  </si>
  <si>
    <t>ISIC 41T43</t>
  </si>
  <si>
    <t>ISIC 45T47</t>
  </si>
  <si>
    <t>ISIC 49T53</t>
  </si>
  <si>
    <t>ISIC 55T56</t>
  </si>
  <si>
    <t>ISIC 58T60</t>
  </si>
  <si>
    <t>ISIC 64T66</t>
  </si>
  <si>
    <t>ISIC 68</t>
  </si>
  <si>
    <t>ISIC 61</t>
  </si>
  <si>
    <t>ISIC 69T82</t>
  </si>
  <si>
    <t>ISIC 97T98</t>
  </si>
  <si>
    <t>ISIC 85</t>
  </si>
  <si>
    <t>ISIC 86T88</t>
  </si>
  <si>
    <t>ISIC 90T96</t>
  </si>
  <si>
    <t>ISIC 84</t>
  </si>
  <si>
    <t>TIU</t>
  </si>
  <si>
    <t>FU101</t>
  </si>
  <si>
    <t>FU102</t>
  </si>
  <si>
    <t>THC</t>
  </si>
  <si>
    <t>FU103</t>
  </si>
  <si>
    <t>TC</t>
  </si>
  <si>
    <t>FU201</t>
  </si>
  <si>
    <t>FU202</t>
  </si>
  <si>
    <t>GCF</t>
  </si>
  <si>
    <t>EX</t>
  </si>
  <si>
    <t>TFU</t>
  </si>
  <si>
    <t>IM</t>
  </si>
  <si>
    <t>GO</t>
  </si>
  <si>
    <t>中间投入合计</t>
  </si>
  <si>
    <t>TII</t>
  </si>
  <si>
    <t>增加值</t>
  </si>
  <si>
    <t>劳动者报酬</t>
  </si>
  <si>
    <t>VA001</t>
  </si>
  <si>
    <t>生产税净额</t>
  </si>
  <si>
    <t>VA002</t>
  </si>
  <si>
    <t>固定资产折旧</t>
  </si>
  <si>
    <t>VA003</t>
  </si>
  <si>
    <t>营业盈余</t>
  </si>
  <si>
    <t>VA004</t>
  </si>
  <si>
    <t>增加值合计</t>
  </si>
  <si>
    <t>TVA</t>
  </si>
  <si>
    <t>总投入</t>
  </si>
  <si>
    <t>TI</t>
  </si>
  <si>
    <t>Unit: USD</t>
  </si>
  <si>
    <t>ISIC 62T63</t>
  </si>
  <si>
    <t>Output</t>
  </si>
  <si>
    <t>Currency Conversion</t>
  </si>
  <si>
    <r>
      <t>2</t>
    </r>
    <r>
      <rPr>
        <sz val="11"/>
        <color theme="1"/>
        <rFont val="宋体"/>
        <family val="3"/>
        <charset val="134"/>
        <scheme val="minor"/>
      </rPr>
      <t>020 RMB/2012 USD</t>
    </r>
    <phoneticPr fontId="7" type="noConversion"/>
  </si>
  <si>
    <t>The total output can be found directly in the "2020 National Input-output Table" and multiplied by the exchange rate.</t>
    <phoneticPr fontId="7" type="noConversion"/>
  </si>
  <si>
    <t>2020 National Input-output Table</t>
  </si>
  <si>
    <r>
      <t>N</t>
    </r>
    <r>
      <rPr>
        <sz val="11"/>
        <color theme="1"/>
        <rFont val="宋体"/>
        <family val="3"/>
        <charset val="134"/>
        <scheme val="minor"/>
      </rPr>
      <t>BS</t>
    </r>
    <phoneticPr fontId="7" type="noConversion"/>
  </si>
  <si>
    <t>"2020 National Input-output Table" is the input-output table of 42 departments summarized based on the competitive and non-competitive tables in the input-output table of China  in 2020 and the EPS model of the United States. Government consumption expenditure is based on the amount of government consumption expenditure of various industries in the "2020 National Input-output Table" multiplied by the exchange rate of the RMB in 2020 against the US dollar in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</si>
</sst>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00_ "/>
  </numFmts>
  <fonts count="18" x14ac:knownFonts="1">
    <font>
      <sz val="11"/>
      <color theme="1"/>
      <name val="宋体"/>
      <charset val="134"/>
      <scheme val="minor"/>
    </font>
    <font>
      <i/>
      <sz val="11"/>
      <color theme="1"/>
      <name val="宋体"/>
      <family val="3"/>
      <charset val="134"/>
      <scheme val="minor"/>
    </font>
    <font>
      <sz val="9"/>
      <name val="宋体"/>
      <family val="3"/>
      <charset val="134"/>
    </font>
    <font>
      <b/>
      <sz val="11"/>
      <color theme="1"/>
      <name val="宋体"/>
      <family val="3"/>
      <charset val="134"/>
      <scheme val="minor"/>
    </font>
    <font>
      <sz val="9"/>
      <color theme="1"/>
      <name val="宋体"/>
      <family val="3"/>
      <charset val="134"/>
      <scheme val="minor"/>
    </font>
    <font>
      <b/>
      <sz val="10"/>
      <color theme="1"/>
      <name val="宋体"/>
      <family val="3"/>
      <charset val="134"/>
      <scheme val="minor"/>
    </font>
    <font>
      <sz val="10"/>
      <color theme="1"/>
      <name val="宋体"/>
      <family val="3"/>
      <charset val="134"/>
      <scheme val="minor"/>
    </font>
    <font>
      <sz val="9"/>
      <name val="宋体"/>
      <family val="3"/>
      <charset val="134"/>
      <scheme val="minor"/>
    </font>
    <font>
      <b/>
      <sz val="9"/>
      <name val="宋体"/>
      <family val="3"/>
      <charset val="134"/>
      <scheme val="minor"/>
    </font>
    <font>
      <b/>
      <sz val="9"/>
      <name val="宋体"/>
      <family val="3"/>
      <charset val="134"/>
    </font>
    <font>
      <b/>
      <sz val="9"/>
      <color theme="1"/>
      <name val="宋体"/>
      <family val="3"/>
      <charset val="134"/>
      <scheme val="minor"/>
    </font>
    <font>
      <b/>
      <sz val="11"/>
      <color indexed="8"/>
      <name val="宋体"/>
      <family val="3"/>
      <charset val="134"/>
      <scheme val="minor"/>
    </font>
    <font>
      <u/>
      <sz val="11"/>
      <color theme="10"/>
      <name val="宋体"/>
      <family val="3"/>
      <charset val="134"/>
      <scheme val="minor"/>
    </font>
    <font>
      <sz val="11"/>
      <color theme="1"/>
      <name val="宋体"/>
      <family val="3"/>
      <charset val="134"/>
      <scheme val="minor"/>
    </font>
    <font>
      <u/>
      <sz val="11"/>
      <color rgb="FF0000FF"/>
      <name val="宋体"/>
      <family val="3"/>
      <charset val="134"/>
      <scheme val="minor"/>
    </font>
    <font>
      <sz val="12"/>
      <name val="宋体"/>
      <family val="3"/>
      <charset val="134"/>
    </font>
    <font>
      <sz val="11"/>
      <color indexed="8"/>
      <name val="宋体"/>
      <family val="3"/>
      <charset val="134"/>
    </font>
    <font>
      <sz val="11"/>
      <color theme="1"/>
      <name val="宋体"/>
      <family val="3"/>
      <charset val="134"/>
      <scheme val="minor"/>
    </font>
  </fonts>
  <fills count="2">
    <fill>
      <patternFill patternType="none"/>
    </fill>
    <fill>
      <patternFill patternType="gray125"/>
    </fill>
  </fills>
  <borders count="29">
    <border>
      <left/>
      <right/>
      <top/>
      <bottom/>
      <diagonal/>
    </border>
    <border>
      <left/>
      <right style="thin">
        <color auto="1"/>
      </right>
      <top style="thin">
        <color auto="1"/>
      </top>
      <bottom style="thin">
        <color auto="1"/>
      </bottom>
      <diagonal/>
    </border>
    <border>
      <left/>
      <right style="thin">
        <color auto="1"/>
      </right>
      <top style="thin">
        <color auto="1"/>
      </top>
      <bottom/>
      <diagonal/>
    </border>
    <border>
      <left/>
      <right/>
      <top/>
      <bottom style="medium">
        <color auto="1"/>
      </bottom>
      <diagonal/>
    </border>
    <border diagonalDown="1">
      <left/>
      <right/>
      <top style="medium">
        <color auto="1"/>
      </top>
      <bottom/>
      <diagonal style="thin">
        <color auto="1"/>
      </diagonal>
    </border>
    <border diagonalDown="1">
      <left/>
      <right style="thin">
        <color auto="1"/>
      </right>
      <top style="medium">
        <color auto="1"/>
      </top>
      <bottom/>
      <diagonal style="thin">
        <color auto="1"/>
      </diagonal>
    </border>
    <border>
      <left style="thin">
        <color auto="1"/>
      </left>
      <right style="thin">
        <color auto="1"/>
      </right>
      <top style="medium">
        <color auto="1"/>
      </top>
      <bottom/>
      <diagonal/>
    </border>
    <border>
      <left/>
      <right/>
      <top style="medium">
        <color auto="1"/>
      </top>
      <bottom style="thin">
        <color auto="1"/>
      </bottom>
      <diagonal/>
    </border>
    <border diagonalDown="1">
      <left/>
      <right/>
      <top/>
      <bottom style="thin">
        <color auto="1"/>
      </bottom>
      <diagonal style="thin">
        <color auto="1"/>
      </diagonal>
    </border>
    <border diagonalDown="1">
      <left/>
      <right style="thin">
        <color auto="1"/>
      </right>
      <top/>
      <bottom style="thin">
        <color auto="1"/>
      </bottom>
      <diagonal style="thin">
        <color auto="1"/>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bottom/>
      <diagonal/>
    </border>
    <border>
      <left/>
      <right/>
      <top style="thin">
        <color auto="1"/>
      </top>
      <bottom/>
      <diagonal/>
    </border>
    <border>
      <left style="thin">
        <color auto="1"/>
      </left>
      <right/>
      <top/>
      <bottom style="medium">
        <color auto="1"/>
      </bottom>
      <diagonal/>
    </border>
    <border>
      <left style="thin">
        <color auto="1"/>
      </left>
      <right/>
      <top style="medium">
        <color auto="1"/>
      </top>
      <bottom/>
      <diagonal/>
    </border>
  </borders>
  <cellStyleXfs count="7">
    <xf numFmtId="0" fontId="0" fillId="0" borderId="0">
      <alignment vertical="center"/>
    </xf>
    <xf numFmtId="0" fontId="14" fillId="0" borderId="0" applyNumberFormat="0" applyFill="0" applyBorder="0" applyAlignment="0" applyProtection="0">
      <alignment vertical="center"/>
    </xf>
    <xf numFmtId="0" fontId="15" fillId="0" borderId="0"/>
    <xf numFmtId="0" fontId="16" fillId="0" borderId="0">
      <alignment vertical="center"/>
    </xf>
    <xf numFmtId="0" fontId="17" fillId="0" borderId="0">
      <alignment vertical="center"/>
    </xf>
    <xf numFmtId="0" fontId="15" fillId="0" borderId="0"/>
    <xf numFmtId="0" fontId="17" fillId="0" borderId="0"/>
  </cellStyleXfs>
  <cellXfs count="101">
    <xf numFmtId="0" fontId="0" fillId="0" borderId="0" xfId="0">
      <alignment vertical="center"/>
    </xf>
    <xf numFmtId="0" fontId="1" fillId="0" borderId="0" xfId="0" applyFont="1" applyAlignment="1">
      <alignment horizontal="left"/>
    </xf>
    <xf numFmtId="0" fontId="0" fillId="0" borderId="0" xfId="0" applyAlignment="1">
      <alignment horizontal="right"/>
    </xf>
    <xf numFmtId="0" fontId="0" fillId="0" borderId="0" xfId="0" applyAlignment="1"/>
    <xf numFmtId="0" fontId="2" fillId="0" borderId="1" xfId="6" applyFont="1" applyBorder="1" applyAlignment="1">
      <alignment horizontal="justify" vertical="center" wrapText="1"/>
    </xf>
    <xf numFmtId="0" fontId="2" fillId="0" borderId="2" xfId="6" applyFont="1" applyBorder="1" applyAlignment="1">
      <alignment horizontal="justify" vertical="center" wrapText="1"/>
    </xf>
    <xf numFmtId="0" fontId="3" fillId="0" borderId="0" xfId="4" applyFont="1" applyAlignment="1">
      <alignment horizontal="left" vertical="center"/>
    </xf>
    <xf numFmtId="0" fontId="17" fillId="0" borderId="0" xfId="6"/>
    <xf numFmtId="0" fontId="17" fillId="0" borderId="0" xfId="4" applyAlignment="1">
      <alignment horizontal="left" vertical="center"/>
    </xf>
    <xf numFmtId="1" fontId="4" fillId="0" borderId="0" xfId="6" applyNumberFormat="1" applyFont="1"/>
    <xf numFmtId="0" fontId="0" fillId="0" borderId="3" xfId="0" applyBorder="1" applyAlignment="1"/>
    <xf numFmtId="0" fontId="4" fillId="0" borderId="3" xfId="6" applyFont="1" applyBorder="1"/>
    <xf numFmtId="0" fontId="17" fillId="0" borderId="3" xfId="6" applyBorder="1"/>
    <xf numFmtId="0" fontId="5" fillId="0" borderId="0" xfId="6" applyFont="1" applyAlignment="1">
      <alignment horizontal="center"/>
    </xf>
    <xf numFmtId="0" fontId="4" fillId="0" borderId="11" xfId="5" applyFont="1" applyBorder="1" applyAlignment="1">
      <alignment vertical="center"/>
    </xf>
    <xf numFmtId="0" fontId="2" fillId="0" borderId="10" xfId="6" applyFont="1" applyBorder="1" applyAlignment="1">
      <alignment horizontal="center" vertical="center" wrapText="1"/>
    </xf>
    <xf numFmtId="0" fontId="4" fillId="0" borderId="2" xfId="6" applyFont="1" applyBorder="1" applyAlignment="1">
      <alignment vertical="center"/>
    </xf>
    <xf numFmtId="0" fontId="4" fillId="0" borderId="12" xfId="6" applyFont="1" applyBorder="1" applyAlignment="1">
      <alignment horizontal="center" vertical="center"/>
    </xf>
    <xf numFmtId="49" fontId="4" fillId="0" borderId="11" xfId="6" applyNumberFormat="1" applyFont="1" applyBorder="1" applyAlignment="1">
      <alignment horizontal="center" vertical="center"/>
    </xf>
    <xf numFmtId="49" fontId="7" fillId="0" borderId="14" xfId="6" applyNumberFormat="1" applyFont="1" applyBorder="1" applyAlignment="1">
      <alignment horizontal="center" vertical="center" wrapText="1"/>
    </xf>
    <xf numFmtId="1" fontId="7" fillId="0" borderId="15" xfId="6" applyNumberFormat="1" applyFont="1" applyBorder="1" applyAlignment="1">
      <alignment horizontal="right" vertical="center" wrapText="1"/>
    </xf>
    <xf numFmtId="49" fontId="7" fillId="0" borderId="14" xfId="3" applyNumberFormat="1" applyFont="1" applyBorder="1" applyAlignment="1">
      <alignment horizontal="center" vertical="center" wrapText="1"/>
    </xf>
    <xf numFmtId="49" fontId="8" fillId="0" borderId="16" xfId="0" applyNumberFormat="1" applyFont="1" applyBorder="1" applyAlignment="1">
      <alignment horizontal="center" vertical="center" wrapText="1"/>
    </xf>
    <xf numFmtId="0" fontId="9" fillId="0" borderId="1" xfId="6" applyFont="1" applyBorder="1" applyAlignment="1">
      <alignment horizontal="justify" vertical="center" wrapText="1"/>
    </xf>
    <xf numFmtId="49" fontId="8" fillId="0" borderId="11" xfId="0" applyNumberFormat="1" applyFont="1" applyBorder="1" applyAlignment="1">
      <alignment horizontal="center" vertical="center" wrapText="1"/>
    </xf>
    <xf numFmtId="1" fontId="8" fillId="0" borderId="10" xfId="6" applyNumberFormat="1" applyFont="1" applyBorder="1" applyAlignment="1">
      <alignment horizontal="right" vertical="center" wrapText="1"/>
    </xf>
    <xf numFmtId="0" fontId="2" fillId="0" borderId="13" xfId="6" applyFont="1" applyBorder="1" applyAlignment="1">
      <alignment horizontal="justify" vertical="center" wrapText="1"/>
    </xf>
    <xf numFmtId="49" fontId="7" fillId="0" borderId="18" xfId="0" applyNumberFormat="1" applyFont="1" applyBorder="1" applyAlignment="1">
      <alignment horizontal="center" vertical="center" wrapText="1"/>
    </xf>
    <xf numFmtId="49" fontId="7" fillId="0" borderId="14" xfId="0" applyNumberFormat="1" applyFont="1" applyBorder="1" applyAlignment="1">
      <alignment horizontal="center" vertical="center" wrapText="1"/>
    </xf>
    <xf numFmtId="0" fontId="9" fillId="0" borderId="13" xfId="6" applyFont="1" applyBorder="1" applyAlignment="1">
      <alignment horizontal="justify" vertical="center" wrapText="1"/>
    </xf>
    <xf numFmtId="49" fontId="8" fillId="0" borderId="14" xfId="0" applyNumberFormat="1" applyFont="1" applyBorder="1" applyAlignment="1">
      <alignment horizontal="center" vertical="center" wrapText="1"/>
    </xf>
    <xf numFmtId="1" fontId="8" fillId="0" borderId="15" xfId="6" applyNumberFormat="1" applyFont="1" applyBorder="1" applyAlignment="1">
      <alignment horizontal="right" vertical="center" wrapText="1"/>
    </xf>
    <xf numFmtId="49" fontId="8" fillId="0" borderId="21" xfId="0" applyNumberFormat="1" applyFont="1" applyBorder="1" applyAlignment="1">
      <alignment horizontal="center" vertical="top" wrapText="1"/>
    </xf>
    <xf numFmtId="1" fontId="10" fillId="0" borderId="22" xfId="6" applyNumberFormat="1" applyFont="1" applyBorder="1" applyAlignment="1">
      <alignment horizontal="right" vertical="center"/>
    </xf>
    <xf numFmtId="0" fontId="2" fillId="0" borderId="17" xfId="6" applyFont="1" applyBorder="1" applyAlignment="1">
      <alignment horizontal="center" vertical="center" wrapText="1"/>
    </xf>
    <xf numFmtId="0" fontId="7" fillId="0" borderId="17" xfId="2" applyFont="1" applyBorder="1" applyAlignment="1">
      <alignment horizontal="center" vertical="center" wrapText="1"/>
    </xf>
    <xf numFmtId="0" fontId="8" fillId="0" borderId="11" xfId="0" applyFont="1" applyBorder="1" applyAlignment="1">
      <alignment horizontal="center" vertical="center" wrapText="1"/>
    </xf>
    <xf numFmtId="0" fontId="2" fillId="0" borderId="11" xfId="0" applyFont="1" applyBorder="1" applyAlignment="1">
      <alignment horizontal="center" vertical="center" wrapText="1"/>
    </xf>
    <xf numFmtId="49" fontId="4" fillId="0" borderId="11" xfId="0" applyNumberFormat="1" applyFont="1" applyBorder="1" applyAlignment="1">
      <alignment horizontal="center" vertical="center"/>
    </xf>
    <xf numFmtId="1" fontId="10" fillId="0" borderId="15" xfId="6" applyNumberFormat="1" applyFont="1" applyBorder="1" applyAlignment="1">
      <alignment horizontal="right" vertical="center"/>
    </xf>
    <xf numFmtId="1" fontId="4" fillId="0" borderId="15" xfId="6" applyNumberFormat="1" applyFont="1" applyBorder="1" applyAlignment="1">
      <alignment horizontal="right" vertical="center"/>
    </xf>
    <xf numFmtId="1" fontId="10" fillId="0" borderId="25" xfId="6" applyNumberFormat="1" applyFont="1" applyBorder="1" applyAlignment="1">
      <alignment horizontal="right" vertical="center"/>
    </xf>
    <xf numFmtId="0" fontId="17" fillId="0" borderId="26" xfId="6" applyBorder="1" applyAlignment="1">
      <alignment horizontal="right" vertical="center"/>
    </xf>
    <xf numFmtId="0" fontId="17" fillId="0" borderId="0" xfId="6" applyAlignment="1">
      <alignment horizontal="right" vertical="center"/>
    </xf>
    <xf numFmtId="1" fontId="17" fillId="0" borderId="0" xfId="6" applyNumberFormat="1" applyAlignment="1">
      <alignment horizontal="right" vertical="center"/>
    </xf>
    <xf numFmtId="1" fontId="10" fillId="0" borderId="27" xfId="6" applyNumberFormat="1" applyFont="1" applyBorder="1" applyAlignment="1">
      <alignment horizontal="right" vertical="center"/>
    </xf>
    <xf numFmtId="0" fontId="17" fillId="0" borderId="3" xfId="6" applyBorder="1" applyAlignment="1">
      <alignment horizontal="right" vertical="center"/>
    </xf>
    <xf numFmtId="0" fontId="3" fillId="0" borderId="0" xfId="6" applyFont="1"/>
    <xf numFmtId="0" fontId="11" fillId="0" borderId="0" xfId="0" applyFont="1" applyAlignment="1"/>
    <xf numFmtId="1" fontId="10" fillId="0" borderId="0" xfId="6" applyNumberFormat="1" applyFont="1"/>
    <xf numFmtId="1" fontId="17" fillId="0" borderId="0" xfId="6" applyNumberFormat="1"/>
    <xf numFmtId="0" fontId="11" fillId="0" borderId="3" xfId="0" applyFont="1" applyBorder="1" applyAlignment="1"/>
    <xf numFmtId="0" fontId="9"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8" fillId="0" borderId="14" xfId="0" applyFont="1" applyBorder="1" applyAlignment="1">
      <alignment horizontal="center" vertical="center" wrapText="1"/>
    </xf>
    <xf numFmtId="49" fontId="10" fillId="0" borderId="11" xfId="0" applyNumberFormat="1" applyFont="1" applyBorder="1" applyAlignment="1">
      <alignment horizontal="center" vertical="center"/>
    </xf>
    <xf numFmtId="0" fontId="4" fillId="0" borderId="11" xfId="0" applyFont="1" applyBorder="1" applyAlignment="1">
      <alignment horizontal="center"/>
    </xf>
    <xf numFmtId="0" fontId="10" fillId="0" borderId="11" xfId="0" applyFont="1" applyBorder="1" applyAlignment="1">
      <alignment horizontal="center" vertical="center"/>
    </xf>
    <xf numFmtId="176" fontId="10" fillId="0" borderId="15" xfId="0" applyNumberFormat="1" applyFont="1" applyBorder="1" applyAlignment="1">
      <alignment horizontal="right" vertical="center"/>
    </xf>
    <xf numFmtId="0" fontId="3" fillId="0" borderId="26" xfId="6" applyFont="1" applyBorder="1" applyAlignment="1">
      <alignment horizontal="right" vertical="center"/>
    </xf>
    <xf numFmtId="0" fontId="3" fillId="0" borderId="26" xfId="0" applyFont="1" applyBorder="1" applyAlignment="1">
      <alignment horizontal="right" vertical="center"/>
    </xf>
    <xf numFmtId="0" fontId="3" fillId="0" borderId="0" xfId="6" applyFont="1" applyAlignment="1">
      <alignment horizontal="right" vertical="center"/>
    </xf>
    <xf numFmtId="0" fontId="3" fillId="0" borderId="0" xfId="0" applyFont="1" applyAlignment="1">
      <alignment horizontal="right" vertical="center"/>
    </xf>
    <xf numFmtId="0" fontId="11" fillId="0" borderId="0" xfId="0" applyFont="1" applyAlignment="1">
      <alignment horizontal="right" vertical="center"/>
    </xf>
    <xf numFmtId="0" fontId="3" fillId="0" borderId="3" xfId="6" applyFont="1" applyBorder="1" applyAlignment="1">
      <alignment horizontal="right" vertical="center"/>
    </xf>
    <xf numFmtId="0" fontId="11" fillId="0" borderId="3" xfId="0" applyFont="1" applyBorder="1" applyAlignment="1">
      <alignment horizontal="right" vertical="center"/>
    </xf>
    <xf numFmtId="0" fontId="4" fillId="0" borderId="11" xfId="0" applyFont="1" applyBorder="1" applyAlignment="1">
      <alignment horizontal="center" vertical="center"/>
    </xf>
    <xf numFmtId="0" fontId="10" fillId="0" borderId="14" xfId="0" applyFont="1" applyBorder="1" applyAlignment="1">
      <alignment horizontal="center" vertical="center"/>
    </xf>
    <xf numFmtId="1" fontId="8" fillId="0" borderId="18" xfId="6" applyNumberFormat="1" applyFont="1" applyBorder="1" applyAlignment="1">
      <alignment horizontal="right" vertical="center" wrapText="1"/>
    </xf>
    <xf numFmtId="0" fontId="3" fillId="0" borderId="0" xfId="0" applyFont="1" applyAlignment="1"/>
    <xf numFmtId="0" fontId="0" fillId="0" borderId="0" xfId="0" applyAlignment="1">
      <alignment horizontal="left"/>
    </xf>
    <xf numFmtId="0" fontId="12" fillId="0" borderId="0" xfId="1" applyFont="1" applyFill="1" applyAlignment="1"/>
    <xf numFmtId="0" fontId="12" fillId="0" borderId="0" xfId="1" applyFont="1" applyAlignment="1"/>
    <xf numFmtId="0" fontId="0" fillId="0" borderId="0" xfId="0" applyAlignment="1">
      <alignment horizontal="left" indent="1"/>
    </xf>
    <xf numFmtId="177" fontId="0" fillId="0" borderId="0" xfId="0" applyNumberFormat="1" applyAlignment="1"/>
    <xf numFmtId="0" fontId="13" fillId="0" borderId="0" xfId="0" applyFont="1" applyAlignment="1"/>
    <xf numFmtId="0" fontId="2" fillId="0" borderId="6" xfId="0" applyFont="1" applyBorder="1" applyAlignment="1">
      <alignment horizontal="center" vertical="center" wrapText="1"/>
    </xf>
    <xf numFmtId="0" fontId="0" fillId="0" borderId="10" xfId="0" applyBorder="1" applyAlignment="1">
      <alignment horizontal="center" vertical="center" wrapText="1"/>
    </xf>
    <xf numFmtId="0" fontId="10" fillId="0" borderId="28" xfId="0" applyFont="1" applyBorder="1" applyAlignment="1">
      <alignment horizontal="center" vertical="center" wrapText="1"/>
    </xf>
    <xf numFmtId="0" fontId="11" fillId="0" borderId="25"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2" fillId="0" borderId="0" xfId="0" applyFont="1" applyAlignment="1">
      <alignment horizontal="center" vertical="center" wrapText="1"/>
    </xf>
    <xf numFmtId="0" fontId="4" fillId="0" borderId="7" xfId="0" applyFont="1" applyBorder="1" applyAlignment="1">
      <alignment horizontal="center" vertical="center" wrapText="1"/>
    </xf>
    <xf numFmtId="0" fontId="0" fillId="0" borderId="7" xfId="0" applyBorder="1">
      <alignment vertical="center"/>
    </xf>
    <xf numFmtId="0" fontId="0" fillId="0" borderId="23" xfId="0" applyBorder="1">
      <alignment vertical="center"/>
    </xf>
    <xf numFmtId="0" fontId="2" fillId="0" borderId="2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3" xfId="0" applyFont="1" applyBorder="1" applyAlignment="1">
      <alignment horizontal="center" vertical="center" wrapText="1"/>
    </xf>
    <xf numFmtId="0" fontId="9" fillId="0" borderId="19" xfId="0" applyFont="1" applyBorder="1" applyAlignment="1">
      <alignment horizontal="center" vertical="top" wrapText="1"/>
    </xf>
    <xf numFmtId="0" fontId="9" fillId="0" borderId="20" xfId="0" applyFont="1" applyBorder="1" applyAlignment="1">
      <alignment horizontal="center" vertical="top" wrapText="1"/>
    </xf>
    <xf numFmtId="0" fontId="6" fillId="0" borderId="13" xfId="0" applyFont="1" applyBorder="1" applyAlignment="1">
      <alignment horizontal="center" vertical="center"/>
    </xf>
    <xf numFmtId="0" fontId="0" fillId="0" borderId="13" xfId="0" applyBorder="1">
      <alignment vertical="center"/>
    </xf>
    <xf numFmtId="0" fontId="0" fillId="0" borderId="17" xfId="0" applyBorder="1">
      <alignment vertical="center"/>
    </xf>
    <xf numFmtId="0" fontId="6" fillId="0" borderId="17" xfId="0" applyFont="1" applyBorder="1" applyAlignment="1">
      <alignment horizontal="center" vertical="center"/>
    </xf>
    <xf numFmtId="0" fontId="6" fillId="0" borderId="1" xfId="0" applyFont="1" applyBorder="1" applyAlignment="1">
      <alignment horizontal="center" vertical="center"/>
    </xf>
    <xf numFmtId="0" fontId="4" fillId="0" borderId="6" xfId="0" applyFont="1" applyBorder="1" applyAlignment="1">
      <alignment horizontal="center" vertical="center" textRotation="255"/>
    </xf>
    <xf numFmtId="0" fontId="4" fillId="0" borderId="10" xfId="0" applyFont="1" applyBorder="1" applyAlignment="1">
      <alignment horizontal="center" vertical="center" textRotation="255"/>
    </xf>
    <xf numFmtId="0" fontId="13" fillId="0" borderId="0" xfId="0" applyFont="1">
      <alignment vertical="center"/>
    </xf>
  </cellXfs>
  <cellStyles count="7">
    <cellStyle name="常规" xfId="0" builtinId="0"/>
    <cellStyle name="常规 2" xfId="4" xr:uid="{00000000-0005-0000-0000-000033000000}"/>
    <cellStyle name="常规 4" xfId="5" xr:uid="{00000000-0005-0000-0000-000034000000}"/>
    <cellStyle name="常规 5" xfId="6" xr:uid="{00000000-0005-0000-0000-000035000000}"/>
    <cellStyle name="常规_Sheet1" xfId="3" xr:uid="{00000000-0005-0000-0000-000032000000}"/>
    <cellStyle name="常规_Sheet1_1 2" xfId="2" xr:uid="{00000000-0005-0000-0000-00002E000000}"/>
    <cellStyle name="超链接" xfId="1" builtinId="8"/>
  </cellStyles>
  <dxfs count="1">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workbookViewId="0">
      <selection activeCell="B18" sqref="B18:B19"/>
    </sheetView>
  </sheetViews>
  <sheetFormatPr defaultColWidth="9" defaultRowHeight="13.5" x14ac:dyDescent="0.15"/>
  <cols>
    <col min="1" max="1" width="9" style="3"/>
    <col min="2" max="2" width="77.625" style="3" customWidth="1"/>
    <col min="3" max="16384" width="9" style="3"/>
  </cols>
  <sheetData>
    <row r="1" spans="1:7" x14ac:dyDescent="0.15">
      <c r="A1" s="69" t="s">
        <v>0</v>
      </c>
    </row>
    <row r="3" spans="1:7" x14ac:dyDescent="0.15">
      <c r="A3" s="69" t="s">
        <v>1</v>
      </c>
      <c r="B3" s="3" t="s">
        <v>142</v>
      </c>
      <c r="C3" s="69"/>
      <c r="D3" s="69"/>
      <c r="E3" s="69"/>
      <c r="F3" s="69"/>
      <c r="G3" s="69"/>
    </row>
    <row r="4" spans="1:7" x14ac:dyDescent="0.15">
      <c r="B4" s="75" t="s">
        <v>143</v>
      </c>
      <c r="D4" s="70"/>
      <c r="F4" s="70"/>
    </row>
    <row r="5" spans="1:7" x14ac:dyDescent="0.15">
      <c r="B5" s="70">
        <v>2020</v>
      </c>
    </row>
    <row r="6" spans="1:7" x14ac:dyDescent="0.15">
      <c r="B6" s="3" t="s">
        <v>3</v>
      </c>
      <c r="D6" s="71"/>
      <c r="F6" s="71"/>
    </row>
    <row r="7" spans="1:7" x14ac:dyDescent="0.15">
      <c r="D7" s="71"/>
      <c r="F7" s="71"/>
    </row>
    <row r="8" spans="1:7" x14ac:dyDescent="0.15">
      <c r="A8" s="69" t="s">
        <v>4</v>
      </c>
      <c r="B8" s="100" t="s">
        <v>144</v>
      </c>
    </row>
    <row r="9" spans="1:7" x14ac:dyDescent="0.15">
      <c r="B9" s="75" t="s">
        <v>141</v>
      </c>
    </row>
    <row r="11" spans="1:7" x14ac:dyDescent="0.15">
      <c r="A11" s="69" t="s">
        <v>139</v>
      </c>
      <c r="B11" s="70"/>
    </row>
    <row r="12" spans="1:7" x14ac:dyDescent="0.15">
      <c r="A12" s="3" t="s">
        <v>5</v>
      </c>
    </row>
    <row r="13" spans="1:7" x14ac:dyDescent="0.15">
      <c r="A13" s="74">
        <v>0.13765067798823399</v>
      </c>
      <c r="B13" s="75" t="s">
        <v>140</v>
      </c>
    </row>
    <row r="17" spans="1:2" x14ac:dyDescent="0.15">
      <c r="B17" s="70"/>
    </row>
    <row r="19" spans="1:2" x14ac:dyDescent="0.15">
      <c r="B19" s="72"/>
    </row>
    <row r="20" spans="1:2" x14ac:dyDescent="0.15">
      <c r="B20" s="73"/>
    </row>
    <row r="21" spans="1:2" x14ac:dyDescent="0.15">
      <c r="B21" s="73"/>
    </row>
    <row r="22" spans="1:2" x14ac:dyDescent="0.15">
      <c r="B22" s="73"/>
    </row>
    <row r="23" spans="1:2" x14ac:dyDescent="0.15">
      <c r="A23" s="69"/>
    </row>
    <row r="32" spans="1:2" x14ac:dyDescent="0.15">
      <c r="A32" s="72"/>
    </row>
    <row r="35" spans="1:1" x14ac:dyDescent="0.15">
      <c r="A35" s="74"/>
    </row>
  </sheetData>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55"/>
  <sheetViews>
    <sheetView tabSelected="1" workbookViewId="0">
      <pane xSplit="3" ySplit="6" topLeftCell="D47" activePane="bottomRight" state="frozen"/>
      <selection pane="topRight"/>
      <selection pane="bottomLeft"/>
      <selection pane="bottomRight" activeCell="C69" sqref="C69"/>
    </sheetView>
  </sheetViews>
  <sheetFormatPr defaultColWidth="9" defaultRowHeight="13.5" x14ac:dyDescent="0.15"/>
  <sheetData>
    <row r="1" spans="1:58" x14ac:dyDescent="0.15">
      <c r="A1" s="6" t="s">
        <v>2</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47"/>
      <c r="AX1" s="7"/>
      <c r="AY1" s="47"/>
      <c r="AZ1" s="7"/>
      <c r="BA1" s="7"/>
      <c r="BB1" s="47"/>
      <c r="BC1" s="7"/>
      <c r="BD1" s="48"/>
      <c r="BE1" s="7"/>
      <c r="BF1" s="7"/>
    </row>
    <row r="2" spans="1:58" x14ac:dyDescent="0.15">
      <c r="A2" s="8" t="s">
        <v>6</v>
      </c>
      <c r="B2" s="7"/>
      <c r="C2" s="7"/>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7"/>
      <c r="AT2" s="7"/>
      <c r="AU2" s="9"/>
      <c r="AV2" s="9"/>
      <c r="AW2" s="49"/>
      <c r="AX2" s="9"/>
      <c r="AY2" s="49"/>
      <c r="AZ2" s="9"/>
      <c r="BA2" s="9"/>
      <c r="BB2" s="49"/>
      <c r="BC2" s="50"/>
      <c r="BD2" s="48"/>
      <c r="BE2" s="50"/>
      <c r="BF2" s="7"/>
    </row>
    <row r="3" spans="1:58" x14ac:dyDescent="0.15">
      <c r="A3" s="10" t="s">
        <v>7</v>
      </c>
      <c r="B3" s="11"/>
      <c r="C3" s="1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7"/>
      <c r="AT3" s="7"/>
      <c r="AU3" s="84"/>
      <c r="AV3" s="84"/>
      <c r="AW3" s="84"/>
      <c r="AX3" s="84"/>
      <c r="AY3" s="84"/>
      <c r="AZ3" s="84"/>
      <c r="BA3" s="84"/>
      <c r="BB3" s="84"/>
      <c r="BC3" s="84"/>
      <c r="BD3" s="51"/>
      <c r="BE3" s="7"/>
      <c r="BF3" s="7"/>
    </row>
    <row r="4" spans="1:58" x14ac:dyDescent="0.15">
      <c r="A4" s="80" t="s">
        <v>8</v>
      </c>
      <c r="B4" s="81"/>
      <c r="C4" s="98" t="s">
        <v>9</v>
      </c>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6"/>
      <c r="AS4" s="86"/>
      <c r="AT4" s="87"/>
      <c r="AU4" s="88" t="s">
        <v>10</v>
      </c>
      <c r="AV4" s="89"/>
      <c r="AW4" s="89"/>
      <c r="AX4" s="89"/>
      <c r="AY4" s="89"/>
      <c r="AZ4" s="89"/>
      <c r="BA4" s="89"/>
      <c r="BB4" s="89"/>
      <c r="BC4" s="89"/>
      <c r="BD4" s="90"/>
      <c r="BE4" s="76" t="s">
        <v>11</v>
      </c>
      <c r="BF4" s="78" t="s">
        <v>12</v>
      </c>
    </row>
    <row r="5" spans="1:58" ht="67.5" x14ac:dyDescent="0.15">
      <c r="A5" s="82"/>
      <c r="B5" s="83"/>
      <c r="C5" s="99"/>
      <c r="D5" s="14" t="s">
        <v>13</v>
      </c>
      <c r="E5" s="15" t="s">
        <v>14</v>
      </c>
      <c r="F5" s="15" t="s">
        <v>15</v>
      </c>
      <c r="G5" s="15" t="s">
        <v>16</v>
      </c>
      <c r="H5" s="15" t="s">
        <v>17</v>
      </c>
      <c r="I5" s="15" t="s">
        <v>18</v>
      </c>
      <c r="J5" s="15" t="s">
        <v>19</v>
      </c>
      <c r="K5" s="15" t="s">
        <v>20</v>
      </c>
      <c r="L5" s="15" t="s">
        <v>21</v>
      </c>
      <c r="M5" s="15" t="s">
        <v>22</v>
      </c>
      <c r="N5" s="15" t="s">
        <v>23</v>
      </c>
      <c r="O5" s="15" t="s">
        <v>24</v>
      </c>
      <c r="P5" s="15" t="s">
        <v>25</v>
      </c>
      <c r="Q5" s="34" t="s">
        <v>26</v>
      </c>
      <c r="R5" s="34" t="s">
        <v>27</v>
      </c>
      <c r="S5" s="34" t="s">
        <v>28</v>
      </c>
      <c r="T5" s="34" t="s">
        <v>29</v>
      </c>
      <c r="U5" s="35" t="s">
        <v>30</v>
      </c>
      <c r="V5" s="34" t="s">
        <v>31</v>
      </c>
      <c r="W5" s="34" t="s">
        <v>32</v>
      </c>
      <c r="X5" s="34" t="s">
        <v>33</v>
      </c>
      <c r="Y5" s="34" t="s">
        <v>34</v>
      </c>
      <c r="Z5" s="35" t="s">
        <v>35</v>
      </c>
      <c r="AA5" s="35" t="s">
        <v>36</v>
      </c>
      <c r="AB5" s="35" t="s">
        <v>37</v>
      </c>
      <c r="AC5" s="35" t="s">
        <v>38</v>
      </c>
      <c r="AD5" s="34" t="s">
        <v>39</v>
      </c>
      <c r="AE5" s="34" t="s">
        <v>40</v>
      </c>
      <c r="AF5" s="34" t="s">
        <v>41</v>
      </c>
      <c r="AG5" s="34" t="s">
        <v>42</v>
      </c>
      <c r="AH5" s="34" t="s">
        <v>43</v>
      </c>
      <c r="AI5" s="34" t="s">
        <v>44</v>
      </c>
      <c r="AJ5" s="34" t="s">
        <v>45</v>
      </c>
      <c r="AK5" s="34" t="s">
        <v>46</v>
      </c>
      <c r="AL5" s="34" t="s">
        <v>47</v>
      </c>
      <c r="AM5" s="34" t="s">
        <v>48</v>
      </c>
      <c r="AN5" s="34" t="s">
        <v>49</v>
      </c>
      <c r="AO5" s="34" t="s">
        <v>50</v>
      </c>
      <c r="AP5" s="34" t="s">
        <v>51</v>
      </c>
      <c r="AQ5" s="34" t="s">
        <v>52</v>
      </c>
      <c r="AR5" s="34" t="s">
        <v>53</v>
      </c>
      <c r="AS5" s="34" t="s">
        <v>54</v>
      </c>
      <c r="AT5" s="36" t="s">
        <v>55</v>
      </c>
      <c r="AU5" s="37" t="s">
        <v>56</v>
      </c>
      <c r="AV5" s="37" t="s">
        <v>57</v>
      </c>
      <c r="AW5" s="52" t="s">
        <v>58</v>
      </c>
      <c r="AX5" s="37" t="s">
        <v>59</v>
      </c>
      <c r="AY5" s="52" t="s">
        <v>60</v>
      </c>
      <c r="AZ5" s="37" t="s">
        <v>61</v>
      </c>
      <c r="BA5" s="37" t="s">
        <v>62</v>
      </c>
      <c r="BB5" s="52" t="s">
        <v>63</v>
      </c>
      <c r="BC5" s="53" t="s">
        <v>64</v>
      </c>
      <c r="BD5" s="54" t="s">
        <v>65</v>
      </c>
      <c r="BE5" s="77"/>
      <c r="BF5" s="79"/>
    </row>
    <row r="6" spans="1:58" x14ac:dyDescent="0.15">
      <c r="A6" s="7"/>
      <c r="B6" s="16" t="s">
        <v>9</v>
      </c>
      <c r="C6" s="17" t="s">
        <v>66</v>
      </c>
      <c r="D6" s="18" t="s">
        <v>67</v>
      </c>
      <c r="E6" s="18" t="s">
        <v>68</v>
      </c>
      <c r="F6" s="18" t="s">
        <v>69</v>
      </c>
      <c r="G6" s="18" t="s">
        <v>70</v>
      </c>
      <c r="H6" s="18" t="s">
        <v>71</v>
      </c>
      <c r="I6" s="18" t="s">
        <v>72</v>
      </c>
      <c r="J6" s="18" t="s">
        <v>73</v>
      </c>
      <c r="K6" s="18" t="s">
        <v>74</v>
      </c>
      <c r="L6" s="18" t="s">
        <v>75</v>
      </c>
      <c r="M6" s="18" t="s">
        <v>76</v>
      </c>
      <c r="N6" s="18" t="s">
        <v>77</v>
      </c>
      <c r="O6" s="18" t="s">
        <v>78</v>
      </c>
      <c r="P6" s="18" t="s">
        <v>79</v>
      </c>
      <c r="Q6" s="18" t="s">
        <v>80</v>
      </c>
      <c r="R6" s="18" t="s">
        <v>81</v>
      </c>
      <c r="S6" s="18" t="s">
        <v>82</v>
      </c>
      <c r="T6" s="18" t="s">
        <v>83</v>
      </c>
      <c r="U6" s="18" t="s">
        <v>84</v>
      </c>
      <c r="V6" s="18" t="s">
        <v>85</v>
      </c>
      <c r="W6" s="18" t="s">
        <v>86</v>
      </c>
      <c r="X6" s="18" t="s">
        <v>87</v>
      </c>
      <c r="Y6" s="18" t="s">
        <v>88</v>
      </c>
      <c r="Z6" s="18" t="s">
        <v>89</v>
      </c>
      <c r="AA6" s="18" t="s">
        <v>90</v>
      </c>
      <c r="AB6" s="18" t="s">
        <v>91</v>
      </c>
      <c r="AC6" s="18" t="s">
        <v>92</v>
      </c>
      <c r="AD6" s="18" t="s">
        <v>93</v>
      </c>
      <c r="AE6" s="18" t="s">
        <v>94</v>
      </c>
      <c r="AF6" s="18" t="s">
        <v>95</v>
      </c>
      <c r="AG6" s="18" t="s">
        <v>96</v>
      </c>
      <c r="AH6" s="18" t="s">
        <v>97</v>
      </c>
      <c r="AI6" s="18" t="s">
        <v>98</v>
      </c>
      <c r="AJ6" s="18" t="s">
        <v>99</v>
      </c>
      <c r="AK6" s="18" t="s">
        <v>100</v>
      </c>
      <c r="AL6" s="18" t="s">
        <v>101</v>
      </c>
      <c r="AM6" s="18" t="s">
        <v>99</v>
      </c>
      <c r="AN6" s="18" t="s">
        <v>102</v>
      </c>
      <c r="AO6" s="18" t="s">
        <v>103</v>
      </c>
      <c r="AP6" s="18" t="s">
        <v>104</v>
      </c>
      <c r="AQ6" s="18" t="s">
        <v>105</v>
      </c>
      <c r="AR6" s="18" t="s">
        <v>106</v>
      </c>
      <c r="AS6" s="18" t="s">
        <v>107</v>
      </c>
      <c r="AT6" s="18" t="s">
        <v>108</v>
      </c>
      <c r="AU6" s="38" t="s">
        <v>109</v>
      </c>
      <c r="AV6" s="38" t="s">
        <v>110</v>
      </c>
      <c r="AW6" s="55" t="s">
        <v>111</v>
      </c>
      <c r="AX6" s="38" t="s">
        <v>112</v>
      </c>
      <c r="AY6" s="55" t="s">
        <v>113</v>
      </c>
      <c r="AZ6" s="38" t="s">
        <v>114</v>
      </c>
      <c r="BA6" s="38" t="s">
        <v>115</v>
      </c>
      <c r="BB6" s="55" t="s">
        <v>116</v>
      </c>
      <c r="BC6" s="56" t="s">
        <v>117</v>
      </c>
      <c r="BD6" s="57" t="s">
        <v>118</v>
      </c>
      <c r="BE6" s="66" t="s">
        <v>119</v>
      </c>
      <c r="BF6" s="67" t="s">
        <v>120</v>
      </c>
    </row>
    <row r="7" spans="1:58" ht="22.5" x14ac:dyDescent="0.15">
      <c r="A7" s="93"/>
      <c r="B7" s="4" t="s">
        <v>13</v>
      </c>
      <c r="C7" s="19" t="s">
        <v>67</v>
      </c>
      <c r="D7" s="20">
        <v>183133769.00858301</v>
      </c>
      <c r="E7" s="20">
        <v>203490.68408443301</v>
      </c>
      <c r="F7" s="20">
        <v>2231.1266199760998</v>
      </c>
      <c r="G7" s="20">
        <v>30366.117979029001</v>
      </c>
      <c r="H7" s="20">
        <v>118.548902968788</v>
      </c>
      <c r="I7" s="20">
        <v>467586720.28646201</v>
      </c>
      <c r="J7" s="20">
        <v>82006169.486367702</v>
      </c>
      <c r="K7" s="20">
        <v>31973462.848005898</v>
      </c>
      <c r="L7" s="20">
        <v>53736066.677819602</v>
      </c>
      <c r="M7" s="20">
        <v>15804.3604181711</v>
      </c>
      <c r="N7" s="20">
        <v>11513733.3673205</v>
      </c>
      <c r="O7" s="20">
        <v>44821824.893563502</v>
      </c>
      <c r="P7" s="20">
        <v>7680873.6462266697</v>
      </c>
      <c r="Q7" s="20">
        <v>218881.18769850201</v>
      </c>
      <c r="R7" s="20">
        <v>20627.161501968301</v>
      </c>
      <c r="S7" s="20">
        <v>15998.126294932499</v>
      </c>
      <c r="T7" s="20">
        <v>97311.762035804</v>
      </c>
      <c r="U7" s="20">
        <v>27411.881051118198</v>
      </c>
      <c r="V7" s="20">
        <v>79539.685076425099</v>
      </c>
      <c r="W7" s="20">
        <v>26629.6079430389</v>
      </c>
      <c r="X7" s="20">
        <v>12565.823957512001</v>
      </c>
      <c r="Y7" s="20">
        <v>68073.7608283015</v>
      </c>
      <c r="Z7" s="20">
        <v>2175.5735884985602</v>
      </c>
      <c r="AA7" s="20">
        <v>3451035.1821262799</v>
      </c>
      <c r="AB7" s="20">
        <v>101721.231936442</v>
      </c>
      <c r="AC7" s="20">
        <v>1310.78692957769</v>
      </c>
      <c r="AD7" s="20">
        <v>0</v>
      </c>
      <c r="AE7" s="20">
        <v>18834171.9565458</v>
      </c>
      <c r="AF7" s="20">
        <v>13768.593246832301</v>
      </c>
      <c r="AG7" s="20">
        <v>154389.965643367</v>
      </c>
      <c r="AH7" s="20">
        <v>53857078.585626699</v>
      </c>
      <c r="AI7" s="20">
        <v>509534.91520112101</v>
      </c>
      <c r="AJ7" s="20">
        <v>67279.739160820202</v>
      </c>
      <c r="AK7" s="20">
        <v>336941.12881730997</v>
      </c>
      <c r="AL7" s="20">
        <v>7363183.3790552802</v>
      </c>
      <c r="AM7" s="20">
        <v>4230391.8261997299</v>
      </c>
      <c r="AN7" s="20">
        <v>1149759.56904357</v>
      </c>
      <c r="AO7" s="20">
        <v>2268491.10930721</v>
      </c>
      <c r="AP7" s="20">
        <v>612269.38744812203</v>
      </c>
      <c r="AQ7" s="20">
        <v>605609.60475212894</v>
      </c>
      <c r="AR7" s="20">
        <v>477755.87084350502</v>
      </c>
      <c r="AS7" s="20">
        <v>9519615.66929329</v>
      </c>
      <c r="AT7" s="20">
        <v>954854691.27550101</v>
      </c>
      <c r="AU7" s="20">
        <v>109745451.40185501</v>
      </c>
      <c r="AV7" s="20">
        <v>221055004.42388201</v>
      </c>
      <c r="AW7" s="20">
        <v>330800455.825737</v>
      </c>
      <c r="AX7" s="20">
        <v>19639627.580839101</v>
      </c>
      <c r="AY7" s="20">
        <v>350440083.40657598</v>
      </c>
      <c r="AZ7" s="20">
        <v>17577339.566559002</v>
      </c>
      <c r="BA7" s="20">
        <v>54901501.621725</v>
      </c>
      <c r="BB7" s="20">
        <v>72478841.188283995</v>
      </c>
      <c r="BC7" s="20">
        <v>18171672.030595101</v>
      </c>
      <c r="BD7" s="20">
        <v>441090596.62545598</v>
      </c>
      <c r="BE7" s="20">
        <v>64262037.629985198</v>
      </c>
      <c r="BF7" s="20">
        <v>1331683250.2709701</v>
      </c>
    </row>
    <row r="8" spans="1:58" ht="22.5" x14ac:dyDescent="0.15">
      <c r="A8" s="93"/>
      <c r="B8" s="4" t="s">
        <v>14</v>
      </c>
      <c r="C8" s="19" t="s">
        <v>68</v>
      </c>
      <c r="D8" s="20">
        <v>601665.538401025</v>
      </c>
      <c r="E8" s="20">
        <v>36204793.6824397</v>
      </c>
      <c r="F8" s="20">
        <v>63785.089784693002</v>
      </c>
      <c r="G8" s="20">
        <v>1725453.8706338899</v>
      </c>
      <c r="H8" s="20">
        <v>60512.7785480819</v>
      </c>
      <c r="I8" s="20">
        <v>2167450.15250292</v>
      </c>
      <c r="J8" s="20">
        <v>1809485.7307809701</v>
      </c>
      <c r="K8" s="20">
        <v>280086.13462574099</v>
      </c>
      <c r="L8" s="20">
        <v>3698845.8920788602</v>
      </c>
      <c r="M8" s="20">
        <v>22001119.828746099</v>
      </c>
      <c r="N8" s="20">
        <v>21794626.064204998</v>
      </c>
      <c r="O8" s="20">
        <v>436019.61784148501</v>
      </c>
      <c r="P8" s="20">
        <v>562146.69443158899</v>
      </c>
      <c r="Q8" s="20">
        <v>34167884.2571337</v>
      </c>
      <c r="R8" s="20">
        <v>21281682.9252996</v>
      </c>
      <c r="S8" s="20">
        <v>3302161.3408503002</v>
      </c>
      <c r="T8" s="20">
        <v>494727.50506545597</v>
      </c>
      <c r="U8" s="20">
        <v>360707.784187513</v>
      </c>
      <c r="V8" s="20">
        <v>252507.67466881199</v>
      </c>
      <c r="W8" s="20">
        <v>48318.134936206698</v>
      </c>
      <c r="X8" s="20">
        <v>49904.045640293603</v>
      </c>
      <c r="Y8" s="20">
        <v>214230.20991276501</v>
      </c>
      <c r="Z8" s="20">
        <v>20070.6192482144</v>
      </c>
      <c r="AA8" s="20">
        <v>178085.13534955701</v>
      </c>
      <c r="AB8" s="20">
        <v>93800322.346398696</v>
      </c>
      <c r="AC8" s="20">
        <v>2360515.4870768199</v>
      </c>
      <c r="AD8" s="20">
        <v>0</v>
      </c>
      <c r="AE8" s="20">
        <v>843243.22422716196</v>
      </c>
      <c r="AF8" s="20">
        <v>45563.861165130103</v>
      </c>
      <c r="AG8" s="20">
        <v>128090.518834844</v>
      </c>
      <c r="AH8" s="20">
        <v>50429.8104455348</v>
      </c>
      <c r="AI8" s="20">
        <v>0</v>
      </c>
      <c r="AJ8" s="20">
        <v>17218.229644303101</v>
      </c>
      <c r="AK8" s="20">
        <v>63307.689676131602</v>
      </c>
      <c r="AL8" s="20">
        <v>64.301927438646302</v>
      </c>
      <c r="AM8" s="20">
        <v>234549.26818834001</v>
      </c>
      <c r="AN8" s="20">
        <v>170081.93752087501</v>
      </c>
      <c r="AO8" s="20">
        <v>326757.72811334702</v>
      </c>
      <c r="AP8" s="20">
        <v>607785.81586245506</v>
      </c>
      <c r="AQ8" s="20">
        <v>360760.39266515698</v>
      </c>
      <c r="AR8" s="20">
        <v>41612.685146271499</v>
      </c>
      <c r="AS8" s="20">
        <v>603682.14532045706</v>
      </c>
      <c r="AT8" s="39">
        <v>251150170.0149</v>
      </c>
      <c r="AU8" s="40">
        <v>753293.48323987797</v>
      </c>
      <c r="AV8" s="40">
        <v>468986.09634170099</v>
      </c>
      <c r="AW8" s="39">
        <v>1222279.5795815799</v>
      </c>
      <c r="AX8" s="40">
        <v>0</v>
      </c>
      <c r="AY8" s="39">
        <v>1222279.5795815799</v>
      </c>
      <c r="AZ8" s="40">
        <v>0</v>
      </c>
      <c r="BA8" s="40">
        <v>-2627614.6415468901</v>
      </c>
      <c r="BB8" s="39">
        <v>-2627614.6415468901</v>
      </c>
      <c r="BC8" s="40">
        <v>260795.53562456899</v>
      </c>
      <c r="BD8" s="58">
        <v>-1144539.52634074</v>
      </c>
      <c r="BE8" s="40">
        <v>14933018.4856</v>
      </c>
      <c r="BF8" s="41">
        <v>235072612.00295901</v>
      </c>
    </row>
    <row r="9" spans="1:58" ht="22.5" x14ac:dyDescent="0.15">
      <c r="A9" s="93"/>
      <c r="B9" s="4" t="s">
        <v>15</v>
      </c>
      <c r="C9" s="19" t="s">
        <v>69</v>
      </c>
      <c r="D9" s="20">
        <v>0</v>
      </c>
      <c r="E9" s="20">
        <v>44377.409200752503</v>
      </c>
      <c r="F9" s="20">
        <v>535454.38845314702</v>
      </c>
      <c r="G9" s="20">
        <v>31524.5192237171</v>
      </c>
      <c r="H9" s="20">
        <v>15664.728389906701</v>
      </c>
      <c r="I9" s="20">
        <v>0</v>
      </c>
      <c r="J9" s="20">
        <v>0</v>
      </c>
      <c r="K9" s="20">
        <v>0</v>
      </c>
      <c r="L9" s="20">
        <v>59261.942827036197</v>
      </c>
      <c r="M9" s="20">
        <v>187886293.75204399</v>
      </c>
      <c r="N9" s="20">
        <v>16889359.6350297</v>
      </c>
      <c r="O9" s="20">
        <v>26683.811355182301</v>
      </c>
      <c r="P9" s="20">
        <v>822898.05516862404</v>
      </c>
      <c r="Q9" s="20">
        <v>1363725.1848709099</v>
      </c>
      <c r="R9" s="20">
        <v>372310.778593975</v>
      </c>
      <c r="S9" s="20">
        <v>752409.26404975797</v>
      </c>
      <c r="T9" s="20">
        <v>586961.70180362405</v>
      </c>
      <c r="U9" s="20">
        <v>564473.99473040295</v>
      </c>
      <c r="V9" s="20">
        <v>372468.27386265399</v>
      </c>
      <c r="W9" s="20">
        <v>425241.52690250898</v>
      </c>
      <c r="X9" s="20">
        <v>143883.096274343</v>
      </c>
      <c r="Y9" s="20">
        <v>68067.404685126705</v>
      </c>
      <c r="Z9" s="20">
        <v>0</v>
      </c>
      <c r="AA9" s="20">
        <v>0</v>
      </c>
      <c r="AB9" s="20">
        <v>6735286.1471629096</v>
      </c>
      <c r="AC9" s="20">
        <v>33825563.811464399</v>
      </c>
      <c r="AD9" s="20">
        <v>0</v>
      </c>
      <c r="AE9" s="20">
        <v>0</v>
      </c>
      <c r="AF9" s="20">
        <v>0</v>
      </c>
      <c r="AG9" s="20">
        <v>487.91952830347202</v>
      </c>
      <c r="AH9" s="20">
        <v>0</v>
      </c>
      <c r="AI9" s="20">
        <v>0</v>
      </c>
      <c r="AJ9" s="20">
        <v>0</v>
      </c>
      <c r="AK9" s="20">
        <v>0</v>
      </c>
      <c r="AL9" s="20">
        <v>0</v>
      </c>
      <c r="AM9" s="20">
        <v>2507.1571750275598</v>
      </c>
      <c r="AN9" s="20">
        <v>0</v>
      </c>
      <c r="AO9" s="20">
        <v>0</v>
      </c>
      <c r="AP9" s="20">
        <v>0</v>
      </c>
      <c r="AQ9" s="20">
        <v>34579.890377714801</v>
      </c>
      <c r="AR9" s="20">
        <v>1756.02572738146</v>
      </c>
      <c r="AS9" s="20">
        <v>48307.892179915703</v>
      </c>
      <c r="AT9" s="39">
        <v>251609548.31108099</v>
      </c>
      <c r="AU9" s="40">
        <v>0</v>
      </c>
      <c r="AV9" s="40">
        <v>0</v>
      </c>
      <c r="AW9" s="39">
        <v>0</v>
      </c>
      <c r="AX9" s="40">
        <v>0</v>
      </c>
      <c r="AY9" s="39">
        <v>0</v>
      </c>
      <c r="AZ9" s="40">
        <v>0</v>
      </c>
      <c r="BA9" s="40">
        <v>288640.90826580301</v>
      </c>
      <c r="BB9" s="39">
        <v>288640.90826580301</v>
      </c>
      <c r="BC9" s="40">
        <v>1085317.43329964</v>
      </c>
      <c r="BD9" s="58">
        <v>1373958.3415654399</v>
      </c>
      <c r="BE9" s="40">
        <v>145293939.37647599</v>
      </c>
      <c r="BF9" s="41">
        <v>107689567.27617</v>
      </c>
    </row>
    <row r="10" spans="1:58" ht="33.75" x14ac:dyDescent="0.15">
      <c r="A10" s="93"/>
      <c r="B10" s="4" t="s">
        <v>16</v>
      </c>
      <c r="C10" s="19" t="s">
        <v>70</v>
      </c>
      <c r="D10" s="20">
        <v>2307.8115185747502</v>
      </c>
      <c r="E10" s="20">
        <v>45270.045796420804</v>
      </c>
      <c r="F10" s="20">
        <v>20550.067837663199</v>
      </c>
      <c r="G10" s="20">
        <v>12059564.9586758</v>
      </c>
      <c r="H10" s="20">
        <v>74468.260627687894</v>
      </c>
      <c r="I10" s="20">
        <v>62486.303967056097</v>
      </c>
      <c r="J10" s="20">
        <v>20915.9223997197</v>
      </c>
      <c r="K10" s="20">
        <v>14130.600939591101</v>
      </c>
      <c r="L10" s="20">
        <v>917816.88813265401</v>
      </c>
      <c r="M10" s="20">
        <v>351666.07211173401</v>
      </c>
      <c r="N10" s="20">
        <v>13663939.405401301</v>
      </c>
      <c r="O10" s="20">
        <v>218560.812755461</v>
      </c>
      <c r="P10" s="20">
        <v>57763.343714702503</v>
      </c>
      <c r="Q10" s="20">
        <v>51091548.573826402</v>
      </c>
      <c r="R10" s="20">
        <v>132438838.939999</v>
      </c>
      <c r="S10" s="20">
        <v>78502942.851173803</v>
      </c>
      <c r="T10" s="20">
        <v>6503772.5155035397</v>
      </c>
      <c r="U10" s="20">
        <v>64839.412482434498</v>
      </c>
      <c r="V10" s="20">
        <v>122513.00041072399</v>
      </c>
      <c r="W10" s="20">
        <v>165447.67931237299</v>
      </c>
      <c r="X10" s="20">
        <v>51425.008783817597</v>
      </c>
      <c r="Y10" s="20">
        <v>614877.85152406897</v>
      </c>
      <c r="Z10" s="20">
        <v>90520.249422050794</v>
      </c>
      <c r="AA10" s="20">
        <v>56747.978985439899</v>
      </c>
      <c r="AB10" s="20">
        <v>106588.815233874</v>
      </c>
      <c r="AC10" s="20">
        <v>0</v>
      </c>
      <c r="AD10" s="20">
        <v>0</v>
      </c>
      <c r="AE10" s="20">
        <v>24113818.501206901</v>
      </c>
      <c r="AF10" s="20">
        <v>60555.457465035601</v>
      </c>
      <c r="AG10" s="20">
        <v>179268.14835334101</v>
      </c>
      <c r="AH10" s="20">
        <v>4016.8528267524398</v>
      </c>
      <c r="AI10" s="20">
        <v>87.113671940353896</v>
      </c>
      <c r="AJ10" s="20">
        <v>747.23882856312105</v>
      </c>
      <c r="AK10" s="20">
        <v>376.87523853913302</v>
      </c>
      <c r="AL10" s="20">
        <v>1678.8513859603499</v>
      </c>
      <c r="AM10" s="20">
        <v>333550.55546202097</v>
      </c>
      <c r="AN10" s="20">
        <v>3880.5923173810202</v>
      </c>
      <c r="AO10" s="20">
        <v>3727.6437269153698</v>
      </c>
      <c r="AP10" s="20">
        <v>2965.11773276757</v>
      </c>
      <c r="AQ10" s="20">
        <v>1023.05544281491</v>
      </c>
      <c r="AR10" s="20">
        <v>5435.0280575937004</v>
      </c>
      <c r="AS10" s="20">
        <v>31541.5542402049</v>
      </c>
      <c r="AT10" s="20">
        <v>322048045.35555297</v>
      </c>
      <c r="AU10" s="20">
        <v>0</v>
      </c>
      <c r="AV10" s="20">
        <v>0</v>
      </c>
      <c r="AW10" s="20">
        <v>0</v>
      </c>
      <c r="AX10" s="20">
        <v>0</v>
      </c>
      <c r="AY10" s="20">
        <v>0</v>
      </c>
      <c r="AZ10" s="20">
        <v>0</v>
      </c>
      <c r="BA10" s="20">
        <v>2801192.3120360398</v>
      </c>
      <c r="BB10" s="20">
        <v>2801192.3120360398</v>
      </c>
      <c r="BC10" s="20">
        <v>3333103.89853743</v>
      </c>
      <c r="BD10" s="20">
        <v>6134296.2105734702</v>
      </c>
      <c r="BE10" s="20">
        <v>134647742.327847</v>
      </c>
      <c r="BF10" s="20">
        <v>193534599.23827901</v>
      </c>
    </row>
    <row r="11" spans="1:58" ht="33.75" x14ac:dyDescent="0.15">
      <c r="A11" s="93"/>
      <c r="B11" s="4" t="s">
        <v>17</v>
      </c>
      <c r="C11" s="19" t="s">
        <v>71</v>
      </c>
      <c r="D11" s="20">
        <v>0</v>
      </c>
      <c r="E11" s="20">
        <v>1372272.5958966599</v>
      </c>
      <c r="F11" s="20">
        <v>16942467.356343601</v>
      </c>
      <c r="G11" s="20">
        <v>1047957.68174087</v>
      </c>
      <c r="H11" s="20">
        <v>177012.61799321501</v>
      </c>
      <c r="I11" s="20">
        <v>466046.58840800601</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12.6722374204862</v>
      </c>
      <c r="AA11" s="20">
        <v>0</v>
      </c>
      <c r="AB11" s="20">
        <v>231004.90996498999</v>
      </c>
      <c r="AC11" s="20">
        <v>0</v>
      </c>
      <c r="AD11" s="20">
        <v>0</v>
      </c>
      <c r="AE11" s="20">
        <v>0</v>
      </c>
      <c r="AF11" s="20">
        <v>0</v>
      </c>
      <c r="AG11" s="20">
        <v>0</v>
      </c>
      <c r="AH11" s="20">
        <v>0</v>
      </c>
      <c r="AI11" s="20">
        <v>0</v>
      </c>
      <c r="AJ11" s="20">
        <v>0</v>
      </c>
      <c r="AK11" s="20">
        <v>0</v>
      </c>
      <c r="AL11" s="20">
        <v>0</v>
      </c>
      <c r="AM11" s="20">
        <v>0</v>
      </c>
      <c r="AN11" s="20">
        <v>0</v>
      </c>
      <c r="AO11" s="20">
        <v>0</v>
      </c>
      <c r="AP11" s="20">
        <v>0</v>
      </c>
      <c r="AQ11" s="20">
        <v>0</v>
      </c>
      <c r="AR11" s="20">
        <v>0</v>
      </c>
      <c r="AS11" s="20">
        <v>0</v>
      </c>
      <c r="AT11" s="39">
        <v>20236774.422584798</v>
      </c>
      <c r="AU11" s="40">
        <v>0</v>
      </c>
      <c r="AV11" s="40">
        <v>0</v>
      </c>
      <c r="AW11" s="39">
        <v>0</v>
      </c>
      <c r="AX11" s="40">
        <v>0</v>
      </c>
      <c r="AY11" s="39">
        <v>0</v>
      </c>
      <c r="AZ11" s="40">
        <v>0</v>
      </c>
      <c r="BA11" s="40">
        <v>0</v>
      </c>
      <c r="BB11" s="39">
        <v>0</v>
      </c>
      <c r="BC11" s="40">
        <v>0</v>
      </c>
      <c r="BD11" s="58">
        <v>0</v>
      </c>
      <c r="BE11" s="40">
        <v>0</v>
      </c>
      <c r="BF11" s="41">
        <v>20236774.422584798</v>
      </c>
    </row>
    <row r="12" spans="1:58" x14ac:dyDescent="0.15">
      <c r="A12" s="93"/>
      <c r="B12" s="4" t="s">
        <v>18</v>
      </c>
      <c r="C12" s="19" t="s">
        <v>72</v>
      </c>
      <c r="D12" s="20">
        <v>108184867.522413</v>
      </c>
      <c r="E12" s="20">
        <v>413271.65844336699</v>
      </c>
      <c r="F12" s="20">
        <v>79328.1272889104</v>
      </c>
      <c r="G12" s="20">
        <v>942010.64600477298</v>
      </c>
      <c r="H12" s="20">
        <v>15471.0429285469</v>
      </c>
      <c r="I12" s="20">
        <v>249372493.69703001</v>
      </c>
      <c r="J12" s="20">
        <v>14128691.5738324</v>
      </c>
      <c r="K12" s="20">
        <v>1247437.6388638699</v>
      </c>
      <c r="L12" s="20">
        <v>3016090.1708590901</v>
      </c>
      <c r="M12" s="20">
        <v>3256002.5538341198</v>
      </c>
      <c r="N12" s="20">
        <v>25114335.1987531</v>
      </c>
      <c r="O12" s="20">
        <v>7560676.0969755901</v>
      </c>
      <c r="P12" s="20">
        <v>750764.12286723498</v>
      </c>
      <c r="Q12" s="20">
        <v>1766033.0825439</v>
      </c>
      <c r="R12" s="20">
        <v>3822314.4307082701</v>
      </c>
      <c r="S12" s="20">
        <v>4171930.42313954</v>
      </c>
      <c r="T12" s="20">
        <v>2846827.6921563102</v>
      </c>
      <c r="U12" s="20">
        <v>4402856.8840291603</v>
      </c>
      <c r="V12" s="20">
        <v>2451141.56851923</v>
      </c>
      <c r="W12" s="20">
        <v>2157646.3784742099</v>
      </c>
      <c r="X12" s="20">
        <v>1244965.1723612901</v>
      </c>
      <c r="Y12" s="20">
        <v>4524092.6392990705</v>
      </c>
      <c r="Z12" s="20">
        <v>7303684.2971111601</v>
      </c>
      <c r="AA12" s="20">
        <v>618269.90207279206</v>
      </c>
      <c r="AB12" s="20">
        <v>5006459.0918666804</v>
      </c>
      <c r="AC12" s="20">
        <v>538269.50862606696</v>
      </c>
      <c r="AD12" s="20">
        <v>432454.54748725903</v>
      </c>
      <c r="AE12" s="20">
        <v>5743107.4265601104</v>
      </c>
      <c r="AF12" s="20">
        <v>2301664.0439841002</v>
      </c>
      <c r="AG12" s="20">
        <v>7651112.7979270304</v>
      </c>
      <c r="AH12" s="20">
        <v>127743752.704125</v>
      </c>
      <c r="AI12" s="20">
        <v>5595412.7393014701</v>
      </c>
      <c r="AJ12" s="20">
        <v>2856239.8503461499</v>
      </c>
      <c r="AK12" s="20">
        <v>4673588.7287675804</v>
      </c>
      <c r="AL12" s="20">
        <v>16568941.000821199</v>
      </c>
      <c r="AM12" s="20">
        <v>4782871.6076720497</v>
      </c>
      <c r="AN12" s="20">
        <v>3289851.36364205</v>
      </c>
      <c r="AO12" s="20">
        <v>7513197.7088389201</v>
      </c>
      <c r="AP12" s="20">
        <v>12503170.855266299</v>
      </c>
      <c r="AQ12" s="20">
        <v>7006157.6699213404</v>
      </c>
      <c r="AR12" s="20">
        <v>9671567.5998847503</v>
      </c>
      <c r="AS12" s="20">
        <v>7647553.5130842999</v>
      </c>
      <c r="AT12" s="20">
        <v>679669137.639768</v>
      </c>
      <c r="AU12" s="20">
        <v>156188434.73749101</v>
      </c>
      <c r="AV12" s="20">
        <v>452326731.01745701</v>
      </c>
      <c r="AW12" s="20">
        <v>608515165.75494802</v>
      </c>
      <c r="AX12" s="20">
        <v>0</v>
      </c>
      <c r="AY12" s="20">
        <v>608515165.75494802</v>
      </c>
      <c r="AZ12" s="20">
        <v>0</v>
      </c>
      <c r="BA12" s="20">
        <v>8525640.2327463608</v>
      </c>
      <c r="BB12" s="20">
        <v>8525640.2327463608</v>
      </c>
      <c r="BC12" s="20">
        <v>35833494.4737183</v>
      </c>
      <c r="BD12" s="20">
        <v>652874300.46141303</v>
      </c>
      <c r="BE12" s="20">
        <v>81180639.930074707</v>
      </c>
      <c r="BF12" s="20">
        <v>1251362798.1711099</v>
      </c>
    </row>
    <row r="13" spans="1:58" ht="45" x14ac:dyDescent="0.15">
      <c r="A13" s="93"/>
      <c r="B13" s="4" t="s">
        <v>19</v>
      </c>
      <c r="C13" s="19" t="s">
        <v>73</v>
      </c>
      <c r="D13" s="20">
        <v>255022.543439289</v>
      </c>
      <c r="E13" s="20">
        <v>1536716.4615694401</v>
      </c>
      <c r="F13" s="20">
        <v>172891.147199542</v>
      </c>
      <c r="G13" s="20">
        <v>431377.15059935598</v>
      </c>
      <c r="H13" s="20">
        <v>299060.72832192999</v>
      </c>
      <c r="I13" s="20">
        <v>3696564.1752409101</v>
      </c>
      <c r="J13" s="20">
        <v>314846172.317828</v>
      </c>
      <c r="K13" s="20">
        <v>8109575.9068406802</v>
      </c>
      <c r="L13" s="20">
        <v>21141410.3650942</v>
      </c>
      <c r="M13" s="20">
        <v>892568.29669920204</v>
      </c>
      <c r="N13" s="20">
        <v>3692227.01976529</v>
      </c>
      <c r="O13" s="20">
        <v>4066224.9370025401</v>
      </c>
      <c r="P13" s="20">
        <v>3366898.14673525</v>
      </c>
      <c r="Q13" s="20">
        <v>4050298.8980250498</v>
      </c>
      <c r="R13" s="20">
        <v>649060.66057088599</v>
      </c>
      <c r="S13" s="20">
        <v>445858.5484269</v>
      </c>
      <c r="T13" s="20">
        <v>2025532.94802317</v>
      </c>
      <c r="U13" s="20">
        <v>1951908.6158987</v>
      </c>
      <c r="V13" s="20">
        <v>1960493.2319757999</v>
      </c>
      <c r="W13" s="20">
        <v>5639280.4127312796</v>
      </c>
      <c r="X13" s="20">
        <v>1374959.5139363799</v>
      </c>
      <c r="Y13" s="20">
        <v>3039653.0402595601</v>
      </c>
      <c r="Z13" s="20">
        <v>3035965.5310010798</v>
      </c>
      <c r="AA13" s="20">
        <v>4187381.8069357099</v>
      </c>
      <c r="AB13" s="20">
        <v>864761.16908143205</v>
      </c>
      <c r="AC13" s="20">
        <v>343622.08607446298</v>
      </c>
      <c r="AD13" s="20">
        <v>391871.28241978498</v>
      </c>
      <c r="AE13" s="20">
        <v>4541077.5001725396</v>
      </c>
      <c r="AF13" s="20">
        <v>3219495.2731076898</v>
      </c>
      <c r="AG13" s="20">
        <v>5114728.6137928003</v>
      </c>
      <c r="AH13" s="20">
        <v>3509705.2336370898</v>
      </c>
      <c r="AI13" s="20">
        <v>999494.98799007002</v>
      </c>
      <c r="AJ13" s="20">
        <v>4708210.3710430805</v>
      </c>
      <c r="AK13" s="20">
        <v>2106065.8379452401</v>
      </c>
      <c r="AL13" s="20">
        <v>16680634.6777205</v>
      </c>
      <c r="AM13" s="20">
        <v>2606793.12976341</v>
      </c>
      <c r="AN13" s="20">
        <v>1524598.30164377</v>
      </c>
      <c r="AO13" s="20">
        <v>2503390.6033801599</v>
      </c>
      <c r="AP13" s="20">
        <v>1549810.36722802</v>
      </c>
      <c r="AQ13" s="20">
        <v>9533818.8441091105</v>
      </c>
      <c r="AR13" s="20">
        <v>4734179.2707703104</v>
      </c>
      <c r="AS13" s="20">
        <v>25315084.364078</v>
      </c>
      <c r="AT13" s="20">
        <v>473004868.411237</v>
      </c>
      <c r="AU13" s="20">
        <v>23013748.4379359</v>
      </c>
      <c r="AV13" s="20">
        <v>108193778.35794599</v>
      </c>
      <c r="AW13" s="20">
        <v>131207526.795881</v>
      </c>
      <c r="AX13" s="20">
        <v>0</v>
      </c>
      <c r="AY13" s="20">
        <v>131207526.795881</v>
      </c>
      <c r="AZ13" s="20">
        <v>0</v>
      </c>
      <c r="BA13" s="20">
        <v>-3571111.1821360299</v>
      </c>
      <c r="BB13" s="20">
        <v>-3571111.1821360299</v>
      </c>
      <c r="BC13" s="20">
        <v>186801140.367055</v>
      </c>
      <c r="BD13" s="20">
        <v>314437555.98079997</v>
      </c>
      <c r="BE13" s="20">
        <v>30055497.577927399</v>
      </c>
      <c r="BF13" s="20">
        <v>757386926.81410897</v>
      </c>
    </row>
    <row r="14" spans="1:58" ht="22.5" x14ac:dyDescent="0.15">
      <c r="A14" s="93"/>
      <c r="B14" s="4" t="s">
        <v>20</v>
      </c>
      <c r="C14" s="19" t="s">
        <v>74</v>
      </c>
      <c r="D14" s="20">
        <v>336188.94851517997</v>
      </c>
      <c r="E14" s="20">
        <v>3559037.46550998</v>
      </c>
      <c r="F14" s="20">
        <v>156891.29500928399</v>
      </c>
      <c r="G14" s="20">
        <v>254624.37089377199</v>
      </c>
      <c r="H14" s="20">
        <v>6327.7150673874103</v>
      </c>
      <c r="I14" s="20">
        <v>845240.03818156605</v>
      </c>
      <c r="J14" s="20">
        <v>918481.02107663197</v>
      </c>
      <c r="K14" s="20">
        <v>81780666.7864068</v>
      </c>
      <c r="L14" s="20">
        <v>90084970.052630693</v>
      </c>
      <c r="M14" s="20">
        <v>186690.20276233001</v>
      </c>
      <c r="N14" s="20">
        <v>1302287.31358054</v>
      </c>
      <c r="O14" s="20">
        <v>114696.06316618199</v>
      </c>
      <c r="P14" s="20">
        <v>708459.64329744095</v>
      </c>
      <c r="Q14" s="20">
        <v>1957227.2128331601</v>
      </c>
      <c r="R14" s="20">
        <v>49068.255669272301</v>
      </c>
      <c r="S14" s="20">
        <v>185262.26386720801</v>
      </c>
      <c r="T14" s="20">
        <v>4792477.8358831797</v>
      </c>
      <c r="U14" s="20">
        <v>931517.23040675104</v>
      </c>
      <c r="V14" s="20">
        <v>637156.81387395598</v>
      </c>
      <c r="W14" s="20">
        <v>5926683.1802302804</v>
      </c>
      <c r="X14" s="20">
        <v>652732.72847238998</v>
      </c>
      <c r="Y14" s="20">
        <v>1177748.8394233999</v>
      </c>
      <c r="Z14" s="20">
        <v>1019650.00693627</v>
      </c>
      <c r="AA14" s="20">
        <v>1295524.2485475501</v>
      </c>
      <c r="AB14" s="20">
        <v>201717.80041153601</v>
      </c>
      <c r="AC14" s="20">
        <v>4011.85983524315</v>
      </c>
      <c r="AD14" s="20">
        <v>3316.5084622772201</v>
      </c>
      <c r="AE14" s="20">
        <v>57246609.186167397</v>
      </c>
      <c r="AF14" s="20">
        <v>423651.48303005402</v>
      </c>
      <c r="AG14" s="20">
        <v>934919.87192588102</v>
      </c>
      <c r="AH14" s="20">
        <v>196032.426933949</v>
      </c>
      <c r="AI14" s="20">
        <v>922455.744975699</v>
      </c>
      <c r="AJ14" s="20">
        <v>474744.03877929098</v>
      </c>
      <c r="AK14" s="20">
        <v>546486.36108233605</v>
      </c>
      <c r="AL14" s="20">
        <v>599781.95068565605</v>
      </c>
      <c r="AM14" s="20">
        <v>50562.203571571401</v>
      </c>
      <c r="AN14" s="20">
        <v>401102.14532939898</v>
      </c>
      <c r="AO14" s="20">
        <v>635895.59428515099</v>
      </c>
      <c r="AP14" s="20">
        <v>342879.71965333901</v>
      </c>
      <c r="AQ14" s="20">
        <v>75136.026260805404</v>
      </c>
      <c r="AR14" s="20">
        <v>319747.384311979</v>
      </c>
      <c r="AS14" s="20">
        <v>3983063.1081222198</v>
      </c>
      <c r="AT14" s="20">
        <v>184461056.15965801</v>
      </c>
      <c r="AU14" s="20">
        <v>5007508.0162722301</v>
      </c>
      <c r="AV14" s="20">
        <v>17646337.097442199</v>
      </c>
      <c r="AW14" s="20">
        <v>22653845.113714501</v>
      </c>
      <c r="AX14" s="20">
        <v>0</v>
      </c>
      <c r="AY14" s="20">
        <v>22653845.113714501</v>
      </c>
      <c r="AZ14" s="20">
        <v>21595789.2652824</v>
      </c>
      <c r="BA14" s="20">
        <v>1674063.132307</v>
      </c>
      <c r="BB14" s="20">
        <v>23269852.3975894</v>
      </c>
      <c r="BC14" s="20">
        <v>44765296.899224401</v>
      </c>
      <c r="BD14" s="20">
        <v>90688994.410528198</v>
      </c>
      <c r="BE14" s="20">
        <v>9736870.6606359407</v>
      </c>
      <c r="BF14" s="20">
        <v>265413179.90955001</v>
      </c>
    </row>
    <row r="15" spans="1:58" ht="33.75" x14ac:dyDescent="0.15">
      <c r="A15" s="93"/>
      <c r="B15" s="4" t="s">
        <v>21</v>
      </c>
      <c r="C15" s="19" t="s">
        <v>75</v>
      </c>
      <c r="D15" s="20">
        <v>1025682.30896579</v>
      </c>
      <c r="E15" s="20">
        <v>31068.881795914898</v>
      </c>
      <c r="F15" s="20">
        <v>9688.6353693274705</v>
      </c>
      <c r="G15" s="20">
        <v>315134.03242535098</v>
      </c>
      <c r="H15" s="20">
        <v>18042.4084069333</v>
      </c>
      <c r="I15" s="20">
        <v>13214439.554017199</v>
      </c>
      <c r="J15" s="20">
        <v>3599305.40965772</v>
      </c>
      <c r="K15" s="20">
        <v>2513515.6980929798</v>
      </c>
      <c r="L15" s="20">
        <v>105171872.237609</v>
      </c>
      <c r="M15" s="20">
        <v>357515.62733863801</v>
      </c>
      <c r="N15" s="20">
        <v>4061404.6097377101</v>
      </c>
      <c r="O15" s="20">
        <v>4907967.41960839</v>
      </c>
      <c r="P15" s="20">
        <v>1782237.4405934401</v>
      </c>
      <c r="Q15" s="20">
        <v>8915729.5225193892</v>
      </c>
      <c r="R15" s="20">
        <v>89427.250295816906</v>
      </c>
      <c r="S15" s="20">
        <v>336660.36558656598</v>
      </c>
      <c r="T15" s="20">
        <v>1916810.8290677101</v>
      </c>
      <c r="U15" s="20">
        <v>1926288.9358832799</v>
      </c>
      <c r="V15" s="20">
        <v>1841924.1243241299</v>
      </c>
      <c r="W15" s="20">
        <v>1597372.4923795001</v>
      </c>
      <c r="X15" s="20">
        <v>344645.46248240297</v>
      </c>
      <c r="Y15" s="20">
        <v>5512884.4773892304</v>
      </c>
      <c r="Z15" s="20">
        <v>5349964.5754080201</v>
      </c>
      <c r="AA15" s="20">
        <v>807927.26260598504</v>
      </c>
      <c r="AB15" s="20">
        <v>458088.56563187699</v>
      </c>
      <c r="AC15" s="20">
        <v>13078.612930485901</v>
      </c>
      <c r="AD15" s="20">
        <v>21179.986195194899</v>
      </c>
      <c r="AE15" s="20">
        <v>5313846.9508039998</v>
      </c>
      <c r="AF15" s="20">
        <v>8789370.7770565208</v>
      </c>
      <c r="AG15" s="20">
        <v>4327923.8509802902</v>
      </c>
      <c r="AH15" s="20">
        <v>1732626.8138709399</v>
      </c>
      <c r="AI15" s="20">
        <v>27520721.374125499</v>
      </c>
      <c r="AJ15" s="20">
        <v>20038604.196891099</v>
      </c>
      <c r="AK15" s="20">
        <v>5345538.7782828296</v>
      </c>
      <c r="AL15" s="20">
        <v>69510375.7570052</v>
      </c>
      <c r="AM15" s="20">
        <v>2605460.1047098902</v>
      </c>
      <c r="AN15" s="20">
        <v>5513422.1732468205</v>
      </c>
      <c r="AO15" s="20">
        <v>1759661.66398027</v>
      </c>
      <c r="AP15" s="20">
        <v>12646200.961506501</v>
      </c>
      <c r="AQ15" s="20">
        <v>288424.63390770002</v>
      </c>
      <c r="AR15" s="20">
        <v>7453946.5892663701</v>
      </c>
      <c r="AS15" s="20">
        <v>20046564.543822698</v>
      </c>
      <c r="AT15" s="20">
        <v>356519030.19768202</v>
      </c>
      <c r="AU15" s="20">
        <v>6120942.0135803903</v>
      </c>
      <c r="AV15" s="20">
        <v>29346781.884146001</v>
      </c>
      <c r="AW15" s="20">
        <v>35467723.897726402</v>
      </c>
      <c r="AX15" s="20">
        <v>0</v>
      </c>
      <c r="AY15" s="20">
        <v>35467723.897726402</v>
      </c>
      <c r="AZ15" s="20">
        <v>4281134.5776765598</v>
      </c>
      <c r="BA15" s="20">
        <v>-8038986.6264104899</v>
      </c>
      <c r="BB15" s="20">
        <v>-3757852.0487339301</v>
      </c>
      <c r="BC15" s="20">
        <v>66074535.271569103</v>
      </c>
      <c r="BD15" s="20">
        <v>97784407.1205616</v>
      </c>
      <c r="BE15" s="20">
        <v>25910670.934909102</v>
      </c>
      <c r="BF15" s="20">
        <v>428392766.38333398</v>
      </c>
    </row>
    <row r="16" spans="1:58" ht="33.75" x14ac:dyDescent="0.15">
      <c r="A16" s="93"/>
      <c r="B16" s="4" t="s">
        <v>22</v>
      </c>
      <c r="C16" s="19" t="s">
        <v>76</v>
      </c>
      <c r="D16" s="20">
        <v>4991926.8170677004</v>
      </c>
      <c r="E16" s="20">
        <v>700362.54839890404</v>
      </c>
      <c r="F16" s="20">
        <v>395976.19321763498</v>
      </c>
      <c r="G16" s="20">
        <v>7776692.2608783804</v>
      </c>
      <c r="H16" s="20">
        <v>799185.804049714</v>
      </c>
      <c r="I16" s="20">
        <v>1015050.64892136</v>
      </c>
      <c r="J16" s="20">
        <v>1120310.30955065</v>
      </c>
      <c r="K16" s="20">
        <v>1004346.25642645</v>
      </c>
      <c r="L16" s="20">
        <v>1858172.82265521</v>
      </c>
      <c r="M16" s="20">
        <v>22688075.962093201</v>
      </c>
      <c r="N16" s="20">
        <v>63847204.8147908</v>
      </c>
      <c r="O16" s="20">
        <v>474305.05805845698</v>
      </c>
      <c r="P16" s="20">
        <v>2190479.2634456502</v>
      </c>
      <c r="Q16" s="20">
        <v>19987603.867374402</v>
      </c>
      <c r="R16" s="20">
        <v>42144146.633987799</v>
      </c>
      <c r="S16" s="20">
        <v>7221065.2469647899</v>
      </c>
      <c r="T16" s="20">
        <v>3078282.7603366501</v>
      </c>
      <c r="U16" s="20">
        <v>2035296.8308451199</v>
      </c>
      <c r="V16" s="20">
        <v>1035075.19329482</v>
      </c>
      <c r="W16" s="20">
        <v>1106854.0149806901</v>
      </c>
      <c r="X16" s="20">
        <v>444478.81957636902</v>
      </c>
      <c r="Y16" s="20">
        <v>1121539.9099812401</v>
      </c>
      <c r="Z16" s="20">
        <v>1058861.3070405801</v>
      </c>
      <c r="AA16" s="20">
        <v>836932.65424876998</v>
      </c>
      <c r="AB16" s="20">
        <v>10310485.4882796</v>
      </c>
      <c r="AC16" s="20">
        <v>1882494.50116738</v>
      </c>
      <c r="AD16" s="20">
        <v>38463.431520377097</v>
      </c>
      <c r="AE16" s="20">
        <v>37120733.080253102</v>
      </c>
      <c r="AF16" s="20">
        <v>3295901.7849033498</v>
      </c>
      <c r="AG16" s="20">
        <v>96331786.3585812</v>
      </c>
      <c r="AH16" s="20">
        <v>1029117.57201222</v>
      </c>
      <c r="AI16" s="20">
        <v>1116149.5638975999</v>
      </c>
      <c r="AJ16" s="20">
        <v>3729490.5709153502</v>
      </c>
      <c r="AK16" s="20">
        <v>1528256.1230027401</v>
      </c>
      <c r="AL16" s="20">
        <v>19256951.1198758</v>
      </c>
      <c r="AM16" s="20">
        <v>1475382.56939414</v>
      </c>
      <c r="AN16" s="20">
        <v>12374899.301728999</v>
      </c>
      <c r="AO16" s="20">
        <v>1218116.7765680801</v>
      </c>
      <c r="AP16" s="20">
        <v>2786127.9066548198</v>
      </c>
      <c r="AQ16" s="20">
        <v>239725.60842664001</v>
      </c>
      <c r="AR16" s="20">
        <v>469119.17965067498</v>
      </c>
      <c r="AS16" s="20">
        <v>5767313.9905040897</v>
      </c>
      <c r="AT16" s="20">
        <v>387898394.66909498</v>
      </c>
      <c r="AU16" s="20">
        <v>5745628.19309087</v>
      </c>
      <c r="AV16" s="20">
        <v>28313584.6405669</v>
      </c>
      <c r="AW16" s="20">
        <v>34059212.833657697</v>
      </c>
      <c r="AX16" s="20">
        <v>0</v>
      </c>
      <c r="AY16" s="20">
        <v>34059212.833657697</v>
      </c>
      <c r="AZ16" s="20">
        <v>0</v>
      </c>
      <c r="BA16" s="20">
        <v>-5955399.24897708</v>
      </c>
      <c r="BB16" s="20">
        <v>-5955399.24897708</v>
      </c>
      <c r="BC16" s="20">
        <v>15981224.401177</v>
      </c>
      <c r="BD16" s="20">
        <v>44085037.985857598</v>
      </c>
      <c r="BE16" s="20">
        <v>22650148.1800972</v>
      </c>
      <c r="BF16" s="20">
        <v>409333284.47485602</v>
      </c>
    </row>
    <row r="17" spans="1:58" ht="45" x14ac:dyDescent="0.15">
      <c r="A17" s="93"/>
      <c r="B17" s="4" t="s">
        <v>23</v>
      </c>
      <c r="C17" s="19" t="s">
        <v>77</v>
      </c>
      <c r="D17" s="20">
        <v>75932742.213260502</v>
      </c>
      <c r="E17" s="20">
        <v>2724058.15268707</v>
      </c>
      <c r="F17" s="20">
        <v>3946860.51405884</v>
      </c>
      <c r="G17" s="20">
        <v>9732267.0914701205</v>
      </c>
      <c r="H17" s="20">
        <v>1246400.0556822801</v>
      </c>
      <c r="I17" s="20">
        <v>5072727.7006933503</v>
      </c>
      <c r="J17" s="20">
        <v>54593583.318500802</v>
      </c>
      <c r="K17" s="20">
        <v>16223099.5250488</v>
      </c>
      <c r="L17" s="20">
        <v>51348512.5649212</v>
      </c>
      <c r="M17" s="20">
        <v>14670765.357755</v>
      </c>
      <c r="N17" s="20">
        <v>292965053.664608</v>
      </c>
      <c r="O17" s="20">
        <v>11936419.056146599</v>
      </c>
      <c r="P17" s="20">
        <v>110271806.29350699</v>
      </c>
      <c r="Q17" s="20">
        <v>31280002.3053056</v>
      </c>
      <c r="R17" s="20">
        <v>3761258.98916111</v>
      </c>
      <c r="S17" s="20">
        <v>9341339.8389430195</v>
      </c>
      <c r="T17" s="20">
        <v>10641343.791129</v>
      </c>
      <c r="U17" s="20">
        <v>4653059.1683464795</v>
      </c>
      <c r="V17" s="20">
        <v>2243331.55982255</v>
      </c>
      <c r="W17" s="20">
        <v>6970340.16868803</v>
      </c>
      <c r="X17" s="20">
        <v>2118210.80846642</v>
      </c>
      <c r="Y17" s="20">
        <v>26478745.382496499</v>
      </c>
      <c r="Z17" s="20">
        <v>15451768.3835839</v>
      </c>
      <c r="AA17" s="20">
        <v>5086887.5907676704</v>
      </c>
      <c r="AB17" s="20">
        <v>221438.66653513399</v>
      </c>
      <c r="AC17" s="20">
        <v>31293.1657941251</v>
      </c>
      <c r="AD17" s="20">
        <v>2463333.3016807502</v>
      </c>
      <c r="AE17" s="20">
        <v>75178170.055959806</v>
      </c>
      <c r="AF17" s="20">
        <v>101065.70409229099</v>
      </c>
      <c r="AG17" s="20">
        <v>988410.01262835099</v>
      </c>
      <c r="AH17" s="20">
        <v>2502380.8395175301</v>
      </c>
      <c r="AI17" s="20">
        <v>1218070.2521790899</v>
      </c>
      <c r="AJ17" s="20">
        <v>301378.83771868399</v>
      </c>
      <c r="AK17" s="20">
        <v>339047.63523125602</v>
      </c>
      <c r="AL17" s="20">
        <v>4302489.10772241</v>
      </c>
      <c r="AM17" s="20">
        <v>14442888.994406501</v>
      </c>
      <c r="AN17" s="20">
        <v>20348720.0274329</v>
      </c>
      <c r="AO17" s="20">
        <v>13522935.637700999</v>
      </c>
      <c r="AP17" s="20">
        <v>7517280.0777033204</v>
      </c>
      <c r="AQ17" s="20">
        <v>538883.132006158</v>
      </c>
      <c r="AR17" s="20">
        <v>1609725.58352926</v>
      </c>
      <c r="AS17" s="20">
        <v>8727065.8294576202</v>
      </c>
      <c r="AT17" s="20">
        <v>906822060.83129597</v>
      </c>
      <c r="AU17" s="20">
        <v>2773014.2064051102</v>
      </c>
      <c r="AV17" s="20">
        <v>19771296.6729743</v>
      </c>
      <c r="AW17" s="20">
        <v>22544310.879379399</v>
      </c>
      <c r="AX17" s="20">
        <v>0</v>
      </c>
      <c r="AY17" s="20">
        <v>22544310.879379399</v>
      </c>
      <c r="AZ17" s="20">
        <v>0</v>
      </c>
      <c r="BA17" s="20">
        <v>-17407692.4580363</v>
      </c>
      <c r="BB17" s="20">
        <v>-17407692.4580363</v>
      </c>
      <c r="BC17" s="20">
        <v>66207877.6200248</v>
      </c>
      <c r="BD17" s="20">
        <v>71344496.041367993</v>
      </c>
      <c r="BE17" s="20">
        <v>123069963.945637</v>
      </c>
      <c r="BF17" s="20">
        <v>855096592.92702794</v>
      </c>
    </row>
    <row r="18" spans="1:58" x14ac:dyDescent="0.15">
      <c r="A18" s="93"/>
      <c r="B18" s="4" t="s">
        <v>24</v>
      </c>
      <c r="C18" s="19" t="s">
        <v>78</v>
      </c>
      <c r="D18" s="20">
        <v>6070961.4374369001</v>
      </c>
      <c r="E18" s="20">
        <v>41905.1238799485</v>
      </c>
      <c r="F18" s="20">
        <v>18810.368854661101</v>
      </c>
      <c r="G18" s="20">
        <v>6112.2849642644696</v>
      </c>
      <c r="H18" s="20">
        <v>670.13327881885402</v>
      </c>
      <c r="I18" s="20">
        <v>812022.34228900995</v>
      </c>
      <c r="J18" s="20">
        <v>88147.314917836804</v>
      </c>
      <c r="K18" s="20">
        <v>2763.5261905479001</v>
      </c>
      <c r="L18" s="20">
        <v>656674.06808880798</v>
      </c>
      <c r="M18" s="20">
        <v>14976.675812205</v>
      </c>
      <c r="N18" s="20">
        <v>1196870.9554063</v>
      </c>
      <c r="O18" s="20">
        <v>61912202.1611742</v>
      </c>
      <c r="P18" s="20">
        <v>81220.678649797701</v>
      </c>
      <c r="Q18" s="20">
        <v>569294.79213128798</v>
      </c>
      <c r="R18" s="20">
        <v>104789.230336209</v>
      </c>
      <c r="S18" s="20">
        <v>14108.632184689</v>
      </c>
      <c r="T18" s="20">
        <v>174018.26597316301</v>
      </c>
      <c r="U18" s="20">
        <v>7811.9409713792102</v>
      </c>
      <c r="V18" s="20">
        <v>424487.47467669699</v>
      </c>
      <c r="W18" s="20">
        <v>10204.6638427004</v>
      </c>
      <c r="X18" s="20">
        <v>10869.3228811845</v>
      </c>
      <c r="Y18" s="20">
        <v>124300.882651088</v>
      </c>
      <c r="Z18" s="20">
        <v>501241.91274992801</v>
      </c>
      <c r="AA18" s="20">
        <v>124963.88315405</v>
      </c>
      <c r="AB18" s="20">
        <v>16580.568116655599</v>
      </c>
      <c r="AC18" s="20">
        <v>375.41192867780302</v>
      </c>
      <c r="AD18" s="20">
        <v>16573.3630853305</v>
      </c>
      <c r="AE18" s="20">
        <v>2238386.65971391</v>
      </c>
      <c r="AF18" s="20">
        <v>10825.856603877201</v>
      </c>
      <c r="AG18" s="20">
        <v>152802.03973739099</v>
      </c>
      <c r="AH18" s="20">
        <v>814.26545664270998</v>
      </c>
      <c r="AI18" s="20">
        <v>302859.26629002002</v>
      </c>
      <c r="AJ18" s="20">
        <v>71563.524587609994</v>
      </c>
      <c r="AK18" s="20">
        <v>15249.378604661501</v>
      </c>
      <c r="AL18" s="20">
        <v>178518.27735863501</v>
      </c>
      <c r="AM18" s="20">
        <v>1060731.91296312</v>
      </c>
      <c r="AN18" s="20">
        <v>2592341.7705153902</v>
      </c>
      <c r="AO18" s="20">
        <v>184325.82636609601</v>
      </c>
      <c r="AP18" s="20">
        <v>710406.21710605698</v>
      </c>
      <c r="AQ18" s="20">
        <v>163829848.56430799</v>
      </c>
      <c r="AR18" s="20">
        <v>24625.036891759799</v>
      </c>
      <c r="AS18" s="20">
        <v>264315.06789918197</v>
      </c>
      <c r="AT18" s="39">
        <v>244637807.55383801</v>
      </c>
      <c r="AU18" s="40">
        <v>16266750.555721899</v>
      </c>
      <c r="AV18" s="40">
        <v>47595953.712028898</v>
      </c>
      <c r="AW18" s="39">
        <v>63862704.267750703</v>
      </c>
      <c r="AX18" s="40">
        <v>0</v>
      </c>
      <c r="AY18" s="39">
        <v>63862704.267750703</v>
      </c>
      <c r="AZ18" s="40">
        <v>0</v>
      </c>
      <c r="BA18" s="40">
        <v>-336221.76102223003</v>
      </c>
      <c r="BB18" s="39">
        <v>-336221.76102223003</v>
      </c>
      <c r="BC18" s="40">
        <v>22931108.4346494</v>
      </c>
      <c r="BD18" s="58">
        <v>86457590.941377893</v>
      </c>
      <c r="BE18" s="40">
        <v>31039261.6919652</v>
      </c>
      <c r="BF18" s="41">
        <v>300056136.80325001</v>
      </c>
    </row>
    <row r="19" spans="1:58" ht="22.5" x14ac:dyDescent="0.15">
      <c r="A19" s="93"/>
      <c r="B19" s="4" t="s">
        <v>25</v>
      </c>
      <c r="C19" s="19" t="s">
        <v>79</v>
      </c>
      <c r="D19" s="20">
        <v>8674566.8560292199</v>
      </c>
      <c r="E19" s="20">
        <v>554790.31351451494</v>
      </c>
      <c r="F19" s="20">
        <v>68528.8864528181</v>
      </c>
      <c r="G19" s="20">
        <v>994753.47934881004</v>
      </c>
      <c r="H19" s="20">
        <v>744309.45223715203</v>
      </c>
      <c r="I19" s="20">
        <v>11841214.9098398</v>
      </c>
      <c r="J19" s="20">
        <v>10980215.0053935</v>
      </c>
      <c r="K19" s="20">
        <v>3914342.38141541</v>
      </c>
      <c r="L19" s="20">
        <v>18647978.8345959</v>
      </c>
      <c r="M19" s="20">
        <v>1430383.3507345901</v>
      </c>
      <c r="N19" s="20">
        <v>17479775.9892103</v>
      </c>
      <c r="O19" s="20">
        <v>1643105.08134056</v>
      </c>
      <c r="P19" s="20">
        <v>66951058.3381522</v>
      </c>
      <c r="Q19" s="20">
        <v>6557029.9445980303</v>
      </c>
      <c r="R19" s="20">
        <v>203901.473861746</v>
      </c>
      <c r="S19" s="20">
        <v>669836.43049463094</v>
      </c>
      <c r="T19" s="20">
        <v>5295045.1467806203</v>
      </c>
      <c r="U19" s="20">
        <v>7971170.3617942696</v>
      </c>
      <c r="V19" s="20">
        <v>9663695.9011367802</v>
      </c>
      <c r="W19" s="20">
        <v>23623523.381000299</v>
      </c>
      <c r="X19" s="20">
        <v>5314520.9821037799</v>
      </c>
      <c r="Y19" s="20">
        <v>26318074.354584899</v>
      </c>
      <c r="Z19" s="20">
        <v>20386766.106557</v>
      </c>
      <c r="AA19" s="20">
        <v>3231171.4593421798</v>
      </c>
      <c r="AB19" s="20">
        <v>33464.580271121398</v>
      </c>
      <c r="AC19" s="20">
        <v>49605.9371683766</v>
      </c>
      <c r="AD19" s="20">
        <v>698996.62604487</v>
      </c>
      <c r="AE19" s="20">
        <v>34699536.488755003</v>
      </c>
      <c r="AF19" s="20">
        <v>2792063.86942768</v>
      </c>
      <c r="AG19" s="20">
        <v>11281845.091144601</v>
      </c>
      <c r="AH19" s="20">
        <v>1105133.7167942501</v>
      </c>
      <c r="AI19" s="20">
        <v>1435216.1186581</v>
      </c>
      <c r="AJ19" s="20">
        <v>84412.141204118801</v>
      </c>
      <c r="AK19" s="20">
        <v>381127.87814054202</v>
      </c>
      <c r="AL19" s="20">
        <v>3235527.5466587399</v>
      </c>
      <c r="AM19" s="20">
        <v>1079352.1002815899</v>
      </c>
      <c r="AN19" s="20">
        <v>1638385.26975062</v>
      </c>
      <c r="AO19" s="20">
        <v>2721409.7469974798</v>
      </c>
      <c r="AP19" s="20">
        <v>56410.504601542401</v>
      </c>
      <c r="AQ19" s="20">
        <v>542008.48610851797</v>
      </c>
      <c r="AR19" s="20">
        <v>259882.12780501699</v>
      </c>
      <c r="AS19" s="20">
        <v>2071130.0449797099</v>
      </c>
      <c r="AT19" s="20">
        <v>313410924.31389499</v>
      </c>
      <c r="AU19" s="20">
        <v>1618615.7769835501</v>
      </c>
      <c r="AV19" s="20">
        <v>4802149.2593036797</v>
      </c>
      <c r="AW19" s="20">
        <v>6420765.0362872304</v>
      </c>
      <c r="AX19" s="20">
        <v>0</v>
      </c>
      <c r="AY19" s="20">
        <v>6420765.0362872304</v>
      </c>
      <c r="AZ19" s="20">
        <v>0</v>
      </c>
      <c r="BA19" s="20">
        <v>-1905835.73546151</v>
      </c>
      <c r="BB19" s="20">
        <v>-1905835.73546151</v>
      </c>
      <c r="BC19" s="20">
        <v>57120608.633020498</v>
      </c>
      <c r="BD19" s="20">
        <v>61635537.933846198</v>
      </c>
      <c r="BE19" s="20">
        <v>16854882.888343401</v>
      </c>
      <c r="BF19" s="20">
        <v>358191579.35939801</v>
      </c>
    </row>
    <row r="20" spans="1:58" ht="22.5" x14ac:dyDescent="0.15">
      <c r="A20" s="93"/>
      <c r="B20" s="4" t="s">
        <v>26</v>
      </c>
      <c r="C20" s="19" t="s">
        <v>80</v>
      </c>
      <c r="D20" s="20">
        <v>527672.17759183003</v>
      </c>
      <c r="E20" s="20">
        <v>651313.19079708494</v>
      </c>
      <c r="F20" s="20">
        <v>44591.483799540998</v>
      </c>
      <c r="G20" s="20">
        <v>1669898.4257018401</v>
      </c>
      <c r="H20" s="20">
        <v>621832.46480163594</v>
      </c>
      <c r="I20" s="20">
        <v>4888099.9351435602</v>
      </c>
      <c r="J20" s="20">
        <v>571224.96578001301</v>
      </c>
      <c r="K20" s="20">
        <v>1921176.1345617401</v>
      </c>
      <c r="L20" s="20">
        <v>2831024.8289935598</v>
      </c>
      <c r="M20" s="20">
        <v>2724987.2257891898</v>
      </c>
      <c r="N20" s="20">
        <v>4189217.0565114799</v>
      </c>
      <c r="O20" s="20">
        <v>2706366.3491932498</v>
      </c>
      <c r="P20" s="20">
        <v>1610249.5580941399</v>
      </c>
      <c r="Q20" s="20">
        <v>139143632.92928699</v>
      </c>
      <c r="R20" s="20">
        <v>9435905.6832035594</v>
      </c>
      <c r="S20" s="20">
        <v>5914732.9799443996</v>
      </c>
      <c r="T20" s="20">
        <v>6783958.8157480899</v>
      </c>
      <c r="U20" s="20">
        <v>2873744.3313156501</v>
      </c>
      <c r="V20" s="20">
        <v>4066510.9793166602</v>
      </c>
      <c r="W20" s="20">
        <v>9953436.8281746097</v>
      </c>
      <c r="X20" s="20">
        <v>671083.25344635604</v>
      </c>
      <c r="Y20" s="20">
        <v>19235014.3764924</v>
      </c>
      <c r="Z20" s="20">
        <v>18711839.314458799</v>
      </c>
      <c r="AA20" s="20">
        <v>485772.81758116197</v>
      </c>
      <c r="AB20" s="20">
        <v>1991624.45078551</v>
      </c>
      <c r="AC20" s="20">
        <v>7340.5128802151503</v>
      </c>
      <c r="AD20" s="20">
        <v>22846.396904826601</v>
      </c>
      <c r="AE20" s="20">
        <v>454627661.34888202</v>
      </c>
      <c r="AF20" s="20">
        <v>241247.96405304101</v>
      </c>
      <c r="AG20" s="20">
        <v>461491.74080067402</v>
      </c>
      <c r="AH20" s="20">
        <v>358067.29957438703</v>
      </c>
      <c r="AI20" s="20">
        <v>91296.394104551306</v>
      </c>
      <c r="AJ20" s="20">
        <v>23697.817957801999</v>
      </c>
      <c r="AK20" s="20">
        <v>32694.029898242399</v>
      </c>
      <c r="AL20" s="20">
        <v>260519.45747035</v>
      </c>
      <c r="AM20" s="20">
        <v>2268609.7974372599</v>
      </c>
      <c r="AN20" s="20">
        <v>198547.940541488</v>
      </c>
      <c r="AO20" s="20">
        <v>95799.755972606697</v>
      </c>
      <c r="AP20" s="20">
        <v>1130620.33187729</v>
      </c>
      <c r="AQ20" s="20">
        <v>325720.01134953898</v>
      </c>
      <c r="AR20" s="20">
        <v>4789.9804853633796</v>
      </c>
      <c r="AS20" s="20">
        <v>832366.780787269</v>
      </c>
      <c r="AT20" s="20">
        <v>703287051.98292804</v>
      </c>
      <c r="AU20" s="20">
        <v>1560823.70183441</v>
      </c>
      <c r="AV20" s="20">
        <v>3925831.46539935</v>
      </c>
      <c r="AW20" s="20">
        <v>5486655.1672337595</v>
      </c>
      <c r="AX20" s="20">
        <v>0</v>
      </c>
      <c r="AY20" s="20">
        <v>5486655.1672337595</v>
      </c>
      <c r="AZ20" s="20">
        <v>0</v>
      </c>
      <c r="BA20" s="20">
        <v>2140696.2500745901</v>
      </c>
      <c r="BB20" s="20">
        <v>2140696.2500745901</v>
      </c>
      <c r="BC20" s="20">
        <v>34554204.179467797</v>
      </c>
      <c r="BD20" s="20">
        <v>42181555.596776202</v>
      </c>
      <c r="BE20" s="20">
        <v>12436721.0287978</v>
      </c>
      <c r="BF20" s="20">
        <v>733031886.55090594</v>
      </c>
    </row>
    <row r="21" spans="1:58" ht="33.75" x14ac:dyDescent="0.15">
      <c r="A21" s="93"/>
      <c r="B21" s="4" t="s">
        <v>27</v>
      </c>
      <c r="C21" s="19" t="s">
        <v>81</v>
      </c>
      <c r="D21" s="20">
        <v>231511.56821559201</v>
      </c>
      <c r="E21" s="20">
        <v>5985486.0851936499</v>
      </c>
      <c r="F21" s="20">
        <v>1118312.4937215501</v>
      </c>
      <c r="G21" s="20">
        <v>720856.19657338597</v>
      </c>
      <c r="H21" s="20">
        <v>1121508.83883353</v>
      </c>
      <c r="I21" s="20">
        <v>272337.82113822002</v>
      </c>
      <c r="J21" s="20">
        <v>382742.21567873697</v>
      </c>
      <c r="K21" s="20">
        <v>2368084.2043395499</v>
      </c>
      <c r="L21" s="20">
        <v>4485716.3425042396</v>
      </c>
      <c r="M21" s="20">
        <v>198223.33922962699</v>
      </c>
      <c r="N21" s="20">
        <v>718206.53295077302</v>
      </c>
      <c r="O21" s="20">
        <v>44680.393718689003</v>
      </c>
      <c r="P21" s="20">
        <v>1465016.6010706199</v>
      </c>
      <c r="Q21" s="20">
        <v>13933004.787727</v>
      </c>
      <c r="R21" s="20">
        <v>128395223.97115999</v>
      </c>
      <c r="S21" s="20">
        <v>2760821.3172431001</v>
      </c>
      <c r="T21" s="20">
        <v>109844585.75668301</v>
      </c>
      <c r="U21" s="20">
        <v>45037806.531296797</v>
      </c>
      <c r="V21" s="20">
        <v>24422112.739553999</v>
      </c>
      <c r="W21" s="20">
        <v>24330508.557217401</v>
      </c>
      <c r="X21" s="20">
        <v>7720732.1174316201</v>
      </c>
      <c r="Y21" s="20">
        <v>18090718.1437351</v>
      </c>
      <c r="Z21" s="20">
        <v>4833386.6625495004</v>
      </c>
      <c r="AA21" s="20">
        <v>1307683.8663037501</v>
      </c>
      <c r="AB21" s="20">
        <v>256746.456367951</v>
      </c>
      <c r="AC21" s="20">
        <v>114830.235785861</v>
      </c>
      <c r="AD21" s="20">
        <v>71861.890675810195</v>
      </c>
      <c r="AE21" s="20">
        <v>278702659.949081</v>
      </c>
      <c r="AF21" s="20">
        <v>8351.0433915085505</v>
      </c>
      <c r="AG21" s="20">
        <v>604608.95717440697</v>
      </c>
      <c r="AH21" s="20">
        <v>1823.5000182725</v>
      </c>
      <c r="AI21" s="20">
        <v>6206.6617905018202</v>
      </c>
      <c r="AJ21" s="20">
        <v>11.358825536026099</v>
      </c>
      <c r="AK21" s="20">
        <v>1871.3278520020799</v>
      </c>
      <c r="AL21" s="20">
        <v>1198.28643644775</v>
      </c>
      <c r="AM21" s="20">
        <v>177423.31501094499</v>
      </c>
      <c r="AN21" s="20">
        <v>331864.869519912</v>
      </c>
      <c r="AO21" s="20">
        <v>8411.9484486656202</v>
      </c>
      <c r="AP21" s="20">
        <v>26880.872074540701</v>
      </c>
      <c r="AQ21" s="20">
        <v>329.00023493489903</v>
      </c>
      <c r="AR21" s="20">
        <v>828.99301499868795</v>
      </c>
      <c r="AS21" s="20">
        <v>140681.94973206901</v>
      </c>
      <c r="AT21" s="20">
        <v>677877773.49516499</v>
      </c>
      <c r="AU21" s="20">
        <v>0</v>
      </c>
      <c r="AV21" s="20">
        <v>0</v>
      </c>
      <c r="AW21" s="20">
        <v>0</v>
      </c>
      <c r="AX21" s="20">
        <v>0</v>
      </c>
      <c r="AY21" s="20">
        <v>0</v>
      </c>
      <c r="AZ21" s="20">
        <v>0</v>
      </c>
      <c r="BA21" s="20">
        <v>4405504.3332162499</v>
      </c>
      <c r="BB21" s="20">
        <v>4405504.3332162499</v>
      </c>
      <c r="BC21" s="20">
        <v>27767871.756153099</v>
      </c>
      <c r="BD21" s="20">
        <v>32173376.089369401</v>
      </c>
      <c r="BE21" s="20">
        <v>26541208.673854899</v>
      </c>
      <c r="BF21" s="20">
        <v>683509940.91067898</v>
      </c>
    </row>
    <row r="22" spans="1:58" ht="33.75" x14ac:dyDescent="0.15">
      <c r="A22" s="93"/>
      <c r="B22" s="4" t="s">
        <v>28</v>
      </c>
      <c r="C22" s="19" t="s">
        <v>82</v>
      </c>
      <c r="D22" s="20">
        <v>8900.6755486550392</v>
      </c>
      <c r="E22" s="20">
        <v>15416.107396695001</v>
      </c>
      <c r="F22" s="20">
        <v>227.82763401391099</v>
      </c>
      <c r="G22" s="20">
        <v>443804.90291369101</v>
      </c>
      <c r="H22" s="20">
        <v>166228.30901152801</v>
      </c>
      <c r="I22" s="20">
        <v>109160.627027975</v>
      </c>
      <c r="J22" s="20">
        <v>220462.383442483</v>
      </c>
      <c r="K22" s="20">
        <v>906287.23217680596</v>
      </c>
      <c r="L22" s="20">
        <v>19977459.015090998</v>
      </c>
      <c r="M22" s="20">
        <v>15125.422401429299</v>
      </c>
      <c r="N22" s="20">
        <v>8623449.7674129307</v>
      </c>
      <c r="O22" s="20">
        <v>119933.47570344299</v>
      </c>
      <c r="P22" s="20">
        <v>2202103.6067858599</v>
      </c>
      <c r="Q22" s="20">
        <v>7233885.0167974196</v>
      </c>
      <c r="R22" s="20">
        <v>8479844.5970187299</v>
      </c>
      <c r="S22" s="20">
        <v>196601311.08714399</v>
      </c>
      <c r="T22" s="20">
        <v>48942799.232145399</v>
      </c>
      <c r="U22" s="20">
        <v>37701392.028613701</v>
      </c>
      <c r="V22" s="20">
        <v>12717404.924781101</v>
      </c>
      <c r="W22" s="20">
        <v>34619046.993302003</v>
      </c>
      <c r="X22" s="20">
        <v>7591588.5535006896</v>
      </c>
      <c r="Y22" s="20">
        <v>128393623.886509</v>
      </c>
      <c r="Z22" s="20">
        <v>31542514.349654399</v>
      </c>
      <c r="AA22" s="20">
        <v>5247794.0737348702</v>
      </c>
      <c r="AB22" s="20">
        <v>82372.637321982795</v>
      </c>
      <c r="AC22" s="20">
        <v>775.80563588545499</v>
      </c>
      <c r="AD22" s="20">
        <v>5801.6448365556298</v>
      </c>
      <c r="AE22" s="20">
        <v>10715656.0886856</v>
      </c>
      <c r="AF22" s="20">
        <v>23345.672744347001</v>
      </c>
      <c r="AG22" s="20">
        <v>69400.541344120502</v>
      </c>
      <c r="AH22" s="20">
        <v>3687.67374083509</v>
      </c>
      <c r="AI22" s="20">
        <v>0</v>
      </c>
      <c r="AJ22" s="20">
        <v>0</v>
      </c>
      <c r="AK22" s="20">
        <v>0</v>
      </c>
      <c r="AL22" s="20">
        <v>1660.03780915729</v>
      </c>
      <c r="AM22" s="20">
        <v>173035.62437909801</v>
      </c>
      <c r="AN22" s="20">
        <v>92358.918739074899</v>
      </c>
      <c r="AO22" s="20">
        <v>146370.74051122699</v>
      </c>
      <c r="AP22" s="20">
        <v>45405.512128530303</v>
      </c>
      <c r="AQ22" s="20">
        <v>1123.5706396457699</v>
      </c>
      <c r="AR22" s="20">
        <v>334.00906927717398</v>
      </c>
      <c r="AS22" s="20">
        <v>5.3244188152449801E-3</v>
      </c>
      <c r="AT22" s="20">
        <v>562334805.34648097</v>
      </c>
      <c r="AU22" s="20">
        <v>0</v>
      </c>
      <c r="AV22" s="20">
        <v>0</v>
      </c>
      <c r="AW22" s="20">
        <v>0</v>
      </c>
      <c r="AX22" s="20">
        <v>0</v>
      </c>
      <c r="AY22" s="20">
        <v>0</v>
      </c>
      <c r="AZ22" s="20">
        <v>0</v>
      </c>
      <c r="BA22" s="20">
        <v>-957892.18613737996</v>
      </c>
      <c r="BB22" s="20">
        <v>-957892.18613737996</v>
      </c>
      <c r="BC22" s="20">
        <v>17965733.8081997</v>
      </c>
      <c r="BD22" s="20">
        <v>17007841.6220624</v>
      </c>
      <c r="BE22" s="20">
        <v>54672624.212560698</v>
      </c>
      <c r="BF22" s="20">
        <v>524670022.755983</v>
      </c>
    </row>
    <row r="23" spans="1:58" x14ac:dyDescent="0.15">
      <c r="A23" s="93"/>
      <c r="B23" s="4" t="s">
        <v>29</v>
      </c>
      <c r="C23" s="19" t="s">
        <v>83</v>
      </c>
      <c r="D23" s="20">
        <v>823239.11904421495</v>
      </c>
      <c r="E23" s="20">
        <v>6843894.5905335899</v>
      </c>
      <c r="F23" s="20">
        <v>47481.494058685901</v>
      </c>
      <c r="G23" s="20">
        <v>4175081.2072523101</v>
      </c>
      <c r="H23" s="20">
        <v>587075.01477385801</v>
      </c>
      <c r="I23" s="20">
        <v>3523907.1059125401</v>
      </c>
      <c r="J23" s="20">
        <v>2164374.0390686402</v>
      </c>
      <c r="K23" s="20">
        <v>6160907.4104285799</v>
      </c>
      <c r="L23" s="20">
        <v>9762688.7829015497</v>
      </c>
      <c r="M23" s="20">
        <v>367056.84101174597</v>
      </c>
      <c r="N23" s="20">
        <v>3226326.0254301601</v>
      </c>
      <c r="O23" s="20">
        <v>1210054.81549578</v>
      </c>
      <c r="P23" s="20">
        <v>4964060.1108945403</v>
      </c>
      <c r="Q23" s="20">
        <v>16927420.3252392</v>
      </c>
      <c r="R23" s="20">
        <v>1218101.9140089599</v>
      </c>
      <c r="S23" s="20">
        <v>1056789.4499055899</v>
      </c>
      <c r="T23" s="20">
        <v>69726613.019667506</v>
      </c>
      <c r="U23" s="20">
        <v>27665192.2268015</v>
      </c>
      <c r="V23" s="20">
        <v>16436651.429209201</v>
      </c>
      <c r="W23" s="20">
        <v>14866905.531682801</v>
      </c>
      <c r="X23" s="20">
        <v>5355333.5250885896</v>
      </c>
      <c r="Y23" s="20">
        <v>25722146.776101898</v>
      </c>
      <c r="Z23" s="20">
        <v>16994492.5820494</v>
      </c>
      <c r="AA23" s="20">
        <v>2549699.0505310101</v>
      </c>
      <c r="AB23" s="20">
        <v>275728.82485353999</v>
      </c>
      <c r="AC23" s="20">
        <v>36839.2092825543</v>
      </c>
      <c r="AD23" s="20">
        <v>843476.84553949302</v>
      </c>
      <c r="AE23" s="20">
        <v>132161439.87616301</v>
      </c>
      <c r="AF23" s="20">
        <v>290667.52798172802</v>
      </c>
      <c r="AG23" s="20">
        <v>3135118.8234383902</v>
      </c>
      <c r="AH23" s="20">
        <v>384818.74600209598</v>
      </c>
      <c r="AI23" s="20">
        <v>599301.04505910794</v>
      </c>
      <c r="AJ23" s="20">
        <v>86808.766644974094</v>
      </c>
      <c r="AK23" s="20">
        <v>1196639.3719067799</v>
      </c>
      <c r="AL23" s="20">
        <v>25113883.567990702</v>
      </c>
      <c r="AM23" s="20">
        <v>5682565.0823589396</v>
      </c>
      <c r="AN23" s="20">
        <v>13354998.645677401</v>
      </c>
      <c r="AO23" s="20">
        <v>3302520.2984277802</v>
      </c>
      <c r="AP23" s="20">
        <v>758921.69106769597</v>
      </c>
      <c r="AQ23" s="20">
        <v>53758.700924684599</v>
      </c>
      <c r="AR23" s="20">
        <v>152670.465164302</v>
      </c>
      <c r="AS23" s="20">
        <v>2122995.8596761199</v>
      </c>
      <c r="AT23" s="39">
        <v>425767738.32482201</v>
      </c>
      <c r="AU23" s="40">
        <v>665462.94812565099</v>
      </c>
      <c r="AV23" s="40">
        <v>4215024.1264948603</v>
      </c>
      <c r="AW23" s="39">
        <v>4880487.0746205105</v>
      </c>
      <c r="AX23" s="40">
        <v>0</v>
      </c>
      <c r="AY23" s="39">
        <v>4880487.0746205105</v>
      </c>
      <c r="AZ23" s="40">
        <v>25162931.8981722</v>
      </c>
      <c r="BA23" s="40">
        <v>9509406.9148277901</v>
      </c>
      <c r="BB23" s="39">
        <v>34672338.813000001</v>
      </c>
      <c r="BC23" s="40">
        <v>62348551.232276402</v>
      </c>
      <c r="BD23" s="58">
        <v>101901377.11989699</v>
      </c>
      <c r="BE23" s="40">
        <v>8187441.3282561703</v>
      </c>
      <c r="BF23" s="41">
        <v>519481674.11646301</v>
      </c>
    </row>
    <row r="24" spans="1:58" x14ac:dyDescent="0.15">
      <c r="A24" s="93"/>
      <c r="B24" s="4" t="s">
        <v>30</v>
      </c>
      <c r="C24" s="19" t="s">
        <v>84</v>
      </c>
      <c r="D24" s="20">
        <v>806226.18427011406</v>
      </c>
      <c r="E24" s="20">
        <v>2843363.00046338</v>
      </c>
      <c r="F24" s="20">
        <v>696909.96340312297</v>
      </c>
      <c r="G24" s="20">
        <v>2538535.2640932701</v>
      </c>
      <c r="H24" s="20">
        <v>114281.127685603</v>
      </c>
      <c r="I24" s="20">
        <v>1454621.35317593</v>
      </c>
      <c r="J24" s="20">
        <v>1829431.6301696899</v>
      </c>
      <c r="K24" s="20">
        <v>1278520.9770092999</v>
      </c>
      <c r="L24" s="20">
        <v>2428023.7047939198</v>
      </c>
      <c r="M24" s="20">
        <v>2442105.7796665598</v>
      </c>
      <c r="N24" s="20">
        <v>4521088.9240815099</v>
      </c>
      <c r="O24" s="20">
        <v>549583.609396482</v>
      </c>
      <c r="P24" s="20">
        <v>1114986.9222331999</v>
      </c>
      <c r="Q24" s="20">
        <v>11173708.1146356</v>
      </c>
      <c r="R24" s="20">
        <v>7711312.9210711699</v>
      </c>
      <c r="S24" s="20">
        <v>949139.59365227295</v>
      </c>
      <c r="T24" s="20">
        <v>13379131.6650398</v>
      </c>
      <c r="U24" s="20">
        <v>113487863.806767</v>
      </c>
      <c r="V24" s="20">
        <v>35452640.1347683</v>
      </c>
      <c r="W24" s="20">
        <v>25719680.581695199</v>
      </c>
      <c r="X24" s="20">
        <v>11260438.380139099</v>
      </c>
      <c r="Y24" s="20">
        <v>24040251.918908302</v>
      </c>
      <c r="Z24" s="20">
        <v>9038625.3852601498</v>
      </c>
      <c r="AA24" s="20">
        <v>2159487.8262955402</v>
      </c>
      <c r="AB24" s="20">
        <v>2748010.6879523299</v>
      </c>
      <c r="AC24" s="20">
        <v>160562.279466362</v>
      </c>
      <c r="AD24" s="20">
        <v>150061.209496772</v>
      </c>
      <c r="AE24" s="20">
        <v>21074962.820468999</v>
      </c>
      <c r="AF24" s="20">
        <v>243034.79239735601</v>
      </c>
      <c r="AG24" s="20">
        <v>10091175.5281896</v>
      </c>
      <c r="AH24" s="20">
        <v>297627.994707292</v>
      </c>
      <c r="AI24" s="20">
        <v>403328.36474002502</v>
      </c>
      <c r="AJ24" s="20">
        <v>644747.67425622803</v>
      </c>
      <c r="AK24" s="20">
        <v>308267.21312674601</v>
      </c>
      <c r="AL24" s="20">
        <v>296883.48786970699</v>
      </c>
      <c r="AM24" s="20">
        <v>216508.4433095</v>
      </c>
      <c r="AN24" s="20">
        <v>721127.50449931505</v>
      </c>
      <c r="AO24" s="20">
        <v>131078.39591309801</v>
      </c>
      <c r="AP24" s="20">
        <v>649463.41106906906</v>
      </c>
      <c r="AQ24" s="20">
        <v>107743.552579729</v>
      </c>
      <c r="AR24" s="20">
        <v>51761.111660537899</v>
      </c>
      <c r="AS24" s="20">
        <v>375857.54939213098</v>
      </c>
      <c r="AT24" s="20">
        <v>314383639.81276</v>
      </c>
      <c r="AU24" s="20">
        <v>376403.35212190199</v>
      </c>
      <c r="AV24" s="20">
        <v>1228363.5907578301</v>
      </c>
      <c r="AW24" s="20">
        <v>1604766.9428797399</v>
      </c>
      <c r="AX24" s="20">
        <v>0</v>
      </c>
      <c r="AY24" s="20">
        <v>1604766.9428797399</v>
      </c>
      <c r="AZ24" s="20">
        <v>170362145.94569999</v>
      </c>
      <c r="BA24" s="20">
        <v>9413554.5502387397</v>
      </c>
      <c r="BB24" s="20">
        <v>179775700.495938</v>
      </c>
      <c r="BC24" s="20">
        <v>92569318.362554893</v>
      </c>
      <c r="BD24" s="20">
        <v>273949785.801373</v>
      </c>
      <c r="BE24" s="20">
        <v>55422439.185358502</v>
      </c>
      <c r="BF24" s="20">
        <v>532910986.428774</v>
      </c>
    </row>
    <row r="25" spans="1:58" x14ac:dyDescent="0.15">
      <c r="A25" s="93"/>
      <c r="B25" s="4" t="s">
        <v>31</v>
      </c>
      <c r="C25" s="19" t="s">
        <v>85</v>
      </c>
      <c r="D25" s="20">
        <v>9442062.9280193709</v>
      </c>
      <c r="E25" s="20">
        <v>4363149.3368060002</v>
      </c>
      <c r="F25" s="20">
        <v>2865981.2518185498</v>
      </c>
      <c r="G25" s="20">
        <v>5453583.9108511005</v>
      </c>
      <c r="H25" s="20">
        <v>1809891.30244196</v>
      </c>
      <c r="I25" s="20">
        <v>571460.14655284001</v>
      </c>
      <c r="J25" s="20">
        <v>1222125.93598965</v>
      </c>
      <c r="K25" s="20">
        <v>807146.352519896</v>
      </c>
      <c r="L25" s="20">
        <v>2812881.9783396502</v>
      </c>
      <c r="M25" s="20">
        <v>833887.88345839898</v>
      </c>
      <c r="N25" s="20">
        <v>3285331.7057016301</v>
      </c>
      <c r="O25" s="20">
        <v>235061.27541503901</v>
      </c>
      <c r="P25" s="20">
        <v>1275752.54841213</v>
      </c>
      <c r="Q25" s="20">
        <v>3308438.8618798601</v>
      </c>
      <c r="R25" s="20">
        <v>5251960.0150080603</v>
      </c>
      <c r="S25" s="20">
        <v>3482298.16140767</v>
      </c>
      <c r="T25" s="20">
        <v>3764377.5885242298</v>
      </c>
      <c r="U25" s="20">
        <v>4434748.5168989599</v>
      </c>
      <c r="V25" s="20">
        <v>48823626.045814</v>
      </c>
      <c r="W25" s="20">
        <v>4354380.2918230398</v>
      </c>
      <c r="X25" s="20">
        <v>1023610.76363881</v>
      </c>
      <c r="Y25" s="20">
        <v>4191944.0242041</v>
      </c>
      <c r="Z25" s="20">
        <v>21202968.585347101</v>
      </c>
      <c r="AA25" s="20">
        <v>693670.45465858595</v>
      </c>
      <c r="AB25" s="20">
        <v>179779.53739239901</v>
      </c>
      <c r="AC25" s="20">
        <v>8470.1489079702405</v>
      </c>
      <c r="AD25" s="20">
        <v>108797.71737827901</v>
      </c>
      <c r="AE25" s="20">
        <v>17847619.676196799</v>
      </c>
      <c r="AF25" s="20">
        <v>34879.999182738698</v>
      </c>
      <c r="AG25" s="20">
        <v>1382805.2328975999</v>
      </c>
      <c r="AH25" s="20">
        <v>142728.16216783799</v>
      </c>
      <c r="AI25" s="20">
        <v>102271.22397752901</v>
      </c>
      <c r="AJ25" s="20">
        <v>923602.28535310796</v>
      </c>
      <c r="AK25" s="20">
        <v>8292.9333309210906</v>
      </c>
      <c r="AL25" s="20">
        <v>523390.39074432303</v>
      </c>
      <c r="AM25" s="20">
        <v>39920.178304627298</v>
      </c>
      <c r="AN25" s="20">
        <v>160663.045571544</v>
      </c>
      <c r="AO25" s="20">
        <v>160146.609952256</v>
      </c>
      <c r="AP25" s="20">
        <v>133533.26709046101</v>
      </c>
      <c r="AQ25" s="20">
        <v>16681231.4471724</v>
      </c>
      <c r="AR25" s="20">
        <v>11275.3032369504</v>
      </c>
      <c r="AS25" s="20">
        <v>264818.82299359998</v>
      </c>
      <c r="AT25" s="20">
        <v>173417419.49486199</v>
      </c>
      <c r="AU25" s="20">
        <v>595579.78670823295</v>
      </c>
      <c r="AV25" s="20">
        <v>3720729.2812877698</v>
      </c>
      <c r="AW25" s="20">
        <v>4316309.0679959999</v>
      </c>
      <c r="AX25" s="20">
        <v>0</v>
      </c>
      <c r="AY25" s="20">
        <v>4316309.0679959999</v>
      </c>
      <c r="AZ25" s="20">
        <v>204929596.99676499</v>
      </c>
      <c r="BA25" s="20">
        <v>4556075.6479765102</v>
      </c>
      <c r="BB25" s="20">
        <v>209485672.644741</v>
      </c>
      <c r="BC25" s="20">
        <v>59350299.402435601</v>
      </c>
      <c r="BD25" s="20">
        <v>273152281.11517298</v>
      </c>
      <c r="BE25" s="20">
        <v>59218616.805418603</v>
      </c>
      <c r="BF25" s="20">
        <v>387351083.80461699</v>
      </c>
    </row>
    <row r="26" spans="1:58" x14ac:dyDescent="0.15">
      <c r="A26" s="93"/>
      <c r="B26" s="4" t="s">
        <v>32</v>
      </c>
      <c r="C26" s="19" t="s">
        <v>86</v>
      </c>
      <c r="D26" s="20">
        <v>1408919.4717485199</v>
      </c>
      <c r="E26" s="20">
        <v>198746.70320897701</v>
      </c>
      <c r="F26" s="20">
        <v>17829.499566618098</v>
      </c>
      <c r="G26" s="20">
        <v>1022626.22236667</v>
      </c>
      <c r="H26" s="20">
        <v>150879.72892678401</v>
      </c>
      <c r="I26" s="20">
        <v>174622.0626038</v>
      </c>
      <c r="J26" s="20">
        <v>253639.82760961601</v>
      </c>
      <c r="K26" s="20">
        <v>118989.438174631</v>
      </c>
      <c r="L26" s="20">
        <v>309975.01103406999</v>
      </c>
      <c r="M26" s="20">
        <v>11160.7151198479</v>
      </c>
      <c r="N26" s="20">
        <v>366530.84219789697</v>
      </c>
      <c r="O26" s="20">
        <v>35280.411469775303</v>
      </c>
      <c r="P26" s="20">
        <v>161696.96047242501</v>
      </c>
      <c r="Q26" s="20">
        <v>2370746.5846731002</v>
      </c>
      <c r="R26" s="20">
        <v>187208.86335535001</v>
      </c>
      <c r="S26" s="20">
        <v>60658.885042088303</v>
      </c>
      <c r="T26" s="20">
        <v>593836.08689967403</v>
      </c>
      <c r="U26" s="20">
        <v>7563616.9372198097</v>
      </c>
      <c r="V26" s="20">
        <v>8848095.2821246609</v>
      </c>
      <c r="W26" s="20">
        <v>237540166.84993601</v>
      </c>
      <c r="X26" s="20">
        <v>988820.12635228306</v>
      </c>
      <c r="Y26" s="20">
        <v>1344462.3825576301</v>
      </c>
      <c r="Z26" s="20">
        <v>694918.87258071196</v>
      </c>
      <c r="AA26" s="20">
        <v>291795.62766576197</v>
      </c>
      <c r="AB26" s="20">
        <v>58968.430252993501</v>
      </c>
      <c r="AC26" s="20">
        <v>10597.370534223301</v>
      </c>
      <c r="AD26" s="20">
        <v>10282.349596240199</v>
      </c>
      <c r="AE26" s="20">
        <v>1111563.2263322801</v>
      </c>
      <c r="AF26" s="20">
        <v>118840.414417673</v>
      </c>
      <c r="AG26" s="20">
        <v>70012316.491765201</v>
      </c>
      <c r="AH26" s="20">
        <v>471817.61011926399</v>
      </c>
      <c r="AI26" s="20">
        <v>259987.74788360999</v>
      </c>
      <c r="AJ26" s="20">
        <v>289071.47100823099</v>
      </c>
      <c r="AK26" s="20">
        <v>28341.215566360999</v>
      </c>
      <c r="AL26" s="20">
        <v>32334152.313072499</v>
      </c>
      <c r="AM26" s="20">
        <v>356407.83469469397</v>
      </c>
      <c r="AN26" s="20">
        <v>3427487.6863864302</v>
      </c>
      <c r="AO26" s="20">
        <v>8061811.8950887304</v>
      </c>
      <c r="AP26" s="20">
        <v>115094.30247296199</v>
      </c>
      <c r="AQ26" s="20">
        <v>44551.655223810303</v>
      </c>
      <c r="AR26" s="20">
        <v>91094.949710739296</v>
      </c>
      <c r="AS26" s="20">
        <v>4080096.6803558799</v>
      </c>
      <c r="AT26" s="20">
        <v>385478717.59921402</v>
      </c>
      <c r="AU26" s="20">
        <v>21454358.9824</v>
      </c>
      <c r="AV26" s="20">
        <v>126837276.97145499</v>
      </c>
      <c r="AW26" s="20">
        <v>148291635.95385399</v>
      </c>
      <c r="AX26" s="20">
        <v>0</v>
      </c>
      <c r="AY26" s="20">
        <v>148291635.95385399</v>
      </c>
      <c r="AZ26" s="20">
        <v>176416405.60986</v>
      </c>
      <c r="BA26" s="20">
        <v>16277173.520149</v>
      </c>
      <c r="BB26" s="20">
        <v>192693579.130009</v>
      </c>
      <c r="BC26" s="20">
        <v>31524411.8740067</v>
      </c>
      <c r="BD26" s="20">
        <v>372509626.95787001</v>
      </c>
      <c r="BE26" s="20">
        <v>51530883.893830098</v>
      </c>
      <c r="BF26" s="20">
        <v>706457460.66325498</v>
      </c>
    </row>
    <row r="27" spans="1:58" ht="45" x14ac:dyDescent="0.15">
      <c r="A27" s="93"/>
      <c r="B27" s="4" t="s">
        <v>33</v>
      </c>
      <c r="C27" s="19" t="s">
        <v>87</v>
      </c>
      <c r="D27" s="20">
        <v>1633653.65806691</v>
      </c>
      <c r="E27" s="20">
        <v>137377.205097078</v>
      </c>
      <c r="F27" s="20">
        <v>3299.56189290866</v>
      </c>
      <c r="G27" s="20">
        <v>67835.345997617202</v>
      </c>
      <c r="H27" s="20">
        <v>4779.0758828880298</v>
      </c>
      <c r="I27" s="20">
        <v>63498.750357734301</v>
      </c>
      <c r="J27" s="20">
        <v>69505.485293589401</v>
      </c>
      <c r="K27" s="20">
        <v>69778.941010616894</v>
      </c>
      <c r="L27" s="20">
        <v>108012.372758994</v>
      </c>
      <c r="M27" s="20">
        <v>42843.272878725897</v>
      </c>
      <c r="N27" s="20">
        <v>152643.88033177101</v>
      </c>
      <c r="O27" s="20">
        <v>41875.393603671699</v>
      </c>
      <c r="P27" s="20">
        <v>24313.253380856</v>
      </c>
      <c r="Q27" s="20">
        <v>62621.1042461217</v>
      </c>
      <c r="R27" s="20">
        <v>37696.937032711998</v>
      </c>
      <c r="S27" s="20">
        <v>1730.54803290979</v>
      </c>
      <c r="T27" s="20">
        <v>65866.299807706106</v>
      </c>
      <c r="U27" s="20">
        <v>2010934.9536918199</v>
      </c>
      <c r="V27" s="20">
        <v>1579977.0574509599</v>
      </c>
      <c r="W27" s="20">
        <v>566701.38138896006</v>
      </c>
      <c r="X27" s="20">
        <v>26429459.433544502</v>
      </c>
      <c r="Y27" s="20">
        <v>415016.33223081799</v>
      </c>
      <c r="Z27" s="20">
        <v>293311.21236644202</v>
      </c>
      <c r="AA27" s="20">
        <v>2270996.1002662899</v>
      </c>
      <c r="AB27" s="20">
        <v>2147.5666799442502</v>
      </c>
      <c r="AC27" s="20">
        <v>2909.1458383651898</v>
      </c>
      <c r="AD27" s="20">
        <v>3349.1709272210301</v>
      </c>
      <c r="AE27" s="20">
        <v>1342301.0627207099</v>
      </c>
      <c r="AF27" s="20">
        <v>33836.107716070197</v>
      </c>
      <c r="AG27" s="20">
        <v>17589480.278308801</v>
      </c>
      <c r="AH27" s="20">
        <v>5954.9325288047003</v>
      </c>
      <c r="AI27" s="20">
        <v>9733.5713622886906</v>
      </c>
      <c r="AJ27" s="20">
        <v>37918.7506338776</v>
      </c>
      <c r="AK27" s="20">
        <v>2136.2818403119099</v>
      </c>
      <c r="AL27" s="20">
        <v>30801.702328791798</v>
      </c>
      <c r="AM27" s="20">
        <v>97615.365861826198</v>
      </c>
      <c r="AN27" s="20">
        <v>159496.18997423799</v>
      </c>
      <c r="AO27" s="20">
        <v>4542218.6420078604</v>
      </c>
      <c r="AP27" s="20">
        <v>18162.665249341801</v>
      </c>
      <c r="AQ27" s="20">
        <v>211712.63319013201</v>
      </c>
      <c r="AR27" s="20">
        <v>18823.8901585928</v>
      </c>
      <c r="AS27" s="20">
        <v>630868.85632389295</v>
      </c>
      <c r="AT27" s="20">
        <v>60823415.429253101</v>
      </c>
      <c r="AU27" s="20">
        <v>5697629.1082278304</v>
      </c>
      <c r="AV27" s="20">
        <v>9025381.5833560508</v>
      </c>
      <c r="AW27" s="20">
        <v>14723010.6915839</v>
      </c>
      <c r="AX27" s="20">
        <v>0</v>
      </c>
      <c r="AY27" s="20">
        <v>14723010.6915839</v>
      </c>
      <c r="AZ27" s="20">
        <v>60601018.913020499</v>
      </c>
      <c r="BA27" s="20">
        <v>109528.026406031</v>
      </c>
      <c r="BB27" s="20">
        <v>60710546.939426497</v>
      </c>
      <c r="BC27" s="20">
        <v>28964418.0481885</v>
      </c>
      <c r="BD27" s="20">
        <v>104397975.679199</v>
      </c>
      <c r="BE27" s="20">
        <v>9207467.0758240409</v>
      </c>
      <c r="BF27" s="20">
        <v>156013924.032628</v>
      </c>
    </row>
    <row r="28" spans="1:58" ht="22.5" x14ac:dyDescent="0.15">
      <c r="A28" s="93"/>
      <c r="B28" s="4" t="s">
        <v>34</v>
      </c>
      <c r="C28" s="19" t="s">
        <v>88</v>
      </c>
      <c r="D28" s="20">
        <v>197717.41518768799</v>
      </c>
      <c r="E28" s="20">
        <v>881627.77806250704</v>
      </c>
      <c r="F28" s="20">
        <v>103121.478636574</v>
      </c>
      <c r="G28" s="20">
        <v>981292.41104552196</v>
      </c>
      <c r="H28" s="20">
        <v>106644.456891027</v>
      </c>
      <c r="I28" s="20">
        <v>653308.46934062603</v>
      </c>
      <c r="J28" s="20">
        <v>495172.500311499</v>
      </c>
      <c r="K28" s="20">
        <v>286554.20689321798</v>
      </c>
      <c r="L28" s="20">
        <v>1752872.2545674001</v>
      </c>
      <c r="M28" s="20">
        <v>180840.089195095</v>
      </c>
      <c r="N28" s="20">
        <v>822089.17390728102</v>
      </c>
      <c r="O28" s="20">
        <v>125439.831913432</v>
      </c>
      <c r="P28" s="20">
        <v>1149003.59757298</v>
      </c>
      <c r="Q28" s="20">
        <v>1447646.24429034</v>
      </c>
      <c r="R28" s="20">
        <v>565778.76574593596</v>
      </c>
      <c r="S28" s="20">
        <v>269475.60754760302</v>
      </c>
      <c r="T28" s="20">
        <v>1218352.28813117</v>
      </c>
      <c r="U28" s="20">
        <v>30663801.736531898</v>
      </c>
      <c r="V28" s="20">
        <v>17420251.047840498</v>
      </c>
      <c r="W28" s="20">
        <v>16970910.7034714</v>
      </c>
      <c r="X28" s="20">
        <v>16325888.3708768</v>
      </c>
      <c r="Y28" s="20">
        <v>117461126.23187301</v>
      </c>
      <c r="Z28" s="20">
        <v>56751423.251501299</v>
      </c>
      <c r="AA28" s="20">
        <v>2060373.1156653999</v>
      </c>
      <c r="AB28" s="20">
        <v>42504095.549183898</v>
      </c>
      <c r="AC28" s="20">
        <v>79167.884545307403</v>
      </c>
      <c r="AD28" s="20">
        <v>81672.392538750602</v>
      </c>
      <c r="AE28" s="20">
        <v>93400845.831815302</v>
      </c>
      <c r="AF28" s="20">
        <v>14542910.593776001</v>
      </c>
      <c r="AG28" s="20">
        <v>5206775.2229577499</v>
      </c>
      <c r="AH28" s="20">
        <v>522242.572353372</v>
      </c>
      <c r="AI28" s="20">
        <v>10616440.492946099</v>
      </c>
      <c r="AJ28" s="20">
        <v>110440.953008636</v>
      </c>
      <c r="AK28" s="20">
        <v>58084.791495129102</v>
      </c>
      <c r="AL28" s="20">
        <v>12746420.9702527</v>
      </c>
      <c r="AM28" s="20">
        <v>7320572.0469589699</v>
      </c>
      <c r="AN28" s="20">
        <v>9868972.9432907794</v>
      </c>
      <c r="AO28" s="20">
        <v>3254772.8784903199</v>
      </c>
      <c r="AP28" s="20">
        <v>94102.024412990198</v>
      </c>
      <c r="AQ28" s="20">
        <v>481029.797254609</v>
      </c>
      <c r="AR28" s="20">
        <v>104873.43936141999</v>
      </c>
      <c r="AS28" s="20">
        <v>3268322.84521895</v>
      </c>
      <c r="AT28" s="20">
        <v>472865900.04996902</v>
      </c>
      <c r="AU28" s="20">
        <v>10878967.9395498</v>
      </c>
      <c r="AV28" s="20">
        <v>29242602.743562698</v>
      </c>
      <c r="AW28" s="20">
        <v>40121570.683112599</v>
      </c>
      <c r="AX28" s="20">
        <v>0</v>
      </c>
      <c r="AY28" s="20">
        <v>40121570.683112599</v>
      </c>
      <c r="AZ28" s="20">
        <v>63813745.932882003</v>
      </c>
      <c r="BA28" s="20">
        <v>752723.18437021005</v>
      </c>
      <c r="BB28" s="20">
        <v>64566469.117252298</v>
      </c>
      <c r="BC28" s="20">
        <v>170548525.74938399</v>
      </c>
      <c r="BD28" s="20">
        <v>275236565.549748</v>
      </c>
      <c r="BE28" s="20">
        <v>50436211.012560003</v>
      </c>
      <c r="BF28" s="20">
        <v>697666254.58715796</v>
      </c>
    </row>
    <row r="29" spans="1:58" ht="45" x14ac:dyDescent="0.15">
      <c r="A29" s="93"/>
      <c r="B29" s="4" t="s">
        <v>35</v>
      </c>
      <c r="C29" s="19" t="s">
        <v>89</v>
      </c>
      <c r="D29" s="20">
        <v>331571.92327286699</v>
      </c>
      <c r="E29" s="20">
        <v>360777.60004878597</v>
      </c>
      <c r="F29" s="20">
        <v>869124.76538268302</v>
      </c>
      <c r="G29" s="20">
        <v>145408.002156292</v>
      </c>
      <c r="H29" s="20">
        <v>375468.67917023</v>
      </c>
      <c r="I29" s="20">
        <v>747037.24195235805</v>
      </c>
      <c r="J29" s="20">
        <v>409009.19244003698</v>
      </c>
      <c r="K29" s="20">
        <v>114685.419699634</v>
      </c>
      <c r="L29" s="20">
        <v>3374013.3855403601</v>
      </c>
      <c r="M29" s="20">
        <v>1119303.6177410099</v>
      </c>
      <c r="N29" s="20">
        <v>1074059.68590883</v>
      </c>
      <c r="O29" s="20">
        <v>481071.44129976898</v>
      </c>
      <c r="P29" s="20">
        <v>1201955.6937511</v>
      </c>
      <c r="Q29" s="20">
        <v>1208113.1755727599</v>
      </c>
      <c r="R29" s="20">
        <v>932509.34751355695</v>
      </c>
      <c r="S29" s="20">
        <v>157946.37516031301</v>
      </c>
      <c r="T29" s="20">
        <v>965077.73084339395</v>
      </c>
      <c r="U29" s="20">
        <v>25381587.3322048</v>
      </c>
      <c r="V29" s="20">
        <v>27022920.555623099</v>
      </c>
      <c r="W29" s="20">
        <v>16792407.243783802</v>
      </c>
      <c r="X29" s="20">
        <v>8374607.9499963196</v>
      </c>
      <c r="Y29" s="20">
        <v>53832828.6339688</v>
      </c>
      <c r="Z29" s="20">
        <v>603819523.000826</v>
      </c>
      <c r="AA29" s="20">
        <v>2302751.1303630099</v>
      </c>
      <c r="AB29" s="20">
        <v>17376246.384032998</v>
      </c>
      <c r="AC29" s="20">
        <v>181125.68877307299</v>
      </c>
      <c r="AD29" s="20">
        <v>131744.26850608201</v>
      </c>
      <c r="AE29" s="20">
        <v>13384228.346578401</v>
      </c>
      <c r="AF29" s="20">
        <v>8333877.7981027002</v>
      </c>
      <c r="AG29" s="20">
        <v>6813502.5938912099</v>
      </c>
      <c r="AH29" s="20">
        <v>1176063.9398599199</v>
      </c>
      <c r="AI29" s="20">
        <v>56611169.591117397</v>
      </c>
      <c r="AJ29" s="20">
        <v>1165549.52734219</v>
      </c>
      <c r="AK29" s="20">
        <v>447000.472689652</v>
      </c>
      <c r="AL29" s="20">
        <v>22296948.636496801</v>
      </c>
      <c r="AM29" s="20">
        <v>16278535.2568956</v>
      </c>
      <c r="AN29" s="20">
        <v>48000174.052217603</v>
      </c>
      <c r="AO29" s="20">
        <v>12802603.0218603</v>
      </c>
      <c r="AP29" s="20">
        <v>5849192.9874777598</v>
      </c>
      <c r="AQ29" s="20">
        <v>1202627.02425139</v>
      </c>
      <c r="AR29" s="20">
        <v>1117205.07324635</v>
      </c>
      <c r="AS29" s="20">
        <v>6557094.8933862802</v>
      </c>
      <c r="AT29" s="20">
        <v>971003963.26124597</v>
      </c>
      <c r="AU29" s="20">
        <v>15240055.9404142</v>
      </c>
      <c r="AV29" s="20">
        <v>51826486.888728797</v>
      </c>
      <c r="AW29" s="20">
        <v>67066542.829143099</v>
      </c>
      <c r="AX29" s="20">
        <v>0</v>
      </c>
      <c r="AY29" s="20">
        <v>67066542.829143099</v>
      </c>
      <c r="AZ29" s="20">
        <v>107099836.458124</v>
      </c>
      <c r="BA29" s="20">
        <v>6140154.9455792503</v>
      </c>
      <c r="BB29" s="20">
        <v>113239991.403703</v>
      </c>
      <c r="BC29" s="20">
        <v>439367334.97759402</v>
      </c>
      <c r="BD29" s="20">
        <v>619673869.21044004</v>
      </c>
      <c r="BE29" s="20">
        <v>402155880.98906702</v>
      </c>
      <c r="BF29" s="20">
        <v>1188521951.48262</v>
      </c>
    </row>
    <row r="30" spans="1:58" ht="67.5" x14ac:dyDescent="0.15">
      <c r="A30" s="93"/>
      <c r="B30" s="4" t="s">
        <v>36</v>
      </c>
      <c r="C30" s="19" t="s">
        <v>90</v>
      </c>
      <c r="D30" s="20">
        <v>164747.47787442</v>
      </c>
      <c r="E30" s="20">
        <v>405514.02869687701</v>
      </c>
      <c r="F30" s="20">
        <v>146894.390608488</v>
      </c>
      <c r="G30" s="20">
        <v>199118.318682827</v>
      </c>
      <c r="H30" s="20">
        <v>133740.27413289601</v>
      </c>
      <c r="I30" s="20">
        <v>651164.66223560495</v>
      </c>
      <c r="J30" s="20">
        <v>1365889.2419316201</v>
      </c>
      <c r="K30" s="20">
        <v>242435.44420260299</v>
      </c>
      <c r="L30" s="20">
        <v>13403852.7991249</v>
      </c>
      <c r="M30" s="20">
        <v>563622.57549381198</v>
      </c>
      <c r="N30" s="20">
        <v>2080644.8010068401</v>
      </c>
      <c r="O30" s="20">
        <v>113887.729667525</v>
      </c>
      <c r="P30" s="20">
        <v>2943239.5497239898</v>
      </c>
      <c r="Q30" s="20">
        <v>3630070.67910031</v>
      </c>
      <c r="R30" s="20">
        <v>53093165.586032197</v>
      </c>
      <c r="S30" s="20">
        <v>13891355.113508901</v>
      </c>
      <c r="T30" s="20">
        <v>8634157.3163604196</v>
      </c>
      <c r="U30" s="20">
        <v>880502.95925384597</v>
      </c>
      <c r="V30" s="20">
        <v>861292.65728146199</v>
      </c>
      <c r="W30" s="20">
        <v>847818.19447725499</v>
      </c>
      <c r="X30" s="20">
        <v>612599.36564607301</v>
      </c>
      <c r="Y30" s="20">
        <v>953658.57623559504</v>
      </c>
      <c r="Z30" s="20">
        <v>1492023.5335540599</v>
      </c>
      <c r="AA30" s="20">
        <v>13185015.9538418</v>
      </c>
      <c r="AB30" s="20">
        <v>3665815.02354141</v>
      </c>
      <c r="AC30" s="20">
        <v>154857.195317682</v>
      </c>
      <c r="AD30" s="20">
        <v>89102.353197733595</v>
      </c>
      <c r="AE30" s="20">
        <v>3882686.3362354101</v>
      </c>
      <c r="AF30" s="20">
        <v>133738.98332051601</v>
      </c>
      <c r="AG30" s="20">
        <v>1407910.2921991199</v>
      </c>
      <c r="AH30" s="20">
        <v>205188.88588644299</v>
      </c>
      <c r="AI30" s="20">
        <v>462987.37195750099</v>
      </c>
      <c r="AJ30" s="20">
        <v>72347.132271356299</v>
      </c>
      <c r="AK30" s="20">
        <v>1286923.14998262</v>
      </c>
      <c r="AL30" s="20">
        <v>8954361.7373353001</v>
      </c>
      <c r="AM30" s="20">
        <v>1783852.69528289</v>
      </c>
      <c r="AN30" s="20">
        <v>5440678.9545661397</v>
      </c>
      <c r="AO30" s="20">
        <v>2143669.9012925201</v>
      </c>
      <c r="AP30" s="20">
        <v>265892.83775368001</v>
      </c>
      <c r="AQ30" s="20">
        <v>216482.433895731</v>
      </c>
      <c r="AR30" s="20">
        <v>626246.26319446799</v>
      </c>
      <c r="AS30" s="20">
        <v>1384717.8866036299</v>
      </c>
      <c r="AT30" s="20">
        <v>152431435.21830601</v>
      </c>
      <c r="AU30" s="20">
        <v>1188015.9589508199</v>
      </c>
      <c r="AV30" s="20">
        <v>3366560.1635568701</v>
      </c>
      <c r="AW30" s="20">
        <v>4554576.1225076802</v>
      </c>
      <c r="AX30" s="20">
        <v>0</v>
      </c>
      <c r="AY30" s="20">
        <v>0</v>
      </c>
      <c r="AZ30" s="20">
        <v>1945824.4473167399</v>
      </c>
      <c r="BA30" s="20">
        <v>0</v>
      </c>
      <c r="BB30" s="20">
        <v>1945824.4473167399</v>
      </c>
      <c r="BC30" s="20">
        <v>5279719.0121863401</v>
      </c>
      <c r="BD30" s="20">
        <v>7225543.4595030798</v>
      </c>
      <c r="BE30" s="20">
        <v>2317558.0961611802</v>
      </c>
      <c r="BF30" s="20">
        <v>20697060.147269402</v>
      </c>
    </row>
    <row r="31" spans="1:58" ht="22.5" x14ac:dyDescent="0.15">
      <c r="A31" s="93"/>
      <c r="B31" s="4" t="s">
        <v>37</v>
      </c>
      <c r="C31" s="19" t="s">
        <v>91</v>
      </c>
      <c r="D31" s="20">
        <v>10632509.685994901</v>
      </c>
      <c r="E31" s="20">
        <v>8492039.3265241291</v>
      </c>
      <c r="F31" s="20">
        <v>3827929.6782418001</v>
      </c>
      <c r="G31" s="20">
        <v>14593431.6584963</v>
      </c>
      <c r="H31" s="20">
        <v>481039.22682557401</v>
      </c>
      <c r="I31" s="20">
        <v>8337210.0737607097</v>
      </c>
      <c r="J31" s="20">
        <v>9271306.1659300793</v>
      </c>
      <c r="K31" s="20">
        <v>5198622.9815821303</v>
      </c>
      <c r="L31" s="20">
        <v>12650200.924738299</v>
      </c>
      <c r="M31" s="20">
        <v>8918733.7900041603</v>
      </c>
      <c r="N31" s="20">
        <v>41485169.034775697</v>
      </c>
      <c r="O31" s="20">
        <v>4492909.9962751605</v>
      </c>
      <c r="P31" s="20">
        <v>6429846.75502072</v>
      </c>
      <c r="Q31" s="20">
        <v>36511483.283643097</v>
      </c>
      <c r="R31" s="20">
        <v>34770410.734096497</v>
      </c>
      <c r="S31" s="20">
        <v>28693763.723575801</v>
      </c>
      <c r="T31" s="20">
        <v>23642420.6271042</v>
      </c>
      <c r="U31" s="20">
        <v>9037398.2731788196</v>
      </c>
      <c r="V31" s="20">
        <v>5826705.6488526901</v>
      </c>
      <c r="W31" s="20">
        <v>5789468.1708769798</v>
      </c>
      <c r="X31" s="20">
        <v>1608516.3967347201</v>
      </c>
      <c r="Y31" s="20">
        <v>8301003.1445472101</v>
      </c>
      <c r="Z31" s="20">
        <v>11503234.3090018</v>
      </c>
      <c r="AA31" s="20">
        <v>2024340.4440145099</v>
      </c>
      <c r="AB31" s="20">
        <v>207763089.590819</v>
      </c>
      <c r="AC31" s="20">
        <v>1989258.6932657999</v>
      </c>
      <c r="AD31" s="20">
        <v>5177395.5040959297</v>
      </c>
      <c r="AE31" s="20">
        <v>41785891.453726701</v>
      </c>
      <c r="AF31" s="20">
        <v>12653101.4524859</v>
      </c>
      <c r="AG31" s="20">
        <v>16559627.487119701</v>
      </c>
      <c r="AH31" s="20">
        <v>4171232.3615359901</v>
      </c>
      <c r="AI31" s="20">
        <v>9487206.2947387099</v>
      </c>
      <c r="AJ31" s="20">
        <v>4342106.1335527599</v>
      </c>
      <c r="AK31" s="20">
        <v>4550954.1046263101</v>
      </c>
      <c r="AL31" s="20">
        <v>3785533.7397023598</v>
      </c>
      <c r="AM31" s="20">
        <v>3096348.0609721499</v>
      </c>
      <c r="AN31" s="20">
        <v>2489328.2551162899</v>
      </c>
      <c r="AO31" s="20">
        <v>3425610.48251737</v>
      </c>
      <c r="AP31" s="20">
        <v>3442352.6814395399</v>
      </c>
      <c r="AQ31" s="20">
        <v>3190635.0215070802</v>
      </c>
      <c r="AR31" s="20">
        <v>1566849.4882740499</v>
      </c>
      <c r="AS31" s="20">
        <v>10257739.6612089</v>
      </c>
      <c r="AT31" s="39">
        <v>637055331.53891802</v>
      </c>
      <c r="AU31" s="40">
        <v>12007734.9831194</v>
      </c>
      <c r="AV31" s="40">
        <v>49517677.873736903</v>
      </c>
      <c r="AW31" s="39">
        <v>61525412.856856301</v>
      </c>
      <c r="AX31" s="40">
        <v>0</v>
      </c>
      <c r="AY31" s="39">
        <v>61525412.856856301</v>
      </c>
      <c r="AZ31" s="40">
        <v>0</v>
      </c>
      <c r="BA31" s="40">
        <v>0</v>
      </c>
      <c r="BB31" s="39">
        <v>0</v>
      </c>
      <c r="BC31" s="40">
        <v>1045039.7484</v>
      </c>
      <c r="BD31" s="58">
        <v>62570452.605256297</v>
      </c>
      <c r="BE31" s="40">
        <v>123218.4412</v>
      </c>
      <c r="BF31" s="41">
        <v>699502565.70297396</v>
      </c>
    </row>
    <row r="32" spans="1:58" ht="22.5" x14ac:dyDescent="0.15">
      <c r="A32" s="93"/>
      <c r="B32" s="4" t="s">
        <v>38</v>
      </c>
      <c r="C32" s="21" t="s">
        <v>92</v>
      </c>
      <c r="D32" s="20">
        <v>158734.702636481</v>
      </c>
      <c r="E32" s="20">
        <v>28901.4549832347</v>
      </c>
      <c r="F32" s="20">
        <v>21479.904192603601</v>
      </c>
      <c r="G32" s="20">
        <v>23210.4423339237</v>
      </c>
      <c r="H32" s="20">
        <v>66417.539930823696</v>
      </c>
      <c r="I32" s="20">
        <v>443352.99437906401</v>
      </c>
      <c r="J32" s="20">
        <v>187804.34269080599</v>
      </c>
      <c r="K32" s="20">
        <v>26205.230886828998</v>
      </c>
      <c r="L32" s="20">
        <v>455864.76763070998</v>
      </c>
      <c r="M32" s="20">
        <v>817644.24839578895</v>
      </c>
      <c r="N32" s="20">
        <v>2010632.1788910399</v>
      </c>
      <c r="O32" s="20">
        <v>3228.6624178986499</v>
      </c>
      <c r="P32" s="20">
        <v>5038.3119184469597</v>
      </c>
      <c r="Q32" s="20">
        <v>240915.818847029</v>
      </c>
      <c r="R32" s="20">
        <v>233825.70539204401</v>
      </c>
      <c r="S32" s="20">
        <v>69857.983572238896</v>
      </c>
      <c r="T32" s="20">
        <v>440098.52054863202</v>
      </c>
      <c r="U32" s="20">
        <v>183042.98405176101</v>
      </c>
      <c r="V32" s="20">
        <v>306402.22007457301</v>
      </c>
      <c r="W32" s="20">
        <v>104306.632854689</v>
      </c>
      <c r="X32" s="20">
        <v>136222.61171656</v>
      </c>
      <c r="Y32" s="20">
        <v>250330.61046927501</v>
      </c>
      <c r="Z32" s="20">
        <v>139669.20555458</v>
      </c>
      <c r="AA32" s="20">
        <v>421341.49805195199</v>
      </c>
      <c r="AB32" s="20">
        <v>1999455.2125124999</v>
      </c>
      <c r="AC32" s="20">
        <v>9988214.6152514108</v>
      </c>
      <c r="AD32" s="20">
        <v>577.10973224771101</v>
      </c>
      <c r="AE32" s="20">
        <v>43646.7161920363</v>
      </c>
      <c r="AF32" s="20">
        <v>108729.406380966</v>
      </c>
      <c r="AG32" s="20">
        <v>19661653.7984179</v>
      </c>
      <c r="AH32" s="20">
        <v>2563138.31292585</v>
      </c>
      <c r="AI32" s="20">
        <v>79885.205672357595</v>
      </c>
      <c r="AJ32" s="20">
        <v>29927.4073905187</v>
      </c>
      <c r="AK32" s="20">
        <v>2003956.33127242</v>
      </c>
      <c r="AL32" s="20">
        <v>461291.884655495</v>
      </c>
      <c r="AM32" s="20">
        <v>181897.00048366399</v>
      </c>
      <c r="AN32" s="20">
        <v>211884.969231725</v>
      </c>
      <c r="AO32" s="20">
        <v>1107430.7801409401</v>
      </c>
      <c r="AP32" s="20">
        <v>533949.62356846302</v>
      </c>
      <c r="AQ32" s="20">
        <v>253896.226234584</v>
      </c>
      <c r="AR32" s="20">
        <v>279996.55674751702</v>
      </c>
      <c r="AS32" s="20">
        <v>347185.736217506</v>
      </c>
      <c r="AT32" s="39">
        <v>46605040.234562203</v>
      </c>
      <c r="AU32" s="40">
        <v>1394219.1029457999</v>
      </c>
      <c r="AV32" s="40">
        <v>32378337.354393002</v>
      </c>
      <c r="AW32" s="39">
        <v>33772556.457338803</v>
      </c>
      <c r="AX32" s="40">
        <v>0</v>
      </c>
      <c r="AY32" s="39">
        <v>33772556.457338803</v>
      </c>
      <c r="AZ32" s="40">
        <v>0</v>
      </c>
      <c r="BA32" s="40">
        <v>893408.64044541295</v>
      </c>
      <c r="BB32" s="39">
        <v>893408.64044541295</v>
      </c>
      <c r="BC32" s="40">
        <v>0</v>
      </c>
      <c r="BD32" s="58">
        <v>34665965.097784303</v>
      </c>
      <c r="BE32" s="40">
        <v>0</v>
      </c>
      <c r="BF32" s="41">
        <v>81271005.332346603</v>
      </c>
    </row>
    <row r="33" spans="1:58" ht="22.5" x14ac:dyDescent="0.15">
      <c r="A33" s="93"/>
      <c r="B33" s="4" t="s">
        <v>39</v>
      </c>
      <c r="C33" s="21" t="s">
        <v>93</v>
      </c>
      <c r="D33" s="20">
        <v>41316.588252533198</v>
      </c>
      <c r="E33" s="20">
        <v>56861.257707942998</v>
      </c>
      <c r="F33" s="20">
        <v>66724.691130288003</v>
      </c>
      <c r="G33" s="20">
        <v>75500.916232385003</v>
      </c>
      <c r="H33" s="20">
        <v>15289.876303716201</v>
      </c>
      <c r="I33" s="20">
        <v>1176862.5578435501</v>
      </c>
      <c r="J33" s="20">
        <v>280582.66604564601</v>
      </c>
      <c r="K33" s="20">
        <v>118367.57321422199</v>
      </c>
      <c r="L33" s="20">
        <v>442167.91749623301</v>
      </c>
      <c r="M33" s="20">
        <v>149328.75506023099</v>
      </c>
      <c r="N33" s="20">
        <v>481011.19009596203</v>
      </c>
      <c r="O33" s="20">
        <v>235131.24611225101</v>
      </c>
      <c r="P33" s="20">
        <v>150793.20284570201</v>
      </c>
      <c r="Q33" s="20">
        <v>532732.64514070202</v>
      </c>
      <c r="R33" s="20">
        <v>313577.763558793</v>
      </c>
      <c r="S33" s="20">
        <v>110786.029679926</v>
      </c>
      <c r="T33" s="20">
        <v>157179.32835927201</v>
      </c>
      <c r="U33" s="20">
        <v>340480.59486597299</v>
      </c>
      <c r="V33" s="20">
        <v>185550.30952927901</v>
      </c>
      <c r="W33" s="20">
        <v>167372.94243364499</v>
      </c>
      <c r="X33" s="20">
        <v>121137.104951136</v>
      </c>
      <c r="Y33" s="20">
        <v>405654.938503351</v>
      </c>
      <c r="Z33" s="20">
        <v>532648.03583173396</v>
      </c>
      <c r="AA33" s="20">
        <v>182154.691878221</v>
      </c>
      <c r="AB33" s="20">
        <v>1234128.68752964</v>
      </c>
      <c r="AC33" s="20">
        <v>36613.344005373401</v>
      </c>
      <c r="AD33" s="20">
        <v>2092918.6371561601</v>
      </c>
      <c r="AE33" s="20">
        <v>2894162.0483027301</v>
      </c>
      <c r="AF33" s="20">
        <v>552057.35316751699</v>
      </c>
      <c r="AG33" s="20">
        <v>496240.20191985503</v>
      </c>
      <c r="AH33" s="20">
        <v>1161758.0917028401</v>
      </c>
      <c r="AI33" s="20">
        <v>269693.69170390099</v>
      </c>
      <c r="AJ33" s="20">
        <v>367635.55861132202</v>
      </c>
      <c r="AK33" s="20">
        <v>556423.34696311899</v>
      </c>
      <c r="AL33" s="20">
        <v>119223.28508387999</v>
      </c>
      <c r="AM33" s="20">
        <v>505701.343195469</v>
      </c>
      <c r="AN33" s="20">
        <v>125838.583104519</v>
      </c>
      <c r="AO33" s="20">
        <v>426824.19165027101</v>
      </c>
      <c r="AP33" s="20">
        <v>435482.55695067899</v>
      </c>
      <c r="AQ33" s="20">
        <v>316913.101361849</v>
      </c>
      <c r="AR33" s="20">
        <v>273234.61167785601</v>
      </c>
      <c r="AS33" s="20">
        <v>903821.15177748597</v>
      </c>
      <c r="AT33" s="39">
        <v>18989515.0357229</v>
      </c>
      <c r="AU33" s="40">
        <v>2708952.0732222698</v>
      </c>
      <c r="AV33" s="40">
        <v>18088343.402777299</v>
      </c>
      <c r="AW33" s="39">
        <v>20797295.475999601</v>
      </c>
      <c r="AX33" s="40">
        <v>0</v>
      </c>
      <c r="AY33" s="39">
        <v>20797295.475999601</v>
      </c>
      <c r="AZ33" s="40">
        <v>0</v>
      </c>
      <c r="BA33" s="40">
        <v>891741.45750941802</v>
      </c>
      <c r="BB33" s="39">
        <v>891741.45750941802</v>
      </c>
      <c r="BC33" s="40">
        <v>0</v>
      </c>
      <c r="BD33" s="58">
        <v>21689036.933509</v>
      </c>
      <c r="BE33" s="40">
        <v>0</v>
      </c>
      <c r="BF33" s="41">
        <v>40678551.969231904</v>
      </c>
    </row>
    <row r="34" spans="1:58" x14ac:dyDescent="0.15">
      <c r="A34" s="93"/>
      <c r="B34" s="4" t="s">
        <v>40</v>
      </c>
      <c r="C34" s="21" t="s">
        <v>94</v>
      </c>
      <c r="D34" s="20">
        <v>767866.27291258995</v>
      </c>
      <c r="E34" s="20">
        <v>136712.76462960101</v>
      </c>
      <c r="F34" s="20">
        <v>28483.4786058051</v>
      </c>
      <c r="G34" s="20">
        <v>39555.2327590926</v>
      </c>
      <c r="H34" s="20">
        <v>5924.7935314633096</v>
      </c>
      <c r="I34" s="20">
        <v>215253.65315689999</v>
      </c>
      <c r="J34" s="20">
        <v>226716.426076526</v>
      </c>
      <c r="K34" s="20">
        <v>132624.129456814</v>
      </c>
      <c r="L34" s="20">
        <v>238488.81530050599</v>
      </c>
      <c r="M34" s="20">
        <v>50165.433194638303</v>
      </c>
      <c r="N34" s="20">
        <v>339457.69367522199</v>
      </c>
      <c r="O34" s="20">
        <v>62322.093986348002</v>
      </c>
      <c r="P34" s="20">
        <v>93738.603114202997</v>
      </c>
      <c r="Q34" s="20">
        <v>162675.607305991</v>
      </c>
      <c r="R34" s="20">
        <v>95544.614739968194</v>
      </c>
      <c r="S34" s="20">
        <v>78767.820339656595</v>
      </c>
      <c r="T34" s="20">
        <v>112818.398974717</v>
      </c>
      <c r="U34" s="20">
        <v>310533.93412080401</v>
      </c>
      <c r="V34" s="20">
        <v>124690.040871795</v>
      </c>
      <c r="W34" s="20">
        <v>139887.315349785</v>
      </c>
      <c r="X34" s="20">
        <v>47393.878590150103</v>
      </c>
      <c r="Y34" s="20">
        <v>180123.420648795</v>
      </c>
      <c r="Z34" s="20">
        <v>667409.93998919497</v>
      </c>
      <c r="AA34" s="20">
        <v>89637.304741633401</v>
      </c>
      <c r="AB34" s="20">
        <v>2679712.7946501598</v>
      </c>
      <c r="AC34" s="20">
        <v>28595.2440077961</v>
      </c>
      <c r="AD34" s="20">
        <v>75522.733505083699</v>
      </c>
      <c r="AE34" s="20">
        <v>102777626.861809</v>
      </c>
      <c r="AF34" s="20">
        <v>1487150.4145561899</v>
      </c>
      <c r="AG34" s="20">
        <v>2015285.3911783299</v>
      </c>
      <c r="AH34" s="20">
        <v>901665.81305564696</v>
      </c>
      <c r="AI34" s="20">
        <v>954151.50461212103</v>
      </c>
      <c r="AJ34" s="20">
        <v>2489999.29194621</v>
      </c>
      <c r="AK34" s="20">
        <v>14193938.3943872</v>
      </c>
      <c r="AL34" s="20">
        <v>445793.24860177102</v>
      </c>
      <c r="AM34" s="20">
        <v>424334.51161238598</v>
      </c>
      <c r="AN34" s="20">
        <v>514616.38248372899</v>
      </c>
      <c r="AO34" s="20">
        <v>528902.69084494305</v>
      </c>
      <c r="AP34" s="20">
        <v>3319541.48031619</v>
      </c>
      <c r="AQ34" s="20">
        <v>1071607.6873737201</v>
      </c>
      <c r="AR34" s="20">
        <v>993565.57971969096</v>
      </c>
      <c r="AS34" s="20">
        <v>10876464.686654501</v>
      </c>
      <c r="AT34" s="20">
        <v>149992642.24792999</v>
      </c>
      <c r="AU34" s="20">
        <v>0</v>
      </c>
      <c r="AV34" s="20">
        <v>0</v>
      </c>
      <c r="AW34" s="20">
        <v>0</v>
      </c>
      <c r="AX34" s="20">
        <v>0</v>
      </c>
      <c r="AY34" s="20">
        <v>0</v>
      </c>
      <c r="AZ34" s="20">
        <v>2707176325.74966</v>
      </c>
      <c r="BA34" s="20">
        <v>0</v>
      </c>
      <c r="BB34" s="20">
        <v>2707176325.74966</v>
      </c>
      <c r="BC34" s="20">
        <v>8681061.2808516994</v>
      </c>
      <c r="BD34" s="20">
        <v>2715857387.03052</v>
      </c>
      <c r="BE34" s="20">
        <v>5545047.8637640001</v>
      </c>
      <c r="BF34" s="20">
        <v>2860304981.41468</v>
      </c>
    </row>
    <row r="35" spans="1:58" x14ac:dyDescent="0.15">
      <c r="A35" s="93"/>
      <c r="B35" s="4" t="s">
        <v>41</v>
      </c>
      <c r="C35" s="21" t="s">
        <v>95</v>
      </c>
      <c r="D35" s="20">
        <v>32445341.8210967</v>
      </c>
      <c r="E35" s="20">
        <v>6037786.7320662104</v>
      </c>
      <c r="F35" s="20">
        <v>775392.27401589404</v>
      </c>
      <c r="G35" s="20">
        <v>4137179.2881825902</v>
      </c>
      <c r="H35" s="20">
        <v>811001.70867601898</v>
      </c>
      <c r="I35" s="20">
        <v>81687886.060643494</v>
      </c>
      <c r="J35" s="20">
        <v>49418319.526525803</v>
      </c>
      <c r="K35" s="20">
        <v>23952570.404968601</v>
      </c>
      <c r="L35" s="20">
        <v>51727062.722152598</v>
      </c>
      <c r="M35" s="20">
        <v>10885899.5352103</v>
      </c>
      <c r="N35" s="20">
        <v>35967199.2637394</v>
      </c>
      <c r="O35" s="20">
        <v>19903155.950842701</v>
      </c>
      <c r="P35" s="20">
        <v>19717113.371896099</v>
      </c>
      <c r="Q35" s="20">
        <v>37090632.127917603</v>
      </c>
      <c r="R35" s="20">
        <v>18088633.433522701</v>
      </c>
      <c r="S35" s="20">
        <v>13482091.1086585</v>
      </c>
      <c r="T35" s="20">
        <v>22175914.737617198</v>
      </c>
      <c r="U35" s="20">
        <v>27687169.007828999</v>
      </c>
      <c r="V35" s="20">
        <v>19596217.765617799</v>
      </c>
      <c r="W35" s="20">
        <v>54110905.513489</v>
      </c>
      <c r="X35" s="20">
        <v>10569374.970818</v>
      </c>
      <c r="Y35" s="20">
        <v>42723961.570809498</v>
      </c>
      <c r="Z35" s="20">
        <v>59473321.116125599</v>
      </c>
      <c r="AA35" s="20">
        <v>4006169.6424203599</v>
      </c>
      <c r="AB35" s="20">
        <v>15451656.157005301</v>
      </c>
      <c r="AC35" s="20">
        <v>2301900.8425521599</v>
      </c>
      <c r="AD35" s="20">
        <v>565625.06653206202</v>
      </c>
      <c r="AE35" s="20">
        <v>143079872.33824301</v>
      </c>
      <c r="AF35" s="20">
        <v>11226156.781745801</v>
      </c>
      <c r="AG35" s="20">
        <v>35456523.308043502</v>
      </c>
      <c r="AH35" s="20">
        <v>28035741.060201</v>
      </c>
      <c r="AI35" s="20">
        <v>15872913.5323215</v>
      </c>
      <c r="AJ35" s="20">
        <v>5735570.8359558098</v>
      </c>
      <c r="AK35" s="20">
        <v>3311533.5759604299</v>
      </c>
      <c r="AL35" s="20">
        <v>34868107.184738502</v>
      </c>
      <c r="AM35" s="20">
        <v>7310894.07936115</v>
      </c>
      <c r="AN35" s="20">
        <v>13897489.3645106</v>
      </c>
      <c r="AO35" s="20">
        <v>8483107.7031672597</v>
      </c>
      <c r="AP35" s="20">
        <v>6371391.4748348603</v>
      </c>
      <c r="AQ35" s="20">
        <v>34246220.181799702</v>
      </c>
      <c r="AR35" s="20">
        <v>4838226.8271174803</v>
      </c>
      <c r="AS35" s="20">
        <v>15105573.595953301</v>
      </c>
      <c r="AT35" s="20">
        <v>1008676233.15992</v>
      </c>
      <c r="AU35" s="20">
        <v>51457511.092132501</v>
      </c>
      <c r="AV35" s="20">
        <v>166522713.313402</v>
      </c>
      <c r="AW35" s="20">
        <v>217980224.405534</v>
      </c>
      <c r="AX35" s="20">
        <v>0</v>
      </c>
      <c r="AY35" s="20">
        <v>217980224.405534</v>
      </c>
      <c r="AZ35" s="20">
        <v>84921149.455762297</v>
      </c>
      <c r="BA35" s="20">
        <v>8345553.6658840599</v>
      </c>
      <c r="BB35" s="20">
        <v>93266703.121646494</v>
      </c>
      <c r="BC35" s="20">
        <v>178591537.87247801</v>
      </c>
      <c r="BD35" s="20">
        <v>489838465.39965898</v>
      </c>
      <c r="BE35" s="20">
        <v>0</v>
      </c>
      <c r="BF35" s="20">
        <v>1498514698.5595801</v>
      </c>
    </row>
    <row r="36" spans="1:58" ht="22.5" x14ac:dyDescent="0.15">
      <c r="A36" s="93"/>
      <c r="B36" s="4" t="s">
        <v>42</v>
      </c>
      <c r="C36" s="21" t="s">
        <v>96</v>
      </c>
      <c r="D36" s="20">
        <v>25502816.8995248</v>
      </c>
      <c r="E36" s="20">
        <v>5466615.4697256703</v>
      </c>
      <c r="F36" s="20">
        <v>662325.93177021295</v>
      </c>
      <c r="G36" s="20">
        <v>3705387.6243679901</v>
      </c>
      <c r="H36" s="20">
        <v>459922.389176214</v>
      </c>
      <c r="I36" s="20">
        <v>33568250.7764825</v>
      </c>
      <c r="J36" s="20">
        <v>30654371.8358142</v>
      </c>
      <c r="K36" s="20">
        <v>8982067.3529972397</v>
      </c>
      <c r="L36" s="20">
        <v>20843806.401541501</v>
      </c>
      <c r="M36" s="20">
        <v>11193285.5741792</v>
      </c>
      <c r="N36" s="20">
        <v>31172179.9123803</v>
      </c>
      <c r="O36" s="20">
        <v>11209228.5782545</v>
      </c>
      <c r="P36" s="20">
        <v>13733058.033603299</v>
      </c>
      <c r="Q36" s="20">
        <v>25345785.753468301</v>
      </c>
      <c r="R36" s="20">
        <v>19869246.551746801</v>
      </c>
      <c r="S36" s="20">
        <v>13197425.411509201</v>
      </c>
      <c r="T36" s="20">
        <v>15073279.3625574</v>
      </c>
      <c r="U36" s="20">
        <v>16500075.924443601</v>
      </c>
      <c r="V36" s="20">
        <v>14118443.387983499</v>
      </c>
      <c r="W36" s="20">
        <v>24769356.2474804</v>
      </c>
      <c r="X36" s="20">
        <v>4521511.0037380997</v>
      </c>
      <c r="Y36" s="20">
        <v>22153380.483358599</v>
      </c>
      <c r="Z36" s="20">
        <v>18528288.710067999</v>
      </c>
      <c r="AA36" s="20">
        <v>2444020.0275438898</v>
      </c>
      <c r="AB36" s="20">
        <v>12897844.057169201</v>
      </c>
      <c r="AC36" s="20">
        <v>1690453.88206179</v>
      </c>
      <c r="AD36" s="20">
        <v>399060.12304012902</v>
      </c>
      <c r="AE36" s="20">
        <v>77457881.624707803</v>
      </c>
      <c r="AF36" s="20">
        <v>90975726.641584098</v>
      </c>
      <c r="AG36" s="20">
        <v>173252511.26195401</v>
      </c>
      <c r="AH36" s="20">
        <v>15280892.5786233</v>
      </c>
      <c r="AI36" s="20">
        <v>13780271.547948699</v>
      </c>
      <c r="AJ36" s="20">
        <v>13542347.8239497</v>
      </c>
      <c r="AK36" s="20">
        <v>4279025.9934587199</v>
      </c>
      <c r="AL36" s="20">
        <v>57539641.480696499</v>
      </c>
      <c r="AM36" s="20">
        <v>9247844.2679492496</v>
      </c>
      <c r="AN36" s="20">
        <v>18900788.576480001</v>
      </c>
      <c r="AO36" s="20">
        <v>7465876.5164753599</v>
      </c>
      <c r="AP36" s="20">
        <v>12170731.8832801</v>
      </c>
      <c r="AQ36" s="20">
        <v>15774297.659290999</v>
      </c>
      <c r="AR36" s="20">
        <v>5216650.8288543904</v>
      </c>
      <c r="AS36" s="20">
        <v>30875236.414519198</v>
      </c>
      <c r="AT36" s="20">
        <v>925439145.45276201</v>
      </c>
      <c r="AU36" s="20">
        <v>30607379.101441901</v>
      </c>
      <c r="AV36" s="20">
        <v>107378578.754783</v>
      </c>
      <c r="AW36" s="20">
        <v>137985957.85622501</v>
      </c>
      <c r="AX36" s="20">
        <v>42787710.951599598</v>
      </c>
      <c r="AY36" s="20">
        <v>180773668.807825</v>
      </c>
      <c r="AZ36" s="20">
        <v>34380961.708352</v>
      </c>
      <c r="BA36" s="20">
        <v>2787948.9429763998</v>
      </c>
      <c r="BB36" s="20">
        <v>37168910.651328497</v>
      </c>
      <c r="BC36" s="20">
        <v>95111712.935939193</v>
      </c>
      <c r="BD36" s="20">
        <v>313054292.39509201</v>
      </c>
      <c r="BE36" s="20">
        <v>39322169.213351302</v>
      </c>
      <c r="BF36" s="20">
        <v>1199171268.6345</v>
      </c>
    </row>
    <row r="37" spans="1:58" x14ac:dyDescent="0.15">
      <c r="A37" s="93"/>
      <c r="B37" s="4" t="s">
        <v>43</v>
      </c>
      <c r="C37" s="21" t="s">
        <v>97</v>
      </c>
      <c r="D37" s="20">
        <v>2365578.9880881701</v>
      </c>
      <c r="E37" s="20">
        <v>762175.49667994701</v>
      </c>
      <c r="F37" s="20">
        <v>199599.92691240201</v>
      </c>
      <c r="G37" s="20">
        <v>842149.98613457906</v>
      </c>
      <c r="H37" s="20">
        <v>109283.546670268</v>
      </c>
      <c r="I37" s="20">
        <v>5081633.5890060896</v>
      </c>
      <c r="J37" s="20">
        <v>2389261.74244902</v>
      </c>
      <c r="K37" s="20">
        <v>1133676.64022426</v>
      </c>
      <c r="L37" s="20">
        <v>3087924.9706234699</v>
      </c>
      <c r="M37" s="20">
        <v>858498.177586523</v>
      </c>
      <c r="N37" s="20">
        <v>3499576.9477412901</v>
      </c>
      <c r="O37" s="20">
        <v>3967101.9921749802</v>
      </c>
      <c r="P37" s="20">
        <v>1394763.17711906</v>
      </c>
      <c r="Q37" s="20">
        <v>4067231.6033907202</v>
      </c>
      <c r="R37" s="20">
        <v>2414344.96716937</v>
      </c>
      <c r="S37" s="20">
        <v>1033268.47012779</v>
      </c>
      <c r="T37" s="20">
        <v>2894258.5718172202</v>
      </c>
      <c r="U37" s="20">
        <v>2733036.73885831</v>
      </c>
      <c r="V37" s="20">
        <v>3475131.3451918298</v>
      </c>
      <c r="W37" s="20">
        <v>2884251.2143198401</v>
      </c>
      <c r="X37" s="20">
        <v>837981.49521439301</v>
      </c>
      <c r="Y37" s="20">
        <v>3803760.4041102901</v>
      </c>
      <c r="Z37" s="20">
        <v>4571761.3817649903</v>
      </c>
      <c r="AA37" s="20">
        <v>553103.52908509702</v>
      </c>
      <c r="AB37" s="20">
        <v>2051215.08631479</v>
      </c>
      <c r="AC37" s="20">
        <v>224739.51470622499</v>
      </c>
      <c r="AD37" s="20">
        <v>196672.810478203</v>
      </c>
      <c r="AE37" s="20">
        <v>14884407.391132699</v>
      </c>
      <c r="AF37" s="20">
        <v>7190141.5956000304</v>
      </c>
      <c r="AG37" s="20">
        <v>21824752.656176601</v>
      </c>
      <c r="AH37" s="20">
        <v>939543.14637547301</v>
      </c>
      <c r="AI37" s="20">
        <v>5890208.15955415</v>
      </c>
      <c r="AJ37" s="20">
        <v>28451801.880011</v>
      </c>
      <c r="AK37" s="20">
        <v>4188796.83246565</v>
      </c>
      <c r="AL37" s="20">
        <v>46050709.454658702</v>
      </c>
      <c r="AM37" s="20">
        <v>9505464.4839702006</v>
      </c>
      <c r="AN37" s="20">
        <v>17842364.908427902</v>
      </c>
      <c r="AO37" s="20">
        <v>3362199.60532963</v>
      </c>
      <c r="AP37" s="20">
        <v>12682565.3168176</v>
      </c>
      <c r="AQ37" s="20">
        <v>1987214.01266115</v>
      </c>
      <c r="AR37" s="20">
        <v>5104499.0634741597</v>
      </c>
      <c r="AS37" s="20">
        <v>38154941.923845701</v>
      </c>
      <c r="AT37" s="20">
        <v>274357916.10423601</v>
      </c>
      <c r="AU37" s="20">
        <v>26632162.7816424</v>
      </c>
      <c r="AV37" s="20">
        <v>156061116.80866599</v>
      </c>
      <c r="AW37" s="20">
        <v>182693279.59030801</v>
      </c>
      <c r="AX37" s="20">
        <v>0</v>
      </c>
      <c r="AY37" s="20">
        <v>182693279.59030801</v>
      </c>
      <c r="AZ37" s="20">
        <v>0</v>
      </c>
      <c r="BA37" s="20">
        <v>0</v>
      </c>
      <c r="BB37" s="20">
        <v>0</v>
      </c>
      <c r="BC37" s="20">
        <v>2705954.49598409</v>
      </c>
      <c r="BD37" s="20">
        <v>185399234.08629301</v>
      </c>
      <c r="BE37" s="20">
        <v>27767390.085102599</v>
      </c>
      <c r="BF37" s="20">
        <v>431989760.105425</v>
      </c>
    </row>
    <row r="38" spans="1:58" ht="33.75" x14ac:dyDescent="0.15">
      <c r="A38" s="93"/>
      <c r="B38" s="4" t="s">
        <v>44</v>
      </c>
      <c r="C38" s="21" t="s">
        <v>98</v>
      </c>
      <c r="D38" s="20">
        <v>2380372.7882407499</v>
      </c>
      <c r="E38" s="20">
        <v>321232.86135543702</v>
      </c>
      <c r="F38" s="20">
        <v>130830.941198361</v>
      </c>
      <c r="G38" s="20">
        <v>660885.16421326098</v>
      </c>
      <c r="H38" s="20">
        <v>51314.843354326003</v>
      </c>
      <c r="I38" s="20">
        <v>2985457.2071557702</v>
      </c>
      <c r="J38" s="20">
        <v>2795304.3033230598</v>
      </c>
      <c r="K38" s="20">
        <v>702160.28093722498</v>
      </c>
      <c r="L38" s="20">
        <v>2870632.0237698499</v>
      </c>
      <c r="M38" s="20">
        <v>297324.707152127</v>
      </c>
      <c r="N38" s="20">
        <v>2928437.6155691799</v>
      </c>
      <c r="O38" s="20">
        <v>1802778.23692655</v>
      </c>
      <c r="P38" s="20">
        <v>1073247.9677768799</v>
      </c>
      <c r="Q38" s="20">
        <v>1879832.34809695</v>
      </c>
      <c r="R38" s="20">
        <v>758487.52028575598</v>
      </c>
      <c r="S38" s="20">
        <v>759639.70492993901</v>
      </c>
      <c r="T38" s="20">
        <v>1666606.6070314299</v>
      </c>
      <c r="U38" s="20">
        <v>3216940.16125764</v>
      </c>
      <c r="V38" s="20">
        <v>2097447.4664449599</v>
      </c>
      <c r="W38" s="20">
        <v>2312784.1849024901</v>
      </c>
      <c r="X38" s="20">
        <v>739434.71481951897</v>
      </c>
      <c r="Y38" s="20">
        <v>3891181.9173671198</v>
      </c>
      <c r="Z38" s="20">
        <v>26849254.1742833</v>
      </c>
      <c r="AA38" s="20">
        <v>290368.47980838799</v>
      </c>
      <c r="AB38" s="20">
        <v>4714676.0832067998</v>
      </c>
      <c r="AC38" s="20">
        <v>378597.82045240502</v>
      </c>
      <c r="AD38" s="20">
        <v>364023.25841085502</v>
      </c>
      <c r="AE38" s="20">
        <v>39431330.986085199</v>
      </c>
      <c r="AF38" s="20">
        <v>11266280.2419986</v>
      </c>
      <c r="AG38" s="20">
        <v>36361881.152962402</v>
      </c>
      <c r="AH38" s="20">
        <v>3189231.6805301402</v>
      </c>
      <c r="AI38" s="20">
        <v>194104989.05070299</v>
      </c>
      <c r="AJ38" s="20">
        <v>41502192.8395724</v>
      </c>
      <c r="AK38" s="20">
        <v>8707730.9318200592</v>
      </c>
      <c r="AL38" s="20">
        <v>14421754.3457487</v>
      </c>
      <c r="AM38" s="20">
        <v>3120866.5165921198</v>
      </c>
      <c r="AN38" s="20">
        <v>11332785.543717699</v>
      </c>
      <c r="AO38" s="20">
        <v>1805080.1013281799</v>
      </c>
      <c r="AP38" s="20">
        <v>10760607.881895101</v>
      </c>
      <c r="AQ38" s="20">
        <v>10365566.128374999</v>
      </c>
      <c r="AR38" s="20">
        <v>2895577.2704651402</v>
      </c>
      <c r="AS38" s="20">
        <v>51257794.8407465</v>
      </c>
      <c r="AT38" s="20">
        <v>508740762.61387402</v>
      </c>
      <c r="AU38" s="20">
        <v>27729871.4639141</v>
      </c>
      <c r="AV38" s="20">
        <v>96992063.336868405</v>
      </c>
      <c r="AW38" s="20">
        <v>124721934.80078299</v>
      </c>
      <c r="AX38" s="20">
        <v>0</v>
      </c>
      <c r="AY38" s="20">
        <v>124721934.80078299</v>
      </c>
      <c r="AZ38" s="20">
        <v>328686630.65903503</v>
      </c>
      <c r="BA38" s="20">
        <v>0</v>
      </c>
      <c r="BB38" s="20">
        <v>328686630.65903503</v>
      </c>
      <c r="BC38" s="20">
        <v>30745009.333072402</v>
      </c>
      <c r="BD38" s="20">
        <v>484153574.79289001</v>
      </c>
      <c r="BE38" s="20">
        <v>27651547.580722298</v>
      </c>
      <c r="BF38" s="20">
        <v>965242789.82604098</v>
      </c>
    </row>
    <row r="39" spans="1:58" x14ac:dyDescent="0.15">
      <c r="A39" s="93"/>
      <c r="B39" s="4" t="s">
        <v>45</v>
      </c>
      <c r="C39" s="21" t="s">
        <v>99</v>
      </c>
      <c r="D39" s="20">
        <v>15766818.180193</v>
      </c>
      <c r="E39" s="20">
        <v>11355297.9950202</v>
      </c>
      <c r="F39" s="20">
        <v>3523955.0546134901</v>
      </c>
      <c r="G39" s="20">
        <v>5093818.7846388901</v>
      </c>
      <c r="H39" s="20">
        <v>364840.56967419299</v>
      </c>
      <c r="I39" s="20">
        <v>6436987.4079373898</v>
      </c>
      <c r="J39" s="20">
        <v>6249925.8013545396</v>
      </c>
      <c r="K39" s="20">
        <v>2488537.4583907099</v>
      </c>
      <c r="L39" s="20">
        <v>8811327.1266631093</v>
      </c>
      <c r="M39" s="20">
        <v>5416578.4359622402</v>
      </c>
      <c r="N39" s="20">
        <v>13092551.2328758</v>
      </c>
      <c r="O39" s="20">
        <v>6602747.3756686496</v>
      </c>
      <c r="P39" s="20">
        <v>4242624.0443470702</v>
      </c>
      <c r="Q39" s="20">
        <v>14297153.9563694</v>
      </c>
      <c r="R39" s="20">
        <v>20570210.4352994</v>
      </c>
      <c r="S39" s="20">
        <v>12597606.312720601</v>
      </c>
      <c r="T39" s="20">
        <v>9590467.50565698</v>
      </c>
      <c r="U39" s="20">
        <v>7295027.1000640998</v>
      </c>
      <c r="V39" s="20">
        <v>7663645.7644708296</v>
      </c>
      <c r="W39" s="20">
        <v>5381052.8415667396</v>
      </c>
      <c r="X39" s="20">
        <v>1960594.08092552</v>
      </c>
      <c r="Y39" s="20">
        <v>9787171.45932322</v>
      </c>
      <c r="Z39" s="20">
        <v>19032060.787423901</v>
      </c>
      <c r="AA39" s="20">
        <v>1872017.3346531701</v>
      </c>
      <c r="AB39" s="20">
        <v>30701715.880519599</v>
      </c>
      <c r="AC39" s="20">
        <v>2949098.61340047</v>
      </c>
      <c r="AD39" s="20">
        <v>2337898.0729335099</v>
      </c>
      <c r="AE39" s="20">
        <v>104688408.690953</v>
      </c>
      <c r="AF39" s="20">
        <v>66615980.037014998</v>
      </c>
      <c r="AG39" s="20">
        <v>112449320.143672</v>
      </c>
      <c r="AH39" s="20">
        <v>4074223.4112146799</v>
      </c>
      <c r="AI39" s="20">
        <v>19132082.7698179</v>
      </c>
      <c r="AJ39" s="20">
        <v>88119497.319638893</v>
      </c>
      <c r="AK39" s="20">
        <v>120667640.234183</v>
      </c>
      <c r="AL39" s="20">
        <v>66178193.697203703</v>
      </c>
      <c r="AM39" s="20">
        <v>2215790.5328792399</v>
      </c>
      <c r="AN39" s="20">
        <v>20409284.7257853</v>
      </c>
      <c r="AO39" s="20">
        <v>3820089.7894017198</v>
      </c>
      <c r="AP39" s="20">
        <v>14202032.2973217</v>
      </c>
      <c r="AQ39" s="20">
        <v>3588207.51262978</v>
      </c>
      <c r="AR39" s="20">
        <v>3870128.1601535399</v>
      </c>
      <c r="AS39" s="20">
        <v>24922671.979609702</v>
      </c>
      <c r="AT39" s="20">
        <v>887946743.45575595</v>
      </c>
      <c r="AU39" s="20">
        <v>42322847.945521198</v>
      </c>
      <c r="AV39" s="20">
        <v>257666069.66063899</v>
      </c>
      <c r="AW39" s="20">
        <v>299988917.606161</v>
      </c>
      <c r="AX39" s="20">
        <v>45102452.991895698</v>
      </c>
      <c r="AY39" s="20">
        <v>345091370.59805697</v>
      </c>
      <c r="AZ39" s="20">
        <v>0</v>
      </c>
      <c r="BA39" s="20">
        <v>0</v>
      </c>
      <c r="BB39" s="20">
        <v>0</v>
      </c>
      <c r="BC39" s="20">
        <v>6895161.3437699499</v>
      </c>
      <c r="BD39" s="20">
        <v>351986531.94182599</v>
      </c>
      <c r="BE39" s="20">
        <v>10563119.925339</v>
      </c>
      <c r="BF39" s="20">
        <v>1229370155.47224</v>
      </c>
    </row>
    <row r="40" spans="1:58" x14ac:dyDescent="0.15">
      <c r="A40" s="93"/>
      <c r="B40" s="4" t="s">
        <v>46</v>
      </c>
      <c r="C40" s="21" t="s">
        <v>100</v>
      </c>
      <c r="D40" s="20">
        <v>20082.659692497</v>
      </c>
      <c r="E40" s="20">
        <v>154368.02123161001</v>
      </c>
      <c r="F40" s="20">
        <v>30567.8260411511</v>
      </c>
      <c r="G40" s="20">
        <v>19898.1266009709</v>
      </c>
      <c r="H40" s="20">
        <v>23226.7155544534</v>
      </c>
      <c r="I40" s="20">
        <v>368861.65740346297</v>
      </c>
      <c r="J40" s="20">
        <v>288885.35468097398</v>
      </c>
      <c r="K40" s="20">
        <v>231530.11877910901</v>
      </c>
      <c r="L40" s="20">
        <v>416231.79099395499</v>
      </c>
      <c r="M40" s="20">
        <v>11998.50796184</v>
      </c>
      <c r="N40" s="20">
        <v>162231.238773794</v>
      </c>
      <c r="O40" s="20">
        <v>83152.339185095101</v>
      </c>
      <c r="P40" s="20">
        <v>382335.98193726502</v>
      </c>
      <c r="Q40" s="20">
        <v>308749.03082849999</v>
      </c>
      <c r="R40" s="20">
        <v>13759.602691317399</v>
      </c>
      <c r="S40" s="20">
        <v>26366.781774939202</v>
      </c>
      <c r="T40" s="20">
        <v>274687.64752175601</v>
      </c>
      <c r="U40" s="20">
        <v>363253.37029321102</v>
      </c>
      <c r="V40" s="20">
        <v>219130.96665667699</v>
      </c>
      <c r="W40" s="20">
        <v>250810.52486964199</v>
      </c>
      <c r="X40" s="20">
        <v>146868.164765758</v>
      </c>
      <c r="Y40" s="20">
        <v>470907.96131708898</v>
      </c>
      <c r="Z40" s="20">
        <v>699524.37305979105</v>
      </c>
      <c r="AA40" s="20">
        <v>307943.65353746398</v>
      </c>
      <c r="AB40" s="20">
        <v>142396.25576479899</v>
      </c>
      <c r="AC40" s="20">
        <v>67003.995144613596</v>
      </c>
      <c r="AD40" s="20">
        <v>57196.021567538002</v>
      </c>
      <c r="AE40" s="20">
        <v>529996.06552817405</v>
      </c>
      <c r="AF40" s="20">
        <v>109562548.179287</v>
      </c>
      <c r="AG40" s="20">
        <v>15294260.5489939</v>
      </c>
      <c r="AH40" s="20">
        <v>18203225.337623</v>
      </c>
      <c r="AI40" s="20">
        <v>63369467.412171103</v>
      </c>
      <c r="AJ40" s="20">
        <v>74704849.541175306</v>
      </c>
      <c r="AK40" s="20">
        <v>44133548.918102302</v>
      </c>
      <c r="AL40" s="20">
        <v>58013520.616728298</v>
      </c>
      <c r="AM40" s="20">
        <v>3738744.5800551898</v>
      </c>
      <c r="AN40" s="20">
        <v>8758746.6943565309</v>
      </c>
      <c r="AO40" s="20">
        <v>30523399.633694999</v>
      </c>
      <c r="AP40" s="20">
        <v>21605085.831631999</v>
      </c>
      <c r="AQ40" s="20">
        <v>7425864.63189016</v>
      </c>
      <c r="AR40" s="20">
        <v>6106378.2433424303</v>
      </c>
      <c r="AS40" s="20">
        <v>16933128.687311999</v>
      </c>
      <c r="AT40" s="39">
        <v>484213203.49174303</v>
      </c>
      <c r="AU40" s="40">
        <v>106799901.48438001</v>
      </c>
      <c r="AV40" s="40">
        <v>442660375.35766399</v>
      </c>
      <c r="AW40" s="39">
        <v>549460276.842044</v>
      </c>
      <c r="AX40" s="40">
        <v>0</v>
      </c>
      <c r="AY40" s="39">
        <v>549460276.842044</v>
      </c>
      <c r="AZ40" s="40">
        <v>32960000</v>
      </c>
      <c r="BA40" s="40">
        <v>0</v>
      </c>
      <c r="BB40" s="39">
        <v>32960000</v>
      </c>
      <c r="BC40" s="40">
        <v>0</v>
      </c>
      <c r="BD40" s="58">
        <v>582420276.842044</v>
      </c>
      <c r="BE40" s="40">
        <v>0</v>
      </c>
      <c r="BF40" s="41">
        <v>1066633480.3337899</v>
      </c>
    </row>
    <row r="41" spans="1:58" ht="22.5" x14ac:dyDescent="0.15">
      <c r="A41" s="93"/>
      <c r="B41" s="4" t="s">
        <v>47</v>
      </c>
      <c r="C41" s="21" t="s">
        <v>101</v>
      </c>
      <c r="D41" s="20">
        <v>3129882.2488734</v>
      </c>
      <c r="E41" s="20">
        <v>7849725.1383739896</v>
      </c>
      <c r="F41" s="20">
        <v>1555028.2144507901</v>
      </c>
      <c r="G41" s="20">
        <v>4119545.5737890298</v>
      </c>
      <c r="H41" s="20">
        <v>372693.72858292999</v>
      </c>
      <c r="I41" s="20">
        <v>29453725.832132298</v>
      </c>
      <c r="J41" s="20">
        <v>13137051.9205012</v>
      </c>
      <c r="K41" s="20">
        <v>3192072.9113833299</v>
      </c>
      <c r="L41" s="20">
        <v>13280152.6862859</v>
      </c>
      <c r="M41" s="20">
        <v>5462401.4564253297</v>
      </c>
      <c r="N41" s="20">
        <v>12564972.5615984</v>
      </c>
      <c r="O41" s="20">
        <v>17577354.936966401</v>
      </c>
      <c r="P41" s="20">
        <v>7884997.0104298303</v>
      </c>
      <c r="Q41" s="20">
        <v>12561166.321784901</v>
      </c>
      <c r="R41" s="20">
        <v>4776147.5989378104</v>
      </c>
      <c r="S41" s="20">
        <v>2689490.4995318698</v>
      </c>
      <c r="T41" s="20">
        <v>8356979.5537029998</v>
      </c>
      <c r="U41" s="20">
        <v>11688945.121528801</v>
      </c>
      <c r="V41" s="20">
        <v>10242614.5158324</v>
      </c>
      <c r="W41" s="20">
        <v>17330624.9111703</v>
      </c>
      <c r="X41" s="20">
        <v>2164350.08201198</v>
      </c>
      <c r="Y41" s="20">
        <v>13481919.167808199</v>
      </c>
      <c r="Z41" s="20">
        <v>20098279.286866501</v>
      </c>
      <c r="AA41" s="20">
        <v>1727034.3058073199</v>
      </c>
      <c r="AB41" s="20">
        <v>4572205.4078474399</v>
      </c>
      <c r="AC41" s="20">
        <v>1778231.98856279</v>
      </c>
      <c r="AD41" s="20">
        <v>496311.83405932301</v>
      </c>
      <c r="AE41" s="20">
        <v>52549966.346371099</v>
      </c>
      <c r="AF41" s="20">
        <v>159935089.74753299</v>
      </c>
      <c r="AG41" s="20">
        <v>36186483.1966158</v>
      </c>
      <c r="AH41" s="20">
        <v>8687960.0839802604</v>
      </c>
      <c r="AI41" s="20">
        <v>74215811.333413094</v>
      </c>
      <c r="AJ41" s="20">
        <v>77042668.512262002</v>
      </c>
      <c r="AK41" s="20">
        <v>65627876.7691359</v>
      </c>
      <c r="AL41" s="20">
        <v>104609027.14887901</v>
      </c>
      <c r="AM41" s="20">
        <v>8846749.5698839799</v>
      </c>
      <c r="AN41" s="20">
        <v>27453542.088415399</v>
      </c>
      <c r="AO41" s="20">
        <v>7215213.4638893995</v>
      </c>
      <c r="AP41" s="20">
        <v>5708290.1259355703</v>
      </c>
      <c r="AQ41" s="20">
        <v>2729915.7078018002</v>
      </c>
      <c r="AR41" s="20">
        <v>7213133.8737245798</v>
      </c>
      <c r="AS41" s="20">
        <v>28124552.034899201</v>
      </c>
      <c r="AT41" s="20">
        <v>894498111.90660298</v>
      </c>
      <c r="AU41" s="20">
        <v>1757638.98538596</v>
      </c>
      <c r="AV41" s="20">
        <v>34063051.8751361</v>
      </c>
      <c r="AW41" s="20">
        <v>35820690.860522099</v>
      </c>
      <c r="AX41" s="20">
        <v>22155634.737713002</v>
      </c>
      <c r="AY41" s="20">
        <v>57976325.598235101</v>
      </c>
      <c r="AZ41" s="20">
        <v>0</v>
      </c>
      <c r="BA41" s="20">
        <v>0</v>
      </c>
      <c r="BB41" s="20">
        <v>0</v>
      </c>
      <c r="BC41" s="20">
        <v>40525349.164613903</v>
      </c>
      <c r="BD41" s="20">
        <v>98501674.762849003</v>
      </c>
      <c r="BE41" s="20">
        <v>30437186.0607545</v>
      </c>
      <c r="BF41" s="20">
        <v>962562600.60869706</v>
      </c>
    </row>
    <row r="42" spans="1:58" ht="22.5" x14ac:dyDescent="0.15">
      <c r="A42" s="93"/>
      <c r="B42" s="4" t="s">
        <v>48</v>
      </c>
      <c r="C42" s="21" t="s">
        <v>99</v>
      </c>
      <c r="D42" s="20">
        <v>0</v>
      </c>
      <c r="E42" s="20">
        <v>0</v>
      </c>
      <c r="F42" s="20">
        <v>0</v>
      </c>
      <c r="G42" s="20">
        <v>0</v>
      </c>
      <c r="H42" s="20">
        <v>0</v>
      </c>
      <c r="I42" s="20">
        <v>0</v>
      </c>
      <c r="J42" s="20">
        <v>0</v>
      </c>
      <c r="K42" s="20">
        <v>0</v>
      </c>
      <c r="L42" s="20">
        <v>0</v>
      </c>
      <c r="M42" s="20">
        <v>0</v>
      </c>
      <c r="N42" s="20">
        <v>0</v>
      </c>
      <c r="O42" s="20">
        <v>0</v>
      </c>
      <c r="P42" s="20">
        <v>0</v>
      </c>
      <c r="Q42" s="20">
        <v>0</v>
      </c>
      <c r="R42" s="20">
        <v>0</v>
      </c>
      <c r="S42" s="20">
        <v>0</v>
      </c>
      <c r="T42" s="20">
        <v>0</v>
      </c>
      <c r="U42" s="20">
        <v>0</v>
      </c>
      <c r="V42" s="20">
        <v>0</v>
      </c>
      <c r="W42" s="20">
        <v>0</v>
      </c>
      <c r="X42" s="20">
        <v>0</v>
      </c>
      <c r="Y42" s="20">
        <v>0</v>
      </c>
      <c r="Z42" s="20">
        <v>0</v>
      </c>
      <c r="AA42" s="20">
        <v>0</v>
      </c>
      <c r="AB42" s="20">
        <v>0</v>
      </c>
      <c r="AC42" s="20">
        <v>0</v>
      </c>
      <c r="AD42" s="20">
        <v>0</v>
      </c>
      <c r="AE42" s="20">
        <v>0</v>
      </c>
      <c r="AF42" s="20">
        <v>0</v>
      </c>
      <c r="AG42" s="20">
        <v>0</v>
      </c>
      <c r="AH42" s="20">
        <v>0</v>
      </c>
      <c r="AI42" s="20">
        <v>0</v>
      </c>
      <c r="AJ42" s="20">
        <v>0</v>
      </c>
      <c r="AK42" s="20">
        <v>0</v>
      </c>
      <c r="AL42" s="20">
        <v>0</v>
      </c>
      <c r="AM42" s="20">
        <v>860250.38824139803</v>
      </c>
      <c r="AN42" s="20">
        <v>0</v>
      </c>
      <c r="AO42" s="20">
        <v>0</v>
      </c>
      <c r="AP42" s="20">
        <v>0</v>
      </c>
      <c r="AQ42" s="20">
        <v>0</v>
      </c>
      <c r="AR42" s="20">
        <v>0</v>
      </c>
      <c r="AS42" s="20">
        <v>0</v>
      </c>
      <c r="AT42" s="39">
        <v>860250.38824139803</v>
      </c>
      <c r="AU42" s="40">
        <v>0</v>
      </c>
      <c r="AV42" s="40">
        <v>0</v>
      </c>
      <c r="AW42" s="39">
        <v>0</v>
      </c>
      <c r="AX42" s="40">
        <v>60926779.103685901</v>
      </c>
      <c r="AY42" s="39">
        <v>60926779.103685901</v>
      </c>
      <c r="AZ42" s="40">
        <v>187839985.89905101</v>
      </c>
      <c r="BA42" s="40">
        <v>0</v>
      </c>
      <c r="BB42" s="39">
        <v>187839985.89905101</v>
      </c>
      <c r="BC42" s="40">
        <v>9676778.9460403305</v>
      </c>
      <c r="BD42" s="58">
        <v>258443543.94877699</v>
      </c>
      <c r="BE42" s="40">
        <v>27747226.1777905</v>
      </c>
      <c r="BF42" s="41">
        <v>231556568.159228</v>
      </c>
    </row>
    <row r="43" spans="1:58" ht="22.5" x14ac:dyDescent="0.15">
      <c r="A43" s="93"/>
      <c r="B43" s="4" t="s">
        <v>49</v>
      </c>
      <c r="C43" s="21" t="s">
        <v>102</v>
      </c>
      <c r="D43" s="20">
        <v>8183686.4984879</v>
      </c>
      <c r="E43" s="20">
        <v>2051462.5413861801</v>
      </c>
      <c r="F43" s="20">
        <v>439977.22522319399</v>
      </c>
      <c r="G43" s="20">
        <v>2152967.3999973601</v>
      </c>
      <c r="H43" s="20">
        <v>231921.08252613299</v>
      </c>
      <c r="I43" s="20">
        <v>1676472.6376771899</v>
      </c>
      <c r="J43" s="20">
        <v>1471681.3707582799</v>
      </c>
      <c r="K43" s="20">
        <v>953469.34393643099</v>
      </c>
      <c r="L43" s="20">
        <v>2297490.7446818901</v>
      </c>
      <c r="M43" s="20">
        <v>231164.630889436</v>
      </c>
      <c r="N43" s="20">
        <v>7275667.2874377202</v>
      </c>
      <c r="O43" s="20">
        <v>1930217.26939713</v>
      </c>
      <c r="P43" s="20">
        <v>1274308.3404329901</v>
      </c>
      <c r="Q43" s="20">
        <v>2805612.4768574801</v>
      </c>
      <c r="R43" s="20">
        <v>2192418.97039587</v>
      </c>
      <c r="S43" s="20">
        <v>1092155.93932901</v>
      </c>
      <c r="T43" s="20">
        <v>2353821.5669880202</v>
      </c>
      <c r="U43" s="20">
        <v>2501260.76717408</v>
      </c>
      <c r="V43" s="20">
        <v>3941338.7136013</v>
      </c>
      <c r="W43" s="20">
        <v>7517546.71555347</v>
      </c>
      <c r="X43" s="20">
        <v>1917876.8857104699</v>
      </c>
      <c r="Y43" s="20">
        <v>3565826.6950027798</v>
      </c>
      <c r="Z43" s="20">
        <v>10154751.005095899</v>
      </c>
      <c r="AA43" s="20">
        <v>228523.154110395</v>
      </c>
      <c r="AB43" s="20">
        <v>3652469.7056428902</v>
      </c>
      <c r="AC43" s="20">
        <v>10048.662790447601</v>
      </c>
      <c r="AD43" s="20">
        <v>43760.738152455699</v>
      </c>
      <c r="AE43" s="20">
        <v>240915312.73825899</v>
      </c>
      <c r="AF43" s="20">
        <v>11282048.0261098</v>
      </c>
      <c r="AG43" s="20">
        <v>3801996.45327027</v>
      </c>
      <c r="AH43" s="20">
        <v>167826.700410252</v>
      </c>
      <c r="AI43" s="20">
        <v>3281325.0035332399</v>
      </c>
      <c r="AJ43" s="20">
        <v>841145.41304402298</v>
      </c>
      <c r="AK43" s="20">
        <v>886848.71732186596</v>
      </c>
      <c r="AL43" s="20">
        <v>123358.933337507</v>
      </c>
      <c r="AM43" s="20">
        <v>13591265.8409639</v>
      </c>
      <c r="AN43" s="20">
        <v>72827591.494632795</v>
      </c>
      <c r="AO43" s="20">
        <v>14101.0968310876</v>
      </c>
      <c r="AP43" s="20">
        <v>1373597.44737479</v>
      </c>
      <c r="AQ43" s="20">
        <v>250745.104060527</v>
      </c>
      <c r="AR43" s="20">
        <v>31778.2614969229</v>
      </c>
      <c r="AS43" s="20">
        <v>690117.10367164598</v>
      </c>
      <c r="AT43" s="20">
        <v>421273487.35961699</v>
      </c>
      <c r="AU43" s="20">
        <v>845712.72625391802</v>
      </c>
      <c r="AV43" s="20">
        <v>3554225.2271068501</v>
      </c>
      <c r="AW43" s="20">
        <v>4399937.9533607699</v>
      </c>
      <c r="AX43" s="20">
        <v>85393018.048174903</v>
      </c>
      <c r="AY43" s="20">
        <v>89792956.001535699</v>
      </c>
      <c r="AZ43" s="20">
        <v>8718585.0500000007</v>
      </c>
      <c r="BA43" s="20">
        <v>0</v>
      </c>
      <c r="BB43" s="20">
        <v>8718585.0500000007</v>
      </c>
      <c r="BC43" s="20">
        <v>1387.71592662749</v>
      </c>
      <c r="BD43" s="20">
        <v>98512928.767462298</v>
      </c>
      <c r="BE43" s="20">
        <v>546.59866212170198</v>
      </c>
      <c r="BF43" s="20">
        <v>519785869.52841699</v>
      </c>
    </row>
    <row r="44" spans="1:58" ht="33.75" x14ac:dyDescent="0.15">
      <c r="A44" s="93"/>
      <c r="B44" s="4" t="s">
        <v>50</v>
      </c>
      <c r="C44" s="19" t="s">
        <v>103</v>
      </c>
      <c r="D44" s="20">
        <v>1162397.39834427</v>
      </c>
      <c r="E44" s="20">
        <v>1569830.502662</v>
      </c>
      <c r="F44" s="20">
        <v>159386.41042071499</v>
      </c>
      <c r="G44" s="20">
        <v>318946.29647918901</v>
      </c>
      <c r="H44" s="20">
        <v>31443.2389671735</v>
      </c>
      <c r="I44" s="20">
        <v>1801970.03318312</v>
      </c>
      <c r="J44" s="20">
        <v>1266265.8232640999</v>
      </c>
      <c r="K44" s="20">
        <v>748904.04015807004</v>
      </c>
      <c r="L44" s="20">
        <v>1959896.55437019</v>
      </c>
      <c r="M44" s="20">
        <v>696299.77172118402</v>
      </c>
      <c r="N44" s="20">
        <v>1882933.6113621099</v>
      </c>
      <c r="O44" s="20">
        <v>1374331.9906798201</v>
      </c>
      <c r="P44" s="20">
        <v>1144520.54790092</v>
      </c>
      <c r="Q44" s="20">
        <v>2152188.0837502601</v>
      </c>
      <c r="R44" s="20">
        <v>1142727.12728802</v>
      </c>
      <c r="S44" s="20">
        <v>369600.17646541999</v>
      </c>
      <c r="T44" s="20">
        <v>1871053.2094211699</v>
      </c>
      <c r="U44" s="20">
        <v>2177435.0947761</v>
      </c>
      <c r="V44" s="20">
        <v>1440596.56517176</v>
      </c>
      <c r="W44" s="20">
        <v>3661165.3887218498</v>
      </c>
      <c r="X44" s="20">
        <v>475779.72318513901</v>
      </c>
      <c r="Y44" s="20">
        <v>2650589.9530470702</v>
      </c>
      <c r="Z44" s="20">
        <v>3183056.1609925302</v>
      </c>
      <c r="AA44" s="20">
        <v>353088.74108188797</v>
      </c>
      <c r="AB44" s="20">
        <v>2395782.91856207</v>
      </c>
      <c r="AC44" s="20">
        <v>247361.96540363299</v>
      </c>
      <c r="AD44" s="20">
        <v>377392.45383433398</v>
      </c>
      <c r="AE44" s="20">
        <v>18589278.348517202</v>
      </c>
      <c r="AF44" s="20">
        <v>10936817.248268301</v>
      </c>
      <c r="AG44" s="20">
        <v>17956064.926748902</v>
      </c>
      <c r="AH44" s="20">
        <v>2370048.7500258801</v>
      </c>
      <c r="AI44" s="20">
        <v>2165345.5165395201</v>
      </c>
      <c r="AJ44" s="20">
        <v>3686570.7058681101</v>
      </c>
      <c r="AK44" s="20">
        <v>1817217.87257167</v>
      </c>
      <c r="AL44" s="20">
        <v>7553140.62261423</v>
      </c>
      <c r="AM44" s="20">
        <v>3501305.2251438298</v>
      </c>
      <c r="AN44" s="20">
        <v>6088183.5300455596</v>
      </c>
      <c r="AO44" s="20">
        <v>5478387.8782970803</v>
      </c>
      <c r="AP44" s="20">
        <v>6387727.0345332203</v>
      </c>
      <c r="AQ44" s="20">
        <v>3728248.68452788</v>
      </c>
      <c r="AR44" s="20">
        <v>2160584.8214631998</v>
      </c>
      <c r="AS44" s="20">
        <v>21334218.202364098</v>
      </c>
      <c r="AT44" s="20">
        <v>149619179.108585</v>
      </c>
      <c r="AU44" s="20">
        <v>25532574.6362359</v>
      </c>
      <c r="AV44" s="20">
        <v>126223906.314163</v>
      </c>
      <c r="AW44" s="20">
        <v>151756480.95039901</v>
      </c>
      <c r="AX44" s="20">
        <v>0</v>
      </c>
      <c r="AY44" s="20">
        <v>151756480.95039901</v>
      </c>
      <c r="AZ44" s="20">
        <v>0</v>
      </c>
      <c r="BA44" s="20">
        <v>0</v>
      </c>
      <c r="BB44" s="20">
        <v>0</v>
      </c>
      <c r="BC44" s="20">
        <v>97675.720235379995</v>
      </c>
      <c r="BD44" s="20">
        <v>151854156.670634</v>
      </c>
      <c r="BE44" s="20">
        <v>1135747.05678996</v>
      </c>
      <c r="BF44" s="20">
        <v>300337588.72242898</v>
      </c>
    </row>
    <row r="45" spans="1:58" x14ac:dyDescent="0.15">
      <c r="A45" s="93"/>
      <c r="B45" s="4" t="s">
        <v>51</v>
      </c>
      <c r="C45" s="19" t="s">
        <v>104</v>
      </c>
      <c r="D45" s="20">
        <v>167081.06331998101</v>
      </c>
      <c r="E45" s="20">
        <v>84289.854237092994</v>
      </c>
      <c r="F45" s="20">
        <v>10224.641401065899</v>
      </c>
      <c r="G45" s="20">
        <v>24879.367741705501</v>
      </c>
      <c r="H45" s="20">
        <v>2741.1637729004301</v>
      </c>
      <c r="I45" s="20">
        <v>142405.141809283</v>
      </c>
      <c r="J45" s="20">
        <v>107412.081915253</v>
      </c>
      <c r="K45" s="20">
        <v>64124.256356654798</v>
      </c>
      <c r="L45" s="20">
        <v>108319.73984558</v>
      </c>
      <c r="M45" s="20">
        <v>38711.843107244502</v>
      </c>
      <c r="N45" s="20">
        <v>101524.864179033</v>
      </c>
      <c r="O45" s="20">
        <v>107005.794391859</v>
      </c>
      <c r="P45" s="20">
        <v>53348.195398323602</v>
      </c>
      <c r="Q45" s="20">
        <v>126924.069557151</v>
      </c>
      <c r="R45" s="20">
        <v>33654.308581612502</v>
      </c>
      <c r="S45" s="20">
        <v>28190.028241189699</v>
      </c>
      <c r="T45" s="20">
        <v>113665.885247161</v>
      </c>
      <c r="U45" s="20">
        <v>153989.56078336501</v>
      </c>
      <c r="V45" s="20">
        <v>99155.720747533502</v>
      </c>
      <c r="W45" s="20">
        <v>104298.948935405</v>
      </c>
      <c r="X45" s="20">
        <v>28793.430408637301</v>
      </c>
      <c r="Y45" s="20">
        <v>91487.399886738101</v>
      </c>
      <c r="Z45" s="20">
        <v>136697.887802376</v>
      </c>
      <c r="AA45" s="20">
        <v>37989.488503676097</v>
      </c>
      <c r="AB45" s="20">
        <v>21622.444301002401</v>
      </c>
      <c r="AC45" s="20">
        <v>20627.188815816298</v>
      </c>
      <c r="AD45" s="20">
        <v>25220.108459746101</v>
      </c>
      <c r="AE45" s="20">
        <v>864553.12834388402</v>
      </c>
      <c r="AF45" s="20">
        <v>1556026.8212163199</v>
      </c>
      <c r="AG45" s="20">
        <v>1314848.2779828501</v>
      </c>
      <c r="AH45" s="20">
        <v>298521.32652886497</v>
      </c>
      <c r="AI45" s="20">
        <v>578304.51939634897</v>
      </c>
      <c r="AJ45" s="20">
        <v>3102120.9427249501</v>
      </c>
      <c r="AK45" s="20">
        <v>274596.44974074</v>
      </c>
      <c r="AL45" s="20">
        <v>576898.76788159704</v>
      </c>
      <c r="AM45" s="20">
        <v>142839.265608974</v>
      </c>
      <c r="AN45" s="20">
        <v>492632.15666866698</v>
      </c>
      <c r="AO45" s="20">
        <v>189130.321780453</v>
      </c>
      <c r="AP45" s="20">
        <v>7696008.6095650997</v>
      </c>
      <c r="AQ45" s="20">
        <v>792734.63606964098</v>
      </c>
      <c r="AR45" s="20">
        <v>245179.80757904201</v>
      </c>
      <c r="AS45" s="20">
        <v>7577069.9852550402</v>
      </c>
      <c r="AT45" s="39">
        <v>27671725.2377332</v>
      </c>
      <c r="AU45" s="40">
        <v>51147978.3054616</v>
      </c>
      <c r="AV45" s="40">
        <v>183950274.18251199</v>
      </c>
      <c r="AW45" s="39">
        <v>235098252.48797399</v>
      </c>
      <c r="AX45" s="40">
        <v>269717581.40908903</v>
      </c>
      <c r="AY45" s="39">
        <v>504815833.89706302</v>
      </c>
      <c r="AZ45" s="40">
        <v>0</v>
      </c>
      <c r="BA45" s="40">
        <v>0</v>
      </c>
      <c r="BB45" s="39">
        <v>0</v>
      </c>
      <c r="BC45" s="40">
        <v>0</v>
      </c>
      <c r="BD45" s="58">
        <v>504815833.89706302</v>
      </c>
      <c r="BE45" s="40">
        <v>0</v>
      </c>
      <c r="BF45" s="41">
        <v>532487559.13479602</v>
      </c>
    </row>
    <row r="46" spans="1:58" ht="22.5" x14ac:dyDescent="0.15">
      <c r="A46" s="93"/>
      <c r="B46" s="4" t="s">
        <v>52</v>
      </c>
      <c r="C46" s="19" t="s">
        <v>105</v>
      </c>
      <c r="D46" s="20">
        <v>106215.237680217</v>
      </c>
      <c r="E46" s="20">
        <v>145358.06994113699</v>
      </c>
      <c r="F46" s="20">
        <v>13148.4182333425</v>
      </c>
      <c r="G46" s="20">
        <v>97022.232795075601</v>
      </c>
      <c r="H46" s="20">
        <v>0</v>
      </c>
      <c r="I46" s="20">
        <v>74031.800856356902</v>
      </c>
      <c r="J46" s="20">
        <v>124131.532760006</v>
      </c>
      <c r="K46" s="20">
        <v>48373.441422995304</v>
      </c>
      <c r="L46" s="20">
        <v>136284.37427054701</v>
      </c>
      <c r="M46" s="20">
        <v>838032.64446160104</v>
      </c>
      <c r="N46" s="20">
        <v>95879.754534086795</v>
      </c>
      <c r="O46" s="20">
        <v>62106.358939058096</v>
      </c>
      <c r="P46" s="20">
        <v>11596.239364290401</v>
      </c>
      <c r="Q46" s="20">
        <v>239737.57158259401</v>
      </c>
      <c r="R46" s="20">
        <v>295395.38169873803</v>
      </c>
      <c r="S46" s="20">
        <v>97498.299766050404</v>
      </c>
      <c r="T46" s="20">
        <v>270233.491610175</v>
      </c>
      <c r="U46" s="20">
        <v>412737.91321225301</v>
      </c>
      <c r="V46" s="20">
        <v>261703.144700056</v>
      </c>
      <c r="W46" s="20">
        <v>235573.381728295</v>
      </c>
      <c r="X46" s="20">
        <v>109811.424117341</v>
      </c>
      <c r="Y46" s="20">
        <v>307450.819624611</v>
      </c>
      <c r="Z46" s="20">
        <v>179407.08534904299</v>
      </c>
      <c r="AA46" s="20">
        <v>18328.046797860901</v>
      </c>
      <c r="AB46" s="20">
        <v>352667.83560781798</v>
      </c>
      <c r="AC46" s="20">
        <v>37394.683584889899</v>
      </c>
      <c r="AD46" s="20">
        <v>1848.0922850486199</v>
      </c>
      <c r="AE46" s="20">
        <v>1215493.8554378501</v>
      </c>
      <c r="AF46" s="20">
        <v>406174.54678361397</v>
      </c>
      <c r="AG46" s="20">
        <v>587224.05550180702</v>
      </c>
      <c r="AH46" s="20">
        <v>11028.5522628691</v>
      </c>
      <c r="AI46" s="20">
        <v>25143.2503734001</v>
      </c>
      <c r="AJ46" s="20">
        <v>276897.04805117298</v>
      </c>
      <c r="AK46" s="20">
        <v>2491.9250806641799</v>
      </c>
      <c r="AL46" s="20">
        <v>6425.4900946637299</v>
      </c>
      <c r="AM46" s="20">
        <v>19498.6720649739</v>
      </c>
      <c r="AN46" s="20">
        <v>42542.071286025603</v>
      </c>
      <c r="AO46" s="20">
        <v>73930.962060457401</v>
      </c>
      <c r="AP46" s="20">
        <v>205486.83568988601</v>
      </c>
      <c r="AQ46" s="20">
        <v>2877366.5264608702</v>
      </c>
      <c r="AR46" s="20">
        <v>50119.284817291198</v>
      </c>
      <c r="AS46" s="20">
        <v>2428769.2972212601</v>
      </c>
      <c r="AT46" s="20">
        <v>12752186.2086873</v>
      </c>
      <c r="AU46" s="20">
        <v>42485967.983507901</v>
      </c>
      <c r="AV46" s="20">
        <v>129168822.75693101</v>
      </c>
      <c r="AW46" s="20">
        <v>171654790.740439</v>
      </c>
      <c r="AX46" s="20">
        <v>316703292.12673497</v>
      </c>
      <c r="AY46" s="20">
        <v>488358082.86717498</v>
      </c>
      <c r="AZ46" s="20">
        <v>0</v>
      </c>
      <c r="BA46" s="20">
        <v>0</v>
      </c>
      <c r="BB46" s="20">
        <v>0</v>
      </c>
      <c r="BC46" s="20">
        <v>156974.417010226</v>
      </c>
      <c r="BD46" s="20">
        <v>488515057.28418499</v>
      </c>
      <c r="BE46" s="20">
        <v>1195045.7535647999</v>
      </c>
      <c r="BF46" s="20">
        <v>500072197.73930699</v>
      </c>
    </row>
    <row r="47" spans="1:58" ht="22.5" x14ac:dyDescent="0.15">
      <c r="A47" s="94"/>
      <c r="B47" s="4" t="s">
        <v>53</v>
      </c>
      <c r="C47" s="19" t="s">
        <v>106</v>
      </c>
      <c r="D47" s="20">
        <v>101045.02514810501</v>
      </c>
      <c r="E47" s="20">
        <v>272786.24574653298</v>
      </c>
      <c r="F47" s="20">
        <v>124921.03606311799</v>
      </c>
      <c r="G47" s="20">
        <v>173463.23050387</v>
      </c>
      <c r="H47" s="20">
        <v>14812.9162275039</v>
      </c>
      <c r="I47" s="20">
        <v>892690.76597648195</v>
      </c>
      <c r="J47" s="20">
        <v>884858.03298067697</v>
      </c>
      <c r="K47" s="20">
        <v>293822.58571970498</v>
      </c>
      <c r="L47" s="20">
        <v>602336.95172100305</v>
      </c>
      <c r="M47" s="20">
        <v>314077.591861205</v>
      </c>
      <c r="N47" s="20">
        <v>651094.05702456005</v>
      </c>
      <c r="O47" s="20">
        <v>589693.41626355704</v>
      </c>
      <c r="P47" s="20">
        <v>512136.73889198498</v>
      </c>
      <c r="Q47" s="20">
        <v>908100.80465258402</v>
      </c>
      <c r="R47" s="20">
        <v>616659.72771512298</v>
      </c>
      <c r="S47" s="20">
        <v>354148.93016056699</v>
      </c>
      <c r="T47" s="20">
        <v>453650.45673186501</v>
      </c>
      <c r="U47" s="20">
        <v>1050252.89346804</v>
      </c>
      <c r="V47" s="20">
        <v>537971.46867107402</v>
      </c>
      <c r="W47" s="20">
        <v>1486140.9349438499</v>
      </c>
      <c r="X47" s="20">
        <v>118962.458864416</v>
      </c>
      <c r="Y47" s="20">
        <v>840454.18709472299</v>
      </c>
      <c r="Z47" s="20">
        <v>1170344.7401956799</v>
      </c>
      <c r="AA47" s="20">
        <v>133269.637445689</v>
      </c>
      <c r="AB47" s="20">
        <v>1003080.19417144</v>
      </c>
      <c r="AC47" s="20">
        <v>100502.293601321</v>
      </c>
      <c r="AD47" s="20">
        <v>133827.511142723</v>
      </c>
      <c r="AE47" s="20">
        <v>2820755.1566284001</v>
      </c>
      <c r="AF47" s="20">
        <v>1726967.78773693</v>
      </c>
      <c r="AG47" s="20">
        <v>2556352.1957594301</v>
      </c>
      <c r="AH47" s="20">
        <v>673854.67137308198</v>
      </c>
      <c r="AI47" s="20">
        <v>3618427.7880632998</v>
      </c>
      <c r="AJ47" s="20">
        <v>10689187.563694401</v>
      </c>
      <c r="AK47" s="20">
        <v>1317653.5526413701</v>
      </c>
      <c r="AL47" s="20">
        <v>3954591.75091724</v>
      </c>
      <c r="AM47" s="20">
        <v>1136981.26714152</v>
      </c>
      <c r="AN47" s="20">
        <v>1310351.5431092801</v>
      </c>
      <c r="AO47" s="20">
        <v>1135591.42365731</v>
      </c>
      <c r="AP47" s="20">
        <v>2393374.7948408402</v>
      </c>
      <c r="AQ47" s="20">
        <v>320154.61876981898</v>
      </c>
      <c r="AR47" s="20">
        <v>9232824.9229271002</v>
      </c>
      <c r="AS47" s="20">
        <v>7009132.01954374</v>
      </c>
      <c r="AT47" s="20">
        <v>63937483.304071501</v>
      </c>
      <c r="AU47" s="20">
        <v>6949619.4697179999</v>
      </c>
      <c r="AV47" s="20">
        <v>46077777.730733201</v>
      </c>
      <c r="AW47" s="20">
        <v>53027397.2004513</v>
      </c>
      <c r="AX47" s="20">
        <v>42038587.777548403</v>
      </c>
      <c r="AY47" s="20">
        <v>95065984.977999702</v>
      </c>
      <c r="AZ47" s="20">
        <v>5234595.2386050001</v>
      </c>
      <c r="BA47" s="20">
        <v>0</v>
      </c>
      <c r="BB47" s="20">
        <v>5234595.2386050001</v>
      </c>
      <c r="BC47" s="20">
        <v>2845384.0510386499</v>
      </c>
      <c r="BD47" s="20">
        <v>103145964.267643</v>
      </c>
      <c r="BE47" s="20">
        <v>11240037.806422999</v>
      </c>
      <c r="BF47" s="20">
        <v>155843409.76529199</v>
      </c>
    </row>
    <row r="48" spans="1:58" ht="67.5" x14ac:dyDescent="0.15">
      <c r="A48" s="94"/>
      <c r="B48" s="5" t="s">
        <v>54</v>
      </c>
      <c r="C48" s="22" t="s">
        <v>107</v>
      </c>
      <c r="D48" s="20">
        <v>2218338.16994897</v>
      </c>
      <c r="E48" s="20">
        <v>170589.800633999</v>
      </c>
      <c r="F48" s="20">
        <v>68564.346294652496</v>
      </c>
      <c r="G48" s="20">
        <v>381286.092953121</v>
      </c>
      <c r="H48" s="20">
        <v>6404.45782702217</v>
      </c>
      <c r="I48" s="20">
        <v>744385.28616053297</v>
      </c>
      <c r="J48" s="20">
        <v>1061636.42096733</v>
      </c>
      <c r="K48" s="20">
        <v>206439.772357999</v>
      </c>
      <c r="L48" s="20">
        <v>1142978.60926435</v>
      </c>
      <c r="M48" s="20">
        <v>311356.10523940402</v>
      </c>
      <c r="N48" s="20">
        <v>791949.19199301605</v>
      </c>
      <c r="O48" s="20">
        <v>435720.76876894699</v>
      </c>
      <c r="P48" s="20">
        <v>309871.61828668701</v>
      </c>
      <c r="Q48" s="20">
        <v>856417.18560591305</v>
      </c>
      <c r="R48" s="20">
        <v>784447.27819461201</v>
      </c>
      <c r="S48" s="20">
        <v>306087.66247642698</v>
      </c>
      <c r="T48" s="20">
        <v>464907.68478573702</v>
      </c>
      <c r="U48" s="20">
        <v>572919.98814629402</v>
      </c>
      <c r="V48" s="20">
        <v>527225.18052168202</v>
      </c>
      <c r="W48" s="20">
        <v>475969.02719961503</v>
      </c>
      <c r="X48" s="20">
        <v>150409.71021635999</v>
      </c>
      <c r="Y48" s="20">
        <v>491132.18928094301</v>
      </c>
      <c r="Z48" s="20">
        <v>693755.09776254999</v>
      </c>
      <c r="AA48" s="20">
        <v>255387.07343101999</v>
      </c>
      <c r="AB48" s="20">
        <v>2290386.2312107701</v>
      </c>
      <c r="AC48" s="20">
        <v>42898.682570969402</v>
      </c>
      <c r="AD48" s="20">
        <v>2249050.71523877</v>
      </c>
      <c r="AE48" s="20">
        <v>1559132.3260945501</v>
      </c>
      <c r="AF48" s="20">
        <v>2371629.7879335298</v>
      </c>
      <c r="AG48" s="20">
        <v>2600955.7611404499</v>
      </c>
      <c r="AH48" s="20">
        <v>438174.50092017598</v>
      </c>
      <c r="AI48" s="20">
        <v>1620394.8104171399</v>
      </c>
      <c r="AJ48" s="20">
        <v>2570161.0492694802</v>
      </c>
      <c r="AK48" s="20">
        <v>1739467.0457202799</v>
      </c>
      <c r="AL48" s="20">
        <v>5069918.3359142998</v>
      </c>
      <c r="AM48" s="20">
        <v>882539.290159881</v>
      </c>
      <c r="AN48" s="20">
        <v>1181929.4120684301</v>
      </c>
      <c r="AO48" s="20">
        <v>698723.42318731395</v>
      </c>
      <c r="AP48" s="20">
        <v>1484594.00087425</v>
      </c>
      <c r="AQ48" s="20">
        <v>564644.29917350505</v>
      </c>
      <c r="AR48" s="20">
        <v>505031.57338165899</v>
      </c>
      <c r="AS48" s="20">
        <v>26343336.572392602</v>
      </c>
      <c r="AT48" s="20">
        <v>67434706.763627201</v>
      </c>
      <c r="AU48" s="20">
        <v>1372114.9414001999</v>
      </c>
      <c r="AV48" s="20">
        <v>10228084.0427323</v>
      </c>
      <c r="AW48" s="20">
        <v>11600198.9841325</v>
      </c>
      <c r="AX48" s="20">
        <v>831789109.69228995</v>
      </c>
      <c r="AY48" s="20">
        <v>843389308.67642295</v>
      </c>
      <c r="AZ48" s="20">
        <v>0</v>
      </c>
      <c r="BA48" s="20">
        <v>0</v>
      </c>
      <c r="BB48" s="20">
        <v>0</v>
      </c>
      <c r="BC48" s="20">
        <v>2027457.97120951</v>
      </c>
      <c r="BD48" s="20">
        <v>845416766.647632</v>
      </c>
      <c r="BE48" s="20">
        <v>5145286.0546714598</v>
      </c>
      <c r="BF48" s="20">
        <v>907706187.35658896</v>
      </c>
    </row>
    <row r="49" spans="1:58" ht="22.5" x14ac:dyDescent="0.15">
      <c r="A49" s="95"/>
      <c r="B49" s="23" t="s">
        <v>121</v>
      </c>
      <c r="C49" s="24" t="s">
        <v>122</v>
      </c>
      <c r="D49" s="20">
        <v>509936007.83290499</v>
      </c>
      <c r="E49" s="25">
        <v>115074114.182427</v>
      </c>
      <c r="F49" s="25">
        <v>39965777.405821703</v>
      </c>
      <c r="G49" s="20">
        <v>89225006.090691999</v>
      </c>
      <c r="H49" s="25">
        <v>11697851.3445873</v>
      </c>
      <c r="I49" s="20">
        <v>944349112.04855895</v>
      </c>
      <c r="J49" s="20">
        <v>612910570.17605805</v>
      </c>
      <c r="K49" s="20">
        <v>209811561.58664599</v>
      </c>
      <c r="L49" s="20">
        <v>532655360.11431199</v>
      </c>
      <c r="M49" s="20">
        <v>308742520.01074702</v>
      </c>
      <c r="N49" s="20">
        <v>657082874.06989598</v>
      </c>
      <c r="O49" s="25">
        <v>214220106.74311599</v>
      </c>
      <c r="P49" s="20">
        <v>271752322.20946503</v>
      </c>
      <c r="Q49" s="20">
        <v>502451885.34110802</v>
      </c>
      <c r="R49" s="20">
        <v>527215627.05245101</v>
      </c>
      <c r="S49" s="20">
        <v>405092577.33342397</v>
      </c>
      <c r="T49" s="25">
        <v>392283911.70928401</v>
      </c>
      <c r="U49" s="20">
        <v>408823033.829274</v>
      </c>
      <c r="V49" s="20">
        <v>289399787.58034599</v>
      </c>
      <c r="W49" s="20">
        <v>560981019.69476998</v>
      </c>
      <c r="X49" s="20">
        <v>123772340.76138601</v>
      </c>
      <c r="Y49" s="20">
        <v>576339416.35805202</v>
      </c>
      <c r="Z49" s="20">
        <v>997209171.28219903</v>
      </c>
      <c r="AA49" s="20">
        <v>67374684.173955798</v>
      </c>
      <c r="AB49" s="25">
        <v>481153559.47209102</v>
      </c>
      <c r="AC49" s="25">
        <v>61699158.676141098</v>
      </c>
      <c r="AD49" s="25">
        <v>20179486.0771177</v>
      </c>
      <c r="AE49" s="20">
        <v>2140212041.6698599</v>
      </c>
      <c r="AF49" s="20">
        <v>544911283.67056894</v>
      </c>
      <c r="AG49" s="20">
        <v>742396331.70950198</v>
      </c>
      <c r="AH49" s="20">
        <v>286469176.51749498</v>
      </c>
      <c r="AI49" s="20">
        <v>517228345.932208</v>
      </c>
      <c r="AJ49" s="20">
        <v>393198764.34313899</v>
      </c>
      <c r="AK49" s="25">
        <v>296965938.19792998</v>
      </c>
      <c r="AL49" s="20">
        <v>644035496.54548001</v>
      </c>
      <c r="AM49" s="25">
        <v>135629401.96656099</v>
      </c>
      <c r="AN49" s="20">
        <v>334643313.50259602</v>
      </c>
      <c r="AO49" s="20">
        <v>143060914.191484</v>
      </c>
      <c r="AP49" s="25">
        <v>159195396.710307</v>
      </c>
      <c r="AQ49" s="20">
        <v>291866517.47499102</v>
      </c>
      <c r="AR49" s="20">
        <v>77833015.035403907</v>
      </c>
      <c r="AS49" s="20">
        <v>396824813.745969</v>
      </c>
      <c r="AT49" s="25">
        <v>16826058032.783701</v>
      </c>
      <c r="AU49" s="25">
        <v>816642871.61719298</v>
      </c>
      <c r="AV49" s="25">
        <v>3023440277.9689298</v>
      </c>
      <c r="AW49" s="25">
        <v>3840083149.5861201</v>
      </c>
      <c r="AX49" s="25">
        <v>1736253794.41957</v>
      </c>
      <c r="AY49" s="25">
        <v>5576336944.0056896</v>
      </c>
      <c r="AZ49" s="25">
        <v>4243704003.37183</v>
      </c>
      <c r="BA49" s="25">
        <v>91509937.677221596</v>
      </c>
      <c r="BB49" s="25">
        <v>4335213941.0490599</v>
      </c>
      <c r="BC49" s="25">
        <v>1879260657.23314</v>
      </c>
      <c r="BD49" s="25">
        <v>11790811542.287901</v>
      </c>
      <c r="BE49" s="25">
        <v>1626591529.6393001</v>
      </c>
      <c r="BF49" s="68">
        <v>26990278045.432301</v>
      </c>
    </row>
    <row r="50" spans="1:58" x14ac:dyDescent="0.15">
      <c r="A50" s="96" t="s">
        <v>123</v>
      </c>
      <c r="B50" s="26" t="s">
        <v>124</v>
      </c>
      <c r="C50" s="27" t="s">
        <v>125</v>
      </c>
      <c r="D50" s="20">
        <v>821109376.63205099</v>
      </c>
      <c r="E50" s="20">
        <v>49156975.956210703</v>
      </c>
      <c r="F50" s="20">
        <v>10684586.807827801</v>
      </c>
      <c r="G50" s="20">
        <v>34146732.260801703</v>
      </c>
      <c r="H50" s="20">
        <v>9070894.7857753504</v>
      </c>
      <c r="I50" s="20">
        <v>92288059.905675799</v>
      </c>
      <c r="J50" s="20">
        <v>78070178.610044703</v>
      </c>
      <c r="K50" s="20">
        <v>25339700.688776899</v>
      </c>
      <c r="L50" s="20">
        <v>70607744.963608101</v>
      </c>
      <c r="M50" s="20">
        <v>12815275.321341099</v>
      </c>
      <c r="N50" s="20">
        <v>47509590.242770404</v>
      </c>
      <c r="O50" s="20">
        <v>30588660.7146926</v>
      </c>
      <c r="P50" s="20">
        <v>35944267.486501202</v>
      </c>
      <c r="Q50" s="20">
        <v>74959951.978375494</v>
      </c>
      <c r="R50" s="20">
        <v>39116758.517672099</v>
      </c>
      <c r="S50" s="20">
        <v>35418933.993041903</v>
      </c>
      <c r="T50" s="20">
        <v>57488356.150157198</v>
      </c>
      <c r="U50" s="20">
        <v>46988959.725912601</v>
      </c>
      <c r="V50" s="20">
        <v>51031136.414665803</v>
      </c>
      <c r="W50" s="20">
        <v>36758514.018456601</v>
      </c>
      <c r="X50" s="20">
        <v>17700419.379848599</v>
      </c>
      <c r="Y50" s="20">
        <v>47111753.584501401</v>
      </c>
      <c r="Z50" s="20">
        <v>100330129.04252701</v>
      </c>
      <c r="AA50" s="20">
        <v>25541967.525668599</v>
      </c>
      <c r="AB50" s="20">
        <v>61395231.162410103</v>
      </c>
      <c r="AC50" s="20">
        <v>7256304.22228311</v>
      </c>
      <c r="AD50" s="20">
        <v>8632889.7918775491</v>
      </c>
      <c r="AE50" s="20">
        <v>469645429.01066202</v>
      </c>
      <c r="AF50" s="20">
        <v>519792503.26379198</v>
      </c>
      <c r="AG50" s="20">
        <v>230523925.74021101</v>
      </c>
      <c r="AH50" s="20">
        <v>85067117.100898802</v>
      </c>
      <c r="AI50" s="20">
        <v>206973736.679317</v>
      </c>
      <c r="AJ50" s="20">
        <v>215281976.520711</v>
      </c>
      <c r="AK50" s="20">
        <v>192733122.55735001</v>
      </c>
      <c r="AL50" s="20">
        <v>252757212.79392499</v>
      </c>
      <c r="AM50" s="20">
        <v>65841576.822612002</v>
      </c>
      <c r="AN50" s="20">
        <v>115418456.21231601</v>
      </c>
      <c r="AO50" s="20">
        <v>127689767.85801201</v>
      </c>
      <c r="AP50" s="20">
        <v>281650493.11452001</v>
      </c>
      <c r="AQ50" s="20">
        <v>171783188.52536699</v>
      </c>
      <c r="AR50" s="20">
        <v>51172539.734950997</v>
      </c>
      <c r="AS50" s="20">
        <v>407600705.01487601</v>
      </c>
      <c r="AT50" s="41">
        <v>5295655400.1442204</v>
      </c>
      <c r="AU50" s="42"/>
      <c r="AV50" s="42"/>
      <c r="AW50" s="59"/>
      <c r="AX50" s="42"/>
      <c r="AY50" s="59"/>
      <c r="AZ50" s="42"/>
      <c r="BA50" s="42"/>
      <c r="BB50" s="59"/>
      <c r="BC50" s="42"/>
      <c r="BD50" s="60"/>
      <c r="BE50" s="42"/>
      <c r="BF50" s="42"/>
    </row>
    <row r="51" spans="1:58" x14ac:dyDescent="0.15">
      <c r="A51" s="97"/>
      <c r="B51" s="26" t="s">
        <v>126</v>
      </c>
      <c r="C51" s="28" t="s">
        <v>127</v>
      </c>
      <c r="D51" s="20">
        <v>-45528240.6524828</v>
      </c>
      <c r="E51" s="20">
        <v>23728883.970035002</v>
      </c>
      <c r="F51" s="20">
        <v>26393586.367127001</v>
      </c>
      <c r="G51" s="20">
        <v>29203561.313999999</v>
      </c>
      <c r="H51" s="20">
        <v>1127941.29772883</v>
      </c>
      <c r="I51" s="20">
        <v>82927929.567150205</v>
      </c>
      <c r="J51" s="20">
        <v>1055456.5261335</v>
      </c>
      <c r="K51" s="20">
        <v>5439494.6023760298</v>
      </c>
      <c r="L51" s="20">
        <v>11735859.5567258</v>
      </c>
      <c r="M51" s="20">
        <v>49155195.521414101</v>
      </c>
      <c r="N51" s="20">
        <v>37768625.129487202</v>
      </c>
      <c r="O51" s="20">
        <v>11543781.6746586</v>
      </c>
      <c r="P51" s="20">
        <v>9432919.72683331</v>
      </c>
      <c r="Q51" s="20">
        <v>23472866.7779206</v>
      </c>
      <c r="R51" s="20">
        <v>16809803.985219501</v>
      </c>
      <c r="S51" s="20">
        <v>20103752.8548938</v>
      </c>
      <c r="T51" s="20">
        <v>11219546.986150701</v>
      </c>
      <c r="U51" s="20">
        <v>16723537.968313601</v>
      </c>
      <c r="V51" s="20">
        <v>14548976.722464001</v>
      </c>
      <c r="W51" s="20">
        <v>41488605.881302997</v>
      </c>
      <c r="X51" s="20">
        <v>2028721.9790923099</v>
      </c>
      <c r="Y51" s="20">
        <v>4541468.4707145998</v>
      </c>
      <c r="Z51" s="20">
        <v>-3678836.27294552</v>
      </c>
      <c r="AA51" s="20">
        <v>13432368.474347601</v>
      </c>
      <c r="AB51" s="20">
        <v>20698377.631525099</v>
      </c>
      <c r="AC51" s="20">
        <v>1010550.4523641299</v>
      </c>
      <c r="AD51" s="20">
        <v>1860447.1837464201</v>
      </c>
      <c r="AE51" s="20">
        <v>98116385.596828699</v>
      </c>
      <c r="AF51" s="20">
        <v>95383190.280476794</v>
      </c>
      <c r="AG51" s="20">
        <v>8513567.4421984609</v>
      </c>
      <c r="AH51" s="20">
        <v>1360038.6625977701</v>
      </c>
      <c r="AI51" s="20">
        <v>13092894.4785477</v>
      </c>
      <c r="AJ51" s="20">
        <v>82718115.887338698</v>
      </c>
      <c r="AK51" s="20">
        <v>123442718.311865</v>
      </c>
      <c r="AL51" s="20">
        <v>27690530.6917165</v>
      </c>
      <c r="AM51" s="20">
        <v>1588413.5683403399</v>
      </c>
      <c r="AN51" s="20">
        <v>11715874.608684899</v>
      </c>
      <c r="AO51" s="20">
        <v>5023484.24607627</v>
      </c>
      <c r="AP51" s="20">
        <v>625840.58906758903</v>
      </c>
      <c r="AQ51" s="20">
        <v>119102.009382813</v>
      </c>
      <c r="AR51" s="20">
        <v>1590021.0493161599</v>
      </c>
      <c r="AS51" s="20">
        <v>2016363.5215086001</v>
      </c>
      <c r="AT51" s="41">
        <v>895802230.037866</v>
      </c>
      <c r="AU51" s="43"/>
      <c r="AV51" s="43"/>
      <c r="AW51" s="61"/>
      <c r="AX51" s="43"/>
      <c r="AY51" s="61"/>
      <c r="AZ51" s="43"/>
      <c r="BA51" s="43"/>
      <c r="BB51" s="61"/>
      <c r="BC51" s="43"/>
      <c r="BD51" s="62"/>
      <c r="BE51" s="43"/>
      <c r="BF51" s="43"/>
    </row>
    <row r="52" spans="1:58" ht="22.5" x14ac:dyDescent="0.15">
      <c r="A52" s="97"/>
      <c r="B52" s="26" t="s">
        <v>128</v>
      </c>
      <c r="C52" s="28" t="s">
        <v>129</v>
      </c>
      <c r="D52" s="20">
        <v>23048579.701509301</v>
      </c>
      <c r="E52" s="20">
        <v>11857466.9359743</v>
      </c>
      <c r="F52" s="20">
        <v>23934531.664067499</v>
      </c>
      <c r="G52" s="20">
        <v>14045534.8444722</v>
      </c>
      <c r="H52" s="20">
        <v>881427.48909159401</v>
      </c>
      <c r="I52" s="20">
        <v>30616039.479662899</v>
      </c>
      <c r="J52" s="20">
        <v>17159912.398409501</v>
      </c>
      <c r="K52" s="20">
        <v>7115541.1852337504</v>
      </c>
      <c r="L52" s="20">
        <v>23476685.1205348</v>
      </c>
      <c r="M52" s="20">
        <v>11540322.9497796</v>
      </c>
      <c r="N52" s="20">
        <v>37261752.784207501</v>
      </c>
      <c r="O52" s="20">
        <v>7442373.4576655598</v>
      </c>
      <c r="P52" s="20">
        <v>13681348.159869701</v>
      </c>
      <c r="Q52" s="20">
        <v>36252424.842486702</v>
      </c>
      <c r="R52" s="20">
        <v>31732255.920472398</v>
      </c>
      <c r="S52" s="20">
        <v>20256127.164829802</v>
      </c>
      <c r="T52" s="20">
        <v>17451919.758611701</v>
      </c>
      <c r="U52" s="20">
        <v>16689439.146307001</v>
      </c>
      <c r="V52" s="20">
        <v>12133972.5831076</v>
      </c>
      <c r="W52" s="20">
        <v>15404029.9075229</v>
      </c>
      <c r="X52" s="20">
        <v>3816835.0280198702</v>
      </c>
      <c r="Y52" s="20">
        <v>15983410.4130126</v>
      </c>
      <c r="Z52" s="20">
        <v>35286959.999098003</v>
      </c>
      <c r="AA52" s="20">
        <v>6722131.4276251802</v>
      </c>
      <c r="AB52" s="20">
        <v>97784316.348265097</v>
      </c>
      <c r="AC52" s="20">
        <v>5463403.9663039697</v>
      </c>
      <c r="AD52" s="20">
        <v>6900167.0847543897</v>
      </c>
      <c r="AE52" s="20">
        <v>27714363.679958399</v>
      </c>
      <c r="AF52" s="20">
        <v>118467134.625324</v>
      </c>
      <c r="AG52" s="20">
        <v>200221941.68550199</v>
      </c>
      <c r="AH52" s="20">
        <v>46183808.013787799</v>
      </c>
      <c r="AI52" s="20">
        <v>126694176.647774</v>
      </c>
      <c r="AJ52" s="20">
        <v>36197643.623248503</v>
      </c>
      <c r="AK52" s="20">
        <v>70284261.245119199</v>
      </c>
      <c r="AL52" s="20">
        <v>35220354.322564296</v>
      </c>
      <c r="AM52" s="20">
        <v>20894697.107667901</v>
      </c>
      <c r="AN52" s="20">
        <v>47257245.823209397</v>
      </c>
      <c r="AO52" s="20">
        <v>18811000.584729899</v>
      </c>
      <c r="AP52" s="20">
        <v>77784703.209432706</v>
      </c>
      <c r="AQ52" s="20">
        <v>31476065.1203941</v>
      </c>
      <c r="AR52" s="20">
        <v>19443051.9030816</v>
      </c>
      <c r="AS52" s="20">
        <v>92345943.103720903</v>
      </c>
      <c r="AT52" s="41">
        <v>1505819759.2711799</v>
      </c>
      <c r="AU52" s="43"/>
      <c r="AV52" s="43"/>
      <c r="AW52" s="61"/>
      <c r="AX52" s="43"/>
      <c r="AY52" s="61"/>
      <c r="AZ52" s="43"/>
      <c r="BA52" s="43"/>
      <c r="BB52" s="61"/>
      <c r="BC52" s="43"/>
      <c r="BD52" s="63"/>
      <c r="BE52" s="43"/>
      <c r="BF52" s="43"/>
    </row>
    <row r="53" spans="1:58" x14ac:dyDescent="0.15">
      <c r="A53" s="97"/>
      <c r="B53" s="26" t="s">
        <v>130</v>
      </c>
      <c r="C53" s="28" t="s">
        <v>131</v>
      </c>
      <c r="D53" s="20">
        <v>23117526.7569887</v>
      </c>
      <c r="E53" s="20">
        <v>35255170.9583124</v>
      </c>
      <c r="F53" s="20">
        <v>6711085.0313259903</v>
      </c>
      <c r="G53" s="20">
        <v>26913764.728313699</v>
      </c>
      <c r="H53" s="20">
        <v>-2541340.4945982499</v>
      </c>
      <c r="I53" s="20">
        <v>101181657.170058</v>
      </c>
      <c r="J53" s="20">
        <v>48190809.103463501</v>
      </c>
      <c r="K53" s="20">
        <v>17706881.846517999</v>
      </c>
      <c r="L53" s="20">
        <v>55330296.5377042</v>
      </c>
      <c r="M53" s="20">
        <v>27079970.671574298</v>
      </c>
      <c r="N53" s="20">
        <v>75473750.700666696</v>
      </c>
      <c r="O53" s="20">
        <v>36261214.213117696</v>
      </c>
      <c r="P53" s="20">
        <v>27380721.776728999</v>
      </c>
      <c r="Q53" s="20">
        <v>95894757.611015007</v>
      </c>
      <c r="R53" s="20">
        <v>68635495.434864804</v>
      </c>
      <c r="S53" s="20">
        <v>43798631.409793504</v>
      </c>
      <c r="T53" s="20">
        <v>41037939.512259103</v>
      </c>
      <c r="U53" s="20">
        <v>43686015.758966699</v>
      </c>
      <c r="V53" s="20">
        <v>20237210.504032802</v>
      </c>
      <c r="W53" s="20">
        <v>51825291.161202297</v>
      </c>
      <c r="X53" s="20">
        <v>8695606.8842817899</v>
      </c>
      <c r="Y53" s="20">
        <v>53690205.760876298</v>
      </c>
      <c r="Z53" s="20">
        <v>59374527.431741104</v>
      </c>
      <c r="AA53" s="20">
        <v>51110402.078424901</v>
      </c>
      <c r="AB53" s="20">
        <v>38471081.088682704</v>
      </c>
      <c r="AC53" s="20">
        <v>5841588.0152542796</v>
      </c>
      <c r="AD53" s="20">
        <v>3105561.8317358401</v>
      </c>
      <c r="AE53" s="20">
        <v>124616761.457381</v>
      </c>
      <c r="AF53" s="20">
        <v>219960586.71941301</v>
      </c>
      <c r="AG53" s="20">
        <v>17515502.057090301</v>
      </c>
      <c r="AH53" s="20">
        <v>12909619.810646201</v>
      </c>
      <c r="AI53" s="20">
        <v>101253636.088194</v>
      </c>
      <c r="AJ53" s="20">
        <v>501973655.09780598</v>
      </c>
      <c r="AK53" s="20">
        <v>383207440.02152199</v>
      </c>
      <c r="AL53" s="20">
        <v>2859006.25501044</v>
      </c>
      <c r="AM53" s="20">
        <v>7602478.6940469798</v>
      </c>
      <c r="AN53" s="20">
        <v>10750979.3816108</v>
      </c>
      <c r="AO53" s="20">
        <v>5752421.8421264105</v>
      </c>
      <c r="AP53" s="20">
        <v>13231125.5114678</v>
      </c>
      <c r="AQ53" s="20">
        <v>4827324.6091729896</v>
      </c>
      <c r="AR53" s="20">
        <v>5804782.0425391896</v>
      </c>
      <c r="AS53" s="20">
        <v>8918361.9705148209</v>
      </c>
      <c r="AT53" s="41">
        <v>2466942623.1953301</v>
      </c>
      <c r="AU53" s="43"/>
      <c r="AV53" s="43"/>
      <c r="AW53" s="61"/>
      <c r="AX53" s="43"/>
      <c r="AY53" s="61"/>
      <c r="AZ53" s="43"/>
      <c r="BA53" s="43"/>
      <c r="BB53" s="61"/>
      <c r="BC53" s="43"/>
      <c r="BD53" s="63"/>
      <c r="BE53" s="43"/>
      <c r="BF53" s="43"/>
    </row>
    <row r="54" spans="1:58" x14ac:dyDescent="0.15">
      <c r="A54" s="97"/>
      <c r="B54" s="29" t="s">
        <v>132</v>
      </c>
      <c r="C54" s="30" t="s">
        <v>133</v>
      </c>
      <c r="D54" s="20">
        <v>821747242.43806601</v>
      </c>
      <c r="E54" s="31">
        <v>119998497.82053199</v>
      </c>
      <c r="F54" s="31">
        <v>67723789.870348305</v>
      </c>
      <c r="G54" s="20">
        <v>104309593.147588</v>
      </c>
      <c r="H54" s="31">
        <v>8538923.0779975299</v>
      </c>
      <c r="I54" s="20">
        <v>307013686.12254697</v>
      </c>
      <c r="J54" s="20">
        <v>144476356.638051</v>
      </c>
      <c r="K54" s="20">
        <v>55601618.322904602</v>
      </c>
      <c r="L54" s="20">
        <v>161150586.17857301</v>
      </c>
      <c r="M54" s="20">
        <v>100590764.464109</v>
      </c>
      <c r="N54" s="20">
        <v>198013718.85713199</v>
      </c>
      <c r="O54" s="31">
        <v>85836030.0601345</v>
      </c>
      <c r="P54" s="20">
        <v>86439257.149933204</v>
      </c>
      <c r="Q54" s="20">
        <v>230580001.20979801</v>
      </c>
      <c r="R54" s="20">
        <v>156294313.85822901</v>
      </c>
      <c r="S54" s="20">
        <v>119577445.42255899</v>
      </c>
      <c r="T54" s="31">
        <v>127197762.407179</v>
      </c>
      <c r="U54" s="20">
        <v>124087952.5995</v>
      </c>
      <c r="V54" s="20">
        <v>97951296.224270299</v>
      </c>
      <c r="W54" s="20">
        <v>145476440.968485</v>
      </c>
      <c r="X54" s="20">
        <v>32241583.2712426</v>
      </c>
      <c r="Y54" s="20">
        <v>121326838.229105</v>
      </c>
      <c r="Z54" s="20">
        <v>191312780.20041999</v>
      </c>
      <c r="AA54" s="20">
        <v>96806869.506066203</v>
      </c>
      <c r="AB54" s="31">
        <v>218349006.230883</v>
      </c>
      <c r="AC54" s="31">
        <v>19571846.656205501</v>
      </c>
      <c r="AD54" s="31">
        <v>20499065.8921142</v>
      </c>
      <c r="AE54" s="20">
        <v>720092939.74483001</v>
      </c>
      <c r="AF54" s="20">
        <v>953603414.88900602</v>
      </c>
      <c r="AG54" s="20">
        <v>456774936.92500198</v>
      </c>
      <c r="AH54" s="20">
        <v>145520583.58793101</v>
      </c>
      <c r="AI54" s="20">
        <v>448014443.89383298</v>
      </c>
      <c r="AJ54" s="20">
        <v>836171391.12910402</v>
      </c>
      <c r="AK54" s="31">
        <v>769667542.13585603</v>
      </c>
      <c r="AL54" s="20">
        <v>318527104.06321698</v>
      </c>
      <c r="AM54" s="31">
        <v>95927166.192667201</v>
      </c>
      <c r="AN54" s="20">
        <v>185142556.025821</v>
      </c>
      <c r="AO54" s="20">
        <v>157276674.530945</v>
      </c>
      <c r="AP54" s="31">
        <v>373292162.42448801</v>
      </c>
      <c r="AQ54" s="20">
        <v>208205680.26431701</v>
      </c>
      <c r="AR54" s="20">
        <v>78010394.729888007</v>
      </c>
      <c r="AS54" s="20">
        <v>510881373.61062002</v>
      </c>
      <c r="AT54" s="41">
        <v>10164220012.6486</v>
      </c>
      <c r="AU54" s="44"/>
      <c r="AV54" s="43"/>
      <c r="AW54" s="61"/>
      <c r="AX54" s="43"/>
      <c r="AY54" s="61"/>
      <c r="AZ54" s="43"/>
      <c r="BA54" s="43"/>
      <c r="BB54" s="61"/>
      <c r="BC54" s="43"/>
      <c r="BD54" s="63"/>
      <c r="BE54" s="43"/>
      <c r="BF54" s="43"/>
    </row>
    <row r="55" spans="1:58" x14ac:dyDescent="0.15">
      <c r="A55" s="91" t="s">
        <v>134</v>
      </c>
      <c r="B55" s="92"/>
      <c r="C55" s="32" t="s">
        <v>135</v>
      </c>
      <c r="D55" s="20">
        <v>1331683250.2709701</v>
      </c>
      <c r="E55" s="33">
        <v>235072612.00295901</v>
      </c>
      <c r="F55" s="33">
        <v>107689567.27617</v>
      </c>
      <c r="G55" s="20">
        <v>193534599.23827901</v>
      </c>
      <c r="H55" s="33">
        <v>20236774.422584798</v>
      </c>
      <c r="I55" s="20">
        <v>1251362798.1711099</v>
      </c>
      <c r="J55" s="20">
        <v>757386926.81410897</v>
      </c>
      <c r="K55" s="20">
        <v>265413179.90955001</v>
      </c>
      <c r="L55" s="20">
        <v>693805946.29288495</v>
      </c>
      <c r="M55" s="20">
        <v>409333284.47485602</v>
      </c>
      <c r="N55" s="20">
        <v>855096592.92702794</v>
      </c>
      <c r="O55" s="33">
        <v>300056136.80325001</v>
      </c>
      <c r="P55" s="20">
        <v>358191579.35939801</v>
      </c>
      <c r="Q55" s="20">
        <v>733031886.55090594</v>
      </c>
      <c r="R55" s="20">
        <v>683509940.91067898</v>
      </c>
      <c r="S55" s="20">
        <v>524670022.755983</v>
      </c>
      <c r="T55" s="33">
        <v>519481674.11646301</v>
      </c>
      <c r="U55" s="20">
        <v>532910986.428774</v>
      </c>
      <c r="V55" s="20">
        <v>387351083.80461699</v>
      </c>
      <c r="W55" s="20">
        <v>706457460.66325498</v>
      </c>
      <c r="X55" s="20">
        <v>156013924.032628</v>
      </c>
      <c r="Y55" s="20">
        <v>697666254.58715701</v>
      </c>
      <c r="Z55" s="20">
        <v>1188521951.48262</v>
      </c>
      <c r="AA55" s="20">
        <v>164181553.680022</v>
      </c>
      <c r="AB55" s="33">
        <v>699502565.70297396</v>
      </c>
      <c r="AC55" s="33">
        <v>81271005.332346603</v>
      </c>
      <c r="AD55" s="33">
        <v>40678551.969231904</v>
      </c>
      <c r="AE55" s="20">
        <v>2860304981.41469</v>
      </c>
      <c r="AF55" s="20">
        <v>1498514698.5595801</v>
      </c>
      <c r="AG55" s="20">
        <v>1199171268.6345</v>
      </c>
      <c r="AH55" s="20">
        <v>431989760.105425</v>
      </c>
      <c r="AI55" s="20">
        <v>965242789.82604098</v>
      </c>
      <c r="AJ55" s="20">
        <v>1229370155.47224</v>
      </c>
      <c r="AK55" s="33">
        <v>1066633480.3337899</v>
      </c>
      <c r="AL55" s="20">
        <v>962562600.60869706</v>
      </c>
      <c r="AM55" s="33">
        <v>231556568.159228</v>
      </c>
      <c r="AN55" s="20">
        <v>519785869.52841699</v>
      </c>
      <c r="AO55" s="20">
        <v>300337588.72242802</v>
      </c>
      <c r="AP55" s="33">
        <v>532487559.13479602</v>
      </c>
      <c r="AQ55" s="20">
        <v>500072197.73930699</v>
      </c>
      <c r="AR55" s="20">
        <v>155843409.76529199</v>
      </c>
      <c r="AS55" s="20">
        <v>907706187.35658896</v>
      </c>
      <c r="AT55" s="45">
        <v>26990278045.432301</v>
      </c>
      <c r="AU55" s="46"/>
      <c r="AV55" s="46"/>
      <c r="AW55" s="64"/>
      <c r="AX55" s="46"/>
      <c r="AY55" s="64"/>
      <c r="AZ55" s="46"/>
      <c r="BA55" s="46"/>
      <c r="BB55" s="64"/>
      <c r="BC55" s="46"/>
      <c r="BD55" s="65"/>
      <c r="BE55" s="46"/>
      <c r="BF55" s="46"/>
    </row>
  </sheetData>
  <mergeCells count="10">
    <mergeCell ref="A55:B55"/>
    <mergeCell ref="A7:A49"/>
    <mergeCell ref="A50:A54"/>
    <mergeCell ref="C4:C5"/>
    <mergeCell ref="BE4:BE5"/>
    <mergeCell ref="BF4:BF5"/>
    <mergeCell ref="A4:B5"/>
    <mergeCell ref="AU3:BC3"/>
    <mergeCell ref="D4:AT4"/>
    <mergeCell ref="AU4:BD4"/>
  </mergeCells>
  <phoneticPr fontId="7" type="noConversion"/>
  <conditionalFormatting sqref="T8:X9 T11:X11 T18:X18 T23:X23 T31:X33 T40:X40 T42:X42 T45:X45 U49:X55">
    <cfRule type="cellIs" dxfId="0" priority="1"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499984740745262"/>
  </sheetPr>
  <dimension ref="A1:AQ2"/>
  <sheetViews>
    <sheetView workbookViewId="0">
      <selection activeCell="C40" sqref="C40"/>
    </sheetView>
  </sheetViews>
  <sheetFormatPr defaultColWidth="9" defaultRowHeight="13.5" x14ac:dyDescent="0.15"/>
  <cols>
    <col min="2" max="10" width="12.625"/>
    <col min="11" max="11" width="11.5"/>
    <col min="12" max="18" width="12.625"/>
    <col min="19" max="19" width="11.5"/>
    <col min="20" max="25" width="12.625"/>
    <col min="26" max="27" width="11.5"/>
    <col min="28" max="41" width="12.625"/>
    <col min="42" max="42" width="11.5"/>
    <col min="43" max="43" width="12.625"/>
  </cols>
  <sheetData>
    <row r="1" spans="1:43" x14ac:dyDescent="0.15">
      <c r="A1" s="1" t="s">
        <v>136</v>
      </c>
      <c r="B1" s="2" t="s">
        <v>67</v>
      </c>
      <c r="C1" s="2" t="s">
        <v>68</v>
      </c>
      <c r="D1" s="2" t="s">
        <v>69</v>
      </c>
      <c r="E1" s="2" t="s">
        <v>70</v>
      </c>
      <c r="F1" s="2" t="s">
        <v>71</v>
      </c>
      <c r="G1" s="2" t="s">
        <v>72</v>
      </c>
      <c r="H1" s="2" t="s">
        <v>73</v>
      </c>
      <c r="I1" s="2" t="s">
        <v>74</v>
      </c>
      <c r="J1" s="2" t="s">
        <v>75</v>
      </c>
      <c r="K1" s="2" t="s">
        <v>76</v>
      </c>
      <c r="L1" s="2" t="s">
        <v>77</v>
      </c>
      <c r="M1" s="2" t="s">
        <v>78</v>
      </c>
      <c r="N1" s="2" t="s">
        <v>79</v>
      </c>
      <c r="O1" s="2" t="s">
        <v>80</v>
      </c>
      <c r="P1" s="2" t="s">
        <v>85</v>
      </c>
      <c r="Q1" s="2" t="s">
        <v>81</v>
      </c>
      <c r="R1" s="2" t="s">
        <v>82</v>
      </c>
      <c r="S1" s="2" t="s">
        <v>83</v>
      </c>
      <c r="T1" s="2" t="s">
        <v>89</v>
      </c>
      <c r="U1" s="2" t="s">
        <v>88</v>
      </c>
      <c r="V1" s="2" t="s">
        <v>84</v>
      </c>
      <c r="W1" s="2" t="s">
        <v>86</v>
      </c>
      <c r="X1" s="2" t="s">
        <v>87</v>
      </c>
      <c r="Y1" s="2" t="s">
        <v>90</v>
      </c>
      <c r="Z1" s="2" t="s">
        <v>91</v>
      </c>
      <c r="AA1" s="2" t="s">
        <v>92</v>
      </c>
      <c r="AB1" s="2" t="s">
        <v>93</v>
      </c>
      <c r="AC1" s="2" t="s">
        <v>94</v>
      </c>
      <c r="AD1" s="2" t="s">
        <v>95</v>
      </c>
      <c r="AE1" s="2" t="s">
        <v>96</v>
      </c>
      <c r="AF1" s="2" t="s">
        <v>97</v>
      </c>
      <c r="AG1" s="2" t="s">
        <v>98</v>
      </c>
      <c r="AH1" s="2" t="s">
        <v>101</v>
      </c>
      <c r="AI1" s="2" t="s">
        <v>137</v>
      </c>
      <c r="AJ1" s="2" t="s">
        <v>99</v>
      </c>
      <c r="AK1" s="2" t="s">
        <v>100</v>
      </c>
      <c r="AL1" s="2" t="s">
        <v>102</v>
      </c>
      <c r="AM1" s="2" t="s">
        <v>107</v>
      </c>
      <c r="AN1" s="2" t="s">
        <v>104</v>
      </c>
      <c r="AO1" s="2" t="s">
        <v>105</v>
      </c>
      <c r="AP1" s="2" t="s">
        <v>106</v>
      </c>
      <c r="AQ1" s="2" t="s">
        <v>103</v>
      </c>
    </row>
    <row r="2" spans="1:43" x14ac:dyDescent="0.15">
      <c r="A2" s="3" t="s">
        <v>138</v>
      </c>
      <c r="B2">
        <f>'2020 National IO'!D55*10000*About!$A$13</f>
        <v>1833071022653.7412</v>
      </c>
      <c r="C2">
        <f>'2020 National IO'!E55*10000*About!$A$13</f>
        <v>323579044186.72382</v>
      </c>
      <c r="D2">
        <f>'2020 National IO'!F55*10000*About!$A$13</f>
        <v>148235419478.24338</v>
      </c>
      <c r="E2">
        <f>'2020 National IO'!G55*10000*About!$A$13</f>
        <v>266401687993.30258</v>
      </c>
      <c r="F2">
        <f>'2020 National IO'!H55*10000*About!$A$13</f>
        <v>27856057195.637501</v>
      </c>
      <c r="G2">
        <f>'2020 National IO'!I55*10000*About!$A$13</f>
        <v>1722509375775.0691</v>
      </c>
      <c r="H2">
        <f>'2020 National IO'!J55*10000*About!$A$13</f>
        <v>1042548239753.8706</v>
      </c>
      <c r="I2">
        <f>'2020 National IO'!K55*10000*About!$A$13</f>
        <v>365343041615.62683</v>
      </c>
      <c r="J2">
        <f>'2020 National IO'!L55*10000*About!$A$13</f>
        <v>955028588994.83875</v>
      </c>
      <c r="K2">
        <f>'2020 National IO'!M55*10000*About!$A$13</f>
        <v>563450041311.14587</v>
      </c>
      <c r="L2">
        <f>'2020 National IO'!N55*10000*About!$A$13</f>
        <v>1177046257618.3433</v>
      </c>
      <c r="M2">
        <f>'2020 National IO'!O55*10000*About!$A$13</f>
        <v>413029306654.9765</v>
      </c>
      <c r="N2">
        <f>'2020 National IO'!P55*10000*About!$A$13</f>
        <v>493053137484.97455</v>
      </c>
      <c r="O2">
        <f>'2020 National IO'!Q55*10000*About!$A$13</f>
        <v>1009023361707.2643</v>
      </c>
      <c r="P2">
        <f>'2020 National IO'!R55*10000*About!$A$13</f>
        <v>940856067780.52722</v>
      </c>
      <c r="Q2">
        <f>'2020 National IO'!S55*10000*About!$A$13</f>
        <v>722211843524.6322</v>
      </c>
      <c r="R2">
        <f>'2020 National IO'!T55*10000*About!$A$13</f>
        <v>715070046445.93958</v>
      </c>
      <c r="S2">
        <f>'2020 National IO'!U55*10000*About!$A$13</f>
        <v>733555585892.99304</v>
      </c>
      <c r="T2">
        <f>'2020 National IO'!V55*10000*About!$A$13</f>
        <v>533191393051.82776</v>
      </c>
      <c r="U2">
        <f>'2020 National IO'!W55*10000*About!$A$13</f>
        <v>972443484301.43201</v>
      </c>
      <c r="V2">
        <f>'2020 National IO'!X55*10000*About!$A$13</f>
        <v>214754224186.96078</v>
      </c>
      <c r="W2">
        <f>'2020 National IO'!Y55*10000*About!$A$13</f>
        <v>960342329534.34033</v>
      </c>
      <c r="X2">
        <f>'2020 National IO'!Z55*10000*About!$A$13</f>
        <v>1636008524254.8159</v>
      </c>
      <c r="Y2">
        <f>'2020 National IO'!AA55*10000*About!$A$13</f>
        <v>225997021772.16663</v>
      </c>
      <c r="Z2">
        <f>'2020 National IO'!AB55*10000*About!$A$13</f>
        <v>962870024235.2356</v>
      </c>
      <c r="AA2">
        <f>'2020 National IO'!AC55*10000*About!$A$13</f>
        <v>111870089847.8289</v>
      </c>
      <c r="AB2">
        <f>'2020 National IO'!AD55*10000*About!$A$13</f>
        <v>55994302581.443825</v>
      </c>
      <c r="AC2">
        <f>'2020 National IO'!AE55*10000*About!$A$13</f>
        <v>3937229199448.5508</v>
      </c>
      <c r="AD2">
        <f>'2020 National IO'!AF55*10000*About!$A$13</f>
        <v>2062715642320.6028</v>
      </c>
      <c r="AE2">
        <f>'2020 National IO'!AG55*10000*About!$A$13</f>
        <v>1650667381515.4961</v>
      </c>
      <c r="AF2">
        <f>'2020 National IO'!AH55*10000*About!$A$13</f>
        <v>594636833624.86304</v>
      </c>
      <c r="AG2">
        <f>'2020 National IO'!AI55*10000*About!$A$13</f>
        <v>1328663244428.0898</v>
      </c>
      <c r="AH2">
        <f>'2020 National IO'!AJ55*10000*About!$A$13</f>
        <v>1692236353992.5447</v>
      </c>
      <c r="AI2">
        <f>'2020 National IO'!AK55*10000*About!$A$13</f>
        <v>1468228217328.9585</v>
      </c>
      <c r="AJ2">
        <f>'2020 National IO'!AL55*10000*About!$A$13</f>
        <v>1324973945799.0486</v>
      </c>
      <c r="AK2">
        <f>'2020 National IO'!AM55*10000*About!$A$13</f>
        <v>318739185997.46448</v>
      </c>
      <c r="AL2">
        <f>'2020 National IO'!AN55*10000*About!$A$13</f>
        <v>715488773492.90332</v>
      </c>
      <c r="AM2">
        <f>'2020 National IO'!AO55*10000*About!$A$13</f>
        <v>413416727129.93597</v>
      </c>
      <c r="AN2">
        <f>'2020 National IO'!AP55*10000*About!$A$13</f>
        <v>732972735352.04504</v>
      </c>
      <c r="AO2">
        <f>'2020 National IO'!AQ55*10000*About!$A$13</f>
        <v>688352770618.81824</v>
      </c>
      <c r="AP2">
        <f>'2020 National IO'!AR55*10000*About!$A$13</f>
        <v>214519510141.9061</v>
      </c>
      <c r="AQ2">
        <f>'2020 National IO'!AS55*10000*About!$A$13</f>
        <v>1249463721037.4941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About</vt:lpstr>
      <vt:lpstr>2020 National IO</vt:lpstr>
      <vt:lpstr>BObIC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zhlx2</dc:creator>
  <cp:lastModifiedBy>汭 韦</cp:lastModifiedBy>
  <dcterms:created xsi:type="dcterms:W3CDTF">2023-02-06T08:31:00Z</dcterms:created>
  <dcterms:modified xsi:type="dcterms:W3CDTF">2024-07-18T06:47:53Z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81A6CD3D85524692BBCFA2C5B6A16AA2</vt:lpwstr>
  </property>
  <property fmtid="{D5CDD505-2E9C-101B-9397-08002B2CF9AE}" pid="3" name="KSOProductBuildVer">
    <vt:lpwstr>2052-11.1.0.13703</vt:lpwstr>
  </property>
</Properties>
</file>