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540"/>
  </bookViews>
  <sheets>
    <sheet name="About" sheetId="6" r:id="rId1"/>
    <sheet name="就业人口计算" sheetId="1" r:id="rId2"/>
    <sheet name="工资外推" sheetId="4" r:id="rId3"/>
    <sheet name="BPEaCP-population" sheetId="2" r:id="rId4"/>
    <sheet name="BPEaCP-employedpop" sheetId="3" r:id="rId5"/>
    <sheet name="BPEaCP-employeecomp" sheetId="5" r:id="rId6"/>
    <sheet name="汇率" sheetId="7" r:id="rId7"/>
  </sheets>
  <externalReferences>
    <externalReference r:id="rId8"/>
  </externalReferences>
  <calcPr calcId="144525" iterate="1" iterateCount="100" iterateDelta="1e-5"/>
</workbook>
</file>

<file path=xl/sharedStrings.xml><?xml version="1.0" encoding="utf-8"?>
<sst xmlns="http://schemas.openxmlformats.org/spreadsheetml/2006/main" count="103" uniqueCount="96">
  <si>
    <t>BPEaCP BAU Population Employment and Compensation Projections</t>
  </si>
  <si>
    <t>Source:</t>
  </si>
  <si>
    <t>人口预测</t>
  </si>
  <si>
    <t>中国工作人口总数</t>
  </si>
  <si>
    <t>国家统计年鉴4-2</t>
  </si>
  <si>
    <t>http://www.stats.gov.cn/tjsj/ndsj/2021/indexch.htm</t>
  </si>
  <si>
    <t>平均工资</t>
  </si>
  <si>
    <t>国家统计年鉴4-9</t>
  </si>
  <si>
    <t>人均国内生产总值</t>
  </si>
  <si>
    <t>国家统计局</t>
  </si>
  <si>
    <t>https://data.stats.gov.cn/easyquery.htm?cn=C01</t>
  </si>
  <si>
    <t>Notes</t>
  </si>
  <si>
    <t>人口总数。。。</t>
  </si>
  <si>
    <t>就业人数：各年15-65岁人口数乘2020年工作人口总数与2020年15-65岁总人数的比值即得。</t>
  </si>
  <si>
    <t>工资总额：如工资外推表中计算方式。用2010年至2020年人均GDP增长率与平均工资增长率画趋势线求得的斜率乘以2020年人均GDP与2019年人均GDP的比值求得人均工资增长率，继而求得人均报酬。工资总额为人均工资乘以工作人口总数。以2012年美元为单位。</t>
  </si>
  <si>
    <t>2020年女</t>
  </si>
  <si>
    <t>2025女</t>
  </si>
  <si>
    <t>2030女</t>
  </si>
  <si>
    <t>2035女</t>
  </si>
  <si>
    <t>2040女</t>
  </si>
  <si>
    <t>2045女</t>
  </si>
  <si>
    <t>2050女</t>
  </si>
  <si>
    <t>2055女</t>
  </si>
  <si>
    <t>2060女</t>
  </si>
  <si>
    <t>2020男</t>
  </si>
  <si>
    <t>2025男</t>
  </si>
  <si>
    <t>2030男</t>
  </si>
  <si>
    <t>2035男</t>
  </si>
  <si>
    <t>2040男</t>
  </si>
  <si>
    <t>2045男</t>
  </si>
  <si>
    <t>2050男</t>
  </si>
  <si>
    <t>2055男</t>
  </si>
  <si>
    <t>2060男</t>
  </si>
  <si>
    <t>0-4岁</t>
  </si>
  <si>
    <t>5-9岁</t>
  </si>
  <si>
    <t>10-14岁</t>
  </si>
  <si>
    <t>15-19岁</t>
  </si>
  <si>
    <t>20-24岁</t>
  </si>
  <si>
    <t>25-29岁</t>
  </si>
  <si>
    <t>30-34岁</t>
  </si>
  <si>
    <t>35-39岁</t>
  </si>
  <si>
    <t>40-44岁</t>
  </si>
  <si>
    <t>45-49岁</t>
  </si>
  <si>
    <t>50-54岁</t>
  </si>
  <si>
    <t>55-59岁</t>
  </si>
  <si>
    <t>60-64岁</t>
  </si>
  <si>
    <t>65-69岁</t>
  </si>
  <si>
    <t>70-74岁</t>
  </si>
  <si>
    <t>75-79岁</t>
  </si>
  <si>
    <t>80-84岁</t>
  </si>
  <si>
    <t>85-89岁</t>
  </si>
  <si>
    <t>90-94岁</t>
  </si>
  <si>
    <t>95-99岁</t>
  </si>
  <si>
    <t>100岁及以上</t>
  </si>
  <si>
    <t>总人口</t>
  </si>
  <si>
    <t>15-65岁人口</t>
  </si>
  <si>
    <t>年份</t>
  </si>
  <si>
    <t>X</t>
  </si>
  <si>
    <t>就业人数</t>
  </si>
  <si>
    <t>2020年15-65岁人口数</t>
  </si>
  <si>
    <t>2020年就业人口数</t>
  </si>
  <si>
    <t>2020年就业比重</t>
  </si>
  <si>
    <t>平均GDP</t>
  </si>
  <si>
    <t>平均GDP增速</t>
  </si>
  <si>
    <t>平均工资增速</t>
  </si>
  <si>
    <t>人均报酬增长率</t>
  </si>
  <si>
    <t>employeecomp（元）</t>
  </si>
  <si>
    <t>employeecomp（美元）</t>
  </si>
  <si>
    <t>Unit: people</t>
  </si>
  <si>
    <t>Population</t>
  </si>
  <si>
    <t>Employed Population</t>
  </si>
  <si>
    <t>Unit: 2012 $</t>
  </si>
  <si>
    <t>Total EE Compensation</t>
  </si>
  <si>
    <t>人民币年份</t>
  </si>
  <si>
    <t>当年人民币相对2012美元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</si>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</sst>
</file>

<file path=xl/styles.xml><?xml version="1.0" encoding="utf-8"?>
<styleSheet xmlns="http://schemas.openxmlformats.org/spreadsheetml/2006/main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  <numFmt numFmtId="177" formatCode="0.0000_ "/>
  </numFmts>
  <fonts count="25">
    <font>
      <sz val="11"/>
      <color theme="1"/>
      <name val="等线"/>
      <charset val="134"/>
      <scheme val="minor"/>
    </font>
    <font>
      <i/>
      <sz val="11"/>
      <color theme="1"/>
      <name val="等线"/>
      <charset val="134"/>
      <scheme val="minor"/>
    </font>
    <font>
      <sz val="10"/>
      <name val="宋体"/>
      <charset val="134"/>
    </font>
    <font>
      <b/>
      <sz val="11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b/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3F3F76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theme="0"/>
      <name val="等线"/>
      <charset val="0"/>
      <scheme val="minor"/>
    </font>
    <font>
      <u/>
      <sz val="11"/>
      <color rgb="FF800080"/>
      <name val="等线"/>
      <charset val="0"/>
      <scheme val="minor"/>
    </font>
    <font>
      <b/>
      <sz val="11"/>
      <color theme="3"/>
      <name val="等线"/>
      <charset val="134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6500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0" fontId="8" fillId="3" borderId="1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8" fillId="11" borderId="5" applyNumberFormat="0" applyAlignment="0" applyProtection="0">
      <alignment vertical="center"/>
    </xf>
    <xf numFmtId="0" fontId="19" fillId="11" borderId="1" applyNumberFormat="0" applyAlignment="0" applyProtection="0">
      <alignment vertical="center"/>
    </xf>
    <xf numFmtId="0" fontId="20" fillId="12" borderId="6" applyNumberFormat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10" fillId="27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0" fillId="0" borderId="0"/>
  </cellStyleXfs>
  <cellXfs count="16">
    <xf numFmtId="0" fontId="0" fillId="0" borderId="0" xfId="0">
      <alignment vertical="center"/>
    </xf>
    <xf numFmtId="0" fontId="0" fillId="0" borderId="0" xfId="0" applyAlignment="1">
      <alignment vertical="center" wrapText="1"/>
    </xf>
    <xf numFmtId="177" fontId="0" fillId="0" borderId="0" xfId="0" applyNumberFormat="1" applyAlignment="1">
      <alignment wrapText="1"/>
    </xf>
    <xf numFmtId="0" fontId="0" fillId="0" borderId="0" xfId="0" applyAlignment="1">
      <alignment horizontal="left"/>
    </xf>
    <xf numFmtId="177" fontId="0" fillId="0" borderId="0" xfId="0" applyNumberFormat="1">
      <alignment vertical="center"/>
    </xf>
    <xf numFmtId="0" fontId="1" fillId="0" borderId="0" xfId="49" applyFont="1"/>
    <xf numFmtId="0" fontId="0" fillId="0" borderId="0" xfId="0" applyFont="1" applyFill="1" applyAlignment="1"/>
    <xf numFmtId="0" fontId="0" fillId="0" borderId="0" xfId="49"/>
    <xf numFmtId="176" fontId="0" fillId="0" borderId="0" xfId="49" applyNumberFormat="1"/>
    <xf numFmtId="0" fontId="2" fillId="0" borderId="0" xfId="0" applyFont="1" applyAlignment="1"/>
    <xf numFmtId="0" fontId="0" fillId="0" borderId="0" xfId="0" applyAlignment="1">
      <alignment horizontal="center" vertical="center"/>
    </xf>
    <xf numFmtId="11" fontId="0" fillId="0" borderId="0" xfId="0" applyNumberFormat="1">
      <alignment vertical="center"/>
    </xf>
    <xf numFmtId="0" fontId="3" fillId="0" borderId="0" xfId="0" applyFont="1" applyFill="1" applyAlignment="1"/>
    <xf numFmtId="0" fontId="4" fillId="0" borderId="0" xfId="0" applyFont="1" applyFill="1" applyAlignment="1"/>
    <xf numFmtId="0" fontId="5" fillId="0" borderId="0" xfId="0" applyFont="1" applyFill="1" applyAlignment="1"/>
    <xf numFmtId="0" fontId="6" fillId="0" borderId="0" xfId="10">
      <alignment vertical="center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553937007874"/>
          <c:y val="0.351689997083698"/>
          <c:w val="0.808571741032371"/>
          <c:h val="0.540910615339749"/>
        </c:manualLayout>
      </c:layout>
      <c:scatterChart>
        <c:scatterStyle val="marker"/>
        <c:varyColors val="0"/>
        <c:ser>
          <c:idx val="0"/>
          <c:order val="0"/>
          <c:tx>
            <c:strRef>
              <c:f>就业人口计算!$A$25</c:f>
              <c:strCache>
                <c:ptCount val="1"/>
                <c:pt idx="0">
                  <c:v>总人口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6"/>
            <c:dispRSqr val="1"/>
            <c:dispEq val="1"/>
            <c:trendlineLbl>
              <c:layout>
                <c:manualLayout>
                  <c:x val="0.134023840769904"/>
                  <c:y val="-0.384353674540682"/>
                </c:manualLayout>
              </c:layout>
              <c:numFmt formatCode="0.0000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lang="zh-CN"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</a:p>
              </c:txPr>
            </c:trendlineLbl>
          </c:trendline>
          <c:xVal>
            <c:numRef>
              <c:f>就业人口计算!$B$24:$J$24</c:f>
              <c:numCache>
                <c:formatCode>General</c:formatCode>
                <c:ptCount val="9"/>
                <c:pt idx="0">
                  <c:v>20</c:v>
                </c:pt>
                <c:pt idx="1">
                  <c:v>25</c:v>
                </c:pt>
                <c:pt idx="2">
                  <c:v>30</c:v>
                </c:pt>
                <c:pt idx="3">
                  <c:v>35</c:v>
                </c:pt>
                <c:pt idx="4">
                  <c:v>40</c:v>
                </c:pt>
                <c:pt idx="5">
                  <c:v>45</c:v>
                </c:pt>
                <c:pt idx="6">
                  <c:v>50</c:v>
                </c:pt>
                <c:pt idx="7">
                  <c:v>55</c:v>
                </c:pt>
                <c:pt idx="8">
                  <c:v>60</c:v>
                </c:pt>
              </c:numCache>
            </c:numRef>
          </c:xVal>
          <c:yVal>
            <c:numRef>
              <c:f>就业人口计算!$B$25:$J$25</c:f>
              <c:numCache>
                <c:formatCode>General</c:formatCode>
                <c:ptCount val="9"/>
                <c:pt idx="0">
                  <c:v>1409778724</c:v>
                </c:pt>
                <c:pt idx="1">
                  <c:v>1422735306.02742</c:v>
                </c:pt>
                <c:pt idx="2">
                  <c:v>1419485366.60866</c:v>
                </c:pt>
                <c:pt idx="3">
                  <c:v>1406477694.67206</c:v>
                </c:pt>
                <c:pt idx="4">
                  <c:v>1385994440.2763</c:v>
                </c:pt>
                <c:pt idx="5">
                  <c:v>1360436211.92963</c:v>
                </c:pt>
                <c:pt idx="6">
                  <c:v>1327783400.25489</c:v>
                </c:pt>
                <c:pt idx="7">
                  <c:v>1284286657.36219</c:v>
                </c:pt>
                <c:pt idx="8">
                  <c:v>1229815757.98823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就业人口计算!$A$26</c:f>
              <c:strCache>
                <c:ptCount val="1"/>
                <c:pt idx="0">
                  <c:v>15-65岁人口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6"/>
            <c:dispRSqr val="1"/>
            <c:dispEq val="1"/>
            <c:trendlineLbl>
              <c:layout>
                <c:manualLayout>
                  <c:x val="0.1388156167979"/>
                  <c:y val="-0.429966827063284"/>
                </c:manualLayout>
              </c:layout>
              <c:numFmt formatCode="0.0000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lang="zh-CN"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</a:p>
              </c:txPr>
            </c:trendlineLbl>
          </c:trendline>
          <c:xVal>
            <c:numRef>
              <c:f>就业人口计算!$B$24:$J$24</c:f>
              <c:numCache>
                <c:formatCode>General</c:formatCode>
                <c:ptCount val="9"/>
                <c:pt idx="0">
                  <c:v>20</c:v>
                </c:pt>
                <c:pt idx="1">
                  <c:v>25</c:v>
                </c:pt>
                <c:pt idx="2">
                  <c:v>30</c:v>
                </c:pt>
                <c:pt idx="3">
                  <c:v>35</c:v>
                </c:pt>
                <c:pt idx="4">
                  <c:v>40</c:v>
                </c:pt>
                <c:pt idx="5">
                  <c:v>45</c:v>
                </c:pt>
                <c:pt idx="6">
                  <c:v>50</c:v>
                </c:pt>
                <c:pt idx="7">
                  <c:v>55</c:v>
                </c:pt>
                <c:pt idx="8">
                  <c:v>60</c:v>
                </c:pt>
              </c:numCache>
            </c:numRef>
          </c:xVal>
          <c:yVal>
            <c:numRef>
              <c:f>就业人口计算!$B$26:$J$26</c:f>
              <c:numCache>
                <c:formatCode>General</c:formatCode>
                <c:ptCount val="9"/>
                <c:pt idx="0">
                  <c:v>965759506</c:v>
                </c:pt>
                <c:pt idx="1">
                  <c:v>968859499.3732</c:v>
                </c:pt>
                <c:pt idx="2">
                  <c:v>952096784.652617</c:v>
                </c:pt>
                <c:pt idx="3">
                  <c:v>906520608.650105</c:v>
                </c:pt>
                <c:pt idx="4">
                  <c:v>850677077.111454</c:v>
                </c:pt>
                <c:pt idx="5">
                  <c:v>806380603.079528</c:v>
                </c:pt>
                <c:pt idx="6">
                  <c:v>754947602.258881</c:v>
                </c:pt>
                <c:pt idx="7">
                  <c:v>682022497.949468</c:v>
                </c:pt>
                <c:pt idx="8">
                  <c:v>643001472.497549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45271712"/>
        <c:axId val="1845272128"/>
      </c:scatterChart>
      <c:valAx>
        <c:axId val="1845271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845272128"/>
        <c:crosses val="autoZero"/>
        <c:crossBetween val="midCat"/>
      </c:valAx>
      <c:valAx>
        <c:axId val="1845272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8452717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/>
              <c:spPr>
                <a:noFill/>
                <a:ln>
                  <a:noFill/>
                </a:ln>
                <a:effectLst/>
              </c:spPr>
              <c:txPr>
                <a:bodyPr rot="0" spcFirstLastPara="0" vertOverflow="ellipsis" vert="horz" wrap="square" anchor="ctr" anchorCtr="1"/>
                <a:lstStyle/>
                <a:p>
                  <a:pPr>
                    <a:defRPr lang="zh-CN"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</a:p>
              </c:txPr>
            </c:trendlineLbl>
          </c:trendline>
          <c:xVal>
            <c:numRef>
              <c:f>工资外推!$C$3:$C$12</c:f>
              <c:numCache>
                <c:formatCode>General</c:formatCode>
                <c:ptCount val="10"/>
                <c:pt idx="0">
                  <c:v>0.177518826278889</c:v>
                </c:pt>
                <c:pt idx="1">
                  <c:v>0.0963144692229236</c:v>
                </c:pt>
                <c:pt idx="2">
                  <c:v>0.0936863543788187</c:v>
                </c:pt>
                <c:pt idx="3">
                  <c:v>0.0785111616893119</c:v>
                </c:pt>
                <c:pt idx="4">
                  <c:v>0.0641626875852661</c:v>
                </c:pt>
                <c:pt idx="5">
                  <c:v>0.0773406514162094</c:v>
                </c:pt>
                <c:pt idx="6">
                  <c:v>0.108008106650801</c:v>
                </c:pt>
                <c:pt idx="7">
                  <c:v>0.0997113706537791</c:v>
                </c:pt>
                <c:pt idx="8">
                  <c:v>0.0693380535294656</c:v>
                </c:pt>
                <c:pt idx="9">
                  <c:v>0.0249721738634094</c:v>
                </c:pt>
              </c:numCache>
            </c:numRef>
          </c:xVal>
          <c:yVal>
            <c:numRef>
              <c:f>工资外推!$E$3:$E$12</c:f>
              <c:numCache>
                <c:formatCode>General</c:formatCode>
                <c:ptCount val="10"/>
                <c:pt idx="0">
                  <c:v>0.143955773283341</c:v>
                </c:pt>
                <c:pt idx="1">
                  <c:v>0.118902366085313</c:v>
                </c:pt>
                <c:pt idx="2">
                  <c:v>0.100793260493062</c:v>
                </c:pt>
                <c:pt idx="3">
                  <c:v>0.0947302993221064</c:v>
                </c:pt>
                <c:pt idx="4">
                  <c:v>0.100585521646558</c:v>
                </c:pt>
                <c:pt idx="5">
                  <c:v>0.0893130632446113</c:v>
                </c:pt>
                <c:pt idx="6">
                  <c:v>0.0998830824786514</c:v>
                </c:pt>
                <c:pt idx="7">
                  <c:v>0.10892381388089</c:v>
                </c:pt>
                <c:pt idx="8">
                  <c:v>0.0981398565760256</c:v>
                </c:pt>
                <c:pt idx="9">
                  <c:v>0.0759991602302736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5586085"/>
        <c:axId val="815059031"/>
      </c:scatterChart>
      <c:valAx>
        <c:axId val="30558608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15059031"/>
        <c:crosses val="autoZero"/>
        <c:crossBetween val="midCat"/>
      </c:valAx>
      <c:valAx>
        <c:axId val="815059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0558608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10</xdr:col>
      <xdr:colOff>319087</xdr:colOff>
      <xdr:row>4</xdr:row>
      <xdr:rowOff>104775</xdr:rowOff>
    </xdr:from>
    <xdr:to>
      <xdr:col>17</xdr:col>
      <xdr:colOff>90487</xdr:colOff>
      <xdr:row>19</xdr:row>
      <xdr:rowOff>133350</xdr:rowOff>
    </xdr:to>
    <xdr:graphicFrame>
      <xdr:nvGraphicFramePr>
        <xdr:cNvPr id="2" name="图表 1"/>
        <xdr:cNvGraphicFramePr/>
      </xdr:nvGraphicFramePr>
      <xdr:xfrm>
        <a:off x="7853045" y="828675"/>
        <a:ext cx="4905375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139700</xdr:colOff>
      <xdr:row>15</xdr:row>
      <xdr:rowOff>88900</xdr:rowOff>
    </xdr:from>
    <xdr:to>
      <xdr:col>6</xdr:col>
      <xdr:colOff>44450</xdr:colOff>
      <xdr:row>30</xdr:row>
      <xdr:rowOff>117475</xdr:rowOff>
    </xdr:to>
    <xdr:graphicFrame>
      <xdr:nvGraphicFramePr>
        <xdr:cNvPr id="3" name="图表 2"/>
        <xdr:cNvGraphicFramePr/>
      </xdr:nvGraphicFramePr>
      <xdr:xfrm>
        <a:off x="139700" y="2803525"/>
        <a:ext cx="4572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zhlx2\Desktop\&#20309;&#36920;&#32676;\&#20154;&#27665;&#24065;&#30456;&#23545;2012&#32654;&#20803;&#25442;&#31639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汇率"/>
      <sheetName val="Calculation"/>
      <sheetName val="横向"/>
    </sheetNames>
    <sheetDataSet>
      <sheetData sheetId="0"/>
      <sheetData sheetId="1">
        <row r="45">
          <cell r="L45">
            <v>0.264027318393146</v>
          </cell>
        </row>
        <row r="46">
          <cell r="L46">
            <v>0.258730967526493</v>
          </cell>
        </row>
        <row r="47">
          <cell r="L47">
            <v>0.257182474220425</v>
          </cell>
        </row>
        <row r="48">
          <cell r="L48">
            <v>0.250657416210714</v>
          </cell>
        </row>
        <row r="49">
          <cell r="L49">
            <v>0.234364418959083</v>
          </cell>
        </row>
        <row r="50">
          <cell r="L50">
            <v>0.225559165944784</v>
          </cell>
        </row>
        <row r="51">
          <cell r="L51">
            <v>0.217037097117422</v>
          </cell>
        </row>
        <row r="52">
          <cell r="L52">
            <v>0.201427126315792</v>
          </cell>
        </row>
        <row r="53">
          <cell r="L53">
            <v>0.186860689001348</v>
          </cell>
        </row>
        <row r="54">
          <cell r="L54">
            <v>0.187253046603439</v>
          </cell>
        </row>
        <row r="55">
          <cell r="L55">
            <v>0.175197070022782</v>
          </cell>
        </row>
        <row r="56">
          <cell r="L56">
            <v>0.162105908361236</v>
          </cell>
        </row>
        <row r="57">
          <cell r="L57">
            <v>0.158412957650193</v>
          </cell>
        </row>
        <row r="58">
          <cell r="L58">
            <v>0.155058469203377</v>
          </cell>
        </row>
        <row r="59">
          <cell r="L59">
            <v>0.153476033552131</v>
          </cell>
        </row>
        <row r="60">
          <cell r="L60">
            <v>0.153480552163204</v>
          </cell>
        </row>
        <row r="61">
          <cell r="L61">
            <v>0.151350526540712</v>
          </cell>
        </row>
        <row r="62">
          <cell r="L62">
            <v>0.145204482579299</v>
          </cell>
        </row>
        <row r="63">
          <cell r="L63">
            <v>0.140294528147456</v>
          </cell>
        </row>
        <row r="64">
          <cell r="L64">
            <v>0.138511262027254</v>
          </cell>
        </row>
        <row r="65">
          <cell r="L65">
            <v>0.137650677988234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stats.gov.cn/easyquery.htm?cn=C01" TargetMode="External"/><Relationship Id="rId1" Type="http://schemas.openxmlformats.org/officeDocument/2006/relationships/hyperlink" Target="http://www.stats.gov.cn/tjsj/ndsj/2021/indexch.ht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3"/>
  <sheetViews>
    <sheetView tabSelected="1" workbookViewId="0">
      <selection activeCell="O30" sqref="O30"/>
    </sheetView>
  </sheetViews>
  <sheetFormatPr defaultColWidth="9" defaultRowHeight="14.25" outlineLevelCol="1"/>
  <sheetData>
    <row r="1" spans="1:2">
      <c r="A1" s="12" t="s">
        <v>0</v>
      </c>
      <c r="B1" s="13"/>
    </row>
    <row r="2" spans="1:2">
      <c r="A2" s="13"/>
      <c r="B2" s="13"/>
    </row>
    <row r="3" spans="1:2">
      <c r="A3" s="14" t="s">
        <v>1</v>
      </c>
      <c r="B3" t="s">
        <v>2</v>
      </c>
    </row>
    <row r="5" spans="2:2">
      <c r="B5" t="s">
        <v>3</v>
      </c>
    </row>
    <row r="6" spans="2:2">
      <c r="B6" t="s">
        <v>4</v>
      </c>
    </row>
    <row r="7" spans="2:2">
      <c r="B7">
        <v>2021</v>
      </c>
    </row>
    <row r="8" spans="2:2">
      <c r="B8" t="s">
        <v>5</v>
      </c>
    </row>
    <row r="10" spans="2:2">
      <c r="B10" t="s">
        <v>6</v>
      </c>
    </row>
    <row r="11" spans="2:2">
      <c r="B11" t="s">
        <v>7</v>
      </c>
    </row>
    <row r="12" spans="2:2">
      <c r="B12">
        <v>2021</v>
      </c>
    </row>
    <row r="13" spans="2:2">
      <c r="B13" t="s">
        <v>5</v>
      </c>
    </row>
    <row r="15" spans="2:2">
      <c r="B15" t="s">
        <v>8</v>
      </c>
    </row>
    <row r="16" spans="2:2">
      <c r="B16" t="s">
        <v>9</v>
      </c>
    </row>
    <row r="17" spans="2:2">
      <c r="B17">
        <v>2020</v>
      </c>
    </row>
    <row r="18" spans="2:2">
      <c r="B18" s="15" t="s">
        <v>10</v>
      </c>
    </row>
    <row r="20" spans="1:1">
      <c r="A20" s="14" t="s">
        <v>11</v>
      </c>
    </row>
    <row r="21" spans="1:1">
      <c r="A21" t="s">
        <v>12</v>
      </c>
    </row>
    <row r="22" spans="1:1">
      <c r="A22" t="s">
        <v>13</v>
      </c>
    </row>
    <row r="23" spans="1:1">
      <c r="A23" t="s">
        <v>14</v>
      </c>
    </row>
  </sheetData>
  <hyperlinks>
    <hyperlink ref="B8" r:id="rId1" display="http://www.stats.gov.cn/tjsj/ndsj/2021/indexch.htm" tooltip="http://www.stats.gov.cn/tjsj/ndsj/2021/indexch.htm"/>
    <hyperlink ref="B13" r:id="rId1" display="http://www.stats.gov.cn/tjsj/ndsj/2021/indexch.htm" tooltip="http://www.stats.gov.cn/tjsj/ndsj/2021/indexch.htm"/>
    <hyperlink ref="B18" r:id="rId2" display="https://data.stats.gov.cn/easyquery.htm?cn=C01"/>
  </hyperlink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74"/>
  <sheetViews>
    <sheetView topLeftCell="A4" workbookViewId="0">
      <selection activeCell="H66" sqref="H66"/>
    </sheetView>
  </sheetViews>
  <sheetFormatPr defaultColWidth="9" defaultRowHeight="14.25"/>
  <cols>
    <col min="1" max="1" width="12.25" customWidth="1"/>
    <col min="2" max="19" width="9.625" customWidth="1"/>
  </cols>
  <sheetData>
    <row r="1" spans="2:19"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27</v>
      </c>
      <c r="O1" t="s">
        <v>28</v>
      </c>
      <c r="P1" t="s">
        <v>29</v>
      </c>
      <c r="Q1" t="s">
        <v>30</v>
      </c>
      <c r="R1" t="s">
        <v>31</v>
      </c>
      <c r="S1" t="s">
        <v>32</v>
      </c>
    </row>
    <row r="2" spans="1:19">
      <c r="A2" t="s">
        <v>33</v>
      </c>
      <c r="B2">
        <v>36914557</v>
      </c>
      <c r="C2">
        <v>28791080.8702537</v>
      </c>
      <c r="D2">
        <v>24265336.046334</v>
      </c>
      <c r="E2">
        <v>23277788.3921946</v>
      </c>
      <c r="F2">
        <v>23723586.3691048</v>
      </c>
      <c r="G2">
        <v>25210372.2468704</v>
      </c>
      <c r="H2">
        <v>25263955.0396505</v>
      </c>
      <c r="I2">
        <v>22830053.9735202</v>
      </c>
      <c r="J2">
        <v>19518675.5743014</v>
      </c>
      <c r="K2">
        <v>40969331</v>
      </c>
      <c r="L2">
        <v>30230634.9137663</v>
      </c>
      <c r="M2">
        <v>25478602.8486507</v>
      </c>
      <c r="N2">
        <v>24441677.8118044</v>
      </c>
      <c r="O2">
        <v>24909765.68756</v>
      </c>
      <c r="P2">
        <v>26470890.8592139</v>
      </c>
      <c r="Q2">
        <v>26527152.791633</v>
      </c>
      <c r="R2">
        <v>23971556.6721962</v>
      </c>
      <c r="S2">
        <v>20494609.3530164</v>
      </c>
    </row>
    <row r="3" spans="1:19">
      <c r="A3" t="s">
        <v>34</v>
      </c>
      <c r="B3">
        <v>42226598</v>
      </c>
      <c r="C3">
        <v>36807504.7847</v>
      </c>
      <c r="D3">
        <v>28710465.8438169</v>
      </c>
      <c r="E3">
        <v>24197393.1054043</v>
      </c>
      <c r="F3">
        <v>23214938.3635357</v>
      </c>
      <c r="G3">
        <v>23659532.6859082</v>
      </c>
      <c r="H3">
        <v>25144825.2790285</v>
      </c>
      <c r="I3">
        <v>25198268.7565474</v>
      </c>
      <c r="J3">
        <v>22772978.8385864</v>
      </c>
      <c r="K3">
        <v>48017458</v>
      </c>
      <c r="L3">
        <v>40825938.3415</v>
      </c>
      <c r="M3">
        <v>30127850.7550595</v>
      </c>
      <c r="N3">
        <v>25394523.4592501</v>
      </c>
      <c r="O3">
        <v>24361020.2750254</v>
      </c>
      <c r="P3">
        <v>24830054.4373598</v>
      </c>
      <c r="Q3">
        <v>26388831.0975503</v>
      </c>
      <c r="R3">
        <v>26447571.3332581</v>
      </c>
      <c r="S3">
        <v>23899642.0021797</v>
      </c>
    </row>
    <row r="4" spans="1:19">
      <c r="A4" t="s">
        <v>35</v>
      </c>
      <c r="B4">
        <v>39649204</v>
      </c>
      <c r="C4">
        <v>42197039.3814</v>
      </c>
      <c r="D4">
        <v>36781739.5313507</v>
      </c>
      <c r="E4">
        <v>28693239.5643107</v>
      </c>
      <c r="F4">
        <v>24182874.669541</v>
      </c>
      <c r="G4">
        <v>23203330.8943539</v>
      </c>
      <c r="H4">
        <v>23647702.9195653</v>
      </c>
      <c r="I4">
        <v>25132252.866389</v>
      </c>
      <c r="J4">
        <v>25188189.4490448</v>
      </c>
      <c r="K4">
        <v>45606790</v>
      </c>
      <c r="L4">
        <v>47969440.542</v>
      </c>
      <c r="M4">
        <v>40789194.9969926</v>
      </c>
      <c r="N4">
        <v>30103748.4744555</v>
      </c>
      <c r="O4">
        <v>25374207.8404827</v>
      </c>
      <c r="P4">
        <v>24343967.5608329</v>
      </c>
      <c r="Q4">
        <v>24815156.4046974</v>
      </c>
      <c r="R4">
        <v>26372997.7988918</v>
      </c>
      <c r="S4">
        <v>26434347.5475915</v>
      </c>
    </row>
    <row r="5" spans="1:19">
      <c r="A5" t="s">
        <v>36</v>
      </c>
      <c r="B5">
        <v>33630797</v>
      </c>
      <c r="C5">
        <v>39609554.796</v>
      </c>
      <c r="D5">
        <v>42159062.0459567</v>
      </c>
      <c r="E5">
        <v>36752314.1397256</v>
      </c>
      <c r="F5">
        <v>28673154.2966156</v>
      </c>
      <c r="G5">
        <v>24168364.9447393</v>
      </c>
      <c r="H5">
        <v>23189408.8958173</v>
      </c>
      <c r="I5">
        <v>23635879.0681055</v>
      </c>
      <c r="J5">
        <v>25122199.9652424</v>
      </c>
      <c r="K5">
        <v>39053343</v>
      </c>
      <c r="L5">
        <v>45547501.173</v>
      </c>
      <c r="M5">
        <v>47911877.2133496</v>
      </c>
      <c r="N5">
        <v>40748405.8019957</v>
      </c>
      <c r="O5">
        <v>30076655.1008285</v>
      </c>
      <c r="P5">
        <v>25353908.4742104</v>
      </c>
      <c r="Q5">
        <v>24326926.7835403</v>
      </c>
      <c r="R5">
        <v>24800267.3108546</v>
      </c>
      <c r="S5">
        <v>26357174.0002125</v>
      </c>
    </row>
    <row r="6" spans="1:19">
      <c r="A6" t="s">
        <v>37</v>
      </c>
      <c r="B6">
        <v>35265680</v>
      </c>
      <c r="C6">
        <v>33590440.0436</v>
      </c>
      <c r="D6">
        <v>39565984.2857244</v>
      </c>
      <c r="E6">
        <v>42116902.9839108</v>
      </c>
      <c r="F6">
        <v>36715561.8255859</v>
      </c>
      <c r="G6">
        <v>28647348.4577487</v>
      </c>
      <c r="H6">
        <v>24146613.416289</v>
      </c>
      <c r="I6">
        <v>23170857.3687007</v>
      </c>
      <c r="J6">
        <v>23619333.9527578</v>
      </c>
      <c r="K6">
        <v>39675995</v>
      </c>
      <c r="L6">
        <v>38963520.3111</v>
      </c>
      <c r="M6">
        <v>45447296.6704194</v>
      </c>
      <c r="N6">
        <v>47816053.4589229</v>
      </c>
      <c r="O6">
        <v>40670983.8309719</v>
      </c>
      <c r="P6">
        <v>30022517.121647</v>
      </c>
      <c r="Q6">
        <v>25310806.8298042</v>
      </c>
      <c r="R6">
        <v>24288003.7006866</v>
      </c>
      <c r="S6">
        <v>24763066.9098883</v>
      </c>
    </row>
    <row r="7" spans="1:19">
      <c r="A7" t="s">
        <v>38</v>
      </c>
      <c r="B7">
        <v>43685062</v>
      </c>
      <c r="C7">
        <v>35219834.616</v>
      </c>
      <c r="D7">
        <v>33546772.4715433</v>
      </c>
      <c r="E7">
        <v>39518505.1045815</v>
      </c>
      <c r="F7">
        <v>42066362.7003301</v>
      </c>
      <c r="G7">
        <v>36675174.7075778</v>
      </c>
      <c r="H7">
        <v>28615836.3744452</v>
      </c>
      <c r="I7">
        <v>24120052.1415311</v>
      </c>
      <c r="J7">
        <v>23147686.511332</v>
      </c>
      <c r="K7">
        <v>48162270</v>
      </c>
      <c r="L7">
        <v>39568869.8135</v>
      </c>
      <c r="M7">
        <v>38858318.80626</v>
      </c>
      <c r="N7">
        <v>45329133.6990763</v>
      </c>
      <c r="O7">
        <v>47691731.7199297</v>
      </c>
      <c r="P7">
        <v>40565239.2730113</v>
      </c>
      <c r="Q7">
        <v>29944458.5771307</v>
      </c>
      <c r="R7">
        <v>25247529.8127297</v>
      </c>
      <c r="S7">
        <v>24227283.6914349</v>
      </c>
    </row>
    <row r="8" spans="1:19">
      <c r="A8" t="s">
        <v>39</v>
      </c>
      <c r="B8">
        <v>60273382</v>
      </c>
      <c r="C8">
        <v>43623902.9132</v>
      </c>
      <c r="D8">
        <v>35170526.8475376</v>
      </c>
      <c r="E8">
        <v>33499806.9900832</v>
      </c>
      <c r="F8">
        <v>39463179.1974351</v>
      </c>
      <c r="G8">
        <v>42011676.4288197</v>
      </c>
      <c r="H8">
        <v>36627496.9804579</v>
      </c>
      <c r="I8">
        <v>28578635.7871584</v>
      </c>
      <c r="J8">
        <v>24088696.0737471</v>
      </c>
      <c r="K8">
        <v>63871808</v>
      </c>
      <c r="L8">
        <v>48003334.509</v>
      </c>
      <c r="M8">
        <v>39442249.4300968</v>
      </c>
      <c r="N8">
        <v>38733972.18608</v>
      </c>
      <c r="O8">
        <v>45188613.3846092</v>
      </c>
      <c r="P8">
        <v>47548656.5247699</v>
      </c>
      <c r="Q8">
        <v>40443543.5551923</v>
      </c>
      <c r="R8">
        <v>29857619.647257</v>
      </c>
      <c r="S8">
        <v>25174311.9762728</v>
      </c>
    </row>
    <row r="9" spans="1:19">
      <c r="A9" t="s">
        <v>40</v>
      </c>
      <c r="B9">
        <v>48080895</v>
      </c>
      <c r="C9">
        <v>60158862.5742</v>
      </c>
      <c r="D9">
        <v>43541017.4976649</v>
      </c>
      <c r="E9">
        <v>35107219.899212</v>
      </c>
      <c r="F9">
        <v>33439507.337501</v>
      </c>
      <c r="G9">
        <v>39392145.4748797</v>
      </c>
      <c r="H9">
        <v>41936055.4112478</v>
      </c>
      <c r="I9">
        <v>36565230.2355911</v>
      </c>
      <c r="J9">
        <v>28530052.1063202</v>
      </c>
      <c r="K9">
        <v>50932037</v>
      </c>
      <c r="L9">
        <v>63590772.0448</v>
      </c>
      <c r="M9">
        <v>47801720.5040622</v>
      </c>
      <c r="N9">
        <v>39280536.2074334</v>
      </c>
      <c r="O9">
        <v>38582909.6945543</v>
      </c>
      <c r="P9">
        <v>45016896.6537477</v>
      </c>
      <c r="Q9">
        <v>47377481.3612807</v>
      </c>
      <c r="R9">
        <v>40301991.1527491</v>
      </c>
      <c r="S9">
        <v>29759089.5024211</v>
      </c>
    </row>
    <row r="10" spans="1:19">
      <c r="A10" t="s">
        <v>41</v>
      </c>
      <c r="B10">
        <v>45322636</v>
      </c>
      <c r="C10">
        <v>47951076.5835</v>
      </c>
      <c r="D10">
        <v>59996433.6452497</v>
      </c>
      <c r="E10">
        <v>43427810.852171</v>
      </c>
      <c r="F10">
        <v>35015941.1274741</v>
      </c>
      <c r="G10">
        <v>33355908.5691573</v>
      </c>
      <c r="H10">
        <v>39293665.1111925</v>
      </c>
      <c r="I10">
        <v>41831215.2727197</v>
      </c>
      <c r="J10">
        <v>36477473.6830257</v>
      </c>
      <c r="K10">
        <v>47632694</v>
      </c>
      <c r="L10">
        <v>50580605.9447</v>
      </c>
      <c r="M10">
        <v>63177432.0265088</v>
      </c>
      <c r="N10">
        <v>47510130.0089874</v>
      </c>
      <c r="O10">
        <v>39056637.151051</v>
      </c>
      <c r="P10">
        <v>38378420.2731731</v>
      </c>
      <c r="Q10">
        <v>44791812.1704789</v>
      </c>
      <c r="R10">
        <v>47154807.1988827</v>
      </c>
      <c r="S10">
        <v>40124662.391677</v>
      </c>
    </row>
    <row r="11" spans="1:19">
      <c r="A11" t="s">
        <v>42</v>
      </c>
      <c r="B11">
        <v>56033201</v>
      </c>
      <c r="C11">
        <v>45127748.6652</v>
      </c>
      <c r="D11">
        <v>47749682.0618493</v>
      </c>
      <c r="E11">
        <v>59750448.2673041</v>
      </c>
      <c r="F11">
        <v>43249756.8276771</v>
      </c>
      <c r="G11">
        <v>34875877.3629642</v>
      </c>
      <c r="H11">
        <v>33225820.5257376</v>
      </c>
      <c r="I11">
        <v>39144349.18377</v>
      </c>
      <c r="J11">
        <v>41672256.6546833</v>
      </c>
      <c r="K11">
        <v>58191686</v>
      </c>
      <c r="L11">
        <v>47108734.366</v>
      </c>
      <c r="M11">
        <v>50059625.7034696</v>
      </c>
      <c r="N11">
        <v>62570928.6790543</v>
      </c>
      <c r="O11">
        <v>47087289.8519074</v>
      </c>
      <c r="P11">
        <v>38732467.0626973</v>
      </c>
      <c r="Q11">
        <v>38079068.5950424</v>
      </c>
      <c r="R11">
        <v>44469311.1228515</v>
      </c>
      <c r="S11">
        <v>46834154.5099303</v>
      </c>
    </row>
    <row r="12" spans="1:19">
      <c r="A12" t="s">
        <v>43</v>
      </c>
      <c r="B12">
        <v>60058826</v>
      </c>
      <c r="C12">
        <v>55640968.593</v>
      </c>
      <c r="D12">
        <v>44820879.9742766</v>
      </c>
      <c r="E12">
        <v>47434534.1602411</v>
      </c>
      <c r="F12">
        <v>59362070.3535667</v>
      </c>
      <c r="G12">
        <v>42977283.3596627</v>
      </c>
      <c r="H12">
        <v>34659646.9233138</v>
      </c>
      <c r="I12">
        <v>33026465.6025831</v>
      </c>
      <c r="J12">
        <v>38917311.9585041</v>
      </c>
      <c r="K12">
        <v>61105470</v>
      </c>
      <c r="L12">
        <v>57214065.6752</v>
      </c>
      <c r="M12">
        <v>46369127.2364538</v>
      </c>
      <c r="N12">
        <v>49323749.2056286</v>
      </c>
      <c r="O12">
        <v>61707449.8632834</v>
      </c>
      <c r="P12">
        <v>46479863.8128178</v>
      </c>
      <c r="Q12">
        <v>38263804.2112387</v>
      </c>
      <c r="R12">
        <v>37648775.1199184</v>
      </c>
      <c r="S12">
        <v>43997936.4249492</v>
      </c>
    </row>
    <row r="13" spans="1:19">
      <c r="A13" t="s">
        <v>44</v>
      </c>
      <c r="B13">
        <v>50584760</v>
      </c>
      <c r="C13">
        <v>59368149.501</v>
      </c>
      <c r="D13">
        <v>55023353.8416177</v>
      </c>
      <c r="E13">
        <v>44341296.5585519</v>
      </c>
      <c r="F13">
        <v>46941215.0049746</v>
      </c>
      <c r="G13">
        <v>58768449.650031</v>
      </c>
      <c r="H13">
        <v>42560403.711074</v>
      </c>
      <c r="I13">
        <v>34337312.206927</v>
      </c>
      <c r="J13">
        <v>32729227.4121599</v>
      </c>
      <c r="K13">
        <v>50816026</v>
      </c>
      <c r="L13">
        <v>59528948.874</v>
      </c>
      <c r="M13">
        <v>55823763.8792926</v>
      </c>
      <c r="N13">
        <v>45307274.222739</v>
      </c>
      <c r="O13">
        <v>48258356.222787</v>
      </c>
      <c r="P13">
        <v>60454788.6310587</v>
      </c>
      <c r="Q13">
        <v>45592098.413993</v>
      </c>
      <c r="R13">
        <v>37575055.7354364</v>
      </c>
      <c r="S13">
        <v>37008745.9428798</v>
      </c>
    </row>
    <row r="14" spans="1:19">
      <c r="A14" t="s">
        <v>45</v>
      </c>
      <c r="B14">
        <v>36511813</v>
      </c>
      <c r="C14">
        <v>49694468.224</v>
      </c>
      <c r="D14">
        <v>58370764.5893832</v>
      </c>
      <c r="E14">
        <v>54137477.8447677</v>
      </c>
      <c r="F14">
        <v>43662874.721206</v>
      </c>
      <c r="G14">
        <v>46251179.1444015</v>
      </c>
      <c r="H14">
        <v>57945691.3549306</v>
      </c>
      <c r="I14">
        <v>41990094.3013456</v>
      </c>
      <c r="J14">
        <v>33897794.6106783</v>
      </c>
      <c r="K14">
        <v>36871125</v>
      </c>
      <c r="L14">
        <v>48768140.1522</v>
      </c>
      <c r="M14">
        <v>57260895.9219006</v>
      </c>
      <c r="N14">
        <v>53814108.3796381</v>
      </c>
      <c r="O14">
        <v>43766826.8991659</v>
      </c>
      <c r="P14">
        <v>46704437.1524133</v>
      </c>
      <c r="Q14">
        <v>58616963.0566745</v>
      </c>
      <c r="R14">
        <v>44279045.97967</v>
      </c>
      <c r="S14">
        <v>36553014.2194325</v>
      </c>
    </row>
    <row r="15" spans="1:19">
      <c r="A15" t="s">
        <v>46</v>
      </c>
      <c r="B15">
        <v>37667637</v>
      </c>
      <c r="C15">
        <v>35463923.9669</v>
      </c>
      <c r="D15">
        <v>48342778.6883072</v>
      </c>
      <c r="E15">
        <v>56870635.9394361</v>
      </c>
      <c r="F15">
        <v>52821937.1331398</v>
      </c>
      <c r="G15">
        <v>42658628.6026183</v>
      </c>
      <c r="H15">
        <v>45242903.4390535</v>
      </c>
      <c r="I15">
        <v>56752010.113019</v>
      </c>
      <c r="J15">
        <v>41171287.4624694</v>
      </c>
      <c r="K15">
        <v>36337923</v>
      </c>
      <c r="L15">
        <v>34585115.25</v>
      </c>
      <c r="M15">
        <v>45885943.069205</v>
      </c>
      <c r="N15">
        <v>54031381.3919054</v>
      </c>
      <c r="O15">
        <v>50918909.3488136</v>
      </c>
      <c r="P15">
        <v>41521588.6792387</v>
      </c>
      <c r="Q15">
        <v>44415919.731945</v>
      </c>
      <c r="R15">
        <v>55879550.8819278</v>
      </c>
      <c r="S15">
        <v>42304200.5289767</v>
      </c>
    </row>
    <row r="16" spans="1:19">
      <c r="A16" t="s">
        <v>47</v>
      </c>
      <c r="B16">
        <v>25427303</v>
      </c>
      <c r="C16">
        <v>35780488.3863</v>
      </c>
      <c r="D16">
        <v>33821944.2872325</v>
      </c>
      <c r="E16">
        <v>46278542.0383165</v>
      </c>
      <c r="F16">
        <v>54624245.8198283</v>
      </c>
      <c r="G16">
        <v>50899218.6214935</v>
      </c>
      <c r="H16">
        <v>41225298.6815703</v>
      </c>
      <c r="I16">
        <v>43835849.1420989</v>
      </c>
      <c r="J16">
        <v>55123227.4227754</v>
      </c>
      <c r="K16">
        <v>24162733</v>
      </c>
      <c r="L16">
        <v>32871285.1458</v>
      </c>
      <c r="M16">
        <v>31448245.296825</v>
      </c>
      <c r="N16">
        <v>41930574.7766395</v>
      </c>
      <c r="O16">
        <v>49600808.1177692</v>
      </c>
      <c r="P16">
        <v>46947234.4196061</v>
      </c>
      <c r="Q16">
        <v>38444838.9581071</v>
      </c>
      <c r="R16">
        <v>41284597.3908429</v>
      </c>
      <c r="S16">
        <v>52135620.9728387</v>
      </c>
    </row>
    <row r="17" spans="1:19">
      <c r="A17" t="s">
        <v>48</v>
      </c>
      <c r="B17">
        <v>16486416</v>
      </c>
      <c r="C17">
        <v>23077820.2028</v>
      </c>
      <c r="D17">
        <v>32764193.2153349</v>
      </c>
      <c r="E17">
        <v>31221036.7715443</v>
      </c>
      <c r="F17">
        <v>43034416.2414305</v>
      </c>
      <c r="G17">
        <v>51128294.0873593</v>
      </c>
      <c r="H17">
        <v>47926704.2539983</v>
      </c>
      <c r="I17">
        <v>39032112.7917108</v>
      </c>
      <c r="J17">
        <v>41705426.8737929</v>
      </c>
      <c r="K17">
        <v>14752433</v>
      </c>
      <c r="L17">
        <v>20429590.7515</v>
      </c>
      <c r="M17">
        <v>28049067.6149111</v>
      </c>
      <c r="N17">
        <v>27067504.7269773</v>
      </c>
      <c r="O17">
        <v>36383159.7336901</v>
      </c>
      <c r="P17">
        <v>43370946.6181774</v>
      </c>
      <c r="Q17">
        <v>41346429.3533471</v>
      </c>
      <c r="R17">
        <v>34092883.1880494</v>
      </c>
      <c r="S17">
        <v>36846503.1713273</v>
      </c>
    </row>
    <row r="18" spans="1:19">
      <c r="A18" t="s">
        <v>49</v>
      </c>
      <c r="B18">
        <v>11225875</v>
      </c>
      <c r="C18">
        <v>13715049.4704</v>
      </c>
      <c r="D18">
        <v>19556144.8398527</v>
      </c>
      <c r="E18">
        <v>28223076.0356895</v>
      </c>
      <c r="F18">
        <v>27290308.2420069</v>
      </c>
      <c r="G18">
        <v>38115582.465035</v>
      </c>
      <c r="H18">
        <v>45821177.1610914</v>
      </c>
      <c r="I18">
        <v>43412008.7132717</v>
      </c>
      <c r="J18">
        <v>35690963.9367403</v>
      </c>
      <c r="K18">
        <v>9157003</v>
      </c>
      <c r="L18">
        <v>11083502.9129</v>
      </c>
      <c r="M18">
        <v>15616379.1704466</v>
      </c>
      <c r="N18">
        <v>21788515.723263</v>
      </c>
      <c r="O18">
        <v>21345434.2276943</v>
      </c>
      <c r="P18">
        <v>29099251.1550053</v>
      </c>
      <c r="Q18">
        <v>35143478.0447091</v>
      </c>
      <c r="R18">
        <v>33916475.9985506</v>
      </c>
      <c r="S18">
        <v>28290274.4694434</v>
      </c>
    </row>
    <row r="19" spans="1:19">
      <c r="A19" t="s">
        <v>50</v>
      </c>
      <c r="B19">
        <v>6400439</v>
      </c>
      <c r="C19">
        <v>7876073.9</v>
      </c>
      <c r="D19">
        <v>9961240.43035152</v>
      </c>
      <c r="E19">
        <v>14647552.4850497</v>
      </c>
      <c r="F19">
        <v>21723301.6246702</v>
      </c>
      <c r="G19">
        <v>21526595.1412951</v>
      </c>
      <c r="H19">
        <v>30732594.1415577</v>
      </c>
      <c r="I19">
        <v>37678753.9795655</v>
      </c>
      <c r="J19">
        <v>36335851.2930084</v>
      </c>
      <c r="K19">
        <v>4426091</v>
      </c>
      <c r="L19">
        <v>5560132.2216</v>
      </c>
      <c r="M19">
        <v>6913889.11706702</v>
      </c>
      <c r="N19">
        <v>9989797.75533469</v>
      </c>
      <c r="O19">
        <v>14271477.7987372</v>
      </c>
      <c r="P19">
        <v>14290768.2154413</v>
      </c>
      <c r="Q19">
        <v>19889338.1644461</v>
      </c>
      <c r="R19">
        <v>24491489.8493578</v>
      </c>
      <c r="S19">
        <v>24070523.0161714</v>
      </c>
    </row>
    <row r="20" spans="1:19">
      <c r="A20" t="s">
        <v>51</v>
      </c>
      <c r="B20">
        <v>2285155</v>
      </c>
      <c r="C20">
        <v>3358310.3433</v>
      </c>
      <c r="D20">
        <v>4364132.54799</v>
      </c>
      <c r="E20">
        <v>5793457.43429244</v>
      </c>
      <c r="F20">
        <v>8896923.37941918</v>
      </c>
      <c r="G20">
        <v>13722609.6363042</v>
      </c>
      <c r="H20">
        <v>14087003.8604635</v>
      </c>
      <c r="I20">
        <v>20769087.1208647</v>
      </c>
      <c r="J20">
        <v>26216877.0189817</v>
      </c>
      <c r="K20">
        <v>1367594</v>
      </c>
      <c r="L20">
        <v>1951463.5219</v>
      </c>
      <c r="M20">
        <v>2532640.2269388</v>
      </c>
      <c r="N20">
        <v>3248145.10719809</v>
      </c>
      <c r="O20">
        <v>4832065.17425539</v>
      </c>
      <c r="P20">
        <v>7095778.76153216</v>
      </c>
      <c r="Q20">
        <v>7292579.02033971</v>
      </c>
      <c r="R20">
        <v>10406101.7276382</v>
      </c>
      <c r="S20">
        <v>13117641.963316</v>
      </c>
    </row>
    <row r="21" spans="1:19">
      <c r="A21" t="s">
        <v>52</v>
      </c>
      <c r="B21">
        <v>548357</v>
      </c>
      <c r="C21">
        <v>735819.91</v>
      </c>
      <c r="D21">
        <v>1166341.18222809</v>
      </c>
      <c r="E21">
        <v>1622148.06808788</v>
      </c>
      <c r="F21">
        <v>2288995.03228894</v>
      </c>
      <c r="G21">
        <v>3716244.89558339</v>
      </c>
      <c r="H21">
        <v>6029714.67419205</v>
      </c>
      <c r="I21">
        <v>6485656.57735739</v>
      </c>
      <c r="J21">
        <v>9979546.36157549</v>
      </c>
      <c r="K21">
        <v>271455</v>
      </c>
      <c r="L21">
        <v>385387.9892</v>
      </c>
      <c r="M21">
        <v>565534.12864662</v>
      </c>
      <c r="N21">
        <v>753966.995559681</v>
      </c>
      <c r="O21">
        <v>992633.144759735</v>
      </c>
      <c r="P21">
        <v>1513886.01909421</v>
      </c>
      <c r="Q21">
        <v>2277744.98245182</v>
      </c>
      <c r="R21">
        <v>2396341.46608363</v>
      </c>
      <c r="S21">
        <v>3497490.79065921</v>
      </c>
    </row>
    <row r="22" spans="1:19">
      <c r="A22" t="s">
        <v>53</v>
      </c>
      <c r="B22">
        <v>83737</v>
      </c>
      <c r="C22">
        <v>118719.2905</v>
      </c>
      <c r="D22">
        <v>163057.692056</v>
      </c>
      <c r="E22">
        <v>264409.546011108</v>
      </c>
      <c r="F22">
        <v>376013.922182771</v>
      </c>
      <c r="G22">
        <v>542034.023646022</v>
      </c>
      <c r="H22">
        <v>898588.015752064</v>
      </c>
      <c r="I22">
        <v>1488133.5815906</v>
      </c>
      <c r="J22">
        <v>1632439.76052085</v>
      </c>
      <c r="K22">
        <v>35129</v>
      </c>
      <c r="L22">
        <v>61484.5575</v>
      </c>
      <c r="M22">
        <v>83860.42644992</v>
      </c>
      <c r="N22">
        <v>117970.419235685</v>
      </c>
      <c r="O22">
        <v>150341.0189146</v>
      </c>
      <c r="P22">
        <v>188798.824133302</v>
      </c>
      <c r="Q22">
        <v>273861.980854143</v>
      </c>
      <c r="R22">
        <v>390405.489992242</v>
      </c>
      <c r="S22">
        <v>387967.683358939</v>
      </c>
    </row>
    <row r="24" spans="2:18">
      <c r="B24">
        <v>20</v>
      </c>
      <c r="C24">
        <v>25</v>
      </c>
      <c r="D24">
        <v>30</v>
      </c>
      <c r="E24">
        <v>35</v>
      </c>
      <c r="F24">
        <v>40</v>
      </c>
      <c r="G24">
        <v>45</v>
      </c>
      <c r="H24">
        <v>50</v>
      </c>
      <c r="I24">
        <v>55</v>
      </c>
      <c r="J24">
        <v>60</v>
      </c>
      <c r="L24">
        <v>6</v>
      </c>
      <c r="M24">
        <v>5</v>
      </c>
      <c r="N24">
        <v>4</v>
      </c>
      <c r="O24">
        <v>3</v>
      </c>
      <c r="P24">
        <v>2</v>
      </c>
      <c r="Q24">
        <v>1</v>
      </c>
      <c r="R24">
        <v>0</v>
      </c>
    </row>
    <row r="25" spans="1:18">
      <c r="A25" t="s">
        <v>54</v>
      </c>
      <c r="B25">
        <f>SUM(B2:B22)+SUM(K2:K22)</f>
        <v>1409778724</v>
      </c>
      <c r="C25">
        <f t="shared" ref="C25:J25" si="0">SUM(C2:C22)+SUM(L2:L22)</f>
        <v>1422735306.02742</v>
      </c>
      <c r="D25">
        <f t="shared" si="0"/>
        <v>1419485366.60866</v>
      </c>
      <c r="E25">
        <f t="shared" si="0"/>
        <v>1406477694.67206</v>
      </c>
      <c r="F25">
        <f t="shared" si="0"/>
        <v>1385994440.2763</v>
      </c>
      <c r="G25">
        <f t="shared" si="0"/>
        <v>1360436211.92963</v>
      </c>
      <c r="H25">
        <f t="shared" si="0"/>
        <v>1327783400.25489</v>
      </c>
      <c r="I25">
        <f t="shared" si="0"/>
        <v>1284286657.36219</v>
      </c>
      <c r="J25">
        <f t="shared" si="0"/>
        <v>1229815757.98823</v>
      </c>
      <c r="L25" s="11">
        <v>0.1537335</v>
      </c>
      <c r="M25" s="11">
        <v>-34.64967</v>
      </c>
      <c r="N25" s="11">
        <v>3025.144</v>
      </c>
      <c r="O25" s="11">
        <v>-127183.4</v>
      </c>
      <c r="P25" s="11">
        <v>2388758</v>
      </c>
      <c r="Q25" s="11">
        <v>-10543830</v>
      </c>
      <c r="R25" s="11">
        <v>1299652000</v>
      </c>
    </row>
    <row r="26" spans="1:18">
      <c r="A26" t="s">
        <v>55</v>
      </c>
      <c r="B26">
        <f>SUM(B5:B14)+SUM(K5:K14)</f>
        <v>965759506</v>
      </c>
      <c r="C26">
        <f t="shared" ref="C26:J26" si="1">SUM(C5:C14)+SUM(L5:L14)</f>
        <v>968859499.3732</v>
      </c>
      <c r="D26">
        <f t="shared" si="1"/>
        <v>952096784.652617</v>
      </c>
      <c r="E26">
        <f t="shared" si="1"/>
        <v>906520608.650105</v>
      </c>
      <c r="F26">
        <f t="shared" si="1"/>
        <v>850677077.111454</v>
      </c>
      <c r="G26">
        <f t="shared" si="1"/>
        <v>806380603.079528</v>
      </c>
      <c r="H26">
        <f t="shared" si="1"/>
        <v>754947602.258881</v>
      </c>
      <c r="I26">
        <f t="shared" si="1"/>
        <v>682022497.949468</v>
      </c>
      <c r="J26">
        <f t="shared" si="1"/>
        <v>643001472.497549</v>
      </c>
      <c r="L26" s="11">
        <v>3.700066</v>
      </c>
      <c r="M26" s="11">
        <v>-870.1371</v>
      </c>
      <c r="N26" s="11">
        <v>82906.44</v>
      </c>
      <c r="O26" s="11">
        <v>-4081690</v>
      </c>
      <c r="P26" s="11">
        <v>108923700</v>
      </c>
      <c r="Q26" s="11">
        <v>-1491228000</v>
      </c>
      <c r="R26" s="11">
        <v>9157020000</v>
      </c>
    </row>
    <row r="28" spans="1:5">
      <c r="A28" s="10" t="s">
        <v>56</v>
      </c>
      <c r="B28" s="10" t="s">
        <v>57</v>
      </c>
      <c r="C28" s="10" t="s">
        <v>54</v>
      </c>
      <c r="D28" s="10" t="s">
        <v>55</v>
      </c>
      <c r="E28" t="s">
        <v>58</v>
      </c>
    </row>
    <row r="29" spans="1:5">
      <c r="A29">
        <v>2020</v>
      </c>
      <c r="B29">
        <f>A29-2000</f>
        <v>20</v>
      </c>
      <c r="C29" s="11">
        <f>$L$25*B29^6+$M$25*B29^5+$N$25*B29^4+$O$25*B29^3+$P$25*B29^2+$Q$25*B29+$R$25</f>
        <v>1409794440</v>
      </c>
      <c r="D29" s="11">
        <f>$L$26*B29^6+$M$26*B29^5+$N$26*B29^4+$O$26*B29^3+$P$26*B29^2+$Q$26*B29+$R$26</f>
        <v>965815904</v>
      </c>
      <c r="E29">
        <f>D29*$B$74</f>
        <v>750640000</v>
      </c>
    </row>
    <row r="30" spans="1:5">
      <c r="A30">
        <v>2021</v>
      </c>
      <c r="B30">
        <f t="shared" ref="B30:B69" si="2">A30-2000</f>
        <v>21</v>
      </c>
      <c r="C30" s="11">
        <f t="shared" ref="C30:D69" si="3">$L$25*B30^6+$M$25*B30^5+$N$25*B30^4+$O$25*B30^3+$P$25*B30^2+$Q$25*B30+$R$25</f>
        <v>1413833784.93008</v>
      </c>
      <c r="D30" s="11">
        <f t="shared" ref="D30:D69" si="4">$L$26*B30^6+$M$26*B30^5+$N$26*B30^4+$O$26*B30^3+$P$26*B30^2+$Q$26*B30+$R$26</f>
        <v>963392475.656887</v>
      </c>
      <c r="E30">
        <f t="shared" ref="E30:E69" si="5">D30*$B$74</f>
        <v>748756491.720689</v>
      </c>
    </row>
    <row r="31" spans="1:5">
      <c r="A31">
        <v>2022</v>
      </c>
      <c r="B31">
        <f t="shared" si="2"/>
        <v>22</v>
      </c>
      <c r="C31" s="11">
        <f t="shared" si="3"/>
        <v>1417114543.03414</v>
      </c>
      <c r="D31" s="11">
        <f t="shared" si="4"/>
        <v>963717413.566463</v>
      </c>
      <c r="E31">
        <f t="shared" si="5"/>
        <v>749009036.114951</v>
      </c>
    </row>
    <row r="32" spans="1:5">
      <c r="A32">
        <v>2023</v>
      </c>
      <c r="B32">
        <f t="shared" si="2"/>
        <v>23</v>
      </c>
      <c r="C32" s="11">
        <f t="shared" si="3"/>
        <v>1419656700.68877</v>
      </c>
      <c r="D32" s="11">
        <f t="shared" si="4"/>
        <v>965353873.083374</v>
      </c>
      <c r="E32">
        <f t="shared" si="5"/>
        <v>750280905.802214</v>
      </c>
    </row>
    <row r="33" spans="1:5">
      <c r="A33">
        <v>2024</v>
      </c>
      <c r="B33">
        <f t="shared" si="2"/>
        <v>24</v>
      </c>
      <c r="C33" s="11">
        <f t="shared" si="3"/>
        <v>1421488177.57082</v>
      </c>
      <c r="D33" s="11">
        <f t="shared" si="4"/>
        <v>967202745.68602</v>
      </c>
      <c r="E33">
        <f t="shared" si="5"/>
        <v>751717864.672639</v>
      </c>
    </row>
    <row r="34" spans="1:5">
      <c r="A34">
        <v>2025</v>
      </c>
      <c r="B34">
        <f t="shared" si="2"/>
        <v>25</v>
      </c>
      <c r="C34" s="11">
        <f t="shared" si="3"/>
        <v>1422643159.17969</v>
      </c>
      <c r="D34" s="11">
        <f t="shared" si="4"/>
        <v>968458183.59375</v>
      </c>
      <c r="E34">
        <f t="shared" si="5"/>
        <v>752693601.256759</v>
      </c>
    </row>
    <row r="35" spans="1:5">
      <c r="A35">
        <v>2026</v>
      </c>
      <c r="B35">
        <f t="shared" si="2"/>
        <v>26</v>
      </c>
      <c r="C35" s="11">
        <f t="shared" si="3"/>
        <v>1423160540.04778</v>
      </c>
      <c r="D35" s="11">
        <f t="shared" si="4"/>
        <v>968565788.431618</v>
      </c>
      <c r="E35">
        <f t="shared" si="5"/>
        <v>752777232.614622</v>
      </c>
    </row>
    <row r="36" spans="1:5">
      <c r="A36">
        <v>2027</v>
      </c>
      <c r="B36">
        <f t="shared" si="2"/>
        <v>27</v>
      </c>
      <c r="C36" s="11">
        <f t="shared" si="3"/>
        <v>1423082477.63899</v>
      </c>
      <c r="D36" s="11">
        <f t="shared" si="4"/>
        <v>967183463.942574</v>
      </c>
      <c r="E36">
        <f t="shared" si="5"/>
        <v>751702878.744326</v>
      </c>
    </row>
    <row r="37" spans="1:5">
      <c r="A37">
        <v>2028</v>
      </c>
      <c r="B37">
        <f t="shared" si="2"/>
        <v>28</v>
      </c>
      <c r="C37" s="11">
        <f t="shared" si="3"/>
        <v>1422453056.93542</v>
      </c>
      <c r="D37" s="11">
        <f t="shared" si="4"/>
        <v>964144932.747261</v>
      </c>
      <c r="E37">
        <f t="shared" si="5"/>
        <v>749341307.510095</v>
      </c>
    </row>
    <row r="38" spans="1:5">
      <c r="A38">
        <v>2029</v>
      </c>
      <c r="B38">
        <f t="shared" si="2"/>
        <v>29</v>
      </c>
      <c r="C38" s="11">
        <f t="shared" si="3"/>
        <v>1421317065.71212</v>
      </c>
      <c r="D38" s="11">
        <f t="shared" si="4"/>
        <v>959425917.151283</v>
      </c>
      <c r="E38">
        <f t="shared" si="5"/>
        <v>745673650.089779</v>
      </c>
    </row>
    <row r="39" spans="1:5">
      <c r="A39">
        <v>2030</v>
      </c>
      <c r="B39">
        <f t="shared" si="2"/>
        <v>30</v>
      </c>
      <c r="C39" s="11">
        <f t="shared" si="3"/>
        <v>1419718880.5</v>
      </c>
      <c r="D39" s="11">
        <f t="shared" si="4"/>
        <v>953112984</v>
      </c>
      <c r="E39">
        <f t="shared" si="5"/>
        <v>740767186.941829</v>
      </c>
    </row>
    <row r="40" spans="1:5">
      <c r="A40">
        <v>2031</v>
      </c>
      <c r="B40">
        <f t="shared" si="2"/>
        <v>31</v>
      </c>
      <c r="C40" s="11">
        <f t="shared" si="3"/>
        <v>1417701463.23684</v>
      </c>
      <c r="D40" s="11">
        <f t="shared" si="4"/>
        <v>945375053.580856</v>
      </c>
      <c r="E40">
        <f t="shared" si="5"/>
        <v>734753204.291751</v>
      </c>
    </row>
    <row r="41" spans="1:5">
      <c r="A41">
        <v>2032</v>
      </c>
      <c r="B41">
        <f t="shared" si="2"/>
        <v>32</v>
      </c>
      <c r="C41" s="11">
        <f t="shared" si="3"/>
        <v>1415305468.60646</v>
      </c>
      <c r="D41" s="11">
        <f t="shared" si="4"/>
        <v>936437572.573181</v>
      </c>
      <c r="E41">
        <f t="shared" si="5"/>
        <v>727806921.137978</v>
      </c>
    </row>
    <row r="42" spans="1:5">
      <c r="A42">
        <v>2033</v>
      </c>
      <c r="B42">
        <f t="shared" si="2"/>
        <v>33</v>
      </c>
      <c r="C42" s="11">
        <f t="shared" si="3"/>
        <v>1412568462.06595</v>
      </c>
      <c r="D42" s="11">
        <f t="shared" si="4"/>
        <v>926559351.045654</v>
      </c>
      <c r="E42">
        <f t="shared" si="5"/>
        <v>720129486.777337</v>
      </c>
    </row>
    <row r="43" spans="1:5">
      <c r="A43">
        <v>2034</v>
      </c>
      <c r="B43">
        <f t="shared" si="2"/>
        <v>34</v>
      </c>
      <c r="C43" s="11">
        <f t="shared" si="3"/>
        <v>1409524248.56106</v>
      </c>
      <c r="D43" s="11">
        <f t="shared" si="4"/>
        <v>916012063.501053</v>
      </c>
      <c r="E43">
        <f t="shared" si="5"/>
        <v>711932048.849788</v>
      </c>
    </row>
    <row r="44" spans="1:5">
      <c r="A44">
        <v>2035</v>
      </c>
      <c r="B44">
        <f t="shared" si="2"/>
        <v>35</v>
      </c>
      <c r="C44" s="11">
        <f t="shared" si="3"/>
        <v>1406202311.92969</v>
      </c>
      <c r="D44" s="11">
        <f t="shared" si="4"/>
        <v>905062413.96875</v>
      </c>
      <c r="E44">
        <f t="shared" si="5"/>
        <v>703421891.90281</v>
      </c>
    </row>
    <row r="45" spans="1:5">
      <c r="A45">
        <v>2036</v>
      </c>
      <c r="B45">
        <f t="shared" si="2"/>
        <v>36</v>
      </c>
      <c r="C45" s="11">
        <f t="shared" si="3"/>
        <v>1402627364.99354</v>
      </c>
      <c r="D45" s="11">
        <f t="shared" si="4"/>
        <v>893956965.144592</v>
      </c>
      <c r="E45">
        <f t="shared" si="5"/>
        <v>694790646.475145</v>
      </c>
    </row>
    <row r="46" spans="1:5">
      <c r="A46">
        <v>2037</v>
      </c>
      <c r="B46">
        <f t="shared" si="2"/>
        <v>37</v>
      </c>
      <c r="C46" s="11">
        <f t="shared" si="3"/>
        <v>1398819010.33781</v>
      </c>
      <c r="D46" s="11">
        <f t="shared" si="4"/>
        <v>882909631.578293</v>
      </c>
      <c r="E46">
        <f t="shared" si="5"/>
        <v>686204568.700009</v>
      </c>
    </row>
    <row r="47" spans="1:5">
      <c r="A47">
        <v>2038</v>
      </c>
      <c r="B47">
        <f t="shared" si="2"/>
        <v>38</v>
      </c>
      <c r="C47" s="11">
        <f t="shared" si="3"/>
        <v>1394791511.7791</v>
      </c>
      <c r="D47" s="11">
        <f t="shared" si="4"/>
        <v>872091836.908539</v>
      </c>
      <c r="E47">
        <f t="shared" si="5"/>
        <v>677796890.427915</v>
      </c>
    </row>
    <row r="48" spans="1:5">
      <c r="A48">
        <v>2039</v>
      </c>
      <c r="B48">
        <f t="shared" si="2"/>
        <v>39</v>
      </c>
      <c r="C48" s="11">
        <f t="shared" si="3"/>
        <v>1390553676.52136</v>
      </c>
      <c r="D48" s="11">
        <f t="shared" si="4"/>
        <v>861625335.145325</v>
      </c>
      <c r="E48">
        <f t="shared" si="5"/>
        <v>669662239.868734</v>
      </c>
    </row>
    <row r="49" spans="1:5">
      <c r="A49">
        <v>2040</v>
      </c>
      <c r="B49">
        <f t="shared" si="2"/>
        <v>40</v>
      </c>
      <c r="C49" s="11">
        <f t="shared" si="3"/>
        <v>1386108848</v>
      </c>
      <c r="D49" s="11">
        <f t="shared" si="4"/>
        <v>851577696</v>
      </c>
      <c r="E49">
        <f t="shared" si="5"/>
        <v>661853132.753382</v>
      </c>
    </row>
    <row r="50" spans="1:5">
      <c r="A50">
        <v>2041</v>
      </c>
      <c r="B50">
        <f t="shared" si="2"/>
        <v>41</v>
      </c>
      <c r="C50" s="11">
        <f t="shared" si="3"/>
        <v>1381455009.4141</v>
      </c>
      <c r="D50" s="11">
        <f t="shared" si="4"/>
        <v>841960454.262817</v>
      </c>
      <c r="E50">
        <f t="shared" si="5"/>
        <v>654378534.014948</v>
      </c>
    </row>
    <row r="51" spans="1:5">
      <c r="A51">
        <v>2042</v>
      </c>
      <c r="B51">
        <f t="shared" si="2"/>
        <v>42</v>
      </c>
      <c r="C51" s="11">
        <f t="shared" si="3"/>
        <v>1376584997.94678</v>
      </c>
      <c r="D51" s="11">
        <f t="shared" si="4"/>
        <v>832729923.227905</v>
      </c>
      <c r="E51">
        <f t="shared" si="5"/>
        <v>647204489.989217</v>
      </c>
    </row>
    <row r="52" spans="1:5">
      <c r="A52">
        <v>2043</v>
      </c>
      <c r="B52">
        <f t="shared" si="2"/>
        <v>43</v>
      </c>
      <c r="C52" s="11">
        <f t="shared" si="3"/>
        <v>1371486829.67363</v>
      </c>
      <c r="D52" s="11">
        <f t="shared" si="4"/>
        <v>823790672.165924</v>
      </c>
      <c r="E52">
        <f t="shared" si="5"/>
        <v>640256831.134797</v>
      </c>
    </row>
    <row r="53" spans="1:5">
      <c r="A53">
        <v>2044</v>
      </c>
      <c r="B53">
        <f t="shared" si="2"/>
        <v>44</v>
      </c>
      <c r="C53" s="11">
        <f t="shared" si="3"/>
        <v>1366144135.15929</v>
      </c>
      <c r="D53" s="11">
        <f t="shared" si="4"/>
        <v>815001667.844086</v>
      </c>
      <c r="E53">
        <f t="shared" si="5"/>
        <v>633425945.272573</v>
      </c>
    </row>
    <row r="54" spans="1:5">
      <c r="A54">
        <v>2045</v>
      </c>
      <c r="B54">
        <f t="shared" si="2"/>
        <v>45</v>
      </c>
      <c r="C54" s="11">
        <f t="shared" si="3"/>
        <v>1360536705.74219</v>
      </c>
      <c r="D54" s="11">
        <f t="shared" si="4"/>
        <v>806185080.09375</v>
      </c>
      <c r="E54">
        <f t="shared" si="5"/>
        <v>626573621.344687</v>
      </c>
    </row>
    <row r="55" spans="1:5">
      <c r="A55">
        <v>2046</v>
      </c>
      <c r="B55">
        <f t="shared" si="2"/>
        <v>46</v>
      </c>
      <c r="C55" s="11">
        <f t="shared" si="3"/>
        <v>1354641150.5073</v>
      </c>
      <c r="D55" s="11">
        <f t="shared" si="4"/>
        <v>797137751.425537</v>
      </c>
      <c r="E55">
        <f t="shared" si="5"/>
        <v>619541963.692974</v>
      </c>
    </row>
    <row r="56" spans="1:5">
      <c r="A56">
        <v>2047</v>
      </c>
      <c r="B56">
        <f t="shared" si="2"/>
        <v>47</v>
      </c>
      <c r="C56" s="11">
        <f t="shared" si="3"/>
        <v>1348431663.94713</v>
      </c>
      <c r="D56" s="11">
        <f t="shared" si="4"/>
        <v>787645330.692017</v>
      </c>
      <c r="E56">
        <f t="shared" si="5"/>
        <v>612164376.856912</v>
      </c>
    </row>
    <row r="57" spans="1:5">
      <c r="A57">
        <v>2048</v>
      </c>
      <c r="B57">
        <f t="shared" si="2"/>
        <v>48</v>
      </c>
      <c r="C57" s="11">
        <f t="shared" si="3"/>
        <v>1341880904.31078</v>
      </c>
      <c r="D57" s="11">
        <f t="shared" si="4"/>
        <v>777499070.797852</v>
      </c>
      <c r="E57">
        <f t="shared" si="5"/>
        <v>604278620.890984</v>
      </c>
    </row>
    <row r="58" spans="1:5">
      <c r="A58">
        <v>2049</v>
      </c>
      <c r="B58">
        <f t="shared" si="2"/>
        <v>49</v>
      </c>
      <c r="C58" s="11">
        <f t="shared" si="3"/>
        <v>1334960982.6411</v>
      </c>
      <c r="D58" s="11">
        <f t="shared" si="4"/>
        <v>766515290.457397</v>
      </c>
      <c r="E58">
        <f t="shared" si="5"/>
        <v>595741937.201462</v>
      </c>
    </row>
    <row r="59" spans="1:5">
      <c r="A59">
        <v>2050</v>
      </c>
      <c r="B59">
        <f t="shared" si="2"/>
        <v>50</v>
      </c>
      <c r="C59" s="11">
        <f t="shared" si="3"/>
        <v>1327644562.5</v>
      </c>
      <c r="D59" s="11">
        <f t="shared" si="4"/>
        <v>754557500</v>
      </c>
      <c r="E59">
        <f t="shared" si="5"/>
        <v>586448244.902788</v>
      </c>
    </row>
    <row r="60" spans="1:5">
      <c r="A60">
        <v>2051</v>
      </c>
      <c r="B60">
        <f t="shared" si="2"/>
        <v>51</v>
      </c>
      <c r="C60" s="11">
        <f t="shared" si="3"/>
        <v>1319906070.38186</v>
      </c>
      <c r="D60" s="11">
        <f t="shared" si="4"/>
        <v>741561191.222839</v>
      </c>
      <c r="E60">
        <f t="shared" si="5"/>
        <v>576347407.693456</v>
      </c>
    </row>
    <row r="61" spans="1:5">
      <c r="A61">
        <v>2052</v>
      </c>
      <c r="B61">
        <f t="shared" si="2"/>
        <v>52</v>
      </c>
      <c r="C61" s="11">
        <f t="shared" si="3"/>
        <v>1311723016.8151</v>
      </c>
      <c r="D61" s="11">
        <f t="shared" si="4"/>
        <v>727561291.290649</v>
      </c>
      <c r="E61">
        <f t="shared" si="5"/>
        <v>565466571.250843</v>
      </c>
    </row>
    <row r="62" spans="1:5">
      <c r="A62">
        <v>2053</v>
      </c>
      <c r="B62">
        <f t="shared" si="2"/>
        <v>53</v>
      </c>
      <c r="C62" s="11">
        <f t="shared" si="3"/>
        <v>1303077428.15181</v>
      </c>
      <c r="D62" s="11">
        <f t="shared" si="4"/>
        <v>712722280.684204</v>
      </c>
      <c r="E62">
        <f t="shared" si="5"/>
        <v>553933571.146485</v>
      </c>
    </row>
    <row r="63" spans="1:5">
      <c r="A63">
        <v>2054</v>
      </c>
      <c r="B63">
        <f t="shared" si="2"/>
        <v>54</v>
      </c>
      <c r="C63" s="11">
        <f t="shared" si="3"/>
        <v>1293957389.04554</v>
      </c>
      <c r="D63" s="11">
        <f t="shared" si="4"/>
        <v>697370975.195129</v>
      </c>
      <c r="E63">
        <f t="shared" si="5"/>
        <v>542002411.279895</v>
      </c>
    </row>
    <row r="64" spans="1:5">
      <c r="A64">
        <v>2055</v>
      </c>
      <c r="B64">
        <f t="shared" si="2"/>
        <v>55</v>
      </c>
      <c r="C64" s="11">
        <f t="shared" si="3"/>
        <v>1284358695.61718</v>
      </c>
      <c r="D64" s="11">
        <f t="shared" si="4"/>
        <v>682031971.96875</v>
      </c>
      <c r="E64">
        <f t="shared" si="5"/>
        <v>530080812.832238</v>
      </c>
    </row>
    <row r="65" spans="1:5">
      <c r="A65">
        <v>2056</v>
      </c>
      <c r="B65">
        <f t="shared" si="2"/>
        <v>56</v>
      </c>
      <c r="C65" s="11">
        <f t="shared" si="3"/>
        <v>1274286619.30905</v>
      </c>
      <c r="D65" s="11">
        <f t="shared" si="4"/>
        <v>667465759.594482</v>
      </c>
      <c r="E65">
        <f t="shared" si="5"/>
        <v>518759833.739497</v>
      </c>
    </row>
    <row r="66" spans="1:5">
      <c r="A66">
        <v>2057</v>
      </c>
      <c r="B66">
        <f t="shared" si="2"/>
        <v>57</v>
      </c>
      <c r="C66" s="11">
        <f t="shared" si="3"/>
        <v>1263757781.42695</v>
      </c>
      <c r="D66" s="11">
        <f t="shared" si="4"/>
        <v>654709492.243774</v>
      </c>
      <c r="E66">
        <f t="shared" si="5"/>
        <v>508845558.685133</v>
      </c>
    </row>
    <row r="67" spans="1:5">
      <c r="A67">
        <v>2058</v>
      </c>
      <c r="B67">
        <f t="shared" si="2"/>
        <v>58</v>
      </c>
      <c r="C67" s="11">
        <f t="shared" si="3"/>
        <v>1252802138.37046</v>
      </c>
      <c r="D67" s="11">
        <f t="shared" si="4"/>
        <v>645120427.855103</v>
      </c>
      <c r="E67">
        <f t="shared" si="5"/>
        <v>501392859.61184</v>
      </c>
    </row>
    <row r="68" spans="1:5">
      <c r="A68">
        <v>2059</v>
      </c>
      <c r="B68">
        <f t="shared" si="2"/>
        <v>59</v>
      </c>
      <c r="C68" s="11">
        <f t="shared" si="3"/>
        <v>1241465077.55134</v>
      </c>
      <c r="D68" s="11">
        <f t="shared" si="4"/>
        <v>640422030.367432</v>
      </c>
      <c r="E68">
        <f t="shared" si="5"/>
        <v>497741226.753509</v>
      </c>
    </row>
    <row r="69" spans="1:5">
      <c r="A69">
        <v>2060</v>
      </c>
      <c r="B69">
        <f t="shared" si="2"/>
        <v>60</v>
      </c>
      <c r="C69" s="11">
        <f t="shared" si="3"/>
        <v>1229809624</v>
      </c>
      <c r="D69" s="11">
        <f t="shared" si="4"/>
        <v>642752736</v>
      </c>
      <c r="E69">
        <f t="shared" si="5"/>
        <v>499552670.185725</v>
      </c>
    </row>
    <row r="71" spans="1:2">
      <c r="A71" t="s">
        <v>59</v>
      </c>
      <c r="B71" s="11">
        <v>965815904</v>
      </c>
    </row>
    <row r="72" spans="1:2">
      <c r="A72" t="s">
        <v>60</v>
      </c>
      <c r="B72">
        <v>750640000</v>
      </c>
    </row>
    <row r="73" spans="1:2">
      <c r="A73" t="s">
        <v>61</v>
      </c>
      <c r="B73">
        <f>B72/B71</f>
        <v>0.777208158295144</v>
      </c>
    </row>
    <row r="74" spans="2:2">
      <c r="B74">
        <v>0.777208158295144</v>
      </c>
    </row>
  </sheetData>
  <pageMargins left="0.7" right="0.7" top="0.75" bottom="0.75" header="0.3" footer="0.3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42"/>
  <sheetViews>
    <sheetView workbookViewId="0">
      <selection activeCell="Q32" sqref="Q32"/>
    </sheetView>
  </sheetViews>
  <sheetFormatPr defaultColWidth="9" defaultRowHeight="14.25"/>
  <cols>
    <col min="3" max="3" width="12.625"/>
    <col min="5" max="5" width="12.625"/>
    <col min="7" max="7" width="12.625"/>
    <col min="9" max="9" width="12.625"/>
    <col min="12" max="12" width="12.625"/>
    <col min="15" max="15" width="12.625"/>
  </cols>
  <sheetData>
    <row r="1" spans="1:15">
      <c r="A1" t="s">
        <v>56</v>
      </c>
      <c r="B1" t="s">
        <v>62</v>
      </c>
      <c r="C1" t="s">
        <v>63</v>
      </c>
      <c r="D1" t="s">
        <v>6</v>
      </c>
      <c r="E1" t="s">
        <v>64</v>
      </c>
      <c r="G1" t="s">
        <v>65</v>
      </c>
      <c r="I1" t="s">
        <v>6</v>
      </c>
      <c r="L1" t="s">
        <v>66</v>
      </c>
      <c r="O1" t="s">
        <v>67</v>
      </c>
    </row>
    <row r="2" spans="1:15">
      <c r="A2" s="9">
        <v>2010</v>
      </c>
      <c r="B2">
        <v>30808</v>
      </c>
      <c r="D2">
        <v>36539</v>
      </c>
      <c r="G2">
        <f>B12*B14/B11</f>
        <v>1.07724575473044</v>
      </c>
      <c r="H2">
        <v>2020</v>
      </c>
      <c r="I2">
        <v>97379</v>
      </c>
      <c r="K2">
        <v>2020</v>
      </c>
      <c r="L2">
        <f>I2*就业人口计算!E29</f>
        <v>73096572560000</v>
      </c>
      <c r="N2">
        <v>2020</v>
      </c>
      <c r="O2">
        <f>L2*汇率!B22</f>
        <v>10061792771500.1</v>
      </c>
    </row>
    <row r="3" spans="1:15">
      <c r="A3" s="9">
        <v>2011</v>
      </c>
      <c r="B3">
        <v>36277</v>
      </c>
      <c r="C3">
        <f>B3/B2-1</f>
        <v>0.177518826278889</v>
      </c>
      <c r="D3">
        <v>41799</v>
      </c>
      <c r="E3">
        <f>D3/D2-1</f>
        <v>0.143955773283341</v>
      </c>
      <c r="H3">
        <v>2021</v>
      </c>
      <c r="I3">
        <f>I2*$G$2</f>
        <v>104901.114349896</v>
      </c>
      <c r="K3">
        <v>2021</v>
      </c>
      <c r="L3">
        <f>I3*就业人口计算!E30</f>
        <v>78545390358218.8</v>
      </c>
      <c r="N3">
        <v>2021</v>
      </c>
      <c r="O3">
        <f>L3*汇率!B23</f>
        <v>10579086336261.6</v>
      </c>
    </row>
    <row r="4" spans="1:15">
      <c r="A4" s="9">
        <v>2012</v>
      </c>
      <c r="B4">
        <v>39771</v>
      </c>
      <c r="C4">
        <f t="shared" ref="C4:C12" si="0">B4/B3-1</f>
        <v>0.0963144692229236</v>
      </c>
      <c r="D4">
        <v>46769</v>
      </c>
      <c r="E4">
        <f>D4/D3-1</f>
        <v>0.118902366085313</v>
      </c>
      <c r="H4">
        <v>2022</v>
      </c>
      <c r="I4">
        <f t="shared" ref="I4:I15" si="1">I3*$G$2</f>
        <v>113004.280099918</v>
      </c>
      <c r="K4">
        <v>2022</v>
      </c>
      <c r="L4">
        <f>I4*就业人口计算!E31</f>
        <v>84641226914503.5</v>
      </c>
      <c r="N4">
        <v>2022</v>
      </c>
      <c r="O4">
        <f>L4*汇率!B24</f>
        <v>11154715888934</v>
      </c>
    </row>
    <row r="5" spans="1:15">
      <c r="A5" s="9">
        <v>2013</v>
      </c>
      <c r="B5">
        <v>43497</v>
      </c>
      <c r="C5">
        <f t="shared" si="0"/>
        <v>0.0936863543788187</v>
      </c>
      <c r="D5">
        <v>51483</v>
      </c>
      <c r="E5">
        <f>D5/D4-1</f>
        <v>0.100793260493062</v>
      </c>
      <c r="H5">
        <v>2023</v>
      </c>
      <c r="I5">
        <f t="shared" si="1"/>
        <v>121733.381004007</v>
      </c>
      <c r="K5">
        <v>2023</v>
      </c>
      <c r="L5">
        <f>I5*就业人口计算!E32</f>
        <v>91334231366052.1</v>
      </c>
      <c r="N5">
        <v>2023</v>
      </c>
      <c r="O5">
        <f>L5*汇率!B25</f>
        <v>11777666314251.5</v>
      </c>
    </row>
    <row r="6" spans="1:15">
      <c r="A6" s="9">
        <v>2014</v>
      </c>
      <c r="B6">
        <v>46912</v>
      </c>
      <c r="C6">
        <f t="shared" si="0"/>
        <v>0.0785111616893119</v>
      </c>
      <c r="D6">
        <v>56360</v>
      </c>
      <c r="E6">
        <f t="shared" ref="E6:E12" si="2">D6/D5-1</f>
        <v>0.0947302993221064</v>
      </c>
      <c r="H6">
        <v>2024</v>
      </c>
      <c r="I6">
        <f t="shared" si="1"/>
        <v>131136.76789555</v>
      </c>
      <c r="K6">
        <v>2024</v>
      </c>
      <c r="L6">
        <f>I6*就业人口计算!E33</f>
        <v>98577851142514.1</v>
      </c>
      <c r="N6">
        <v>2024</v>
      </c>
      <c r="O6">
        <f>L6*汇率!B26</f>
        <v>12438102130933.8</v>
      </c>
    </row>
    <row r="7" spans="1:15">
      <c r="A7" s="9">
        <v>2015</v>
      </c>
      <c r="B7">
        <v>49922</v>
      </c>
      <c r="C7">
        <f t="shared" si="0"/>
        <v>0.0641626875852661</v>
      </c>
      <c r="D7">
        <v>62029</v>
      </c>
      <c r="E7">
        <f t="shared" si="2"/>
        <v>0.100585521646558</v>
      </c>
      <c r="H7">
        <v>2025</v>
      </c>
      <c r="I7">
        <f t="shared" si="1"/>
        <v>141266.526504552</v>
      </c>
      <c r="K7">
        <v>2025</v>
      </c>
      <c r="L7">
        <f>I7*就业人口计算!E34</f>
        <v>106330410571745</v>
      </c>
      <c r="N7">
        <v>2025</v>
      </c>
      <c r="O7">
        <f>L7*汇率!B27</f>
        <v>13127480040440.1</v>
      </c>
    </row>
    <row r="8" spans="1:15">
      <c r="A8" s="9">
        <v>2016</v>
      </c>
      <c r="B8">
        <v>53783</v>
      </c>
      <c r="C8">
        <f t="shared" si="0"/>
        <v>0.0773406514162094</v>
      </c>
      <c r="D8">
        <v>67569</v>
      </c>
      <c r="E8">
        <f t="shared" si="2"/>
        <v>0.0893130632446113</v>
      </c>
      <c r="H8">
        <v>2026</v>
      </c>
      <c r="I8">
        <f t="shared" si="1"/>
        <v>152178.765962545</v>
      </c>
      <c r="K8">
        <v>2026</v>
      </c>
      <c r="L8">
        <f>I8*就业人口计算!E35</f>
        <v>114556710303993</v>
      </c>
      <c r="N8">
        <v>2026</v>
      </c>
      <c r="O8">
        <f>L8*汇率!B28</f>
        <v>13838643248878.4</v>
      </c>
    </row>
    <row r="9" spans="1:15">
      <c r="A9" s="9">
        <v>2017</v>
      </c>
      <c r="B9">
        <v>59592</v>
      </c>
      <c r="C9">
        <f t="shared" si="0"/>
        <v>0.108008106650801</v>
      </c>
      <c r="D9">
        <v>74318</v>
      </c>
      <c r="E9">
        <f t="shared" si="2"/>
        <v>0.0998830824786514</v>
      </c>
      <c r="H9">
        <v>2027</v>
      </c>
      <c r="I9">
        <f t="shared" si="1"/>
        <v>163933.929593269</v>
      </c>
      <c r="K9">
        <v>2027</v>
      </c>
      <c r="L9">
        <f>I9*就业人口计算!E36</f>
        <v>123229606799130</v>
      </c>
      <c r="N9">
        <v>2027</v>
      </c>
      <c r="O9">
        <f>L9*汇率!B29</f>
        <v>14565894060916.9</v>
      </c>
    </row>
    <row r="10" spans="1:15">
      <c r="A10" s="9">
        <v>2018</v>
      </c>
      <c r="B10">
        <v>65534</v>
      </c>
      <c r="C10">
        <f t="shared" si="0"/>
        <v>0.0997113706537791</v>
      </c>
      <c r="D10">
        <v>82413</v>
      </c>
      <c r="E10">
        <f t="shared" si="2"/>
        <v>0.10892381388089</v>
      </c>
      <c r="H10">
        <v>2028</v>
      </c>
      <c r="I10">
        <f t="shared" si="1"/>
        <v>176597.129710628</v>
      </c>
      <c r="K10">
        <v>2028</v>
      </c>
      <c r="L10">
        <f>I10*就业人口计算!E37</f>
        <v>132331524079892</v>
      </c>
      <c r="N10">
        <v>2028</v>
      </c>
      <c r="O10">
        <f>L10*汇率!B30</f>
        <v>15305041191632.9</v>
      </c>
    </row>
    <row r="11" spans="1:15">
      <c r="A11" s="9">
        <v>2019</v>
      </c>
      <c r="B11">
        <v>70078</v>
      </c>
      <c r="C11">
        <f t="shared" si="0"/>
        <v>0.0693380535294656</v>
      </c>
      <c r="D11">
        <v>90501</v>
      </c>
      <c r="E11">
        <f t="shared" si="2"/>
        <v>0.0981398565760256</v>
      </c>
      <c r="H11">
        <v>2029</v>
      </c>
      <c r="I11">
        <f t="shared" si="1"/>
        <v>190238.508278356</v>
      </c>
      <c r="K11">
        <v>2029</v>
      </c>
      <c r="L11">
        <f>I11*就业人口计算!E38</f>
        <v>141855842855556</v>
      </c>
      <c r="N11">
        <v>2029</v>
      </c>
      <c r="O11">
        <f>L11*汇率!B31</f>
        <v>16053418263175.7</v>
      </c>
    </row>
    <row r="12" spans="1:15">
      <c r="A12" s="9">
        <v>2020</v>
      </c>
      <c r="B12">
        <v>71828</v>
      </c>
      <c r="C12">
        <f t="shared" si="0"/>
        <v>0.0249721738634094</v>
      </c>
      <c r="D12">
        <v>97379</v>
      </c>
      <c r="E12">
        <f t="shared" si="2"/>
        <v>0.0759991602302736</v>
      </c>
      <c r="H12">
        <v>2030</v>
      </c>
      <c r="I12">
        <f t="shared" si="1"/>
        <v>204933.625429111</v>
      </c>
      <c r="K12">
        <v>2030</v>
      </c>
      <c r="L12">
        <f>I12*就业人口计算!E39</f>
        <v>151808105218913</v>
      </c>
      <c r="N12">
        <v>2030</v>
      </c>
      <c r="O12">
        <f>L12*汇率!B32</f>
        <v>16809870066079.2</v>
      </c>
    </row>
    <row r="13" spans="8:15">
      <c r="H13">
        <v>2031</v>
      </c>
      <c r="I13">
        <f t="shared" si="1"/>
        <v>220763.877995028</v>
      </c>
      <c r="K13">
        <v>2031</v>
      </c>
      <c r="L13">
        <f>I13*就业人口计算!E40</f>
        <v>162206966748720</v>
      </c>
      <c r="N13">
        <v>2031</v>
      </c>
      <c r="O13">
        <f>L13*汇率!B33</f>
        <v>17574703391078</v>
      </c>
    </row>
    <row r="14" spans="2:15">
      <c r="B14">
        <v>1.051</v>
      </c>
      <c r="H14">
        <v>2032</v>
      </c>
      <c r="I14">
        <f t="shared" si="1"/>
        <v>237816.950367974</v>
      </c>
      <c r="K14">
        <v>2032</v>
      </c>
      <c r="L14">
        <f>I14*就业人口计算!E41</f>
        <v>173084822441738</v>
      </c>
      <c r="N14">
        <v>2032</v>
      </c>
      <c r="O14">
        <f>L14*汇率!B34</f>
        <v>18349599600685.8</v>
      </c>
    </row>
    <row r="15" spans="8:15">
      <c r="H15">
        <v>2033</v>
      </c>
      <c r="I15">
        <f t="shared" si="1"/>
        <v>256187.30018684</v>
      </c>
      <c r="K15">
        <v>2033</v>
      </c>
      <c r="L15">
        <f>I15*就业人口计算!E42</f>
        <v>184488029002421</v>
      </c>
      <c r="N15">
        <v>2033</v>
      </c>
      <c r="O15">
        <f>L15*汇率!B35</f>
        <v>19137486638604.6</v>
      </c>
    </row>
    <row r="16" spans="8:15">
      <c r="H16">
        <v>2034</v>
      </c>
      <c r="I16">
        <f t="shared" ref="I16:I42" si="3">I15*$G$2</f>
        <v>275976.681542127</v>
      </c>
      <c r="K16">
        <v>2034</v>
      </c>
      <c r="L16">
        <f>I16*就业人口计算!E43</f>
        <v>196476644325052</v>
      </c>
      <c r="N16">
        <v>2034</v>
      </c>
      <c r="O16">
        <f>L16*汇率!B36</f>
        <v>19942368901402.2</v>
      </c>
    </row>
    <row r="17" spans="8:15">
      <c r="H17">
        <v>2035</v>
      </c>
      <c r="I17">
        <f t="shared" si="3"/>
        <v>297294.708595852</v>
      </c>
      <c r="K17">
        <v>2035</v>
      </c>
      <c r="L17">
        <f>I17*就业人口计算!E44</f>
        <v>209123606373189</v>
      </c>
      <c r="N17">
        <v>2035</v>
      </c>
      <c r="O17">
        <f>L17*汇率!B37</f>
        <v>20769114357701.5</v>
      </c>
    </row>
    <row r="18" spans="8:15">
      <c r="H18">
        <v>2036</v>
      </c>
      <c r="I18">
        <f t="shared" si="3"/>
        <v>320259.462738706</v>
      </c>
      <c r="K18">
        <v>2036</v>
      </c>
      <c r="L18">
        <f>I18*就业人口计算!E45</f>
        <v>222513279156008</v>
      </c>
      <c r="N18">
        <v>2036</v>
      </c>
      <c r="O18">
        <f>L18*汇率!B38</f>
        <v>21623199537405.6</v>
      </c>
    </row>
    <row r="19" spans="8:15">
      <c r="H19">
        <v>2037</v>
      </c>
      <c r="I19">
        <f t="shared" si="3"/>
        <v>344998.146647523</v>
      </c>
      <c r="K19">
        <v>2037</v>
      </c>
      <c r="L19">
        <f>I19*就业人口计算!E46</f>
        <v>236739304422566</v>
      </c>
      <c r="N19">
        <v>2037</v>
      </c>
      <c r="O19">
        <f>L19*汇率!B39</f>
        <v>22510414575272.3</v>
      </c>
    </row>
    <row r="20" spans="8:15">
      <c r="H20">
        <v>2038</v>
      </c>
      <c r="I20">
        <f t="shared" si="3"/>
        <v>371647.788865915</v>
      </c>
      <c r="K20">
        <v>2038</v>
      </c>
      <c r="L20">
        <f>I20*就业人口计算!E47</f>
        <v>251901715627728</v>
      </c>
      <c r="N20">
        <v>2038</v>
      </c>
      <c r="O20">
        <f>L20*汇率!B40</f>
        <v>23436532433989.2</v>
      </c>
    </row>
    <row r="21" spans="8:15">
      <c r="H21">
        <v>2039</v>
      </c>
      <c r="I21">
        <f t="shared" si="3"/>
        <v>400356.002810763</v>
      </c>
      <c r="K21">
        <v>2039</v>
      </c>
      <c r="L21">
        <f>I21*就业人口计算!E48</f>
        <v>268103297587149</v>
      </c>
      <c r="N21">
        <v>2039</v>
      </c>
      <c r="O21">
        <f>L21*汇率!B41</f>
        <v>24406948813717.5</v>
      </c>
    </row>
    <row r="22" spans="8:15">
      <c r="H22">
        <v>2040</v>
      </c>
      <c r="I22">
        <f t="shared" si="3"/>
        <v>431281.804408744</v>
      </c>
      <c r="K22">
        <v>2040</v>
      </c>
      <c r="L22">
        <f>I22*就业人口计算!E49</f>
        <v>285445213347459</v>
      </c>
      <c r="N22">
        <v>2040</v>
      </c>
      <c r="O22">
        <f>L22*汇率!B42</f>
        <v>25426302148134.8</v>
      </c>
    </row>
    <row r="23" spans="8:15">
      <c r="H23">
        <v>2041</v>
      </c>
      <c r="I23">
        <f t="shared" si="3"/>
        <v>464596.492891805</v>
      </c>
      <c r="K23">
        <v>2041</v>
      </c>
      <c r="L23">
        <f>I23*就业人口计算!E50</f>
        <v>304021971927025</v>
      </c>
      <c r="N23">
        <v>2041</v>
      </c>
      <c r="O23">
        <f>L23*汇率!B43</f>
        <v>26498086570621.1</v>
      </c>
    </row>
    <row r="24" spans="8:15">
      <c r="H24">
        <v>2042</v>
      </c>
      <c r="I24">
        <f t="shared" si="3"/>
        <v>500484.599630349</v>
      </c>
      <c r="K24">
        <v>2042</v>
      </c>
      <c r="L24">
        <f>I24*就业人口计算!E51</f>
        <v>323915880051218</v>
      </c>
      <c r="N24">
        <v>2042</v>
      </c>
      <c r="O24">
        <f>L24*汇率!B44</f>
        <v>27624274898147.9</v>
      </c>
    </row>
    <row r="25" spans="8:15">
      <c r="H25">
        <v>2043</v>
      </c>
      <c r="I25">
        <f t="shared" si="3"/>
        <v>539144.910259759</v>
      </c>
      <c r="K25">
        <v>2043</v>
      </c>
      <c r="L25">
        <f>I25*就业人口计算!E52</f>
        <v>345191211765368</v>
      </c>
      <c r="N25">
        <v>2043</v>
      </c>
      <c r="O25">
        <f>L25*汇率!B45</f>
        <v>28804973625731.7</v>
      </c>
    </row>
    <row r="26" spans="8:15">
      <c r="H26">
        <v>2044</v>
      </c>
      <c r="I26">
        <f t="shared" si="3"/>
        <v>580791.565761851</v>
      </c>
      <c r="K26">
        <v>2044</v>
      </c>
      <c r="L26">
        <f>I26*就业人口计算!E53</f>
        <v>367888446549038</v>
      </c>
      <c r="N26">
        <v>2044</v>
      </c>
      <c r="O26">
        <f>L26*汇率!B46</f>
        <v>30038137764849.7</v>
      </c>
    </row>
    <row r="27" spans="8:15">
      <c r="H27">
        <v>2045</v>
      </c>
      <c r="I27">
        <f t="shared" si="3"/>
        <v>625655.248600201</v>
      </c>
      <c r="K27">
        <v>2045</v>
      </c>
      <c r="L27">
        <f>I27*就业人口计算!E54</f>
        <v>392019074828738</v>
      </c>
      <c r="N27">
        <v>2045</v>
      </c>
      <c r="O27">
        <f>L27*汇率!B47</f>
        <v>31319380223052.7</v>
      </c>
    </row>
    <row r="28" spans="8:15">
      <c r="H28">
        <v>2046</v>
      </c>
      <c r="I28">
        <f t="shared" si="3"/>
        <v>673984.460479387</v>
      </c>
      <c r="K28">
        <v>2046</v>
      </c>
      <c r="L28">
        <f>I28*就业人口计算!E55</f>
        <v>417561656143949</v>
      </c>
      <c r="N28">
        <v>2046</v>
      </c>
      <c r="O28">
        <f>L28*汇率!B48</f>
        <v>32641918452907.7</v>
      </c>
    </row>
    <row r="29" spans="8:15">
      <c r="H29">
        <v>2047</v>
      </c>
      <c r="I29">
        <f t="shared" si="3"/>
        <v>726046.898805707</v>
      </c>
      <c r="K29">
        <v>2047</v>
      </c>
      <c r="L29">
        <f>I29*就业人口计算!E56</f>
        <v>444460047376289</v>
      </c>
      <c r="N29">
        <v>2047</v>
      </c>
      <c r="O29">
        <f>L29*汇率!B49</f>
        <v>33996710457655.9</v>
      </c>
    </row>
    <row r="30" spans="8:15">
      <c r="H30">
        <v>2048</v>
      </c>
      <c r="I30">
        <f t="shared" si="3"/>
        <v>782130.939473652</v>
      </c>
      <c r="K30">
        <v>2048</v>
      </c>
      <c r="L30">
        <f>I30*就业人口计算!E57</f>
        <v>472625005461308</v>
      </c>
      <c r="N30">
        <v>2048</v>
      </c>
      <c r="O30">
        <f>L30*汇率!B50</f>
        <v>35372843109278.8</v>
      </c>
    </row>
    <row r="31" spans="8:15">
      <c r="H31">
        <v>2049</v>
      </c>
      <c r="I31">
        <f t="shared" si="3"/>
        <v>842547.234191325</v>
      </c>
      <c r="K31">
        <v>2049</v>
      </c>
      <c r="L31">
        <f>I31*就业人口计算!E58</f>
        <v>501940721480874</v>
      </c>
      <c r="N31">
        <v>2049</v>
      </c>
      <c r="O31">
        <f>L31*汇率!B51</f>
        <v>36758248314259.7</v>
      </c>
    </row>
    <row r="32" spans="8:15">
      <c r="H32">
        <v>2050</v>
      </c>
      <c r="I32">
        <f t="shared" si="3"/>
        <v>907630.431192481</v>
      </c>
      <c r="K32">
        <v>2050</v>
      </c>
      <c r="L32">
        <f>I32*就业人口计算!E59</f>
        <v>532278273393191</v>
      </c>
      <c r="N32">
        <v>2050</v>
      </c>
      <c r="O32">
        <f>L32*汇率!B52</f>
        <v>38140837079322.8</v>
      </c>
    </row>
    <row r="33" spans="8:15">
      <c r="H33">
        <v>2051</v>
      </c>
      <c r="I33">
        <f t="shared" si="3"/>
        <v>977741.028866261</v>
      </c>
      <c r="K33">
        <v>2051</v>
      </c>
      <c r="L33">
        <f>I33*就业人口计算!E60</f>
        <v>563518507382602</v>
      </c>
      <c r="N33">
        <v>2051</v>
      </c>
      <c r="O33">
        <f>L33*汇率!B53</f>
        <v>39510158236278.4</v>
      </c>
    </row>
    <row r="34" spans="8:15">
      <c r="H34">
        <v>2052</v>
      </c>
      <c r="I34">
        <f t="shared" si="3"/>
        <v>1053267.37257196</v>
      </c>
      <c r="K34">
        <v>2052</v>
      </c>
      <c r="L34">
        <f>I34*就业人口计算!E61</f>
        <v>595587489778648</v>
      </c>
      <c r="N34">
        <v>2052</v>
      </c>
      <c r="O34">
        <f>L34*汇率!B54</f>
        <v>40859707763576.2</v>
      </c>
    </row>
    <row r="35" spans="8:15">
      <c r="H35">
        <v>2053</v>
      </c>
      <c r="I35">
        <f t="shared" si="3"/>
        <v>1134627.80569923</v>
      </c>
      <c r="K35">
        <v>2053</v>
      </c>
      <c r="L35">
        <f>I35*就业人口计算!E62</f>
        <v>628508432333073</v>
      </c>
      <c r="N35">
        <v>2053</v>
      </c>
      <c r="O35">
        <f>L35*汇率!B55</f>
        <v>42190036606538.2</v>
      </c>
    </row>
    <row r="36" spans="8:15">
      <c r="H36">
        <v>2054</v>
      </c>
      <c r="I36">
        <f t="shared" si="3"/>
        <v>1222272.98688861</v>
      </c>
      <c r="K36">
        <v>2054</v>
      </c>
      <c r="L36">
        <f>I36*就业人口计算!E63</f>
        <v>662474906135906</v>
      </c>
      <c r="N36">
        <v>2054</v>
      </c>
      <c r="O36">
        <f>L36*汇率!B56</f>
        <v>43512829997786.9</v>
      </c>
    </row>
    <row r="37" spans="8:15">
      <c r="H37">
        <v>2055</v>
      </c>
      <c r="I37">
        <f t="shared" si="3"/>
        <v>1316688.38624745</v>
      </c>
      <c r="K37">
        <v>2055</v>
      </c>
      <c r="L37">
        <f>I37*就业人口计算!E64</f>
        <v>697951250028818</v>
      </c>
      <c r="N37">
        <v>2055</v>
      </c>
      <c r="O37">
        <f>L37*汇率!B57</f>
        <v>44856159904210.9</v>
      </c>
    </row>
    <row r="38" spans="8:15">
      <c r="H38">
        <v>2056</v>
      </c>
      <c r="I38">
        <f t="shared" si="3"/>
        <v>1418396.97438795</v>
      </c>
      <c r="K38">
        <v>2056</v>
      </c>
      <c r="L38">
        <f>I38*就业人口计算!E65</f>
        <v>735807378610097</v>
      </c>
      <c r="N38">
        <v>2056</v>
      </c>
      <c r="O38">
        <f>L38*汇率!B58</f>
        <v>46271144809018.6</v>
      </c>
    </row>
    <row r="39" spans="8:15">
      <c r="H39">
        <v>2057</v>
      </c>
      <c r="I39">
        <f t="shared" si="3"/>
        <v>1527962.11918192</v>
      </c>
      <c r="K39">
        <v>2057</v>
      </c>
      <c r="L39">
        <f>I39*就业人口计算!E66</f>
        <v>777496738184845</v>
      </c>
      <c r="N39">
        <v>2057</v>
      </c>
      <c r="O39">
        <f>L39*汇率!B59</f>
        <v>47840288058435.7</v>
      </c>
    </row>
    <row r="40" spans="8:15">
      <c r="H40">
        <v>2058</v>
      </c>
      <c r="I40">
        <f t="shared" si="3"/>
        <v>1645990.70627766</v>
      </c>
      <c r="K40">
        <v>2058</v>
      </c>
      <c r="L40">
        <f>I40*就业人口计算!E67</f>
        <v>825287987115066</v>
      </c>
      <c r="N40">
        <v>2058</v>
      </c>
      <c r="O40">
        <f>L40*汇率!B60</f>
        <v>49687807996161.9</v>
      </c>
    </row>
    <row r="41" spans="8:15">
      <c r="H41">
        <v>2059</v>
      </c>
      <c r="I41">
        <f t="shared" si="3"/>
        <v>1773136.50066337</v>
      </c>
      <c r="K41">
        <v>2059</v>
      </c>
      <c r="L41">
        <f>I41*就业人口计算!E68</f>
        <v>882563137041609</v>
      </c>
      <c r="N41">
        <v>2059</v>
      </c>
      <c r="O41">
        <f>L41*汇率!B61</f>
        <v>51992320667465.6</v>
      </c>
    </row>
    <row r="42" spans="8:15">
      <c r="H42">
        <v>2060</v>
      </c>
      <c r="I42">
        <f t="shared" si="3"/>
        <v>1910103.76789721</v>
      </c>
      <c r="K42">
        <v>2060</v>
      </c>
      <c r="L42">
        <f>I42*就业人口计算!E69</f>
        <v>954197437584864</v>
      </c>
      <c r="N42">
        <v>2060</v>
      </c>
      <c r="O42">
        <f>L42*汇率!B62</f>
        <v>55002289654939.8</v>
      </c>
    </row>
  </sheetData>
  <pageMargins left="0.75" right="0.75" top="1" bottom="1" header="0.5" footer="0.5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2"/>
  <sheetViews>
    <sheetView topLeftCell="R1" workbookViewId="0">
      <selection activeCell="A1" sqref="A1:AP1"/>
    </sheetView>
  </sheetViews>
  <sheetFormatPr defaultColWidth="9" defaultRowHeight="14.25" outlineLevelRow="1"/>
  <sheetData>
    <row r="1" spans="1:42">
      <c r="A1" s="5" t="s">
        <v>68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>
      <c r="A2" s="8" t="s">
        <v>69</v>
      </c>
      <c r="B2">
        <v>1409794440</v>
      </c>
      <c r="C2">
        <v>1413833784.93008</v>
      </c>
      <c r="D2">
        <v>1417114543.03414</v>
      </c>
      <c r="E2">
        <v>1419656700.68877</v>
      </c>
      <c r="F2">
        <v>1421488177.57082</v>
      </c>
      <c r="G2">
        <v>1422643159.17969</v>
      </c>
      <c r="H2">
        <v>1423160540.04778</v>
      </c>
      <c r="I2">
        <v>1423082477.63899</v>
      </c>
      <c r="J2">
        <v>1422453056.93542</v>
      </c>
      <c r="K2">
        <v>1421317065.71212</v>
      </c>
      <c r="L2">
        <v>1419718880.5</v>
      </c>
      <c r="M2">
        <v>1417701463.23684</v>
      </c>
      <c r="N2">
        <v>1415305468.60646</v>
      </c>
      <c r="O2">
        <v>1412568462.06595</v>
      </c>
      <c r="P2">
        <v>1409524248.56106</v>
      </c>
      <c r="Q2">
        <v>1406202311.92969</v>
      </c>
      <c r="R2">
        <v>1402627364.99354</v>
      </c>
      <c r="S2">
        <v>1398819010.33781</v>
      </c>
      <c r="T2">
        <v>1394791511.7791</v>
      </c>
      <c r="U2">
        <v>1390553676.52136</v>
      </c>
      <c r="V2">
        <v>1386108848</v>
      </c>
      <c r="W2">
        <v>1381455009.4141</v>
      </c>
      <c r="X2">
        <v>1376584997.94678</v>
      </c>
      <c r="Y2">
        <v>1371486829.67363</v>
      </c>
      <c r="Z2">
        <v>1366144135.15929</v>
      </c>
      <c r="AA2">
        <v>1360536705.74219</v>
      </c>
      <c r="AB2">
        <v>1354641150.5073</v>
      </c>
      <c r="AC2">
        <v>1348431663.94713</v>
      </c>
      <c r="AD2">
        <v>1341880904.31078</v>
      </c>
      <c r="AE2">
        <v>1334960982.6411</v>
      </c>
      <c r="AF2">
        <v>1327644562.5</v>
      </c>
      <c r="AG2">
        <v>1319906070.38186</v>
      </c>
      <c r="AH2">
        <v>1311723016.8151</v>
      </c>
      <c r="AI2">
        <v>1303077428.15181</v>
      </c>
      <c r="AJ2">
        <v>1293957389.04554</v>
      </c>
      <c r="AK2">
        <v>1284358695.61718</v>
      </c>
      <c r="AL2">
        <v>1274286619.30905</v>
      </c>
      <c r="AM2">
        <v>1263757781.42695</v>
      </c>
      <c r="AN2">
        <v>1252802138.37046</v>
      </c>
      <c r="AO2">
        <v>1241465077.55134</v>
      </c>
      <c r="AP2">
        <v>1229809624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2"/>
  <sheetViews>
    <sheetView workbookViewId="0">
      <selection activeCell="D9" sqref="D9"/>
    </sheetView>
  </sheetViews>
  <sheetFormatPr defaultColWidth="9" defaultRowHeight="14.25" outlineLevelRow="1"/>
  <sheetData>
    <row r="1" spans="1:42">
      <c r="A1" s="5" t="s">
        <v>68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>
      <c r="A2" s="7" t="s">
        <v>70</v>
      </c>
      <c r="B2">
        <v>750640000</v>
      </c>
      <c r="C2">
        <v>748756491.720689</v>
      </c>
      <c r="D2">
        <v>749009036.114951</v>
      </c>
      <c r="E2">
        <v>750280905.802214</v>
      </c>
      <c r="F2">
        <v>751717864.672639</v>
      </c>
      <c r="G2">
        <v>752693601.256759</v>
      </c>
      <c r="H2">
        <v>752777232.614622</v>
      </c>
      <c r="I2">
        <v>751702878.744326</v>
      </c>
      <c r="J2">
        <v>749341307.510095</v>
      </c>
      <c r="K2">
        <v>745673650.089779</v>
      </c>
      <c r="L2">
        <v>740767186.941829</v>
      </c>
      <c r="M2">
        <v>734753204.291751</v>
      </c>
      <c r="N2">
        <v>727806921.137978</v>
      </c>
      <c r="O2">
        <v>720129486.777337</v>
      </c>
      <c r="P2">
        <v>711932048.849788</v>
      </c>
      <c r="Q2">
        <v>703421891.90281</v>
      </c>
      <c r="R2">
        <v>694790646.475145</v>
      </c>
      <c r="S2">
        <v>686204568.700009</v>
      </c>
      <c r="T2">
        <v>677796890.427915</v>
      </c>
      <c r="U2">
        <v>669662239.868734</v>
      </c>
      <c r="V2">
        <v>661853132.753382</v>
      </c>
      <c r="W2">
        <v>654378534.014948</v>
      </c>
      <c r="X2">
        <v>647204489.989217</v>
      </c>
      <c r="Y2">
        <v>640256831.134797</v>
      </c>
      <c r="Z2">
        <v>633425945.272573</v>
      </c>
      <c r="AA2">
        <v>626573621.344687</v>
      </c>
      <c r="AB2">
        <v>619541963.692974</v>
      </c>
      <c r="AC2">
        <v>612164376.856912</v>
      </c>
      <c r="AD2">
        <v>604278620.890984</v>
      </c>
      <c r="AE2">
        <v>595741937.201462</v>
      </c>
      <c r="AF2">
        <v>586448244.902788</v>
      </c>
      <c r="AG2">
        <v>576347407.693456</v>
      </c>
      <c r="AH2">
        <v>565466571.250843</v>
      </c>
      <c r="AI2">
        <v>553933571.146485</v>
      </c>
      <c r="AJ2">
        <v>542002411.279895</v>
      </c>
      <c r="AK2">
        <v>530080812.832238</v>
      </c>
      <c r="AL2">
        <v>518759833.739497</v>
      </c>
      <c r="AM2">
        <v>508845558.685133</v>
      </c>
      <c r="AN2">
        <v>501392859.61184</v>
      </c>
      <c r="AO2">
        <v>497741226.753509</v>
      </c>
      <c r="AP2">
        <v>499552670.185725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2"/>
  <sheetViews>
    <sheetView workbookViewId="0">
      <selection activeCell="N30" sqref="N30"/>
    </sheetView>
  </sheetViews>
  <sheetFormatPr defaultColWidth="9" defaultRowHeight="14.25" outlineLevelRow="1"/>
  <sheetData>
    <row r="1" spans="1:42">
      <c r="A1" s="5" t="s">
        <v>71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>
      <c r="A2" s="6" t="s">
        <v>72</v>
      </c>
      <c r="B2">
        <v>10061792771500.1</v>
      </c>
      <c r="C2">
        <v>10579086336261.6</v>
      </c>
      <c r="D2">
        <v>11154715888934</v>
      </c>
      <c r="E2">
        <v>11777666314251.5</v>
      </c>
      <c r="F2">
        <v>12438102130933.8</v>
      </c>
      <c r="G2">
        <v>13127480040440.1</v>
      </c>
      <c r="H2">
        <v>13838643248878.4</v>
      </c>
      <c r="I2">
        <v>14565894060916.9</v>
      </c>
      <c r="J2">
        <v>15305041191632.9</v>
      </c>
      <c r="K2">
        <v>16053418263175.7</v>
      </c>
      <c r="L2">
        <v>16809870066079.2</v>
      </c>
      <c r="M2">
        <v>17574703391078</v>
      </c>
      <c r="N2">
        <v>18349599600685.8</v>
      </c>
      <c r="O2">
        <v>19137486638604.6</v>
      </c>
      <c r="P2">
        <v>19942368901402.2</v>
      </c>
      <c r="Q2">
        <v>20769114357701.5</v>
      </c>
      <c r="R2">
        <v>21623199537405.6</v>
      </c>
      <c r="S2">
        <v>22510414575272.3</v>
      </c>
      <c r="T2">
        <v>23436532433989.2</v>
      </c>
      <c r="U2">
        <v>24406948813717.5</v>
      </c>
      <c r="V2">
        <v>25426302148134.8</v>
      </c>
      <c r="W2">
        <v>26498086570621.1</v>
      </c>
      <c r="X2">
        <v>27624274898147.9</v>
      </c>
      <c r="Y2">
        <v>28804973625731.7</v>
      </c>
      <c r="Z2">
        <v>30038137764849.7</v>
      </c>
      <c r="AA2">
        <v>31319380223052.7</v>
      </c>
      <c r="AB2">
        <v>32641918452907.7</v>
      </c>
      <c r="AC2">
        <v>33996710457655.9</v>
      </c>
      <c r="AD2">
        <v>35372843109278.8</v>
      </c>
      <c r="AE2">
        <v>36758248314259.7</v>
      </c>
      <c r="AF2">
        <v>38140837079322.8</v>
      </c>
      <c r="AG2">
        <v>39510158236278.4</v>
      </c>
      <c r="AH2">
        <v>40859707763576.2</v>
      </c>
      <c r="AI2">
        <v>42190036606538.2</v>
      </c>
      <c r="AJ2">
        <v>43512829997786.9</v>
      </c>
      <c r="AK2">
        <v>44856159904210.9</v>
      </c>
      <c r="AL2">
        <v>46271144809018.6</v>
      </c>
      <c r="AM2">
        <v>47840288058435.7</v>
      </c>
      <c r="AN2">
        <v>49687807996161.9</v>
      </c>
      <c r="AO2">
        <v>51992320667465.6</v>
      </c>
      <c r="AP2">
        <v>55002289654939.8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62"/>
  <sheetViews>
    <sheetView workbookViewId="0">
      <selection activeCell="E14" sqref="E14"/>
    </sheetView>
  </sheetViews>
  <sheetFormatPr defaultColWidth="9" defaultRowHeight="14.25" outlineLevelCol="1"/>
  <sheetData>
    <row r="1" ht="42.75" spans="1:2">
      <c r="A1" s="1" t="s">
        <v>73</v>
      </c>
      <c r="B1" s="2" t="s">
        <v>74</v>
      </c>
    </row>
    <row r="2" spans="1:2">
      <c r="A2" s="3" t="s">
        <v>75</v>
      </c>
      <c r="B2" s="4">
        <f>[1]Calculation!L45</f>
        <v>0.264027318393146</v>
      </c>
    </row>
    <row r="3" spans="1:2">
      <c r="A3" s="3" t="s">
        <v>76</v>
      </c>
      <c r="B3" s="4">
        <f>[1]Calculation!L46</f>
        <v>0.258730967526493</v>
      </c>
    </row>
    <row r="4" spans="1:2">
      <c r="A4" s="3" t="s">
        <v>77</v>
      </c>
      <c r="B4" s="4">
        <f>[1]Calculation!L47</f>
        <v>0.257182474220425</v>
      </c>
    </row>
    <row r="5" spans="1:2">
      <c r="A5" s="3" t="s">
        <v>78</v>
      </c>
      <c r="B5" s="4">
        <f>[1]Calculation!L48</f>
        <v>0.250657416210714</v>
      </c>
    </row>
    <row r="6" spans="1:2">
      <c r="A6" s="3" t="s">
        <v>79</v>
      </c>
      <c r="B6" s="4">
        <f>[1]Calculation!L49</f>
        <v>0.234364418959083</v>
      </c>
    </row>
    <row r="7" spans="1:2">
      <c r="A7" s="3" t="s">
        <v>80</v>
      </c>
      <c r="B7" s="4">
        <f>[1]Calculation!L50</f>
        <v>0.225559165944784</v>
      </c>
    </row>
    <row r="8" spans="1:2">
      <c r="A8" s="3" t="s">
        <v>81</v>
      </c>
      <c r="B8" s="4">
        <f>[1]Calculation!L51</f>
        <v>0.217037097117422</v>
      </c>
    </row>
    <row r="9" spans="1:2">
      <c r="A9" s="3" t="s">
        <v>82</v>
      </c>
      <c r="B9" s="4">
        <f>[1]Calculation!L52</f>
        <v>0.201427126315792</v>
      </c>
    </row>
    <row r="10" spans="1:2">
      <c r="A10" s="3" t="s">
        <v>83</v>
      </c>
      <c r="B10" s="4">
        <f>[1]Calculation!L53</f>
        <v>0.186860689001348</v>
      </c>
    </row>
    <row r="11" spans="1:2">
      <c r="A11" s="3" t="s">
        <v>84</v>
      </c>
      <c r="B11" s="4">
        <f>[1]Calculation!L54</f>
        <v>0.187253046603439</v>
      </c>
    </row>
    <row r="12" spans="1:2">
      <c r="A12" s="3" t="s">
        <v>85</v>
      </c>
      <c r="B12" s="4">
        <f>[1]Calculation!L55</f>
        <v>0.175197070022782</v>
      </c>
    </row>
    <row r="13" spans="1:2">
      <c r="A13" s="3" t="s">
        <v>86</v>
      </c>
      <c r="B13" s="4">
        <f>[1]Calculation!L56</f>
        <v>0.162105908361236</v>
      </c>
    </row>
    <row r="14" spans="1:2">
      <c r="A14" s="3" t="s">
        <v>87</v>
      </c>
      <c r="B14" s="4">
        <f>[1]Calculation!L57</f>
        <v>0.158412957650193</v>
      </c>
    </row>
    <row r="15" spans="1:2">
      <c r="A15" s="3" t="s">
        <v>88</v>
      </c>
      <c r="B15" s="4">
        <f>[1]Calculation!L58</f>
        <v>0.155058469203377</v>
      </c>
    </row>
    <row r="16" spans="1:2">
      <c r="A16" s="3" t="s">
        <v>89</v>
      </c>
      <c r="B16" s="4">
        <f>[1]Calculation!L59</f>
        <v>0.153476033552131</v>
      </c>
    </row>
    <row r="17" spans="1:2">
      <c r="A17" s="3" t="s">
        <v>90</v>
      </c>
      <c r="B17" s="4">
        <f>[1]Calculation!L60</f>
        <v>0.153480552163204</v>
      </c>
    </row>
    <row r="18" spans="1:2">
      <c r="A18" s="3" t="s">
        <v>91</v>
      </c>
      <c r="B18" s="4">
        <f>[1]Calculation!L61</f>
        <v>0.151350526540712</v>
      </c>
    </row>
    <row r="19" spans="1:2">
      <c r="A19" s="3" t="s">
        <v>92</v>
      </c>
      <c r="B19" s="4">
        <f>[1]Calculation!L62</f>
        <v>0.145204482579299</v>
      </c>
    </row>
    <row r="20" spans="1:2">
      <c r="A20" s="3" t="s">
        <v>93</v>
      </c>
      <c r="B20" s="4">
        <f>[1]Calculation!L63</f>
        <v>0.140294528147456</v>
      </c>
    </row>
    <row r="21" spans="1:2">
      <c r="A21" s="3" t="s">
        <v>94</v>
      </c>
      <c r="B21" s="4">
        <f>[1]Calculation!L64</f>
        <v>0.138511262027254</v>
      </c>
    </row>
    <row r="22" spans="1:2">
      <c r="A22" s="3" t="s">
        <v>95</v>
      </c>
      <c r="B22" s="4">
        <f>[1]Calculation!L65</f>
        <v>0.137650677988234</v>
      </c>
    </row>
    <row r="23" spans="1:2">
      <c r="A23" s="3">
        <v>2021</v>
      </c>
      <c r="B23">
        <f t="shared" ref="B23:B62" si="0">B22/(1+0.022)</f>
        <v>0.134687551847587</v>
      </c>
    </row>
    <row r="24" spans="1:2">
      <c r="A24" s="3">
        <v>2022</v>
      </c>
      <c r="B24">
        <f t="shared" si="0"/>
        <v>0.131788211201162</v>
      </c>
    </row>
    <row r="25" spans="1:2">
      <c r="A25" s="3">
        <v>2023</v>
      </c>
      <c r="B25">
        <f t="shared" si="0"/>
        <v>0.128951282975696</v>
      </c>
    </row>
    <row r="26" spans="1:2">
      <c r="A26" s="3">
        <v>2024</v>
      </c>
      <c r="B26">
        <f t="shared" si="0"/>
        <v>0.12617542365528</v>
      </c>
    </row>
    <row r="27" spans="1:2">
      <c r="A27" s="3">
        <v>2025</v>
      </c>
      <c r="B27">
        <f t="shared" si="0"/>
        <v>0.123459318645088</v>
      </c>
    </row>
    <row r="28" spans="1:2">
      <c r="A28" s="3">
        <v>2026</v>
      </c>
      <c r="B28">
        <f t="shared" si="0"/>
        <v>0.120801681648814</v>
      </c>
    </row>
    <row r="29" spans="1:2">
      <c r="A29" s="3">
        <v>2027</v>
      </c>
      <c r="B29">
        <f t="shared" si="0"/>
        <v>0.118201254059505</v>
      </c>
    </row>
    <row r="30" spans="1:2">
      <c r="A30" s="3">
        <v>2028</v>
      </c>
      <c r="B30">
        <f t="shared" si="0"/>
        <v>0.115656804363508</v>
      </c>
    </row>
    <row r="31" spans="1:2">
      <c r="A31" s="3">
        <v>2029</v>
      </c>
      <c r="B31">
        <f t="shared" si="0"/>
        <v>0.113167127557248</v>
      </c>
    </row>
    <row r="32" spans="1:2">
      <c r="A32" s="3">
        <v>2030</v>
      </c>
      <c r="B32">
        <f t="shared" si="0"/>
        <v>0.110731044576564</v>
      </c>
    </row>
    <row r="33" spans="1:2">
      <c r="A33" s="3">
        <v>2031</v>
      </c>
      <c r="B33">
        <f t="shared" si="0"/>
        <v>0.108347401738321</v>
      </c>
    </row>
    <row r="34" spans="1:2">
      <c r="A34" s="3">
        <v>2032</v>
      </c>
      <c r="B34">
        <f t="shared" si="0"/>
        <v>0.106015070194052</v>
      </c>
    </row>
    <row r="35" spans="1:2">
      <c r="A35" s="3">
        <v>2033</v>
      </c>
      <c r="B35">
        <f t="shared" si="0"/>
        <v>0.103732945395354</v>
      </c>
    </row>
    <row r="36" spans="1:2">
      <c r="A36" s="3">
        <v>2034</v>
      </c>
      <c r="B36">
        <f t="shared" si="0"/>
        <v>0.101499946570796</v>
      </c>
    </row>
    <row r="37" spans="1:2">
      <c r="A37" s="3">
        <v>2035</v>
      </c>
      <c r="B37">
        <f t="shared" si="0"/>
        <v>0.0993150162140866</v>
      </c>
    </row>
    <row r="38" spans="1:2">
      <c r="A38" s="3">
        <v>2036</v>
      </c>
      <c r="B38">
        <f t="shared" si="0"/>
        <v>0.097177119583255</v>
      </c>
    </row>
    <row r="39" spans="1:2">
      <c r="A39" s="3">
        <v>2037</v>
      </c>
      <c r="B39">
        <f t="shared" si="0"/>
        <v>0.0950852442106213</v>
      </c>
    </row>
    <row r="40" spans="1:2">
      <c r="A40" s="3">
        <v>2038</v>
      </c>
      <c r="B40">
        <f t="shared" si="0"/>
        <v>0.0930383994233085</v>
      </c>
    </row>
    <row r="41" spans="1:2">
      <c r="A41" s="3">
        <v>2039</v>
      </c>
      <c r="B41">
        <f t="shared" si="0"/>
        <v>0.0910356158740788</v>
      </c>
    </row>
    <row r="42" spans="1:2">
      <c r="A42" s="3">
        <v>2040</v>
      </c>
      <c r="B42">
        <f t="shared" si="0"/>
        <v>0.0890759450822688</v>
      </c>
    </row>
    <row r="43" spans="1:2">
      <c r="A43" s="3">
        <v>2041</v>
      </c>
      <c r="B43">
        <f t="shared" si="0"/>
        <v>0.0871584589846075</v>
      </c>
    </row>
    <row r="44" spans="1:2">
      <c r="A44" s="3">
        <v>2042</v>
      </c>
      <c r="B44">
        <f t="shared" si="0"/>
        <v>0.085282249495702</v>
      </c>
    </row>
    <row r="45" spans="1:2">
      <c r="A45" s="3">
        <v>2043</v>
      </c>
      <c r="B45">
        <f t="shared" si="0"/>
        <v>0.0834464280779863</v>
      </c>
    </row>
    <row r="46" spans="1:2">
      <c r="A46" s="3">
        <v>2044</v>
      </c>
      <c r="B46">
        <f t="shared" si="0"/>
        <v>0.081650125320926</v>
      </c>
    </row>
    <row r="47" spans="1:2">
      <c r="A47" s="3">
        <v>2045</v>
      </c>
      <c r="B47">
        <f t="shared" si="0"/>
        <v>0.0798924905292818</v>
      </c>
    </row>
    <row r="48" spans="1:2">
      <c r="A48" s="3">
        <v>2046</v>
      </c>
      <c r="B48">
        <f t="shared" si="0"/>
        <v>0.0781726913202366</v>
      </c>
    </row>
    <row r="49" spans="1:2">
      <c r="A49" s="3">
        <v>2047</v>
      </c>
      <c r="B49">
        <f t="shared" si="0"/>
        <v>0.0764899132291943</v>
      </c>
    </row>
    <row r="50" spans="1:2">
      <c r="A50" s="3">
        <v>2048</v>
      </c>
      <c r="B50">
        <f t="shared" si="0"/>
        <v>0.0748433593240649</v>
      </c>
    </row>
    <row r="51" spans="1:2">
      <c r="A51" s="3">
        <v>2049</v>
      </c>
      <c r="B51">
        <f t="shared" si="0"/>
        <v>0.0732322498278521</v>
      </c>
    </row>
    <row r="52" spans="1:2">
      <c r="A52" s="3">
        <v>2050</v>
      </c>
      <c r="B52">
        <f t="shared" si="0"/>
        <v>0.071655821749366</v>
      </c>
    </row>
    <row r="53" spans="1:2">
      <c r="A53" s="3">
        <v>2051</v>
      </c>
      <c r="B53">
        <f t="shared" si="0"/>
        <v>0.0701133285218846</v>
      </c>
    </row>
    <row r="54" spans="1:2">
      <c r="A54" s="3">
        <v>2052</v>
      </c>
      <c r="B54">
        <f t="shared" si="0"/>
        <v>0.0686040396495935</v>
      </c>
    </row>
    <row r="55" spans="1:2">
      <c r="A55" s="3">
        <v>2053</v>
      </c>
      <c r="B55">
        <f t="shared" si="0"/>
        <v>0.0671272403616375</v>
      </c>
    </row>
    <row r="56" spans="1:2">
      <c r="A56" s="3">
        <v>2054</v>
      </c>
      <c r="B56">
        <f t="shared" si="0"/>
        <v>0.0656822312736179</v>
      </c>
    </row>
    <row r="57" spans="1:2">
      <c r="A57" s="3">
        <v>2055</v>
      </c>
      <c r="B57">
        <f t="shared" si="0"/>
        <v>0.0642683280563776</v>
      </c>
    </row>
    <row r="58" spans="1:2">
      <c r="A58" s="3">
        <v>2056</v>
      </c>
      <c r="B58">
        <f t="shared" si="0"/>
        <v>0.0628848611119155</v>
      </c>
    </row>
    <row r="59" spans="1:2">
      <c r="A59" s="3">
        <v>2057</v>
      </c>
      <c r="B59">
        <f t="shared" si="0"/>
        <v>0.0615311752562774</v>
      </c>
    </row>
    <row r="60" spans="1:2">
      <c r="A60" s="3">
        <v>2058</v>
      </c>
      <c r="B60">
        <f t="shared" si="0"/>
        <v>0.0602066294092734</v>
      </c>
    </row>
    <row r="61" spans="1:2">
      <c r="A61" s="3">
        <v>2059</v>
      </c>
      <c r="B61">
        <f t="shared" si="0"/>
        <v>0.0589105962908741</v>
      </c>
    </row>
    <row r="62" spans="1:2">
      <c r="A62" s="3">
        <v>2060</v>
      </c>
      <c r="B62">
        <f t="shared" si="0"/>
        <v>0.057642462124143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About</vt:lpstr>
      <vt:lpstr>就业人口计算</vt:lpstr>
      <vt:lpstr>工资外推</vt:lpstr>
      <vt:lpstr>BPEaCP-population</vt:lpstr>
      <vt:lpstr>BPEaCP-employedpop</vt:lpstr>
      <vt:lpstr>BPEaCP-employeecomp</vt:lpstr>
      <vt:lpstr>汇率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zhlx2</cp:lastModifiedBy>
  <dcterms:created xsi:type="dcterms:W3CDTF">2023-02-09T08:08:00Z</dcterms:created>
  <dcterms:modified xsi:type="dcterms:W3CDTF">2023-02-14T04:11:10Z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B6BED47B8BBB4A249769141ECB7F0190</vt:lpwstr>
  </property>
  <property fmtid="{D5CDD505-2E9C-101B-9397-08002B2CF9AE}" pid="3" name="KSOProductBuildVer">
    <vt:lpwstr>2052-11.1.0.13703</vt:lpwstr>
  </property>
</Properties>
</file>