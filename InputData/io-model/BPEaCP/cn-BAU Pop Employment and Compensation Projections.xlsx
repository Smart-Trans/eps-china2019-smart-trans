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zhlx6\Desktop\eps-china2019-smart-trans\InputData\io-model\BPEaCP\"/>
    </mc:Choice>
  </mc:AlternateContent>
  <xr:revisionPtr revIDLastSave="0" documentId="13_ncr:1_{D6AAA425-5D60-40F0-B97A-C27E7DED3684}" xr6:coauthVersionLast="47" xr6:coauthVersionMax="47" xr10:uidLastSave="{00000000-0000-0000-0000-000000000000}"/>
  <bookViews>
    <workbookView xWindow="28665" yWindow="-135" windowWidth="29070" windowHeight="15750" activeTab="4" xr2:uid="{00000000-000D-0000-FFFF-FFFF00000000}"/>
  </bookViews>
  <sheets>
    <sheet name="About" sheetId="6" r:id="rId1"/>
    <sheet name="就业人口计算" sheetId="1" r:id="rId2"/>
    <sheet name="工资外推" sheetId="4" r:id="rId3"/>
    <sheet name="BPEaCP-population" sheetId="2" r:id="rId4"/>
    <sheet name="BPEaCP-employedpop" sheetId="3" r:id="rId5"/>
    <sheet name="BPEaCP-employeecomp" sheetId="5" r:id="rId6"/>
    <sheet name="汇率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O2" i="4" s="1"/>
  <c r="E57" i="1"/>
  <c r="B74" i="1"/>
  <c r="D29" i="1"/>
  <c r="D30" i="1"/>
  <c r="C29" i="1"/>
  <c r="B29" i="1"/>
  <c r="B22" i="7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G2" i="4"/>
  <c r="I4" i="4" s="1"/>
  <c r="B70" i="1"/>
  <c r="C70" i="1" s="1"/>
  <c r="D69" i="1"/>
  <c r="C69" i="1"/>
  <c r="B69" i="1"/>
  <c r="B68" i="1"/>
  <c r="D68" i="1" s="1"/>
  <c r="E68" i="1" s="1"/>
  <c r="E67" i="1"/>
  <c r="D67" i="1"/>
  <c r="C67" i="1"/>
  <c r="B67" i="1"/>
  <c r="B66" i="1"/>
  <c r="D66" i="1" s="1"/>
  <c r="E66" i="1" s="1"/>
  <c r="B65" i="1"/>
  <c r="C65" i="1" s="1"/>
  <c r="B64" i="1"/>
  <c r="D64" i="1" s="1"/>
  <c r="E63" i="1"/>
  <c r="D63" i="1"/>
  <c r="C63" i="1"/>
  <c r="B63" i="1"/>
  <c r="B62" i="1"/>
  <c r="D62" i="1" s="1"/>
  <c r="D61" i="1"/>
  <c r="E61" i="1" s="1"/>
  <c r="C61" i="1"/>
  <c r="B61" i="1"/>
  <c r="B60" i="1"/>
  <c r="D60" i="1" s="1"/>
  <c r="E60" i="1" s="1"/>
  <c r="B59" i="1"/>
  <c r="D59" i="1" s="1"/>
  <c r="E59" i="1" s="1"/>
  <c r="B58" i="1"/>
  <c r="D58" i="1" s="1"/>
  <c r="E58" i="1" s="1"/>
  <c r="D57" i="1"/>
  <c r="C57" i="1"/>
  <c r="B57" i="1"/>
  <c r="B56" i="1"/>
  <c r="C56" i="1" s="1"/>
  <c r="C55" i="1"/>
  <c r="B55" i="1"/>
  <c r="D55" i="1" s="1"/>
  <c r="E55" i="1" s="1"/>
  <c r="B54" i="1"/>
  <c r="D54" i="1" s="1"/>
  <c r="E54" i="1" s="1"/>
  <c r="D53" i="1"/>
  <c r="C53" i="1"/>
  <c r="B53" i="1"/>
  <c r="B52" i="1"/>
  <c r="D52" i="1" s="1"/>
  <c r="E51" i="1"/>
  <c r="D51" i="1"/>
  <c r="C51" i="1"/>
  <c r="B51" i="1"/>
  <c r="B50" i="1"/>
  <c r="D50" i="1" s="1"/>
  <c r="B49" i="1"/>
  <c r="C49" i="1" s="1"/>
  <c r="B48" i="1"/>
  <c r="D48" i="1" s="1"/>
  <c r="D47" i="1"/>
  <c r="C47" i="1"/>
  <c r="B47" i="1"/>
  <c r="B46" i="1"/>
  <c r="D46" i="1" s="1"/>
  <c r="D45" i="1"/>
  <c r="C45" i="1"/>
  <c r="B45" i="1"/>
  <c r="B44" i="1"/>
  <c r="C44" i="1" s="1"/>
  <c r="B43" i="1"/>
  <c r="D43" i="1" s="1"/>
  <c r="E43" i="1" s="1"/>
  <c r="B42" i="1"/>
  <c r="D42" i="1" s="1"/>
  <c r="E42" i="1" s="1"/>
  <c r="E41" i="1"/>
  <c r="D41" i="1"/>
  <c r="C41" i="1"/>
  <c r="B41" i="1"/>
  <c r="B40" i="1"/>
  <c r="D40" i="1" s="1"/>
  <c r="C39" i="1"/>
  <c r="B39" i="1"/>
  <c r="D39" i="1" s="1"/>
  <c r="E39" i="1" s="1"/>
  <c r="B38" i="1"/>
  <c r="D38" i="1" s="1"/>
  <c r="E38" i="1" s="1"/>
  <c r="E37" i="1"/>
  <c r="D37" i="1"/>
  <c r="C37" i="1"/>
  <c r="B37" i="1"/>
  <c r="B36" i="1"/>
  <c r="C36" i="1" s="1"/>
  <c r="D35" i="1"/>
  <c r="C35" i="1"/>
  <c r="B35" i="1"/>
  <c r="B34" i="1"/>
  <c r="D34" i="1" s="1"/>
  <c r="B33" i="1"/>
  <c r="D33" i="1" s="1"/>
  <c r="B32" i="1"/>
  <c r="D32" i="1" s="1"/>
  <c r="E32" i="1" s="1"/>
  <c r="D31" i="1"/>
  <c r="C31" i="1"/>
  <c r="B31" i="1"/>
  <c r="B30" i="1"/>
  <c r="E30" i="1" s="1"/>
  <c r="L3" i="4" s="1"/>
  <c r="O3" i="4" s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E35" i="1" l="1"/>
  <c r="E47" i="1"/>
  <c r="E52" i="1"/>
  <c r="E64" i="1"/>
  <c r="E31" i="1"/>
  <c r="L4" i="4" s="1"/>
  <c r="O4" i="4" s="1"/>
  <c r="E40" i="1"/>
  <c r="E48" i="1"/>
  <c r="E33" i="1"/>
  <c r="E45" i="1"/>
  <c r="E50" i="1"/>
  <c r="E62" i="1"/>
  <c r="E69" i="1"/>
  <c r="E29" i="1"/>
  <c r="E34" i="1"/>
  <c r="E46" i="1"/>
  <c r="E53" i="1"/>
  <c r="C33" i="1"/>
  <c r="C43" i="1"/>
  <c r="D49" i="1"/>
  <c r="E49" i="1" s="1"/>
  <c r="C59" i="1"/>
  <c r="D65" i="1"/>
  <c r="E65" i="1" s="1"/>
  <c r="I5" i="4"/>
  <c r="C30" i="1"/>
  <c r="C32" i="1"/>
  <c r="C34" i="1"/>
  <c r="C38" i="1"/>
  <c r="C40" i="1"/>
  <c r="C42" i="1"/>
  <c r="C46" i="1"/>
  <c r="C48" i="1"/>
  <c r="C50" i="1"/>
  <c r="C52" i="1"/>
  <c r="C54" i="1"/>
  <c r="C58" i="1"/>
  <c r="C60" i="1"/>
  <c r="C62" i="1"/>
  <c r="C64" i="1"/>
  <c r="C66" i="1"/>
  <c r="C68" i="1"/>
  <c r="D36" i="1"/>
  <c r="E36" i="1" s="1"/>
  <c r="D44" i="1"/>
  <c r="E44" i="1" s="1"/>
  <c r="D56" i="1"/>
  <c r="E56" i="1" s="1"/>
  <c r="D70" i="1"/>
  <c r="E70" i="1" s="1"/>
  <c r="I6" i="4" l="1"/>
  <c r="L5" i="4"/>
  <c r="O5" i="4" s="1"/>
  <c r="L6" i="4" l="1"/>
  <c r="O6" i="4" s="1"/>
  <c r="I7" i="4"/>
  <c r="I8" i="4" l="1"/>
  <c r="L7" i="4"/>
  <c r="O7" i="4" s="1"/>
  <c r="L8" i="4" l="1"/>
  <c r="O8" i="4" s="1"/>
  <c r="I9" i="4"/>
  <c r="L9" i="4" l="1"/>
  <c r="O9" i="4" s="1"/>
  <c r="I10" i="4"/>
  <c r="I11" i="4" l="1"/>
  <c r="L10" i="4"/>
  <c r="O10" i="4" s="1"/>
  <c r="L11" i="4" l="1"/>
  <c r="O11" i="4" s="1"/>
  <c r="I12" i="4"/>
  <c r="I13" i="4" l="1"/>
  <c r="L12" i="4"/>
  <c r="O12" i="4" s="1"/>
  <c r="L13" i="4" l="1"/>
  <c r="O13" i="4" s="1"/>
  <c r="I14" i="4"/>
  <c r="I15" i="4" l="1"/>
  <c r="L14" i="4"/>
  <c r="O14" i="4" s="1"/>
  <c r="L15" i="4" l="1"/>
  <c r="O15" i="4" s="1"/>
  <c r="I16" i="4"/>
  <c r="I17" i="4" l="1"/>
  <c r="L16" i="4"/>
  <c r="O16" i="4" s="1"/>
  <c r="I18" i="4" l="1"/>
  <c r="L17" i="4"/>
  <c r="O17" i="4" s="1"/>
  <c r="L18" i="4" l="1"/>
  <c r="O18" i="4" s="1"/>
  <c r="I19" i="4"/>
  <c r="I20" i="4" l="1"/>
  <c r="L19" i="4"/>
  <c r="O19" i="4" s="1"/>
  <c r="I21" i="4" l="1"/>
  <c r="L20" i="4"/>
  <c r="O20" i="4" s="1"/>
  <c r="L21" i="4" l="1"/>
  <c r="O21" i="4" s="1"/>
  <c r="I22" i="4"/>
  <c r="I23" i="4" l="1"/>
  <c r="L22" i="4"/>
  <c r="O22" i="4" s="1"/>
  <c r="L23" i="4" l="1"/>
  <c r="O23" i="4" s="1"/>
  <c r="I24" i="4"/>
  <c r="I25" i="4" l="1"/>
  <c r="L24" i="4"/>
  <c r="O24" i="4" s="1"/>
  <c r="I26" i="4" l="1"/>
  <c r="L25" i="4"/>
  <c r="O25" i="4" s="1"/>
  <c r="L26" i="4" l="1"/>
  <c r="O26" i="4" s="1"/>
  <c r="I27" i="4"/>
  <c r="I28" i="4" l="1"/>
  <c r="L27" i="4"/>
  <c r="O27" i="4" s="1"/>
  <c r="I29" i="4" l="1"/>
  <c r="L28" i="4"/>
  <c r="O28" i="4" s="1"/>
  <c r="L29" i="4" l="1"/>
  <c r="O29" i="4" s="1"/>
  <c r="I30" i="4"/>
  <c r="I31" i="4" l="1"/>
  <c r="L30" i="4"/>
  <c r="O30" i="4" s="1"/>
  <c r="L31" i="4" l="1"/>
  <c r="O31" i="4" s="1"/>
  <c r="I32" i="4"/>
  <c r="I33" i="4" l="1"/>
  <c r="L32" i="4"/>
  <c r="O32" i="4" s="1"/>
  <c r="I34" i="4" l="1"/>
  <c r="L33" i="4"/>
  <c r="O33" i="4" s="1"/>
  <c r="L34" i="4" l="1"/>
  <c r="O34" i="4" s="1"/>
  <c r="I35" i="4"/>
  <c r="I36" i="4" l="1"/>
  <c r="L35" i="4"/>
  <c r="O35" i="4" s="1"/>
  <c r="I37" i="4" l="1"/>
  <c r="L36" i="4"/>
  <c r="O36" i="4" s="1"/>
  <c r="L37" i="4" l="1"/>
  <c r="O37" i="4" s="1"/>
  <c r="I38" i="4"/>
  <c r="I39" i="4" l="1"/>
  <c r="L38" i="4"/>
  <c r="O38" i="4" s="1"/>
  <c r="L39" i="4" l="1"/>
  <c r="O39" i="4" s="1"/>
  <c r="I40" i="4"/>
  <c r="I41" i="4" l="1"/>
  <c r="L40" i="4"/>
  <c r="O40" i="4" s="1"/>
  <c r="I42" i="4" l="1"/>
  <c r="L41" i="4"/>
  <c r="O41" i="4" s="1"/>
  <c r="L42" i="4" l="1"/>
  <c r="O42" i="4" s="1"/>
  <c r="I43" i="4"/>
  <c r="L43" i="4" s="1"/>
  <c r="O43" i="4" s="1"/>
</calcChain>
</file>

<file path=xl/sharedStrings.xml><?xml version="1.0" encoding="utf-8"?>
<sst xmlns="http://schemas.openxmlformats.org/spreadsheetml/2006/main" count="104" uniqueCount="97">
  <si>
    <t>BPEaCP BAU Population Employment and Compensation Projections</t>
  </si>
  <si>
    <t>Source:</t>
  </si>
  <si>
    <t>人口预测</t>
  </si>
  <si>
    <t>中国工作人口总数</t>
  </si>
  <si>
    <t>国家统计年鉴4-2</t>
  </si>
  <si>
    <t>http://www.stats.gov.cn/tjsj/ndsj/2021/indexch.htm</t>
  </si>
  <si>
    <t>平均工资</t>
  </si>
  <si>
    <t>国家统计年鉴4-9</t>
  </si>
  <si>
    <t>人均国内生产总值</t>
  </si>
  <si>
    <t>国家统计局</t>
  </si>
  <si>
    <t>https://data.stats.gov.cn/easyquery.htm?cn=C01</t>
  </si>
  <si>
    <t>Notes</t>
  </si>
  <si>
    <t>人口总数。。。</t>
  </si>
  <si>
    <t>就业人数：各年15-65岁人口数乘2020年工作人口总数与2020年15-65岁总人数的比值即得。</t>
  </si>
  <si>
    <t>工资总额：如工资外推表中计算方式。用2010年至2020年人均GDP增长率与平均工资增长率画趋势线求得的斜率乘以2020年人均GDP与2019年人均GDP的比值求得人均工资增长率，继而求得人均报酬。工资总额为人均工资乘以工作人口总数。以2012年美元为单位。</t>
  </si>
  <si>
    <t>2020年女</t>
  </si>
  <si>
    <t>2025女</t>
  </si>
  <si>
    <t>2030女</t>
  </si>
  <si>
    <t>2035女</t>
  </si>
  <si>
    <t>2040女</t>
  </si>
  <si>
    <t>2045女</t>
  </si>
  <si>
    <t>2050女</t>
  </si>
  <si>
    <t>2055女</t>
  </si>
  <si>
    <t>2060女</t>
  </si>
  <si>
    <t>2020男</t>
  </si>
  <si>
    <t>2025男</t>
  </si>
  <si>
    <t>2030男</t>
  </si>
  <si>
    <t>2035男</t>
  </si>
  <si>
    <t>2040男</t>
  </si>
  <si>
    <t>2045男</t>
  </si>
  <si>
    <t>2050男</t>
  </si>
  <si>
    <t>2055男</t>
  </si>
  <si>
    <t>2060男</t>
  </si>
  <si>
    <t>0-4岁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</si>
  <si>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</si>
  <si>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</si>
  <si>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</si>
  <si>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</si>
  <si>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</si>
  <si>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</si>
  <si>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</si>
  <si>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</si>
  <si>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</si>
  <si>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</si>
  <si>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</si>
  <si>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</si>
  <si>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</si>
  <si>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</si>
  <si>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</si>
  <si>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</si>
  <si>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85-89岁</t>
  </si>
  <si>
    <t>90-94岁</t>
  </si>
  <si>
    <t>95-99岁</t>
  </si>
  <si>
    <t>100岁及以上</t>
  </si>
  <si>
    <t>总人口</t>
  </si>
  <si>
    <t>15-65岁人口</t>
  </si>
  <si>
    <t>年份</t>
  </si>
  <si>
    <t>X</t>
  </si>
  <si>
    <t>就业人数</t>
  </si>
  <si>
    <t>平均GDP</t>
  </si>
  <si>
    <t>平均GDP增速</t>
  </si>
  <si>
    <t>平均工资增速</t>
  </si>
  <si>
    <t>人均报酬增长率</t>
  </si>
  <si>
    <t>employeecomp（元）</t>
  </si>
  <si>
    <t>employeecomp（美元）</t>
  </si>
  <si>
    <t>Unit: people</t>
  </si>
  <si>
    <t>Population</t>
  </si>
  <si>
    <t>Employed Population</t>
  </si>
  <si>
    <t>Unit: 2012 $</t>
  </si>
  <si>
    <t>Total EE Compensation</t>
  </si>
  <si>
    <t>人民币年份</t>
  </si>
  <si>
    <t>当年人民币相对2012美元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</si>
  <si>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</si>
  <si>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</si>
  <si>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</si>
  <si>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</si>
  <si>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</si>
  <si>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</si>
  <si>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</si>
  <si>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</si>
  <si>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</si>
  <si>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</si>
  <si>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</si>
  <si>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</si>
  <si>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</si>
  <si>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</si>
  <si>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</si>
  <si>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</si>
  <si>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</si>
  <si>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</si>
  <si>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</si>
  <si>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</si>
  <si>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</si>
  <si>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 xml:space="preserve"> </t>
    <phoneticPr fontId="8" type="noConversion"/>
  </si>
  <si>
    <t>2019年15-65岁人口数</t>
    <phoneticPr fontId="8" type="noConversion"/>
  </si>
  <si>
    <t>2019年就业人口数</t>
    <phoneticPr fontId="8" type="noConversion"/>
  </si>
  <si>
    <t>2019年就业比重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</si>
</sst>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9" formatCode="0.0000_ "/>
  </numFmts>
  <fonts count="9" x14ac:knownFonts="1">
    <font>
      <sz val="11"/>
      <color theme="1"/>
      <name val="等线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/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79" fontId="0" fillId="0" borderId="0" xfId="0" applyNumberFormat="1">
      <alignment vertical="center"/>
    </xf>
    <xf numFmtId="0" fontId="1" fillId="0" borderId="0" xfId="3" applyFont="1"/>
    <xf numFmtId="0" fontId="0" fillId="0" borderId="0" xfId="0" applyAlignment="1"/>
    <xf numFmtId="0" fontId="7" fillId="0" borderId="0" xfId="3"/>
    <xf numFmtId="0" fontId="2" fillId="0" borderId="0" xfId="0" applyFont="1" applyAlignment="1"/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2">
      <alignment vertical="center"/>
    </xf>
    <xf numFmtId="43" fontId="7" fillId="0" borderId="0" xfId="1" applyAlignment="1"/>
    <xf numFmtId="43" fontId="0" fillId="0" borderId="0" xfId="1" applyFont="1">
      <alignment vertical="center"/>
    </xf>
    <xf numFmtId="0" fontId="0" fillId="0" borderId="0" xfId="0" applyAlignment="1">
      <alignment horizontal="right" vertical="center"/>
    </xf>
    <xf numFmtId="43" fontId="4" fillId="0" borderId="0" xfId="1" applyFont="1">
      <alignment vertical="center"/>
    </xf>
    <xf numFmtId="0" fontId="0" fillId="0" borderId="0" xfId="1" applyNumberFormat="1" applyFont="1">
      <alignment vertical="center"/>
    </xf>
    <xf numFmtId="0" fontId="4" fillId="0" borderId="0" xfId="3" applyFont="1"/>
    <xf numFmtId="0" fontId="4" fillId="0" borderId="0" xfId="0" applyFont="1">
      <alignment vertical="center"/>
    </xf>
  </cellXfs>
  <cellStyles count="4">
    <cellStyle name="常规" xfId="0" builtinId="0"/>
    <cellStyle name="常规 2" xfId="3" xr:uid="{00000000-0005-0000-0000-000031000000}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3937007874001"/>
          <c:y val="0.35168999708369802"/>
          <c:w val="0.80857174103237095"/>
          <c:h val="0.54091061533974905"/>
        </c:manualLayout>
      </c:layout>
      <c:scatterChart>
        <c:scatterStyle val="lineMarker"/>
        <c:varyColors val="0"/>
        <c:ser>
          <c:idx val="0"/>
          <c:order val="0"/>
          <c:tx>
            <c:strRef>
              <c:f>就业人口计算!$A$25</c:f>
              <c:strCache>
                <c:ptCount val="1"/>
                <c:pt idx="0">
                  <c:v>总人口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3402384076990401"/>
                  <c:y val="-0.38435367454068198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就业人口计算!$B$24:$J$24</c:f>
              <c:numCache>
                <c:formatCode>General</c:formatCode>
                <c:ptCount val="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</c:numCache>
            </c:numRef>
          </c:xVal>
          <c:yVal>
            <c:numRef>
              <c:f>就业人口计算!$B$25:$J$25</c:f>
              <c:numCache>
                <c:formatCode>General</c:formatCode>
                <c:ptCount val="9"/>
                <c:pt idx="0">
                  <c:v>1409778724</c:v>
                </c:pt>
                <c:pt idx="1">
                  <c:v>1422735306.02742</c:v>
                </c:pt>
                <c:pt idx="2">
                  <c:v>1419485366.608664</c:v>
                </c:pt>
                <c:pt idx="3">
                  <c:v>1406477694.6720653</c:v>
                </c:pt>
                <c:pt idx="4">
                  <c:v>1385994440.276305</c:v>
                </c:pt>
                <c:pt idx="5">
                  <c:v>1360436211.9296308</c:v>
                </c:pt>
                <c:pt idx="6">
                  <c:v>1327783400.2548852</c:v>
                </c:pt>
                <c:pt idx="7">
                  <c:v>1284286657.3621924</c:v>
                </c:pt>
                <c:pt idx="8">
                  <c:v>1229815757.9882255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4B-4A1E-A291-329B072C5EC4}"/>
            </c:ext>
          </c:extLst>
        </c:ser>
        <c:ser>
          <c:idx val="1"/>
          <c:order val="1"/>
          <c:tx>
            <c:strRef>
              <c:f>就业人口计算!$A$26</c:f>
              <c:strCache>
                <c:ptCount val="1"/>
                <c:pt idx="0">
                  <c:v>15-65岁人口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388156167979"/>
                  <c:y val="-0.42996682706328399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就业人口计算!$B$24:$J$24</c:f>
              <c:numCache>
                <c:formatCode>General</c:formatCode>
                <c:ptCount val="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</c:numCache>
            </c:numRef>
          </c:xVal>
          <c:yVal>
            <c:numRef>
              <c:f>就业人口计算!$B$26:$J$26</c:f>
              <c:numCache>
                <c:formatCode>General</c:formatCode>
                <c:ptCount val="9"/>
                <c:pt idx="0">
                  <c:v>965759506</c:v>
                </c:pt>
                <c:pt idx="1">
                  <c:v>968859499.37319994</c:v>
                </c:pt>
                <c:pt idx="2">
                  <c:v>952096784.65261674</c:v>
                </c:pt>
                <c:pt idx="3">
                  <c:v>906520608.65010464</c:v>
                </c:pt>
                <c:pt idx="4">
                  <c:v>850677077.11145449</c:v>
                </c:pt>
                <c:pt idx="5">
                  <c:v>806380603.07952845</c:v>
                </c:pt>
                <c:pt idx="6">
                  <c:v>754947602.25888133</c:v>
                </c:pt>
                <c:pt idx="7">
                  <c:v>682022497.94946814</c:v>
                </c:pt>
                <c:pt idx="8">
                  <c:v>643001472.4975493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4B-4A1E-A291-329B072C5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271712"/>
        <c:axId val="1845272128"/>
      </c:scatterChart>
      <c:valAx>
        <c:axId val="18452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5272128"/>
        <c:crosses val="autoZero"/>
        <c:crossBetween val="midCat"/>
      </c:valAx>
      <c:valAx>
        <c:axId val="18452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527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工资外推!$C$3:$C$12</c:f>
              <c:numCache>
                <c:formatCode>General</c:formatCode>
                <c:ptCount val="10"/>
                <c:pt idx="0">
                  <c:v>0.17751882627888871</c:v>
                </c:pt>
                <c:pt idx="1">
                  <c:v>9.6314469222923638E-2</c:v>
                </c:pt>
                <c:pt idx="2">
                  <c:v>9.368635437881867E-2</c:v>
                </c:pt>
                <c:pt idx="3">
                  <c:v>7.8511161689311937E-2</c:v>
                </c:pt>
                <c:pt idx="4">
                  <c:v>6.4162687585266109E-2</c:v>
                </c:pt>
                <c:pt idx="5">
                  <c:v>7.7340651416209383E-2</c:v>
                </c:pt>
                <c:pt idx="6">
                  <c:v>0.10800810665080052</c:v>
                </c:pt>
                <c:pt idx="7">
                  <c:v>9.9711370653779108E-2</c:v>
                </c:pt>
                <c:pt idx="8">
                  <c:v>6.9338053529465649E-2</c:v>
                </c:pt>
                <c:pt idx="9">
                  <c:v>2.4972173863409441E-2</c:v>
                </c:pt>
              </c:numCache>
            </c:numRef>
          </c:xVal>
          <c:yVal>
            <c:numRef>
              <c:f>工资外推!$E$3:$E$12</c:f>
              <c:numCache>
                <c:formatCode>General</c:formatCode>
                <c:ptCount val="10"/>
                <c:pt idx="0">
                  <c:v>0.14395577328334119</c:v>
                </c:pt>
                <c:pt idx="1">
                  <c:v>0.11890236608531302</c:v>
                </c:pt>
                <c:pt idx="2">
                  <c:v>0.1007932604930617</c:v>
                </c:pt>
                <c:pt idx="3">
                  <c:v>9.4730299322106415E-2</c:v>
                </c:pt>
                <c:pt idx="4">
                  <c:v>0.10058552164655787</c:v>
                </c:pt>
                <c:pt idx="5">
                  <c:v>8.9313063244611302E-2</c:v>
                </c:pt>
                <c:pt idx="6">
                  <c:v>9.9883082478651408E-2</c:v>
                </c:pt>
                <c:pt idx="7">
                  <c:v>0.10892381388089012</c:v>
                </c:pt>
                <c:pt idx="8">
                  <c:v>9.8139856576025641E-2</c:v>
                </c:pt>
                <c:pt idx="9">
                  <c:v>7.5999160230273644E-2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2-4A8B-908E-72BDBE022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586085"/>
        <c:axId val="815059031"/>
      </c:scatterChart>
      <c:valAx>
        <c:axId val="3055860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059031"/>
        <c:crosses val="autoZero"/>
        <c:crossBetween val="midCat"/>
      </c:valAx>
      <c:valAx>
        <c:axId val="81505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558608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319087</xdr:colOff>
      <xdr:row>4</xdr:row>
      <xdr:rowOff>104775</xdr:rowOff>
    </xdr:from>
    <xdr:to>
      <xdr:col>17</xdr:col>
      <xdr:colOff>90487</xdr:colOff>
      <xdr:row>19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88900</xdr:rowOff>
    </xdr:from>
    <xdr:to>
      <xdr:col>6</xdr:col>
      <xdr:colOff>44450</xdr:colOff>
      <xdr:row>30</xdr:row>
      <xdr:rowOff>117475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zhlx2/Desktop/&#20309;&#36920;&#32676;/&#20154;&#27665;&#24065;&#30456;&#23545;2012&#32654;&#20803;&#25442;&#31639;.xlsx" TargetMode="External"/><Relationship Id="rId1" Type="http://schemas.openxmlformats.org/officeDocument/2006/relationships/externalLinkPath" Target="/Users/zhlx2/Desktop/&#20309;&#36920;&#32676;/&#20154;&#27665;&#24065;&#30456;&#23545;2012&#32654;&#20803;&#25442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汇率"/>
      <sheetName val="Calculation"/>
      <sheetName val="横向"/>
    </sheetNames>
    <sheetDataSet>
      <sheetData sheetId="0"/>
      <sheetData sheetId="1">
        <row r="45">
          <cell r="L45">
            <v>0.26402731839314603</v>
          </cell>
        </row>
        <row r="46">
          <cell r="L46">
            <v>0.25873096752649299</v>
          </cell>
        </row>
        <row r="47">
          <cell r="L47">
            <v>0.25718247422042501</v>
          </cell>
        </row>
        <row r="48">
          <cell r="L48">
            <v>0.25065741621071402</v>
          </cell>
        </row>
        <row r="49">
          <cell r="L49">
            <v>0.234364418959083</v>
          </cell>
        </row>
        <row r="50">
          <cell r="L50">
            <v>0.22555916594478401</v>
          </cell>
        </row>
        <row r="51">
          <cell r="L51">
            <v>0.217037097117422</v>
          </cell>
        </row>
        <row r="52">
          <cell r="L52">
            <v>0.20142712631579199</v>
          </cell>
        </row>
        <row r="53">
          <cell r="L53">
            <v>0.186860689001348</v>
          </cell>
        </row>
        <row r="54">
          <cell r="L54">
            <v>0.187253046603439</v>
          </cell>
        </row>
        <row r="55">
          <cell r="L55">
            <v>0.17519707002278201</v>
          </cell>
        </row>
        <row r="56">
          <cell r="L56">
            <v>0.16210590836123601</v>
          </cell>
        </row>
        <row r="57">
          <cell r="L57">
            <v>0.158412957650193</v>
          </cell>
        </row>
        <row r="58">
          <cell r="L58">
            <v>0.15505846920337699</v>
          </cell>
        </row>
        <row r="59">
          <cell r="L59">
            <v>0.15347603355213099</v>
          </cell>
        </row>
        <row r="60">
          <cell r="L60">
            <v>0.153480552163204</v>
          </cell>
        </row>
        <row r="61">
          <cell r="L61">
            <v>0.15135052654071199</v>
          </cell>
        </row>
        <row r="62">
          <cell r="L62">
            <v>0.14520448257929899</v>
          </cell>
        </row>
        <row r="63">
          <cell r="L63">
            <v>0.14029452814745599</v>
          </cell>
        </row>
        <row r="64">
          <cell r="L64">
            <v>0.138511262027254</v>
          </cell>
        </row>
        <row r="65">
          <cell r="L65">
            <v>0.13765067798823399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stats.gov.cn/easyquery.htm?cn=C01" TargetMode="External"/><Relationship Id="rId2" Type="http://schemas.openxmlformats.org/officeDocument/2006/relationships/hyperlink" Target="http://www.stats.gov.cn/tjsj/ndsj/2021/indexch.htm" TargetMode="External"/><Relationship Id="rId1" Type="http://schemas.openxmlformats.org/officeDocument/2006/relationships/hyperlink" Target="http://www.stats.gov.cn/tjsj/ndsj/2021/indexch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D26" sqref="D26"/>
    </sheetView>
  </sheetViews>
  <sheetFormatPr defaultColWidth="9" defaultRowHeight="13.8" x14ac:dyDescent="0.25"/>
  <sheetData>
    <row r="1" spans="1:2" x14ac:dyDescent="0.25">
      <c r="A1" s="11" t="s">
        <v>0</v>
      </c>
      <c r="B1" s="12"/>
    </row>
    <row r="2" spans="1:2" x14ac:dyDescent="0.25">
      <c r="A2" s="12"/>
      <c r="B2" s="12"/>
    </row>
    <row r="3" spans="1:2" x14ac:dyDescent="0.25">
      <c r="A3" s="13" t="s">
        <v>1</v>
      </c>
      <c r="B3" t="s">
        <v>2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>
        <v>2021</v>
      </c>
    </row>
    <row r="8" spans="1:2" x14ac:dyDescent="0.25">
      <c r="B8" t="s">
        <v>5</v>
      </c>
    </row>
    <row r="10" spans="1:2" x14ac:dyDescent="0.25">
      <c r="B10" t="s">
        <v>6</v>
      </c>
    </row>
    <row r="11" spans="1:2" x14ac:dyDescent="0.25">
      <c r="B11" t="s">
        <v>7</v>
      </c>
    </row>
    <row r="12" spans="1:2" x14ac:dyDescent="0.25">
      <c r="B12">
        <v>2021</v>
      </c>
    </row>
    <row r="13" spans="1:2" x14ac:dyDescent="0.25">
      <c r="B13" t="s">
        <v>5</v>
      </c>
    </row>
    <row r="15" spans="1:2" x14ac:dyDescent="0.25">
      <c r="B15" t="s">
        <v>8</v>
      </c>
    </row>
    <row r="16" spans="1:2" x14ac:dyDescent="0.25">
      <c r="B16" t="s">
        <v>9</v>
      </c>
    </row>
    <row r="17" spans="1:2" x14ac:dyDescent="0.25">
      <c r="B17">
        <v>2020</v>
      </c>
    </row>
    <row r="18" spans="1:2" x14ac:dyDescent="0.25">
      <c r="B18" s="14" t="s">
        <v>10</v>
      </c>
    </row>
    <row r="20" spans="1:2" x14ac:dyDescent="0.25">
      <c r="A20" s="13" t="s">
        <v>11</v>
      </c>
    </row>
    <row r="21" spans="1:2" x14ac:dyDescent="0.25">
      <c r="A21" t="s">
        <v>12</v>
      </c>
    </row>
    <row r="22" spans="1:2" x14ac:dyDescent="0.25">
      <c r="A22" t="s">
        <v>13</v>
      </c>
    </row>
    <row r="23" spans="1:2" x14ac:dyDescent="0.25">
      <c r="A23" t="s">
        <v>14</v>
      </c>
    </row>
  </sheetData>
  <phoneticPr fontId="8" type="noConversion"/>
  <hyperlinks>
    <hyperlink ref="B8" r:id="rId1" tooltip="http://www.stats.gov.cn/tjsj/ndsj/2021/indexch.htm" xr:uid="{00000000-0004-0000-0000-000000000000}"/>
    <hyperlink ref="B13" r:id="rId2" tooltip="http://www.stats.gov.cn/tjsj/ndsj/2021/indexch.htm" xr:uid="{00000000-0004-0000-0000-000001000000}"/>
    <hyperlink ref="B18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"/>
  <sheetViews>
    <sheetView workbookViewId="0">
      <selection activeCell="E29" sqref="E29"/>
    </sheetView>
  </sheetViews>
  <sheetFormatPr defaultColWidth="9" defaultRowHeight="13.8" x14ac:dyDescent="0.25"/>
  <cols>
    <col min="1" max="1" width="20.88671875" customWidth="1"/>
    <col min="2" max="6" width="9.6640625" customWidth="1"/>
    <col min="7" max="7" width="10.109375" customWidth="1"/>
    <col min="8" max="19" width="9.6640625" customWidth="1"/>
  </cols>
  <sheetData>
    <row r="1" spans="1:19" x14ac:dyDescent="0.2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 x14ac:dyDescent="0.25">
      <c r="A2" t="s">
        <v>33</v>
      </c>
      <c r="B2">
        <v>36914557</v>
      </c>
      <c r="C2">
        <v>28791080.870253701</v>
      </c>
      <c r="D2">
        <v>24265336.046333998</v>
      </c>
      <c r="E2">
        <v>23277788.392194599</v>
      </c>
      <c r="F2">
        <v>23723586.369104799</v>
      </c>
      <c r="G2">
        <v>25210372.246870399</v>
      </c>
      <c r="H2">
        <v>25263955.0396505</v>
      </c>
      <c r="I2">
        <v>22830053.973520201</v>
      </c>
      <c r="J2">
        <v>19518675.574301399</v>
      </c>
      <c r="K2">
        <v>40969331</v>
      </c>
      <c r="L2">
        <v>30230634.913766298</v>
      </c>
      <c r="M2">
        <v>25478602.848650701</v>
      </c>
      <c r="N2">
        <v>24441677.811804399</v>
      </c>
      <c r="O2">
        <v>24909765.68756</v>
      </c>
      <c r="P2">
        <v>26470890.8592139</v>
      </c>
      <c r="Q2">
        <v>26527152.791632999</v>
      </c>
      <c r="R2">
        <v>23971556.672196198</v>
      </c>
      <c r="S2">
        <v>20494609.353016399</v>
      </c>
    </row>
    <row r="3" spans="1:19" x14ac:dyDescent="0.25">
      <c r="A3" t="s">
        <v>34</v>
      </c>
      <c r="B3">
        <v>42226598</v>
      </c>
      <c r="C3">
        <v>36807504.784699999</v>
      </c>
      <c r="D3">
        <v>28710465.843816899</v>
      </c>
      <c r="E3">
        <v>24197393.105404299</v>
      </c>
      <c r="F3">
        <v>23214938.363535699</v>
      </c>
      <c r="G3">
        <v>23659532.685908198</v>
      </c>
      <c r="H3">
        <v>25144825.279028501</v>
      </c>
      <c r="I3">
        <v>25198268.756547399</v>
      </c>
      <c r="J3">
        <v>22772978.838586401</v>
      </c>
      <c r="K3">
        <v>48017458</v>
      </c>
      <c r="L3">
        <v>40825938.341499999</v>
      </c>
      <c r="M3">
        <v>30127850.755059499</v>
      </c>
      <c r="N3">
        <v>25394523.4592501</v>
      </c>
      <c r="O3">
        <v>24361020.275025401</v>
      </c>
      <c r="P3">
        <v>24830054.437359799</v>
      </c>
      <c r="Q3">
        <v>26388831.097550299</v>
      </c>
      <c r="R3">
        <v>26447571.3332581</v>
      </c>
      <c r="S3">
        <v>23899642.002179701</v>
      </c>
    </row>
    <row r="4" spans="1:19" x14ac:dyDescent="0.25">
      <c r="A4" t="s">
        <v>35</v>
      </c>
      <c r="B4">
        <v>39649204</v>
      </c>
      <c r="C4">
        <v>42197039.381399997</v>
      </c>
      <c r="D4">
        <v>36781739.531350702</v>
      </c>
      <c r="E4">
        <v>28693239.5643107</v>
      </c>
      <c r="F4">
        <v>24182874.669541001</v>
      </c>
      <c r="G4">
        <v>23203330.8943539</v>
      </c>
      <c r="H4">
        <v>23647702.919565301</v>
      </c>
      <c r="I4">
        <v>25132252.866388999</v>
      </c>
      <c r="J4">
        <v>25188189.449044801</v>
      </c>
      <c r="K4">
        <v>45606790</v>
      </c>
      <c r="L4">
        <v>47969440.542000003</v>
      </c>
      <c r="M4">
        <v>40789194.996992603</v>
      </c>
      <c r="N4">
        <v>30103748.474455498</v>
      </c>
      <c r="O4">
        <v>25374207.840482701</v>
      </c>
      <c r="P4">
        <v>24343967.560832899</v>
      </c>
      <c r="Q4">
        <v>24815156.4046974</v>
      </c>
      <c r="R4">
        <v>26372997.798891801</v>
      </c>
      <c r="S4">
        <v>26434347.5475915</v>
      </c>
    </row>
    <row r="5" spans="1:19" x14ac:dyDescent="0.25">
      <c r="A5" t="s">
        <v>36</v>
      </c>
      <c r="B5">
        <v>33630797</v>
      </c>
      <c r="C5">
        <v>39609554.795999996</v>
      </c>
      <c r="D5">
        <v>42159062.045956701</v>
      </c>
      <c r="E5">
        <v>36752314.139725603</v>
      </c>
      <c r="F5">
        <v>28673154.296615601</v>
      </c>
      <c r="G5">
        <v>24168364.944739301</v>
      </c>
      <c r="H5">
        <v>23189408.895817298</v>
      </c>
      <c r="I5">
        <v>23635879.0681055</v>
      </c>
      <c r="J5">
        <v>25122199.965242401</v>
      </c>
      <c r="K5">
        <v>39053343</v>
      </c>
      <c r="L5">
        <v>45547501.173</v>
      </c>
      <c r="M5">
        <v>47911877.213349603</v>
      </c>
      <c r="N5">
        <v>40748405.801995702</v>
      </c>
      <c r="O5">
        <v>30076655.100828499</v>
      </c>
      <c r="P5">
        <v>25353908.4742104</v>
      </c>
      <c r="Q5">
        <v>24326926.783540301</v>
      </c>
      <c r="R5">
        <v>24800267.310854599</v>
      </c>
      <c r="S5">
        <v>26357174.000212502</v>
      </c>
    </row>
    <row r="6" spans="1:19" x14ac:dyDescent="0.25">
      <c r="A6" t="s">
        <v>37</v>
      </c>
      <c r="B6">
        <v>35265680</v>
      </c>
      <c r="C6">
        <v>33590440.0436</v>
      </c>
      <c r="D6">
        <v>39565984.285724401</v>
      </c>
      <c r="E6">
        <v>42116902.983910799</v>
      </c>
      <c r="F6">
        <v>36715561.825585902</v>
      </c>
      <c r="G6">
        <v>28647348.4577487</v>
      </c>
      <c r="H6">
        <v>24146613.416289002</v>
      </c>
      <c r="I6">
        <v>23170857.368700702</v>
      </c>
      <c r="J6">
        <v>23619333.952757802</v>
      </c>
      <c r="K6">
        <v>39675995</v>
      </c>
      <c r="L6">
        <v>38963520.311099999</v>
      </c>
      <c r="M6">
        <v>45447296.670419402</v>
      </c>
      <c r="N6">
        <v>47816053.4589229</v>
      </c>
      <c r="O6">
        <v>40670983.830971897</v>
      </c>
      <c r="P6">
        <v>30022517.121647</v>
      </c>
      <c r="Q6">
        <v>25310806.829804201</v>
      </c>
      <c r="R6">
        <v>24288003.7006866</v>
      </c>
      <c r="S6">
        <v>24763066.909888301</v>
      </c>
    </row>
    <row r="7" spans="1:19" x14ac:dyDescent="0.25">
      <c r="A7" t="s">
        <v>38</v>
      </c>
      <c r="B7">
        <v>43685062</v>
      </c>
      <c r="C7">
        <v>35219834.615999997</v>
      </c>
      <c r="D7">
        <v>33546772.471543301</v>
      </c>
      <c r="E7">
        <v>39518505.104581498</v>
      </c>
      <c r="F7">
        <v>42066362.700330101</v>
      </c>
      <c r="G7">
        <v>36675174.707577802</v>
      </c>
      <c r="H7">
        <v>28615836.3744452</v>
      </c>
      <c r="I7">
        <v>24120052.141531099</v>
      </c>
      <c r="J7">
        <v>23147686.511332002</v>
      </c>
      <c r="K7">
        <v>48162270</v>
      </c>
      <c r="L7">
        <v>39568869.813500002</v>
      </c>
      <c r="M7">
        <v>38858318.806259997</v>
      </c>
      <c r="N7">
        <v>45329133.699076302</v>
      </c>
      <c r="O7">
        <v>47691731.719929703</v>
      </c>
      <c r="P7">
        <v>40565239.273011297</v>
      </c>
      <c r="Q7">
        <v>29944458.577130701</v>
      </c>
      <c r="R7">
        <v>25247529.812729701</v>
      </c>
      <c r="S7">
        <v>24227283.691434901</v>
      </c>
    </row>
    <row r="8" spans="1:19" x14ac:dyDescent="0.25">
      <c r="A8" t="s">
        <v>39</v>
      </c>
      <c r="B8">
        <v>60273382</v>
      </c>
      <c r="C8">
        <v>43623902.913199998</v>
      </c>
      <c r="D8">
        <v>35170526.8475376</v>
      </c>
      <c r="E8">
        <v>33499806.990083199</v>
      </c>
      <c r="F8">
        <v>39463179.197435103</v>
      </c>
      <c r="G8">
        <v>42011676.428819701</v>
      </c>
      <c r="H8">
        <v>36627496.980457902</v>
      </c>
      <c r="I8">
        <v>28578635.7871584</v>
      </c>
      <c r="J8">
        <v>24088696.073747098</v>
      </c>
      <c r="K8">
        <v>63871808</v>
      </c>
      <c r="L8">
        <v>48003334.509000003</v>
      </c>
      <c r="M8">
        <v>39442249.430096798</v>
      </c>
      <c r="N8">
        <v>38733972.186080001</v>
      </c>
      <c r="O8">
        <v>45188613.3846092</v>
      </c>
      <c r="P8">
        <v>47548656.524769902</v>
      </c>
      <c r="Q8">
        <v>40443543.555192299</v>
      </c>
      <c r="R8">
        <v>29857619.647257</v>
      </c>
      <c r="S8">
        <v>25174311.976272799</v>
      </c>
    </row>
    <row r="9" spans="1:19" x14ac:dyDescent="0.25">
      <c r="A9" t="s">
        <v>40</v>
      </c>
      <c r="B9">
        <v>48080895</v>
      </c>
      <c r="C9">
        <v>60158862.574199997</v>
      </c>
      <c r="D9">
        <v>43541017.497664899</v>
      </c>
      <c r="E9">
        <v>35107219.899212003</v>
      </c>
      <c r="F9">
        <v>33439507.337501001</v>
      </c>
      <c r="G9">
        <v>39392145.474879697</v>
      </c>
      <c r="H9">
        <v>41936055.411247797</v>
      </c>
      <c r="I9">
        <v>36565230.235591099</v>
      </c>
      <c r="J9">
        <v>28530052.106320199</v>
      </c>
      <c r="K9">
        <v>50932037</v>
      </c>
      <c r="L9">
        <v>63590772.044799998</v>
      </c>
      <c r="M9">
        <v>47801720.504062198</v>
      </c>
      <c r="N9">
        <v>39280536.207433403</v>
      </c>
      <c r="O9">
        <v>38582909.694554299</v>
      </c>
      <c r="P9">
        <v>45016896.6537477</v>
      </c>
      <c r="Q9">
        <v>47377481.361280702</v>
      </c>
      <c r="R9">
        <v>40301991.152749099</v>
      </c>
      <c r="S9">
        <v>29759089.5024211</v>
      </c>
    </row>
    <row r="10" spans="1:19" x14ac:dyDescent="0.25">
      <c r="A10" t="s">
        <v>41</v>
      </c>
      <c r="B10">
        <v>45322636</v>
      </c>
      <c r="C10">
        <v>47951076.583499998</v>
      </c>
      <c r="D10">
        <v>59996433.645249702</v>
      </c>
      <c r="E10">
        <v>43427810.852170996</v>
      </c>
      <c r="F10">
        <v>35015941.127474099</v>
      </c>
      <c r="G10">
        <v>33355908.569157299</v>
      </c>
      <c r="H10">
        <v>39293665.111192502</v>
      </c>
      <c r="I10">
        <v>41831215.272719704</v>
      </c>
      <c r="J10">
        <v>36477473.683025703</v>
      </c>
      <c r="K10">
        <v>47632694</v>
      </c>
      <c r="L10">
        <v>50580605.944700003</v>
      </c>
      <c r="M10">
        <v>63177432.026508801</v>
      </c>
      <c r="N10">
        <v>47510130.008987397</v>
      </c>
      <c r="O10">
        <v>39056637.151051</v>
      </c>
      <c r="P10">
        <v>38378420.273173101</v>
      </c>
      <c r="Q10">
        <v>44791812.170478903</v>
      </c>
      <c r="R10">
        <v>47154807.198882699</v>
      </c>
      <c r="S10">
        <v>40124662.391677</v>
      </c>
    </row>
    <row r="11" spans="1:19" x14ac:dyDescent="0.25">
      <c r="A11" t="s">
        <v>42</v>
      </c>
      <c r="B11">
        <v>56033201</v>
      </c>
      <c r="C11">
        <v>45127748.665200002</v>
      </c>
      <c r="D11">
        <v>47749682.061849304</v>
      </c>
      <c r="E11">
        <v>59750448.2673041</v>
      </c>
      <c r="F11">
        <v>43249756.827677101</v>
      </c>
      <c r="G11">
        <v>34875877.362964198</v>
      </c>
      <c r="H11">
        <v>33225820.525737599</v>
      </c>
      <c r="I11">
        <v>39144349.183770001</v>
      </c>
      <c r="J11">
        <v>41672256.654683299</v>
      </c>
      <c r="K11">
        <v>58191686</v>
      </c>
      <c r="L11">
        <v>47108734.365999997</v>
      </c>
      <c r="M11">
        <v>50059625.703469597</v>
      </c>
      <c r="N11">
        <v>62570928.679054298</v>
      </c>
      <c r="O11">
        <v>47087289.851907402</v>
      </c>
      <c r="P11">
        <v>38732467.062697299</v>
      </c>
      <c r="Q11">
        <v>38079068.5950424</v>
      </c>
      <c r="R11">
        <v>44469311.122851498</v>
      </c>
      <c r="S11">
        <v>46834154.509930298</v>
      </c>
    </row>
    <row r="12" spans="1:19" x14ac:dyDescent="0.25">
      <c r="A12" t="s">
        <v>43</v>
      </c>
      <c r="B12">
        <v>60058826</v>
      </c>
      <c r="C12">
        <v>55640968.593000002</v>
      </c>
      <c r="D12">
        <v>44820879.974276602</v>
      </c>
      <c r="E12">
        <v>47434534.160241097</v>
      </c>
      <c r="F12">
        <v>59362070.353566699</v>
      </c>
      <c r="G12">
        <v>42977283.359662697</v>
      </c>
      <c r="H12">
        <v>34659646.923313797</v>
      </c>
      <c r="I12">
        <v>33026465.602583099</v>
      </c>
      <c r="J12">
        <v>38917311.958504103</v>
      </c>
      <c r="K12">
        <v>61105470</v>
      </c>
      <c r="L12">
        <v>57214065.6752</v>
      </c>
      <c r="M12">
        <v>46369127.236453801</v>
      </c>
      <c r="N12">
        <v>49323749.205628604</v>
      </c>
      <c r="O12">
        <v>61707449.863283403</v>
      </c>
      <c r="P12">
        <v>46479863.812817797</v>
      </c>
      <c r="Q12">
        <v>38263804.211238697</v>
      </c>
      <c r="R12">
        <v>37648775.119918399</v>
      </c>
      <c r="S12">
        <v>43997936.424949199</v>
      </c>
    </row>
    <row r="13" spans="1:19" x14ac:dyDescent="0.25">
      <c r="A13" t="s">
        <v>44</v>
      </c>
      <c r="B13">
        <v>50584760</v>
      </c>
      <c r="C13">
        <v>59368149.501000002</v>
      </c>
      <c r="D13">
        <v>55023353.841617703</v>
      </c>
      <c r="E13">
        <v>44341296.5585519</v>
      </c>
      <c r="F13">
        <v>46941215.004974604</v>
      </c>
      <c r="G13">
        <v>58768449.650031</v>
      </c>
      <c r="H13">
        <v>42560403.711074002</v>
      </c>
      <c r="I13">
        <v>34337312.206927001</v>
      </c>
      <c r="J13">
        <v>32729227.412159901</v>
      </c>
      <c r="K13">
        <v>50816026</v>
      </c>
      <c r="L13">
        <v>59528948.873999998</v>
      </c>
      <c r="M13">
        <v>55823763.8792926</v>
      </c>
      <c r="N13">
        <v>45307274.222739004</v>
      </c>
      <c r="O13">
        <v>48258356.222787</v>
      </c>
      <c r="P13">
        <v>60454788.6310587</v>
      </c>
      <c r="Q13">
        <v>45592098.413993001</v>
      </c>
      <c r="R13">
        <v>37575055.735436402</v>
      </c>
      <c r="S13">
        <v>37008745.942879803</v>
      </c>
    </row>
    <row r="14" spans="1:19" x14ac:dyDescent="0.25">
      <c r="A14" t="s">
        <v>45</v>
      </c>
      <c r="B14">
        <v>36511813</v>
      </c>
      <c r="C14">
        <v>49694468.223999999</v>
      </c>
      <c r="D14">
        <v>58370764.5893832</v>
      </c>
      <c r="E14">
        <v>54137477.844767697</v>
      </c>
      <c r="F14">
        <v>43662874.721206002</v>
      </c>
      <c r="G14">
        <v>46251179.144401498</v>
      </c>
      <c r="H14">
        <v>57945691.354930602</v>
      </c>
      <c r="I14">
        <v>41990094.301345602</v>
      </c>
      <c r="J14">
        <v>33897794.6106783</v>
      </c>
      <c r="K14">
        <v>36871125</v>
      </c>
      <c r="L14">
        <v>48768140.152199998</v>
      </c>
      <c r="M14">
        <v>57260895.9219006</v>
      </c>
      <c r="N14">
        <v>53814108.379638098</v>
      </c>
      <c r="O14">
        <v>43766826.899165899</v>
      </c>
      <c r="P14">
        <v>46704437.152413301</v>
      </c>
      <c r="Q14">
        <v>58616963.056674503</v>
      </c>
      <c r="R14">
        <v>44279045.979670003</v>
      </c>
      <c r="S14">
        <v>36553014.219432503</v>
      </c>
    </row>
    <row r="15" spans="1:19" x14ac:dyDescent="0.25">
      <c r="A15" t="s">
        <v>46</v>
      </c>
      <c r="B15">
        <v>37667637</v>
      </c>
      <c r="C15">
        <v>35463923.966899998</v>
      </c>
      <c r="D15">
        <v>48342778.688307203</v>
      </c>
      <c r="E15">
        <v>56870635.9394361</v>
      </c>
      <c r="F15">
        <v>52821937.133139797</v>
      </c>
      <c r="G15">
        <v>42658628.602618299</v>
      </c>
      <c r="H15">
        <v>45242903.439053498</v>
      </c>
      <c r="I15">
        <v>56752010.113018997</v>
      </c>
      <c r="J15">
        <v>41171287.462469399</v>
      </c>
      <c r="K15">
        <v>36337923</v>
      </c>
      <c r="L15">
        <v>34585115.25</v>
      </c>
      <c r="M15">
        <v>45885943.069205001</v>
      </c>
      <c r="N15">
        <v>54031381.391905397</v>
      </c>
      <c r="O15">
        <v>50918909.348813601</v>
      </c>
      <c r="P15">
        <v>41521588.679238699</v>
      </c>
      <c r="Q15">
        <v>44415919.731945001</v>
      </c>
      <c r="R15">
        <v>55879550.881927803</v>
      </c>
      <c r="S15">
        <v>42304200.528976701</v>
      </c>
    </row>
    <row r="16" spans="1:19" x14ac:dyDescent="0.25">
      <c r="A16" t="s">
        <v>47</v>
      </c>
      <c r="B16">
        <v>25427303</v>
      </c>
      <c r="C16">
        <v>35780488.386299998</v>
      </c>
      <c r="D16">
        <v>33821944.287232503</v>
      </c>
      <c r="E16">
        <v>46278542.038316503</v>
      </c>
      <c r="F16">
        <v>54624245.819828302</v>
      </c>
      <c r="G16">
        <v>50899218.621493503</v>
      </c>
      <c r="H16">
        <v>41225298.681570299</v>
      </c>
      <c r="I16">
        <v>43835849.142098904</v>
      </c>
      <c r="J16">
        <v>55123227.422775403</v>
      </c>
      <c r="K16">
        <v>24162733</v>
      </c>
      <c r="L16">
        <v>32871285.145799998</v>
      </c>
      <c r="M16">
        <v>31448245.296824999</v>
      </c>
      <c r="N16">
        <v>41930574.776639499</v>
      </c>
      <c r="O16">
        <v>49600808.117769197</v>
      </c>
      <c r="P16">
        <v>46947234.419606097</v>
      </c>
      <c r="Q16">
        <v>38444838.958107099</v>
      </c>
      <c r="R16">
        <v>41284597.3908429</v>
      </c>
      <c r="S16">
        <v>52135620.9728387</v>
      </c>
    </row>
    <row r="17" spans="1:19" x14ac:dyDescent="0.25">
      <c r="A17" t="s">
        <v>48</v>
      </c>
      <c r="B17">
        <v>16486416</v>
      </c>
      <c r="C17">
        <v>23077820.202799998</v>
      </c>
      <c r="D17">
        <v>32764193.2153349</v>
      </c>
      <c r="E17">
        <v>31221036.7715443</v>
      </c>
      <c r="F17">
        <v>43034416.241430499</v>
      </c>
      <c r="G17">
        <v>51128294.087359302</v>
      </c>
      <c r="H17">
        <v>47926704.253998302</v>
      </c>
      <c r="I17">
        <v>39032112.791710801</v>
      </c>
      <c r="J17">
        <v>41705426.873792902</v>
      </c>
      <c r="K17">
        <v>14752433</v>
      </c>
      <c r="L17">
        <v>20429590.751499999</v>
      </c>
      <c r="M17">
        <v>28049067.614911102</v>
      </c>
      <c r="N17">
        <v>27067504.7269773</v>
      </c>
      <c r="O17">
        <v>36383159.733690098</v>
      </c>
      <c r="P17">
        <v>43370946.618177399</v>
      </c>
      <c r="Q17">
        <v>41346429.3533471</v>
      </c>
      <c r="R17">
        <v>34092883.188049398</v>
      </c>
      <c r="S17">
        <v>36846503.1713273</v>
      </c>
    </row>
    <row r="18" spans="1:19" x14ac:dyDescent="0.25">
      <c r="A18" t="s">
        <v>49</v>
      </c>
      <c r="B18">
        <v>11225875</v>
      </c>
      <c r="C18">
        <v>13715049.4704</v>
      </c>
      <c r="D18">
        <v>19556144.839852698</v>
      </c>
      <c r="E18">
        <v>28223076.035689499</v>
      </c>
      <c r="F18">
        <v>27290308.242006902</v>
      </c>
      <c r="G18">
        <v>38115582.465034999</v>
      </c>
      <c r="H18">
        <v>45821177.161091402</v>
      </c>
      <c r="I18">
        <v>43412008.7132717</v>
      </c>
      <c r="J18">
        <v>35690963.936740302</v>
      </c>
      <c r="K18">
        <v>9157003</v>
      </c>
      <c r="L18">
        <v>11083502.912900001</v>
      </c>
      <c r="M18">
        <v>15616379.170446601</v>
      </c>
      <c r="N18">
        <v>21788515.723262999</v>
      </c>
      <c r="O18">
        <v>21345434.227694299</v>
      </c>
      <c r="P18">
        <v>29099251.155005299</v>
      </c>
      <c r="Q18">
        <v>35143478.044709101</v>
      </c>
      <c r="R18">
        <v>33916475.998550601</v>
      </c>
      <c r="S18">
        <v>28290274.469443399</v>
      </c>
    </row>
    <row r="19" spans="1:19" x14ac:dyDescent="0.25">
      <c r="A19" t="s">
        <v>50</v>
      </c>
      <c r="B19">
        <v>6400439</v>
      </c>
      <c r="C19">
        <v>7876073.9000000004</v>
      </c>
      <c r="D19">
        <v>9961240.43035152</v>
      </c>
      <c r="E19">
        <v>14647552.4850497</v>
      </c>
      <c r="F19">
        <v>21723301.6246702</v>
      </c>
      <c r="G19">
        <v>21526595.141295101</v>
      </c>
      <c r="H19">
        <v>30732594.141557701</v>
      </c>
      <c r="I19">
        <v>37678753.979565501</v>
      </c>
      <c r="J19">
        <v>36335851.293008402</v>
      </c>
      <c r="K19">
        <v>4426091</v>
      </c>
      <c r="L19">
        <v>5560132.2215999998</v>
      </c>
      <c r="M19">
        <v>6913889.1170670204</v>
      </c>
      <c r="N19">
        <v>9989797.7553346902</v>
      </c>
      <c r="O19">
        <v>14271477.7987372</v>
      </c>
      <c r="P19">
        <v>14290768.2154413</v>
      </c>
      <c r="Q19">
        <v>19889338.164446101</v>
      </c>
      <c r="R19">
        <v>24491489.849357799</v>
      </c>
      <c r="S19">
        <v>24070523.0161714</v>
      </c>
    </row>
    <row r="20" spans="1:19" x14ac:dyDescent="0.25">
      <c r="A20" t="s">
        <v>51</v>
      </c>
      <c r="B20">
        <v>2285155</v>
      </c>
      <c r="C20">
        <v>3358310.3432999998</v>
      </c>
      <c r="D20">
        <v>4364132.5479899999</v>
      </c>
      <c r="E20">
        <v>5793457.4342924403</v>
      </c>
      <c r="F20">
        <v>8896923.3794191796</v>
      </c>
      <c r="G20">
        <v>13722609.6363042</v>
      </c>
      <c r="H20">
        <v>14087003.8604635</v>
      </c>
      <c r="I20">
        <v>20769087.120864701</v>
      </c>
      <c r="J20">
        <v>26216877.018981699</v>
      </c>
      <c r="K20">
        <v>1367594</v>
      </c>
      <c r="L20">
        <v>1951463.5219000001</v>
      </c>
      <c r="M20">
        <v>2532640.2269388</v>
      </c>
      <c r="N20">
        <v>3248145.1071980898</v>
      </c>
      <c r="O20">
        <v>4832065.1742553897</v>
      </c>
      <c r="P20">
        <v>7095778.7615321605</v>
      </c>
      <c r="Q20">
        <v>7292579.0203397097</v>
      </c>
      <c r="R20">
        <v>10406101.7276382</v>
      </c>
      <c r="S20">
        <v>13117641.963315999</v>
      </c>
    </row>
    <row r="21" spans="1:19" x14ac:dyDescent="0.25">
      <c r="A21" t="s">
        <v>52</v>
      </c>
      <c r="B21">
        <v>548357</v>
      </c>
      <c r="C21">
        <v>735819.91</v>
      </c>
      <c r="D21">
        <v>1166341.18222809</v>
      </c>
      <c r="E21">
        <v>1622148.06808788</v>
      </c>
      <c r="F21">
        <v>2288995.0322889402</v>
      </c>
      <c r="G21">
        <v>3716244.8955833898</v>
      </c>
      <c r="H21">
        <v>6029714.6741920495</v>
      </c>
      <c r="I21">
        <v>6485656.57735739</v>
      </c>
      <c r="J21">
        <v>9979546.3615754899</v>
      </c>
      <c r="K21">
        <v>271455</v>
      </c>
      <c r="L21">
        <v>385387.98920000001</v>
      </c>
      <c r="M21">
        <v>565534.12864661997</v>
      </c>
      <c r="N21">
        <v>753966.99555968097</v>
      </c>
      <c r="O21">
        <v>992633.14475973498</v>
      </c>
      <c r="P21">
        <v>1513886.0190942099</v>
      </c>
      <c r="Q21">
        <v>2277744.9824518198</v>
      </c>
      <c r="R21">
        <v>2396341.46608363</v>
      </c>
      <c r="S21">
        <v>3497490.7906592102</v>
      </c>
    </row>
    <row r="22" spans="1:19" x14ac:dyDescent="0.25">
      <c r="A22" t="s">
        <v>53</v>
      </c>
      <c r="B22">
        <v>83737</v>
      </c>
      <c r="C22">
        <v>118719.2905</v>
      </c>
      <c r="D22">
        <v>163057.692056</v>
      </c>
      <c r="E22">
        <v>264409.54601110797</v>
      </c>
      <c r="F22">
        <v>376013.92218277103</v>
      </c>
      <c r="G22">
        <v>542034.02364602196</v>
      </c>
      <c r="H22">
        <v>898588.01575206395</v>
      </c>
      <c r="I22">
        <v>1488133.5815906001</v>
      </c>
      <c r="J22">
        <v>1632439.7605208501</v>
      </c>
      <c r="K22">
        <v>35129</v>
      </c>
      <c r="L22">
        <v>61484.557500000003</v>
      </c>
      <c r="M22">
        <v>83860.426449920007</v>
      </c>
      <c r="N22">
        <v>117970.419235685</v>
      </c>
      <c r="O22">
        <v>150341.01891459999</v>
      </c>
      <c r="P22">
        <v>188798.824133302</v>
      </c>
      <c r="Q22">
        <v>273861.98085414298</v>
      </c>
      <c r="R22">
        <v>390405.48999224202</v>
      </c>
      <c r="S22">
        <v>387967.68335893902</v>
      </c>
    </row>
    <row r="24" spans="1:19" x14ac:dyDescent="0.25">
      <c r="B24">
        <v>20</v>
      </c>
      <c r="C24">
        <v>25</v>
      </c>
      <c r="D24">
        <v>30</v>
      </c>
      <c r="E24">
        <v>35</v>
      </c>
      <c r="F24">
        <v>40</v>
      </c>
      <c r="G24">
        <v>45</v>
      </c>
      <c r="H24">
        <v>50</v>
      </c>
      <c r="I24">
        <v>55</v>
      </c>
      <c r="J24">
        <v>60</v>
      </c>
      <c r="L24">
        <v>6</v>
      </c>
      <c r="M24">
        <v>5</v>
      </c>
      <c r="N24">
        <v>4</v>
      </c>
      <c r="O24">
        <v>3</v>
      </c>
      <c r="P24">
        <v>2</v>
      </c>
      <c r="Q24">
        <v>1</v>
      </c>
      <c r="R24">
        <v>0</v>
      </c>
    </row>
    <row r="25" spans="1:19" x14ac:dyDescent="0.25">
      <c r="A25" t="s">
        <v>54</v>
      </c>
      <c r="B25">
        <f>SUM(B2:B22)+SUM(K2:K22)</f>
        <v>1409778724</v>
      </c>
      <c r="C25">
        <f t="shared" ref="C25:J25" si="0">SUM(C2:C22)+SUM(L2:L22)</f>
        <v>1422735306.02742</v>
      </c>
      <c r="D25">
        <f t="shared" si="0"/>
        <v>1419485366.608664</v>
      </c>
      <c r="E25">
        <f t="shared" si="0"/>
        <v>1406477694.6720653</v>
      </c>
      <c r="F25">
        <f t="shared" si="0"/>
        <v>1385994440.276305</v>
      </c>
      <c r="G25">
        <f t="shared" si="0"/>
        <v>1360436211.9296308</v>
      </c>
      <c r="H25">
        <f t="shared" si="0"/>
        <v>1327783400.2548852</v>
      </c>
      <c r="I25">
        <f t="shared" si="0"/>
        <v>1284286657.3621924</v>
      </c>
      <c r="J25">
        <f t="shared" si="0"/>
        <v>1229815757.9882255</v>
      </c>
      <c r="L25" s="10">
        <v>0.1537335</v>
      </c>
      <c r="M25" s="10">
        <v>-34.64967</v>
      </c>
      <c r="N25" s="10">
        <v>3025.1439999999998</v>
      </c>
      <c r="O25" s="10">
        <v>-127183.4</v>
      </c>
      <c r="P25" s="10">
        <v>2388758</v>
      </c>
      <c r="Q25" s="10">
        <v>-10543830</v>
      </c>
      <c r="R25" s="10">
        <v>1299652000</v>
      </c>
    </row>
    <row r="26" spans="1:19" x14ac:dyDescent="0.25">
      <c r="A26" t="s">
        <v>55</v>
      </c>
      <c r="B26">
        <f>SUM(B5:B14)+SUM(K5:K14)</f>
        <v>965759506</v>
      </c>
      <c r="C26">
        <f t="shared" ref="C26:J26" si="1">SUM(C5:C14)+SUM(L5:L14)</f>
        <v>968859499.37319994</v>
      </c>
      <c r="D26">
        <f t="shared" si="1"/>
        <v>952096784.65261674</v>
      </c>
      <c r="E26">
        <f t="shared" si="1"/>
        <v>906520608.65010464</v>
      </c>
      <c r="F26">
        <f t="shared" si="1"/>
        <v>850677077.11145449</v>
      </c>
      <c r="G26">
        <f t="shared" si="1"/>
        <v>806380603.07952845</v>
      </c>
      <c r="H26">
        <f t="shared" si="1"/>
        <v>754947602.25888133</v>
      </c>
      <c r="I26">
        <f t="shared" si="1"/>
        <v>682022497.94946814</v>
      </c>
      <c r="J26">
        <f t="shared" si="1"/>
        <v>643001472.4975493</v>
      </c>
      <c r="L26" s="10">
        <v>3.7000660000000001</v>
      </c>
      <c r="M26" s="10">
        <v>-870.13710000000003</v>
      </c>
      <c r="N26" s="10">
        <v>82906.44</v>
      </c>
      <c r="O26" s="10">
        <v>-4081690</v>
      </c>
      <c r="P26" s="10">
        <v>108923700</v>
      </c>
      <c r="Q26" s="10">
        <v>-1491228000</v>
      </c>
      <c r="R26" s="10">
        <v>9157020000</v>
      </c>
    </row>
    <row r="28" spans="1:19" x14ac:dyDescent="0.25">
      <c r="A28" s="9" t="s">
        <v>56</v>
      </c>
      <c r="B28" s="9" t="s">
        <v>57</v>
      </c>
      <c r="C28" s="9" t="s">
        <v>54</v>
      </c>
      <c r="D28" s="9" t="s">
        <v>55</v>
      </c>
      <c r="E28" t="s">
        <v>58</v>
      </c>
    </row>
    <row r="29" spans="1:19" x14ac:dyDescent="0.25">
      <c r="A29" s="17">
        <v>2019</v>
      </c>
      <c r="B29">
        <f>A29-2000</f>
        <v>19</v>
      </c>
      <c r="C29" s="10">
        <f>$L$25*B29^6+$M$25*B29^5+$N$25*B29^4+$O$25*B29^3+$P$25*B29^2+$Q$25*B29+$R$25</f>
        <v>1404986233.3333836</v>
      </c>
      <c r="D29" s="10">
        <f>$L$26*B29^6+$M$26*B29^5+$N$26*B29^4+$O$26*B29^3+$P$26*B29^2+$Q$26*B29+$R$26</f>
        <v>972809418.79524612</v>
      </c>
      <c r="E29">
        <f>D29*$B$75</f>
        <v>756075416.75402272</v>
      </c>
    </row>
    <row r="30" spans="1:19" x14ac:dyDescent="0.25">
      <c r="A30">
        <v>2020</v>
      </c>
      <c r="B30">
        <f>A30-2000</f>
        <v>20</v>
      </c>
      <c r="C30" s="19">
        <f>$L$25*B30^6+$M$25*B30^5+$N$25*B30^4+$O$25*B30^3+$P$25*B30^2+$Q$25*B30+$R$25</f>
        <v>1409794440</v>
      </c>
      <c r="D30" s="10">
        <f>$L$26*B30^6+$M$26*B30^5+$N$26*B30^4+$O$26*B30^3+$P$26*B30^2+$Q$26*B30+$R$26</f>
        <v>965815904</v>
      </c>
      <c r="E30">
        <f>D30*$B$75</f>
        <v>750639999.99999964</v>
      </c>
    </row>
    <row r="31" spans="1:19" x14ac:dyDescent="0.25">
      <c r="A31">
        <v>2021</v>
      </c>
      <c r="B31">
        <f t="shared" ref="B31:B70" si="2">A31-2000</f>
        <v>21</v>
      </c>
      <c r="C31" s="10">
        <f t="shared" ref="C31:C70" si="3">$L$25*B31^6+$M$25*B31^5+$N$25*B31^4+$O$25*B31^3+$P$25*B31^2+$Q$25*B31+$R$25</f>
        <v>1413833784.9300835</v>
      </c>
      <c r="D31" s="10">
        <f t="shared" ref="D31:D70" si="4">$L$26*B31^6+$M$26*B31^5+$N$26*B31^4+$O$26*B31^3+$P$26*B31^2+$Q$26*B31+$R$26</f>
        <v>963392475.65688705</v>
      </c>
      <c r="E31">
        <f t="shared" ref="E31:E70" si="5">D31*$B$75</f>
        <v>748756491.72068858</v>
      </c>
    </row>
    <row r="32" spans="1:19" x14ac:dyDescent="0.25">
      <c r="A32">
        <v>2022</v>
      </c>
      <c r="B32">
        <f t="shared" si="2"/>
        <v>22</v>
      </c>
      <c r="C32" s="10">
        <f t="shared" si="3"/>
        <v>1417114543.0341439</v>
      </c>
      <c r="D32" s="10">
        <f t="shared" si="4"/>
        <v>963717413.56646347</v>
      </c>
      <c r="E32">
        <f t="shared" si="5"/>
        <v>749009036.11495066</v>
      </c>
      <c r="G32" s="18" t="s">
        <v>93</v>
      </c>
    </row>
    <row r="33" spans="1:5" x14ac:dyDescent="0.25">
      <c r="A33">
        <v>2023</v>
      </c>
      <c r="B33">
        <f t="shared" si="2"/>
        <v>23</v>
      </c>
      <c r="C33" s="10">
        <f t="shared" si="3"/>
        <v>1419656700.6887715</v>
      </c>
      <c r="D33" s="10">
        <f t="shared" si="4"/>
        <v>965353873.08337402</v>
      </c>
      <c r="E33">
        <f t="shared" si="5"/>
        <v>750280905.80221331</v>
      </c>
    </row>
    <row r="34" spans="1:5" x14ac:dyDescent="0.25">
      <c r="A34">
        <v>2024</v>
      </c>
      <c r="B34">
        <f t="shared" si="2"/>
        <v>24</v>
      </c>
      <c r="C34" s="10">
        <f t="shared" si="3"/>
        <v>1421488177.570816</v>
      </c>
      <c r="D34" s="10">
        <f t="shared" si="4"/>
        <v>967202745.6860199</v>
      </c>
      <c r="E34">
        <f t="shared" si="5"/>
        <v>751717864.67263806</v>
      </c>
    </row>
    <row r="35" spans="1:5" x14ac:dyDescent="0.25">
      <c r="A35">
        <v>2025</v>
      </c>
      <c r="B35">
        <f t="shared" si="2"/>
        <v>25</v>
      </c>
      <c r="C35" s="10">
        <f t="shared" si="3"/>
        <v>1422643159.1796875</v>
      </c>
      <c r="D35" s="10">
        <f t="shared" si="4"/>
        <v>968458183.59375</v>
      </c>
      <c r="E35">
        <f t="shared" si="5"/>
        <v>752693601.25675893</v>
      </c>
    </row>
    <row r="36" spans="1:5" x14ac:dyDescent="0.25">
      <c r="A36">
        <v>2026</v>
      </c>
      <c r="B36">
        <f t="shared" si="2"/>
        <v>26</v>
      </c>
      <c r="C36" s="10">
        <f t="shared" si="3"/>
        <v>1423160540.0477757</v>
      </c>
      <c r="D36" s="10">
        <f t="shared" si="4"/>
        <v>968565788.43161774</v>
      </c>
      <c r="E36">
        <f t="shared" si="5"/>
        <v>752777232.61462176</v>
      </c>
    </row>
    <row r="37" spans="1:5" x14ac:dyDescent="0.25">
      <c r="A37">
        <v>2027</v>
      </c>
      <c r="B37">
        <f t="shared" si="2"/>
        <v>27</v>
      </c>
      <c r="C37" s="10">
        <f t="shared" si="3"/>
        <v>1423082477.6389916</v>
      </c>
      <c r="D37" s="10">
        <f t="shared" si="4"/>
        <v>967183463.94257355</v>
      </c>
      <c r="E37">
        <f t="shared" si="5"/>
        <v>751702878.7443254</v>
      </c>
    </row>
    <row r="38" spans="1:5" x14ac:dyDescent="0.25">
      <c r="A38">
        <v>2028</v>
      </c>
      <c r="B38">
        <f t="shared" si="2"/>
        <v>28</v>
      </c>
      <c r="C38" s="10">
        <f t="shared" si="3"/>
        <v>1422453056.9354239</v>
      </c>
      <c r="D38" s="10">
        <f t="shared" si="4"/>
        <v>964144932.74726105</v>
      </c>
      <c r="E38">
        <f t="shared" si="5"/>
        <v>749341307.51009429</v>
      </c>
    </row>
    <row r="39" spans="1:5" x14ac:dyDescent="0.25">
      <c r="A39">
        <v>2029</v>
      </c>
      <c r="B39">
        <f t="shared" si="2"/>
        <v>29</v>
      </c>
      <c r="C39" s="10">
        <f t="shared" si="3"/>
        <v>1421317065.7121234</v>
      </c>
      <c r="D39" s="10">
        <f t="shared" si="4"/>
        <v>959425917.15128326</v>
      </c>
      <c r="E39">
        <f t="shared" si="5"/>
        <v>745673650.0897783</v>
      </c>
    </row>
    <row r="40" spans="1:5" x14ac:dyDescent="0.25">
      <c r="A40">
        <v>2030</v>
      </c>
      <c r="B40">
        <f t="shared" si="2"/>
        <v>30</v>
      </c>
      <c r="C40" s="10">
        <f t="shared" si="3"/>
        <v>1419718880.5</v>
      </c>
      <c r="D40" s="10">
        <f t="shared" si="4"/>
        <v>953112984</v>
      </c>
      <c r="E40">
        <f t="shared" si="5"/>
        <v>740767186.94182909</v>
      </c>
    </row>
    <row r="41" spans="1:5" x14ac:dyDescent="0.25">
      <c r="A41">
        <v>2031</v>
      </c>
      <c r="B41">
        <f t="shared" si="2"/>
        <v>31</v>
      </c>
      <c r="C41" s="10">
        <f t="shared" si="3"/>
        <v>1417701463.2368436</v>
      </c>
      <c r="D41" s="10">
        <f t="shared" si="4"/>
        <v>945375053.58085632</v>
      </c>
      <c r="E41">
        <f t="shared" si="5"/>
        <v>734753204.29175043</v>
      </c>
    </row>
    <row r="42" spans="1:5" x14ac:dyDescent="0.25">
      <c r="A42">
        <v>2032</v>
      </c>
      <c r="B42">
        <f t="shared" si="2"/>
        <v>32</v>
      </c>
      <c r="C42" s="10">
        <f t="shared" si="3"/>
        <v>1415305468.6064639</v>
      </c>
      <c r="D42" s="10">
        <f t="shared" si="4"/>
        <v>936437572.57318115</v>
      </c>
      <c r="E42">
        <f t="shared" si="5"/>
        <v>727806921.13797736</v>
      </c>
    </row>
    <row r="43" spans="1:5" x14ac:dyDescent="0.25">
      <c r="A43">
        <v>2033</v>
      </c>
      <c r="B43">
        <f t="shared" si="2"/>
        <v>33</v>
      </c>
      <c r="C43" s="10">
        <f t="shared" si="3"/>
        <v>1412568462.0659509</v>
      </c>
      <c r="D43" s="10">
        <f t="shared" si="4"/>
        <v>926559351.0456543</v>
      </c>
      <c r="E43">
        <f t="shared" si="5"/>
        <v>720129486.77733684</v>
      </c>
    </row>
    <row r="44" spans="1:5" x14ac:dyDescent="0.25">
      <c r="A44">
        <v>2034</v>
      </c>
      <c r="B44">
        <f t="shared" si="2"/>
        <v>34</v>
      </c>
      <c r="C44" s="10">
        <f t="shared" si="3"/>
        <v>1409524248.5610561</v>
      </c>
      <c r="D44" s="10">
        <f t="shared" si="4"/>
        <v>916012063.50105286</v>
      </c>
      <c r="E44">
        <f t="shared" si="5"/>
        <v>711932048.84978783</v>
      </c>
    </row>
    <row r="45" spans="1:5" x14ac:dyDescent="0.25">
      <c r="A45">
        <v>2035</v>
      </c>
      <c r="B45">
        <f t="shared" si="2"/>
        <v>35</v>
      </c>
      <c r="C45" s="10">
        <f t="shared" si="3"/>
        <v>1406202311.9296875</v>
      </c>
      <c r="D45" s="10">
        <f t="shared" si="4"/>
        <v>905062413.96875</v>
      </c>
      <c r="E45">
        <f t="shared" si="5"/>
        <v>703421891.90280938</v>
      </c>
    </row>
    <row r="46" spans="1:5" x14ac:dyDescent="0.25">
      <c r="A46">
        <v>2036</v>
      </c>
      <c r="B46">
        <f t="shared" si="2"/>
        <v>36</v>
      </c>
      <c r="C46" s="10">
        <f t="shared" si="3"/>
        <v>1402627364.993536</v>
      </c>
      <c r="D46" s="10">
        <f t="shared" si="4"/>
        <v>893956965.14459229</v>
      </c>
      <c r="E46">
        <f t="shared" si="5"/>
        <v>694790646.47514486</v>
      </c>
    </row>
    <row r="47" spans="1:5" x14ac:dyDescent="0.25">
      <c r="A47">
        <v>2037</v>
      </c>
      <c r="B47">
        <f t="shared" si="2"/>
        <v>37</v>
      </c>
      <c r="C47" s="10">
        <f t="shared" si="3"/>
        <v>1398819010.3378115</v>
      </c>
      <c r="D47" s="10">
        <f t="shared" si="4"/>
        <v>882909631.57829285</v>
      </c>
      <c r="E47">
        <f t="shared" si="5"/>
        <v>686204568.70000911</v>
      </c>
    </row>
    <row r="48" spans="1:5" x14ac:dyDescent="0.25">
      <c r="A48">
        <v>2038</v>
      </c>
      <c r="B48">
        <f t="shared" si="2"/>
        <v>38</v>
      </c>
      <c r="C48" s="10">
        <f t="shared" si="3"/>
        <v>1394791511.7791042</v>
      </c>
      <c r="D48" s="10">
        <f t="shared" si="4"/>
        <v>872091836.90853882</v>
      </c>
      <c r="E48">
        <f t="shared" si="5"/>
        <v>677796890.4279145</v>
      </c>
    </row>
    <row r="49" spans="1:5" x14ac:dyDescent="0.25">
      <c r="A49">
        <v>2039</v>
      </c>
      <c r="B49">
        <f t="shared" si="2"/>
        <v>39</v>
      </c>
      <c r="C49" s="10">
        <f t="shared" si="3"/>
        <v>1390553676.5213642</v>
      </c>
      <c r="D49" s="10">
        <f t="shared" si="4"/>
        <v>861625335.14532471</v>
      </c>
      <c r="E49">
        <f t="shared" si="5"/>
        <v>669662239.868734</v>
      </c>
    </row>
    <row r="50" spans="1:5" x14ac:dyDescent="0.25">
      <c r="A50">
        <v>2040</v>
      </c>
      <c r="B50">
        <f t="shared" si="2"/>
        <v>40</v>
      </c>
      <c r="C50" s="10">
        <f t="shared" si="3"/>
        <v>1386108847.999999</v>
      </c>
      <c r="D50" s="10">
        <f t="shared" si="4"/>
        <v>851577696</v>
      </c>
      <c r="E50">
        <f t="shared" si="5"/>
        <v>661853132.75338197</v>
      </c>
    </row>
    <row r="51" spans="1:5" x14ac:dyDescent="0.25">
      <c r="A51">
        <v>2041</v>
      </c>
      <c r="B51">
        <f t="shared" si="2"/>
        <v>41</v>
      </c>
      <c r="C51" s="10">
        <f t="shared" si="3"/>
        <v>1381455009.4141035</v>
      </c>
      <c r="D51" s="10">
        <f t="shared" si="4"/>
        <v>841960454.26281738</v>
      </c>
      <c r="E51">
        <f t="shared" si="5"/>
        <v>654378534.01494718</v>
      </c>
    </row>
    <row r="52" spans="1:5" x14ac:dyDescent="0.25">
      <c r="A52">
        <v>2042</v>
      </c>
      <c r="B52">
        <f t="shared" si="2"/>
        <v>42</v>
      </c>
      <c r="C52" s="10">
        <f t="shared" si="3"/>
        <v>1376584997.9467831</v>
      </c>
      <c r="D52" s="10">
        <f t="shared" si="4"/>
        <v>832729923.22790527</v>
      </c>
      <c r="E52">
        <f t="shared" si="5"/>
        <v>647204489.98921692</v>
      </c>
    </row>
    <row r="53" spans="1:5" x14ac:dyDescent="0.25">
      <c r="A53">
        <v>2043</v>
      </c>
      <c r="B53">
        <f t="shared" si="2"/>
        <v>43</v>
      </c>
      <c r="C53" s="10">
        <f t="shared" si="3"/>
        <v>1371486829.6736317</v>
      </c>
      <c r="D53" s="10">
        <f t="shared" si="4"/>
        <v>823790672.16592407</v>
      </c>
      <c r="E53">
        <f t="shared" si="5"/>
        <v>640256831.13479662</v>
      </c>
    </row>
    <row r="54" spans="1:5" x14ac:dyDescent="0.25">
      <c r="A54">
        <v>2044</v>
      </c>
      <c r="B54">
        <f t="shared" si="2"/>
        <v>44</v>
      </c>
      <c r="C54" s="10">
        <f t="shared" si="3"/>
        <v>1366144135.1592941</v>
      </c>
      <c r="D54" s="10">
        <f t="shared" si="4"/>
        <v>815001667.84408569</v>
      </c>
      <c r="E54">
        <f t="shared" si="5"/>
        <v>633425945.27257252</v>
      </c>
    </row>
    <row r="55" spans="1:5" x14ac:dyDescent="0.25">
      <c r="A55">
        <v>2045</v>
      </c>
      <c r="B55">
        <f t="shared" si="2"/>
        <v>45</v>
      </c>
      <c r="C55" s="10">
        <f t="shared" si="3"/>
        <v>1360536705.7421875</v>
      </c>
      <c r="D55" s="10">
        <f t="shared" si="4"/>
        <v>806185080.09375</v>
      </c>
      <c r="E55">
        <f t="shared" si="5"/>
        <v>626573621.34468663</v>
      </c>
    </row>
    <row r="56" spans="1:5" x14ac:dyDescent="0.25">
      <c r="A56">
        <v>2046</v>
      </c>
      <c r="B56">
        <f t="shared" si="2"/>
        <v>46</v>
      </c>
      <c r="C56" s="10">
        <f t="shared" si="3"/>
        <v>1354641150.5072956</v>
      </c>
      <c r="D56" s="10">
        <f t="shared" si="4"/>
        <v>797137751.42553711</v>
      </c>
      <c r="E56">
        <f t="shared" si="5"/>
        <v>619541963.69297397</v>
      </c>
    </row>
    <row r="57" spans="1:5" x14ac:dyDescent="0.25">
      <c r="A57">
        <v>2047</v>
      </c>
      <c r="B57">
        <f t="shared" si="2"/>
        <v>47</v>
      </c>
      <c r="C57" s="10">
        <f t="shared" si="3"/>
        <v>1348431663.9471321</v>
      </c>
      <c r="D57" s="10">
        <f t="shared" si="4"/>
        <v>787645330.6920166</v>
      </c>
      <c r="E57" s="10">
        <f>D57*$B$75</f>
        <v>612164376.8569119</v>
      </c>
    </row>
    <row r="58" spans="1:5" x14ac:dyDescent="0.25">
      <c r="A58">
        <v>2048</v>
      </c>
      <c r="B58">
        <f t="shared" si="2"/>
        <v>48</v>
      </c>
      <c r="C58" s="10">
        <f t="shared" si="3"/>
        <v>1341880904.3107834</v>
      </c>
      <c r="D58" s="10">
        <f t="shared" si="4"/>
        <v>777499070.79785156</v>
      </c>
      <c r="E58">
        <f t="shared" si="5"/>
        <v>604278620.89098394</v>
      </c>
    </row>
    <row r="59" spans="1:5" x14ac:dyDescent="0.25">
      <c r="A59">
        <v>2049</v>
      </c>
      <c r="B59">
        <f t="shared" si="2"/>
        <v>49</v>
      </c>
      <c r="C59" s="10">
        <f t="shared" si="3"/>
        <v>1334960982.6411018</v>
      </c>
      <c r="D59" s="10">
        <f t="shared" si="4"/>
        <v>766515290.45739746</v>
      </c>
      <c r="E59">
        <f t="shared" si="5"/>
        <v>595741937.2014612</v>
      </c>
    </row>
    <row r="60" spans="1:5" x14ac:dyDescent="0.25">
      <c r="A60">
        <v>2050</v>
      </c>
      <c r="B60">
        <f t="shared" si="2"/>
        <v>50</v>
      </c>
      <c r="C60" s="10">
        <f t="shared" si="3"/>
        <v>1327644562.5</v>
      </c>
      <c r="D60" s="10">
        <f t="shared" si="4"/>
        <v>754557500</v>
      </c>
      <c r="E60">
        <f t="shared" si="5"/>
        <v>586448244.90278816</v>
      </c>
    </row>
    <row r="61" spans="1:5" x14ac:dyDescent="0.25">
      <c r="A61">
        <v>2051</v>
      </c>
      <c r="B61">
        <f t="shared" si="2"/>
        <v>51</v>
      </c>
      <c r="C61" s="10">
        <f t="shared" si="3"/>
        <v>1319906070.3818645</v>
      </c>
      <c r="D61" s="10">
        <f t="shared" si="4"/>
        <v>741561191.22283936</v>
      </c>
      <c r="E61">
        <f t="shared" si="5"/>
        <v>576347407.69345605</v>
      </c>
    </row>
    <row r="62" spans="1:5" x14ac:dyDescent="0.25">
      <c r="A62">
        <v>2052</v>
      </c>
      <c r="B62">
        <f t="shared" si="2"/>
        <v>52</v>
      </c>
      <c r="C62" s="10">
        <f t="shared" si="3"/>
        <v>1311723016.8151016</v>
      </c>
      <c r="D62" s="10">
        <f t="shared" si="4"/>
        <v>727561291.29064941</v>
      </c>
      <c r="E62">
        <f t="shared" si="5"/>
        <v>565466571.25084245</v>
      </c>
    </row>
    <row r="63" spans="1:5" x14ac:dyDescent="0.25">
      <c r="A63">
        <v>2053</v>
      </c>
      <c r="B63">
        <f t="shared" si="2"/>
        <v>53</v>
      </c>
      <c r="C63" s="10">
        <f t="shared" si="3"/>
        <v>1303077428.1518135</v>
      </c>
      <c r="D63" s="10">
        <f t="shared" si="4"/>
        <v>712722280.6842041</v>
      </c>
      <c r="E63">
        <f t="shared" si="5"/>
        <v>553933571.14648497</v>
      </c>
    </row>
    <row r="64" spans="1:5" x14ac:dyDescent="0.25">
      <c r="A64">
        <v>2054</v>
      </c>
      <c r="B64">
        <f t="shared" si="2"/>
        <v>54</v>
      </c>
      <c r="C64" s="10">
        <f t="shared" si="3"/>
        <v>1293957389.045536</v>
      </c>
      <c r="D64" s="10">
        <f t="shared" si="4"/>
        <v>697370975.19512939</v>
      </c>
      <c r="E64">
        <f t="shared" si="5"/>
        <v>542002411.27989507</v>
      </c>
    </row>
    <row r="65" spans="1:5" x14ac:dyDescent="0.25">
      <c r="A65">
        <v>2055</v>
      </c>
      <c r="B65">
        <f t="shared" si="2"/>
        <v>55</v>
      </c>
      <c r="C65" s="10">
        <f t="shared" si="3"/>
        <v>1284358695.6171837</v>
      </c>
      <c r="D65" s="10">
        <f t="shared" si="4"/>
        <v>682031971.96875</v>
      </c>
      <c r="E65">
        <f t="shared" si="5"/>
        <v>530080812.83223748</v>
      </c>
    </row>
    <row r="66" spans="1:5" x14ac:dyDescent="0.25">
      <c r="A66">
        <v>2056</v>
      </c>
      <c r="B66">
        <f t="shared" si="2"/>
        <v>56</v>
      </c>
      <c r="C66" s="10">
        <f t="shared" si="3"/>
        <v>1274286619.3090515</v>
      </c>
      <c r="D66" s="10">
        <f t="shared" si="4"/>
        <v>667465759.59448242</v>
      </c>
      <c r="E66">
        <f t="shared" si="5"/>
        <v>518759833.73949701</v>
      </c>
    </row>
    <row r="67" spans="1:5" x14ac:dyDescent="0.25">
      <c r="A67">
        <v>2057</v>
      </c>
      <c r="B67">
        <f t="shared" si="2"/>
        <v>57</v>
      </c>
      <c r="C67" s="10">
        <f t="shared" si="3"/>
        <v>1263757781.4269485</v>
      </c>
      <c r="D67" s="10">
        <f t="shared" si="4"/>
        <v>654709492.24377441</v>
      </c>
      <c r="E67">
        <f t="shared" si="5"/>
        <v>508845558.6851328</v>
      </c>
    </row>
    <row r="68" spans="1:5" x14ac:dyDescent="0.25">
      <c r="A68">
        <v>2058</v>
      </c>
      <c r="B68">
        <f t="shared" si="2"/>
        <v>58</v>
      </c>
      <c r="C68" s="10">
        <f t="shared" si="3"/>
        <v>1252802138.3704605</v>
      </c>
      <c r="D68" s="10">
        <f t="shared" si="4"/>
        <v>645120427.85510254</v>
      </c>
      <c r="E68">
        <f t="shared" si="5"/>
        <v>501392859.61183953</v>
      </c>
    </row>
    <row r="69" spans="1:5" x14ac:dyDescent="0.25">
      <c r="A69">
        <v>2059</v>
      </c>
      <c r="B69">
        <f t="shared" si="2"/>
        <v>59</v>
      </c>
      <c r="C69" s="10">
        <f t="shared" si="3"/>
        <v>1241465077.5513382</v>
      </c>
      <c r="D69" s="10">
        <f t="shared" si="4"/>
        <v>640422030.36743164</v>
      </c>
      <c r="E69">
        <f t="shared" si="5"/>
        <v>497741226.75350833</v>
      </c>
    </row>
    <row r="70" spans="1:5" x14ac:dyDescent="0.25">
      <c r="A70">
        <v>2060</v>
      </c>
      <c r="B70">
        <f t="shared" si="2"/>
        <v>60</v>
      </c>
      <c r="C70" s="10">
        <f t="shared" si="3"/>
        <v>1229809624</v>
      </c>
      <c r="D70" s="10">
        <f t="shared" si="4"/>
        <v>642752736</v>
      </c>
      <c r="E70">
        <f t="shared" si="5"/>
        <v>499552670.18572491</v>
      </c>
    </row>
    <row r="72" spans="1:5" x14ac:dyDescent="0.25">
      <c r="A72" s="21" t="s">
        <v>94</v>
      </c>
      <c r="B72" s="10">
        <v>972809418.79524612</v>
      </c>
    </row>
    <row r="73" spans="1:5" x14ac:dyDescent="0.25">
      <c r="A73" s="21" t="s">
        <v>95</v>
      </c>
      <c r="B73">
        <v>756075416.75402272</v>
      </c>
    </row>
    <row r="74" spans="1:5" x14ac:dyDescent="0.25">
      <c r="A74" s="21" t="s">
        <v>96</v>
      </c>
      <c r="B74" s="10">
        <f>B73/B72</f>
        <v>0.777208158295144</v>
      </c>
    </row>
    <row r="75" spans="1:5" x14ac:dyDescent="0.25">
      <c r="B75">
        <v>0.777208158295144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workbookViewId="0">
      <selection activeCell="O2" sqref="O2"/>
    </sheetView>
  </sheetViews>
  <sheetFormatPr defaultColWidth="9" defaultRowHeight="13.8" x14ac:dyDescent="0.25"/>
  <cols>
    <col min="3" max="3" width="12.6640625"/>
    <col min="5" max="5" width="12.6640625"/>
    <col min="7" max="7" width="12.6640625"/>
    <col min="9" max="9" width="12.6640625"/>
    <col min="12" max="12" width="12.6640625"/>
    <col min="15" max="15" width="12.6640625"/>
  </cols>
  <sheetData>
    <row r="1" spans="1:15" x14ac:dyDescent="0.25">
      <c r="A1" t="s">
        <v>56</v>
      </c>
      <c r="B1" t="s">
        <v>59</v>
      </c>
      <c r="C1" t="s">
        <v>60</v>
      </c>
      <c r="D1" t="s">
        <v>6</v>
      </c>
      <c r="E1" t="s">
        <v>61</v>
      </c>
      <c r="G1" t="s">
        <v>62</v>
      </c>
      <c r="I1" t="s">
        <v>6</v>
      </c>
      <c r="L1" t="s">
        <v>63</v>
      </c>
      <c r="O1" t="s">
        <v>64</v>
      </c>
    </row>
    <row r="2" spans="1:15" x14ac:dyDescent="0.15">
      <c r="A2" s="8">
        <v>2010</v>
      </c>
      <c r="B2">
        <v>30808</v>
      </c>
      <c r="D2">
        <v>36539</v>
      </c>
      <c r="G2">
        <f>B12*B14/B11</f>
        <v>1.077245754730443</v>
      </c>
      <c r="H2">
        <v>2019</v>
      </c>
      <c r="I2">
        <v>90501</v>
      </c>
      <c r="K2">
        <v>2019</v>
      </c>
      <c r="L2">
        <f>I2*就业人口计算!E29</f>
        <v>68425581291655.813</v>
      </c>
      <c r="N2">
        <v>2019</v>
      </c>
      <c r="O2">
        <f>L2*汇率!B21</f>
        <v>9477713619655.707</v>
      </c>
    </row>
    <row r="3" spans="1:15" x14ac:dyDescent="0.15">
      <c r="A3" s="8">
        <v>2011</v>
      </c>
      <c r="B3">
        <v>36277</v>
      </c>
      <c r="C3">
        <f>B3/B2-1</f>
        <v>0.17751882627888871</v>
      </c>
      <c r="D3">
        <v>41799</v>
      </c>
      <c r="E3">
        <f>D3/D2-1</f>
        <v>0.14395577328334119</v>
      </c>
      <c r="H3">
        <v>2020</v>
      </c>
      <c r="I3">
        <v>97379</v>
      </c>
      <c r="K3">
        <v>2020</v>
      </c>
      <c r="L3">
        <f>I3*就业人口计算!E30</f>
        <v>73096572559999.969</v>
      </c>
      <c r="N3">
        <v>2020</v>
      </c>
      <c r="O3">
        <f>L3*汇率!B22</f>
        <v>10061792771500.137</v>
      </c>
    </row>
    <row r="4" spans="1:15" x14ac:dyDescent="0.15">
      <c r="A4" s="8">
        <v>2012</v>
      </c>
      <c r="B4">
        <v>39771</v>
      </c>
      <c r="C4">
        <f t="shared" ref="C4:C12" si="0">B4/B3-1</f>
        <v>9.6314469222923638E-2</v>
      </c>
      <c r="D4">
        <v>46769</v>
      </c>
      <c r="E4">
        <f>D4/D3-1</f>
        <v>0.11890236608531302</v>
      </c>
      <c r="H4">
        <v>2021</v>
      </c>
      <c r="I4">
        <f>I3*$G$2</f>
        <v>104901.11434989581</v>
      </c>
      <c r="K4">
        <v>2021</v>
      </c>
      <c r="L4">
        <f>I4*就业人口计算!E31</f>
        <v>78545390358218.766</v>
      </c>
      <c r="N4">
        <v>2021</v>
      </c>
      <c r="O4">
        <f>L4*汇率!B23</f>
        <v>10579086336261.557</v>
      </c>
    </row>
    <row r="5" spans="1:15" x14ac:dyDescent="0.15">
      <c r="A5" s="8">
        <v>2013</v>
      </c>
      <c r="B5">
        <v>43497</v>
      </c>
      <c r="C5">
        <f t="shared" si="0"/>
        <v>9.368635437881867E-2</v>
      </c>
      <c r="D5">
        <v>51483</v>
      </c>
      <c r="E5">
        <f>D5/D4-1</f>
        <v>0.1007932604930617</v>
      </c>
      <c r="H5">
        <v>2022</v>
      </c>
      <c r="I5">
        <f t="shared" ref="I5:I16" si="1">I4*$G$2</f>
        <v>113004.28009991802</v>
      </c>
      <c r="K5">
        <v>2022</v>
      </c>
      <c r="L5">
        <f>I5*就业人口计算!E32</f>
        <v>84641226914503.5</v>
      </c>
      <c r="N5">
        <v>2022</v>
      </c>
      <c r="O5">
        <f>L5*汇率!B24</f>
        <v>11154715888934.023</v>
      </c>
    </row>
    <row r="6" spans="1:15" x14ac:dyDescent="0.15">
      <c r="A6" s="8">
        <v>2014</v>
      </c>
      <c r="B6">
        <v>46912</v>
      </c>
      <c r="C6">
        <f t="shared" si="0"/>
        <v>7.8511161689311937E-2</v>
      </c>
      <c r="D6">
        <v>56360</v>
      </c>
      <c r="E6">
        <f t="shared" ref="E6:E12" si="2">D6/D5-1</f>
        <v>9.4730299322106415E-2</v>
      </c>
      <c r="H6">
        <v>2023</v>
      </c>
      <c r="I6">
        <f t="shared" si="1"/>
        <v>121733.38100400657</v>
      </c>
      <c r="K6">
        <v>2023</v>
      </c>
      <c r="L6">
        <f>I6*就业人口计算!E33</f>
        <v>91334231366052</v>
      </c>
      <c r="N6">
        <v>2023</v>
      </c>
      <c r="O6">
        <f>L6*汇率!B25</f>
        <v>11777666314251.479</v>
      </c>
    </row>
    <row r="7" spans="1:15" x14ac:dyDescent="0.15">
      <c r="A7" s="8">
        <v>2015</v>
      </c>
      <c r="B7">
        <v>49922</v>
      </c>
      <c r="C7">
        <f t="shared" si="0"/>
        <v>6.4162687585266109E-2</v>
      </c>
      <c r="D7">
        <v>62029</v>
      </c>
      <c r="E7">
        <f t="shared" si="2"/>
        <v>0.10058552164655787</v>
      </c>
      <c r="H7">
        <v>2024</v>
      </c>
      <c r="I7">
        <f t="shared" si="1"/>
        <v>131136.76789554965</v>
      </c>
      <c r="K7">
        <v>2024</v>
      </c>
      <c r="L7">
        <f>I7*就业人口计算!E34</f>
        <v>98577851142513.938</v>
      </c>
      <c r="N7">
        <v>2024</v>
      </c>
      <c r="O7">
        <f>L7*汇率!B26</f>
        <v>12438102130933.826</v>
      </c>
    </row>
    <row r="8" spans="1:15" x14ac:dyDescent="0.15">
      <c r="A8" s="8">
        <v>2016</v>
      </c>
      <c r="B8">
        <v>53783</v>
      </c>
      <c r="C8">
        <f t="shared" si="0"/>
        <v>7.7340651416209383E-2</v>
      </c>
      <c r="D8">
        <v>67569</v>
      </c>
      <c r="E8">
        <f t="shared" si="2"/>
        <v>8.9313063244611302E-2</v>
      </c>
      <c r="H8">
        <v>2025</v>
      </c>
      <c r="I8">
        <f t="shared" si="1"/>
        <v>141266.52650455231</v>
      </c>
      <c r="K8">
        <v>2025</v>
      </c>
      <c r="L8">
        <f>I8*就业人口计算!E35</f>
        <v>106330410571744.86</v>
      </c>
      <c r="N8">
        <v>2025</v>
      </c>
      <c r="O8">
        <f>L8*汇率!B27</f>
        <v>13127480040440.092</v>
      </c>
    </row>
    <row r="9" spans="1:15" x14ac:dyDescent="0.15">
      <c r="A9" s="8">
        <v>2017</v>
      </c>
      <c r="B9">
        <v>59592</v>
      </c>
      <c r="C9">
        <f t="shared" si="0"/>
        <v>0.10800810665080052</v>
      </c>
      <c r="D9">
        <v>74318</v>
      </c>
      <c r="E9">
        <f t="shared" si="2"/>
        <v>9.9883082478651408E-2</v>
      </c>
      <c r="H9">
        <v>2026</v>
      </c>
      <c r="I9">
        <f t="shared" si="1"/>
        <v>152178.7659625446</v>
      </c>
      <c r="K9">
        <v>2026</v>
      </c>
      <c r="L9">
        <f>I9*就业人口计算!E36</f>
        <v>114556710303992.52</v>
      </c>
      <c r="N9">
        <v>2026</v>
      </c>
      <c r="O9">
        <f>L9*汇率!B28</f>
        <v>13838643248878.334</v>
      </c>
    </row>
    <row r="10" spans="1:15" x14ac:dyDescent="0.15">
      <c r="A10" s="8">
        <v>2018</v>
      </c>
      <c r="B10">
        <v>65534</v>
      </c>
      <c r="C10">
        <f t="shared" si="0"/>
        <v>9.9711370653779108E-2</v>
      </c>
      <c r="D10">
        <v>82413</v>
      </c>
      <c r="E10">
        <f t="shared" si="2"/>
        <v>0.10892381388089012</v>
      </c>
      <c r="H10">
        <v>2027</v>
      </c>
      <c r="I10">
        <f t="shared" si="1"/>
        <v>163933.92959326881</v>
      </c>
      <c r="K10">
        <v>2027</v>
      </c>
      <c r="L10">
        <f>I10*就业人口计算!E37</f>
        <v>123229606799129.72</v>
      </c>
      <c r="N10">
        <v>2027</v>
      </c>
      <c r="O10">
        <f>L10*汇率!B29</f>
        <v>14565894060916.844</v>
      </c>
    </row>
    <row r="11" spans="1:15" x14ac:dyDescent="0.15">
      <c r="A11" s="8">
        <v>2019</v>
      </c>
      <c r="B11">
        <v>70078</v>
      </c>
      <c r="C11">
        <f t="shared" si="0"/>
        <v>6.9338053529465649E-2</v>
      </c>
      <c r="D11">
        <v>90501</v>
      </c>
      <c r="E11">
        <f t="shared" si="2"/>
        <v>9.8139856576025641E-2</v>
      </c>
      <c r="H11">
        <v>2028</v>
      </c>
      <c r="I11">
        <f t="shared" si="1"/>
        <v>176597.12971062819</v>
      </c>
      <c r="K11">
        <v>2028</v>
      </c>
      <c r="L11">
        <f>I11*就业人口计算!E38</f>
        <v>132331524079891.84</v>
      </c>
      <c r="N11">
        <v>2028</v>
      </c>
      <c r="O11">
        <f>L11*汇率!B30</f>
        <v>15305041191632.883</v>
      </c>
    </row>
    <row r="12" spans="1:15" x14ac:dyDescent="0.15">
      <c r="A12" s="8">
        <v>2020</v>
      </c>
      <c r="B12">
        <v>71828</v>
      </c>
      <c r="C12">
        <f t="shared" si="0"/>
        <v>2.4972173863409441E-2</v>
      </c>
      <c r="D12">
        <v>97379</v>
      </c>
      <c r="E12">
        <f t="shared" si="2"/>
        <v>7.5999160230273644E-2</v>
      </c>
      <c r="H12">
        <v>2029</v>
      </c>
      <c r="I12">
        <f t="shared" si="1"/>
        <v>190238.50827835561</v>
      </c>
      <c r="K12">
        <v>2029</v>
      </c>
      <c r="L12">
        <f>I12*就业人口计算!E39</f>
        <v>141855842855555.94</v>
      </c>
      <c r="N12">
        <v>2029</v>
      </c>
      <c r="O12">
        <f>L12*汇率!B31</f>
        <v>16053418263175.684</v>
      </c>
    </row>
    <row r="13" spans="1:15" x14ac:dyDescent="0.25">
      <c r="H13">
        <v>2030</v>
      </c>
      <c r="I13">
        <f t="shared" si="1"/>
        <v>204933.62542911083</v>
      </c>
      <c r="K13">
        <v>2030</v>
      </c>
      <c r="L13">
        <f>I13*就业人口计算!E40</f>
        <v>151808105218912.94</v>
      </c>
      <c r="N13">
        <v>2030</v>
      </c>
      <c r="O13">
        <f>L13*汇率!B32</f>
        <v>16809870066079.166</v>
      </c>
    </row>
    <row r="14" spans="1:15" x14ac:dyDescent="0.25">
      <c r="B14">
        <v>1.0509999999999999</v>
      </c>
      <c r="H14">
        <v>2031</v>
      </c>
      <c r="I14">
        <f t="shared" si="1"/>
        <v>220763.87799502842</v>
      </c>
      <c r="K14">
        <v>2031</v>
      </c>
      <c r="L14">
        <f>I14*就业人口计算!E41</f>
        <v>162206966748720.19</v>
      </c>
      <c r="N14">
        <v>2031</v>
      </c>
      <c r="O14">
        <f>L14*汇率!B33</f>
        <v>17574703391078.051</v>
      </c>
    </row>
    <row r="15" spans="1:15" x14ac:dyDescent="0.25">
      <c r="H15">
        <v>2032</v>
      </c>
      <c r="I15">
        <f t="shared" si="1"/>
        <v>237816.95036797383</v>
      </c>
      <c r="K15">
        <v>2032</v>
      </c>
      <c r="L15">
        <f>I15*就业人口计算!E42</f>
        <v>173084822441738.19</v>
      </c>
      <c r="N15">
        <v>2032</v>
      </c>
      <c r="O15">
        <f>L15*汇率!B34</f>
        <v>18349599600685.863</v>
      </c>
    </row>
    <row r="16" spans="1:15" x14ac:dyDescent="0.25">
      <c r="H16">
        <v>2033</v>
      </c>
      <c r="I16">
        <f t="shared" si="1"/>
        <v>256187.30018684026</v>
      </c>
      <c r="K16">
        <v>2033</v>
      </c>
      <c r="L16">
        <f>I16*就业人口计算!E43</f>
        <v>184488029002420.81</v>
      </c>
      <c r="N16">
        <v>2033</v>
      </c>
      <c r="O16">
        <f>L16*汇率!B35</f>
        <v>19137486638604.605</v>
      </c>
    </row>
    <row r="17" spans="8:15" x14ac:dyDescent="0.25">
      <c r="H17">
        <v>2034</v>
      </c>
      <c r="I17">
        <f t="shared" ref="I17:I43" si="3">I16*$G$2</f>
        <v>275976.68154212733</v>
      </c>
      <c r="K17">
        <v>2034</v>
      </c>
      <c r="L17">
        <f>I17*就业人口计算!E44</f>
        <v>196476644325052.13</v>
      </c>
      <c r="N17">
        <v>2034</v>
      </c>
      <c r="O17">
        <f>L17*汇率!B36</f>
        <v>19942368901402.176</v>
      </c>
    </row>
    <row r="18" spans="8:15" x14ac:dyDescent="0.25">
      <c r="H18">
        <v>2035</v>
      </c>
      <c r="I18">
        <f t="shared" si="3"/>
        <v>297294.70859585208</v>
      </c>
      <c r="K18">
        <v>2035</v>
      </c>
      <c r="L18">
        <f>I18*就业人口计算!E45</f>
        <v>209123606373188.69</v>
      </c>
      <c r="N18">
        <v>2035</v>
      </c>
      <c r="O18">
        <f>L18*汇率!B37</f>
        <v>20769114357701.492</v>
      </c>
    </row>
    <row r="19" spans="8:15" x14ac:dyDescent="0.25">
      <c r="H19">
        <v>2036</v>
      </c>
      <c r="I19">
        <f t="shared" si="3"/>
        <v>320259.4627387058</v>
      </c>
      <c r="K19">
        <v>2036</v>
      </c>
      <c r="L19">
        <f>I19*就业人口计算!E46</f>
        <v>222513279156007.97</v>
      </c>
      <c r="N19">
        <v>2036</v>
      </c>
      <c r="O19">
        <f>L19*汇率!B38</f>
        <v>21623199537405.582</v>
      </c>
    </row>
    <row r="20" spans="8:15" x14ac:dyDescent="0.25">
      <c r="H20">
        <v>2037</v>
      </c>
      <c r="I20">
        <f t="shared" si="3"/>
        <v>344998.14664752333</v>
      </c>
      <c r="K20">
        <v>2037</v>
      </c>
      <c r="L20">
        <f>I20*就业人口计算!E47</f>
        <v>236739304422566.25</v>
      </c>
      <c r="N20">
        <v>2037</v>
      </c>
      <c r="O20">
        <f>L20*汇率!B39</f>
        <v>22510414575272.332</v>
      </c>
    </row>
    <row r="21" spans="8:15" x14ac:dyDescent="0.25">
      <c r="H21">
        <v>2038</v>
      </c>
      <c r="I21">
        <f t="shared" si="3"/>
        <v>371647.78886591533</v>
      </c>
      <c r="K21">
        <v>2038</v>
      </c>
      <c r="L21">
        <f>I21*就业人口计算!E48</f>
        <v>251901715627727.5</v>
      </c>
      <c r="N21">
        <v>2038</v>
      </c>
      <c r="O21">
        <f>L21*汇率!B40</f>
        <v>23436532433989.188</v>
      </c>
    </row>
    <row r="22" spans="8:15" x14ac:dyDescent="0.25">
      <c r="H22">
        <v>2039</v>
      </c>
      <c r="I22">
        <f t="shared" si="3"/>
        <v>400356.00281076331</v>
      </c>
      <c r="K22">
        <v>2039</v>
      </c>
      <c r="L22">
        <f>I22*就业人口计算!E49</f>
        <v>268103297587148.94</v>
      </c>
      <c r="N22">
        <v>2039</v>
      </c>
      <c r="O22">
        <f>L22*汇率!B41</f>
        <v>24406948813717.52</v>
      </c>
    </row>
    <row r="23" spans="8:15" x14ac:dyDescent="0.25">
      <c r="H23">
        <v>2040</v>
      </c>
      <c r="I23">
        <f t="shared" si="3"/>
        <v>431281.80440874409</v>
      </c>
      <c r="K23">
        <v>2040</v>
      </c>
      <c r="L23">
        <f>I23*就业人口计算!E50</f>
        <v>285445213347458.63</v>
      </c>
      <c r="N23">
        <v>2040</v>
      </c>
      <c r="O23">
        <f>L23*汇率!B42</f>
        <v>25426302148134.738</v>
      </c>
    </row>
    <row r="24" spans="8:15" x14ac:dyDescent="0.25">
      <c r="H24">
        <v>2041</v>
      </c>
      <c r="I24">
        <f t="shared" si="3"/>
        <v>464596.49289180484</v>
      </c>
      <c r="K24">
        <v>2041</v>
      </c>
      <c r="L24">
        <f>I24*就业人口计算!E51</f>
        <v>304021971927025.06</v>
      </c>
      <c r="N24">
        <v>2041</v>
      </c>
      <c r="O24">
        <f>L24*汇率!B43</f>
        <v>26498086570621.102</v>
      </c>
    </row>
    <row r="25" spans="8:15" x14ac:dyDescent="0.25">
      <c r="H25">
        <v>2042</v>
      </c>
      <c r="I25">
        <f t="shared" si="3"/>
        <v>500484.5996303492</v>
      </c>
      <c r="K25">
        <v>2042</v>
      </c>
      <c r="L25">
        <f>I25*就业人口计算!E52</f>
        <v>323915880051217.56</v>
      </c>
      <c r="N25">
        <v>2042</v>
      </c>
      <c r="O25">
        <f>L25*汇率!B44</f>
        <v>27624274898147.832</v>
      </c>
    </row>
    <row r="26" spans="8:15" x14ac:dyDescent="0.25">
      <c r="H26">
        <v>2043</v>
      </c>
      <c r="I26">
        <f t="shared" si="3"/>
        <v>539144.91025975917</v>
      </c>
      <c r="K26">
        <v>2043</v>
      </c>
      <c r="L26">
        <f>I26*就业人口计算!E53</f>
        <v>345191211765367.69</v>
      </c>
      <c r="N26">
        <v>2043</v>
      </c>
      <c r="O26">
        <f>L26*汇率!B45</f>
        <v>28804973625731.707</v>
      </c>
    </row>
    <row r="27" spans="8:15" x14ac:dyDescent="0.25">
      <c r="H27">
        <v>2044</v>
      </c>
      <c r="I27">
        <f t="shared" si="3"/>
        <v>580791.56576185126</v>
      </c>
      <c r="K27">
        <v>2044</v>
      </c>
      <c r="L27">
        <f>I27*就业人口计算!E54</f>
        <v>367888446549038.13</v>
      </c>
      <c r="N27">
        <v>2044</v>
      </c>
      <c r="O27">
        <f>L27*汇率!B46</f>
        <v>30038137764849.738</v>
      </c>
    </row>
    <row r="28" spans="8:15" x14ac:dyDescent="0.25">
      <c r="H28">
        <v>2045</v>
      </c>
      <c r="I28">
        <f t="shared" si="3"/>
        <v>625655.24860020122</v>
      </c>
      <c r="K28">
        <v>2045</v>
      </c>
      <c r="L28">
        <f>I28*就业人口计算!E55</f>
        <v>392019074828738.25</v>
      </c>
      <c r="N28">
        <v>2045</v>
      </c>
      <c r="O28">
        <f>L28*汇率!B47</f>
        <v>31319380223052.77</v>
      </c>
    </row>
    <row r="29" spans="8:15" x14ac:dyDescent="0.25">
      <c r="H29">
        <v>2046</v>
      </c>
      <c r="I29">
        <f t="shared" si="3"/>
        <v>673984.46047938673</v>
      </c>
      <c r="K29">
        <v>2046</v>
      </c>
      <c r="L29">
        <f>I29*就业人口计算!E56</f>
        <v>417561656143948.88</v>
      </c>
      <c r="N29">
        <v>2046</v>
      </c>
      <c r="O29">
        <f>L29*汇率!B48</f>
        <v>32641918452907.676</v>
      </c>
    </row>
    <row r="30" spans="8:15" x14ac:dyDescent="0.25">
      <c r="H30">
        <v>2047</v>
      </c>
      <c r="I30">
        <f t="shared" si="3"/>
        <v>726046.89880570746</v>
      </c>
      <c r="K30">
        <v>2047</v>
      </c>
      <c r="L30">
        <f>I30*就业人口计算!E57</f>
        <v>444460047376289.25</v>
      </c>
      <c r="N30">
        <v>2047</v>
      </c>
      <c r="O30">
        <f>L30*汇率!B49</f>
        <v>33996710457655.945</v>
      </c>
    </row>
    <row r="31" spans="8:15" x14ac:dyDescent="0.25">
      <c r="H31">
        <v>2048</v>
      </c>
      <c r="I31">
        <f t="shared" si="3"/>
        <v>782130.93947365193</v>
      </c>
      <c r="K31">
        <v>2048</v>
      </c>
      <c r="L31">
        <f>I31*就业人口计算!E58</f>
        <v>472625005461308</v>
      </c>
      <c r="N31">
        <v>2048</v>
      </c>
      <c r="O31">
        <f>L31*汇率!B50</f>
        <v>35372843109278.789</v>
      </c>
    </row>
    <row r="32" spans="8:15" x14ac:dyDescent="0.25">
      <c r="H32">
        <v>2049</v>
      </c>
      <c r="I32">
        <f t="shared" si="3"/>
        <v>842547.23419132468</v>
      </c>
      <c r="K32">
        <v>2049</v>
      </c>
      <c r="L32">
        <f>I32*就业人口计算!E59</f>
        <v>501940721480872.94</v>
      </c>
      <c r="N32">
        <v>2049</v>
      </c>
      <c r="O32">
        <f>L32*汇率!B51</f>
        <v>36758248314259.617</v>
      </c>
    </row>
    <row r="33" spans="8:15" x14ac:dyDescent="0.25">
      <c r="H33">
        <v>2050</v>
      </c>
      <c r="I33">
        <f t="shared" si="3"/>
        <v>907630.43119248084</v>
      </c>
      <c r="K33">
        <v>2050</v>
      </c>
      <c r="L33">
        <f>I33*就业人口计算!E60</f>
        <v>532278273393191.25</v>
      </c>
      <c r="N33">
        <v>2050</v>
      </c>
      <c r="O33">
        <f>L33*汇率!B52</f>
        <v>38140837079322.844</v>
      </c>
    </row>
    <row r="34" spans="8:15" x14ac:dyDescent="0.25">
      <c r="H34">
        <v>2051</v>
      </c>
      <c r="I34">
        <f t="shared" si="3"/>
        <v>977741.02886626148</v>
      </c>
      <c r="K34">
        <v>2051</v>
      </c>
      <c r="L34">
        <f>I34*就业人口计算!E61</f>
        <v>563518507382602.38</v>
      </c>
      <c r="N34">
        <v>2051</v>
      </c>
      <c r="O34">
        <f>L34*汇率!B53</f>
        <v>39510158236278.445</v>
      </c>
    </row>
    <row r="35" spans="8:15" x14ac:dyDescent="0.25">
      <c r="H35">
        <v>2052</v>
      </c>
      <c r="I35">
        <f t="shared" si="3"/>
        <v>1053267.3725719557</v>
      </c>
      <c r="K35">
        <v>2052</v>
      </c>
      <c r="L35">
        <f>I35*就业人口计算!E62</f>
        <v>595587489778647.38</v>
      </c>
      <c r="N35">
        <v>2052</v>
      </c>
      <c r="O35">
        <f>L35*汇率!B54</f>
        <v>40859707763576.211</v>
      </c>
    </row>
    <row r="36" spans="8:15" x14ac:dyDescent="0.25">
      <c r="H36">
        <v>2053</v>
      </c>
      <c r="I36">
        <f t="shared" si="3"/>
        <v>1134627.8056992271</v>
      </c>
      <c r="K36">
        <v>2053</v>
      </c>
      <c r="L36">
        <f>I36*就业人口计算!E63</f>
        <v>628508432333073</v>
      </c>
      <c r="N36">
        <v>2053</v>
      </c>
      <c r="O36">
        <f>L36*汇率!B55</f>
        <v>42190036606538.18</v>
      </c>
    </row>
    <row r="37" spans="8:15" x14ac:dyDescent="0.25">
      <c r="H37">
        <v>2054</v>
      </c>
      <c r="I37">
        <f t="shared" si="3"/>
        <v>1222272.9868886105</v>
      </c>
      <c r="K37">
        <v>2054</v>
      </c>
      <c r="L37">
        <f>I37*就业人口计算!E64</f>
        <v>662474906135906.5</v>
      </c>
      <c r="N37">
        <v>2054</v>
      </c>
      <c r="O37">
        <f>L37*汇率!B56</f>
        <v>43512829997786.938</v>
      </c>
    </row>
    <row r="38" spans="8:15" x14ac:dyDescent="0.25">
      <c r="H38">
        <v>2055</v>
      </c>
      <c r="I38">
        <f t="shared" si="3"/>
        <v>1316688.3862474542</v>
      </c>
      <c r="K38">
        <v>2055</v>
      </c>
      <c r="L38">
        <f>I38*就业人口计算!E65</f>
        <v>697951250028817.63</v>
      </c>
      <c r="N38">
        <v>2055</v>
      </c>
      <c r="O38">
        <f>L38*汇率!B57</f>
        <v>44856159904210.891</v>
      </c>
    </row>
    <row r="39" spans="8:15" x14ac:dyDescent="0.25">
      <c r="H39">
        <v>2056</v>
      </c>
      <c r="I39">
        <f t="shared" si="3"/>
        <v>1418396.9743879479</v>
      </c>
      <c r="K39">
        <v>2056</v>
      </c>
      <c r="L39">
        <f>I39*就业人口计算!E66</f>
        <v>735807378610097.5</v>
      </c>
      <c r="N39">
        <v>2056</v>
      </c>
      <c r="O39">
        <f>L39*汇率!B58</f>
        <v>46271144809018.586</v>
      </c>
    </row>
    <row r="40" spans="8:15" x14ac:dyDescent="0.25">
      <c r="H40">
        <v>2057</v>
      </c>
      <c r="I40">
        <f t="shared" si="3"/>
        <v>1527962.1191819219</v>
      </c>
      <c r="K40">
        <v>2057</v>
      </c>
      <c r="L40">
        <f>I40*就业人口计算!E67</f>
        <v>777496738184844.5</v>
      </c>
      <c r="N40">
        <v>2057</v>
      </c>
      <c r="O40">
        <f>L40*汇率!B59</f>
        <v>47840288058435.672</v>
      </c>
    </row>
    <row r="41" spans="8:15" x14ac:dyDescent="0.25">
      <c r="H41">
        <v>2058</v>
      </c>
      <c r="I41">
        <f t="shared" si="3"/>
        <v>1645990.7062776566</v>
      </c>
      <c r="K41">
        <v>2058</v>
      </c>
      <c r="L41">
        <f>I41*就业人口计算!E68</f>
        <v>825287987115065.63</v>
      </c>
      <c r="N41">
        <v>2058</v>
      </c>
      <c r="O41">
        <f>L41*汇率!B60</f>
        <v>49687807996161.93</v>
      </c>
    </row>
    <row r="42" spans="8:15" x14ac:dyDescent="0.25">
      <c r="H42">
        <v>2059</v>
      </c>
      <c r="I42">
        <f t="shared" si="3"/>
        <v>1773136.5006633692</v>
      </c>
      <c r="K42">
        <v>2059</v>
      </c>
      <c r="L42">
        <f>I42*就业人口计算!E69</f>
        <v>882563137041608.38</v>
      </c>
      <c r="N42">
        <v>2059</v>
      </c>
      <c r="O42">
        <f>L42*汇率!B61</f>
        <v>51992320667465.617</v>
      </c>
    </row>
    <row r="43" spans="8:15" x14ac:dyDescent="0.25">
      <c r="H43">
        <v>2060</v>
      </c>
      <c r="I43">
        <f t="shared" si="3"/>
        <v>1910103.7678972078</v>
      </c>
      <c r="K43">
        <v>2060</v>
      </c>
      <c r="L43">
        <f>I43*就业人口计算!E70</f>
        <v>954197437584864.25</v>
      </c>
      <c r="N43">
        <v>2060</v>
      </c>
      <c r="O43">
        <f>L43*汇率!B62</f>
        <v>55002289654939.828</v>
      </c>
    </row>
  </sheetData>
  <phoneticPr fontId="8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"/>
  <sheetViews>
    <sheetView workbookViewId="0">
      <selection sqref="A1:XFD2"/>
    </sheetView>
  </sheetViews>
  <sheetFormatPr defaultColWidth="9" defaultRowHeight="13.8" x14ac:dyDescent="0.25"/>
  <cols>
    <col min="2" max="2" width="18.44140625" customWidth="1"/>
    <col min="3" max="43" width="18.44140625" bestFit="1" customWidth="1"/>
  </cols>
  <sheetData>
    <row r="1" spans="1:43" x14ac:dyDescent="0.25">
      <c r="A1" s="5" t="s">
        <v>65</v>
      </c>
      <c r="B1" s="20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s="16" customFormat="1" x14ac:dyDescent="0.25">
      <c r="A2" s="15" t="s">
        <v>66</v>
      </c>
      <c r="B2" s="18">
        <v>1404986233.33338</v>
      </c>
      <c r="C2" s="16">
        <v>1409794440</v>
      </c>
      <c r="D2" s="16">
        <v>1413833784.9300799</v>
      </c>
      <c r="E2" s="16">
        <v>1417114543.0341401</v>
      </c>
      <c r="F2" s="16">
        <v>1419656700.6887701</v>
      </c>
      <c r="G2" s="16">
        <v>1421488177.5708201</v>
      </c>
      <c r="H2" s="16">
        <v>1422643159.1796899</v>
      </c>
      <c r="I2" s="16">
        <v>1423160540.04778</v>
      </c>
      <c r="J2" s="16">
        <v>1423082477.6389899</v>
      </c>
      <c r="K2" s="16">
        <v>1422453056.93542</v>
      </c>
      <c r="L2" s="16">
        <v>1421317065.7121201</v>
      </c>
      <c r="M2" s="16">
        <v>1419718880.5</v>
      </c>
      <c r="N2" s="16">
        <v>1417701463.23684</v>
      </c>
      <c r="O2" s="16">
        <v>1415305468.6064601</v>
      </c>
      <c r="P2" s="16">
        <v>1412568462.0659499</v>
      </c>
      <c r="Q2" s="16">
        <v>1409524248.56106</v>
      </c>
      <c r="R2" s="16">
        <v>1406202311.9296899</v>
      </c>
      <c r="S2" s="16">
        <v>1402627364.99354</v>
      </c>
      <c r="T2" s="16">
        <v>1398819010.33781</v>
      </c>
      <c r="U2" s="16">
        <v>1394791511.7790999</v>
      </c>
      <c r="V2" s="16">
        <v>1390553676.5213599</v>
      </c>
      <c r="W2" s="16">
        <v>1386108848</v>
      </c>
      <c r="X2" s="16">
        <v>1381455009.4140999</v>
      </c>
      <c r="Y2" s="16">
        <v>1376584997.94678</v>
      </c>
      <c r="Z2" s="16">
        <v>1371486829.67363</v>
      </c>
      <c r="AA2" s="16">
        <v>1366144135.1592901</v>
      </c>
      <c r="AB2" s="16">
        <v>1360536705.7421899</v>
      </c>
      <c r="AC2" s="16">
        <v>1354641150.5072999</v>
      </c>
      <c r="AD2" s="16">
        <v>1348431663.94713</v>
      </c>
      <c r="AE2" s="16">
        <v>1341880904.31078</v>
      </c>
      <c r="AF2" s="16">
        <v>1334960982.6410999</v>
      </c>
      <c r="AG2" s="16">
        <v>1327644562.5</v>
      </c>
      <c r="AH2" s="16">
        <v>1319906070.38186</v>
      </c>
      <c r="AI2" s="16">
        <v>1311723016.8151</v>
      </c>
      <c r="AJ2" s="16">
        <v>1303077428.1518099</v>
      </c>
      <c r="AK2" s="16">
        <v>1293957389.0455401</v>
      </c>
      <c r="AL2" s="16">
        <v>1284358695.6171801</v>
      </c>
      <c r="AM2" s="16">
        <v>1274286619.3090501</v>
      </c>
      <c r="AN2" s="16">
        <v>1263757781.42695</v>
      </c>
      <c r="AO2" s="16">
        <v>1252802138.37046</v>
      </c>
      <c r="AP2" s="16">
        <v>1241465077.5513401</v>
      </c>
      <c r="AQ2" s="16">
        <v>1229809624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2"/>
  <sheetViews>
    <sheetView tabSelected="1" workbookViewId="0">
      <selection activeCell="A11" sqref="A11"/>
    </sheetView>
  </sheetViews>
  <sheetFormatPr defaultColWidth="9" defaultRowHeight="13.8" x14ac:dyDescent="0.25"/>
  <cols>
    <col min="1" max="1" width="27.6640625" customWidth="1"/>
    <col min="2" max="2" width="14.109375" bestFit="1" customWidth="1"/>
    <col min="3" max="3" width="11.6640625" bestFit="1" customWidth="1"/>
  </cols>
  <sheetData>
    <row r="1" spans="1:43" x14ac:dyDescent="0.25">
      <c r="A1" s="5" t="s">
        <v>65</v>
      </c>
      <c r="B1" s="20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25">
      <c r="A2" s="7" t="s">
        <v>67</v>
      </c>
      <c r="B2" s="7">
        <v>756075416.75402272</v>
      </c>
      <c r="C2">
        <v>750640000</v>
      </c>
      <c r="D2">
        <v>748756491.72068906</v>
      </c>
      <c r="E2">
        <v>749009036.11495101</v>
      </c>
      <c r="F2">
        <v>750280905.80221403</v>
      </c>
      <c r="G2">
        <v>751717864.67263901</v>
      </c>
      <c r="H2">
        <v>752693601.25675905</v>
      </c>
      <c r="I2">
        <v>752777232.614622</v>
      </c>
      <c r="J2">
        <v>751702878.744326</v>
      </c>
      <c r="K2">
        <v>749341307.510095</v>
      </c>
      <c r="L2">
        <v>745673650.08977902</v>
      </c>
      <c r="M2">
        <v>740767186.94182897</v>
      </c>
      <c r="N2">
        <v>734753204.29175103</v>
      </c>
      <c r="O2">
        <v>727806921.13797796</v>
      </c>
      <c r="P2">
        <v>720129486.77733696</v>
      </c>
      <c r="Q2">
        <v>711932048.84978795</v>
      </c>
      <c r="R2">
        <v>703421891.90280998</v>
      </c>
      <c r="S2">
        <v>694790646.47514498</v>
      </c>
      <c r="T2">
        <v>686204568.70000899</v>
      </c>
      <c r="U2">
        <v>677796890.42791498</v>
      </c>
      <c r="V2">
        <v>669662239.868734</v>
      </c>
      <c r="W2">
        <v>661853132.75338197</v>
      </c>
      <c r="X2">
        <v>654378534.01494801</v>
      </c>
      <c r="Y2">
        <v>647204489.98921704</v>
      </c>
      <c r="Z2">
        <v>640256831.13479698</v>
      </c>
      <c r="AA2">
        <v>633425945.27257299</v>
      </c>
      <c r="AB2">
        <v>626573621.34468699</v>
      </c>
      <c r="AC2">
        <v>619541963.69297397</v>
      </c>
      <c r="AD2">
        <v>612164376.85691202</v>
      </c>
      <c r="AE2">
        <v>604278620.89098406</v>
      </c>
      <c r="AF2">
        <v>595741937.20146203</v>
      </c>
      <c r="AG2">
        <v>586448244.90278804</v>
      </c>
      <c r="AH2">
        <v>576347407.69345605</v>
      </c>
      <c r="AI2">
        <v>565466571.25084305</v>
      </c>
      <c r="AJ2">
        <v>553933571.14648497</v>
      </c>
      <c r="AK2">
        <v>542002411.27989495</v>
      </c>
      <c r="AL2">
        <v>530080812.83223802</v>
      </c>
      <c r="AM2">
        <v>518759833.73949701</v>
      </c>
      <c r="AN2">
        <v>508845558.68513298</v>
      </c>
      <c r="AO2">
        <v>501392859.61184001</v>
      </c>
      <c r="AP2">
        <v>497741226.75350899</v>
      </c>
      <c r="AQ2">
        <v>499552670.18572497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"/>
  <sheetViews>
    <sheetView workbookViewId="0">
      <selection activeCell="D27" sqref="D27"/>
    </sheetView>
  </sheetViews>
  <sheetFormatPr defaultColWidth="9" defaultRowHeight="13.8" x14ac:dyDescent="0.25"/>
  <sheetData>
    <row r="1" spans="1:43" x14ac:dyDescent="0.25">
      <c r="A1" s="5" t="s">
        <v>68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25">
      <c r="A2" s="6" t="s">
        <v>69</v>
      </c>
      <c r="B2" s="6">
        <v>9477713619655.707</v>
      </c>
      <c r="C2">
        <v>10061792771500.1</v>
      </c>
      <c r="D2">
        <v>10579086336261.6</v>
      </c>
      <c r="E2">
        <v>11154715888934</v>
      </c>
      <c r="F2">
        <v>11777666314251.5</v>
      </c>
      <c r="G2">
        <v>12438102130933.801</v>
      </c>
      <c r="H2">
        <v>13127480040440.1</v>
      </c>
      <c r="I2">
        <v>13838643248878.4</v>
      </c>
      <c r="J2">
        <v>14565894060916.9</v>
      </c>
      <c r="K2">
        <v>15305041191632.9</v>
      </c>
      <c r="L2">
        <v>16053418263175.699</v>
      </c>
      <c r="M2">
        <v>16809870066079.199</v>
      </c>
      <c r="N2">
        <v>17574703391078</v>
      </c>
      <c r="O2">
        <v>18349599600685.801</v>
      </c>
      <c r="P2">
        <v>19137486638604.602</v>
      </c>
      <c r="Q2">
        <v>19942368901402.199</v>
      </c>
      <c r="R2">
        <v>20769114357701.5</v>
      </c>
      <c r="S2">
        <v>21623199537405.602</v>
      </c>
      <c r="T2">
        <v>22510414575272.301</v>
      </c>
      <c r="U2">
        <v>23436532433989.199</v>
      </c>
      <c r="V2">
        <v>24406948813717.5</v>
      </c>
      <c r="W2">
        <v>25426302148134.801</v>
      </c>
      <c r="X2">
        <v>26498086570621.102</v>
      </c>
      <c r="Y2">
        <v>27624274898147.898</v>
      </c>
      <c r="Z2">
        <v>28804973625731.699</v>
      </c>
      <c r="AA2">
        <v>30038137764849.699</v>
      </c>
      <c r="AB2">
        <v>31319380223052.699</v>
      </c>
      <c r="AC2">
        <v>32641918452907.699</v>
      </c>
      <c r="AD2">
        <v>33996710457655.898</v>
      </c>
      <c r="AE2">
        <v>35372843109278.797</v>
      </c>
      <c r="AF2">
        <v>36758248314259.703</v>
      </c>
      <c r="AG2">
        <v>38140837079322.797</v>
      </c>
      <c r="AH2">
        <v>39510158236278.398</v>
      </c>
      <c r="AI2">
        <v>40859707763576.203</v>
      </c>
      <c r="AJ2">
        <v>42190036606538.203</v>
      </c>
      <c r="AK2">
        <v>43512829997786.898</v>
      </c>
      <c r="AL2">
        <v>44856159904210.898</v>
      </c>
      <c r="AM2">
        <v>46271144809018.602</v>
      </c>
      <c r="AN2">
        <v>47840288058435.703</v>
      </c>
      <c r="AO2">
        <v>49687807996161.898</v>
      </c>
      <c r="AP2">
        <v>51992320667465.602</v>
      </c>
      <c r="AQ2">
        <v>55002289654939.797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workbookViewId="0">
      <selection activeCell="B21" sqref="B21"/>
    </sheetView>
  </sheetViews>
  <sheetFormatPr defaultColWidth="9" defaultRowHeight="13.8" x14ac:dyDescent="0.25"/>
  <sheetData>
    <row r="1" spans="1:2" ht="41.4" x14ac:dyDescent="0.25">
      <c r="A1" s="1" t="s">
        <v>70</v>
      </c>
      <c r="B1" s="2" t="s">
        <v>71</v>
      </c>
    </row>
    <row r="2" spans="1:2" x14ac:dyDescent="0.25">
      <c r="A2" s="3" t="s">
        <v>72</v>
      </c>
      <c r="B2" s="4">
        <f>[1]Calculation!L45</f>
        <v>0.26402731839314603</v>
      </c>
    </row>
    <row r="3" spans="1:2" x14ac:dyDescent="0.25">
      <c r="A3" s="3" t="s">
        <v>73</v>
      </c>
      <c r="B3" s="4">
        <f>[1]Calculation!L46</f>
        <v>0.25873096752649299</v>
      </c>
    </row>
    <row r="4" spans="1:2" x14ac:dyDescent="0.25">
      <c r="A4" s="3" t="s">
        <v>74</v>
      </c>
      <c r="B4" s="4">
        <f>[1]Calculation!L47</f>
        <v>0.25718247422042501</v>
      </c>
    </row>
    <row r="5" spans="1:2" x14ac:dyDescent="0.25">
      <c r="A5" s="3" t="s">
        <v>75</v>
      </c>
      <c r="B5" s="4">
        <f>[1]Calculation!L48</f>
        <v>0.25065741621071402</v>
      </c>
    </row>
    <row r="6" spans="1:2" x14ac:dyDescent="0.25">
      <c r="A6" s="3" t="s">
        <v>76</v>
      </c>
      <c r="B6" s="4">
        <f>[1]Calculation!L49</f>
        <v>0.234364418959083</v>
      </c>
    </row>
    <row r="7" spans="1:2" x14ac:dyDescent="0.25">
      <c r="A7" s="3" t="s">
        <v>77</v>
      </c>
      <c r="B7" s="4">
        <f>[1]Calculation!L50</f>
        <v>0.22555916594478401</v>
      </c>
    </row>
    <row r="8" spans="1:2" x14ac:dyDescent="0.25">
      <c r="A8" s="3" t="s">
        <v>78</v>
      </c>
      <c r="B8" s="4">
        <f>[1]Calculation!L51</f>
        <v>0.217037097117422</v>
      </c>
    </row>
    <row r="9" spans="1:2" x14ac:dyDescent="0.25">
      <c r="A9" s="3" t="s">
        <v>79</v>
      </c>
      <c r="B9" s="4">
        <f>[1]Calculation!L52</f>
        <v>0.20142712631579199</v>
      </c>
    </row>
    <row r="10" spans="1:2" x14ac:dyDescent="0.25">
      <c r="A10" s="3" t="s">
        <v>80</v>
      </c>
      <c r="B10" s="4">
        <f>[1]Calculation!L53</f>
        <v>0.186860689001348</v>
      </c>
    </row>
    <row r="11" spans="1:2" x14ac:dyDescent="0.25">
      <c r="A11" s="3" t="s">
        <v>81</v>
      </c>
      <c r="B11" s="4">
        <f>[1]Calculation!L54</f>
        <v>0.187253046603439</v>
      </c>
    </row>
    <row r="12" spans="1:2" x14ac:dyDescent="0.25">
      <c r="A12" s="3" t="s">
        <v>82</v>
      </c>
      <c r="B12" s="4">
        <f>[1]Calculation!L55</f>
        <v>0.17519707002278201</v>
      </c>
    </row>
    <row r="13" spans="1:2" x14ac:dyDescent="0.25">
      <c r="A13" s="3" t="s">
        <v>83</v>
      </c>
      <c r="B13" s="4">
        <f>[1]Calculation!L56</f>
        <v>0.16210590836123601</v>
      </c>
    </row>
    <row r="14" spans="1:2" x14ac:dyDescent="0.25">
      <c r="A14" s="3" t="s">
        <v>84</v>
      </c>
      <c r="B14" s="4">
        <f>[1]Calculation!L57</f>
        <v>0.158412957650193</v>
      </c>
    </row>
    <row r="15" spans="1:2" x14ac:dyDescent="0.25">
      <c r="A15" s="3" t="s">
        <v>85</v>
      </c>
      <c r="B15" s="4">
        <f>[1]Calculation!L58</f>
        <v>0.15505846920337699</v>
      </c>
    </row>
    <row r="16" spans="1:2" x14ac:dyDescent="0.25">
      <c r="A16" s="3" t="s">
        <v>86</v>
      </c>
      <c r="B16" s="4">
        <f>[1]Calculation!L59</f>
        <v>0.15347603355213099</v>
      </c>
    </row>
    <row r="17" spans="1:2" x14ac:dyDescent="0.25">
      <c r="A17" s="3" t="s">
        <v>87</v>
      </c>
      <c r="B17" s="4">
        <f>[1]Calculation!L60</f>
        <v>0.153480552163204</v>
      </c>
    </row>
    <row r="18" spans="1:2" x14ac:dyDescent="0.25">
      <c r="A18" s="3" t="s">
        <v>88</v>
      </c>
      <c r="B18" s="4">
        <f>[1]Calculation!L61</f>
        <v>0.15135052654071199</v>
      </c>
    </row>
    <row r="19" spans="1:2" x14ac:dyDescent="0.25">
      <c r="A19" s="3" t="s">
        <v>89</v>
      </c>
      <c r="B19" s="4">
        <f>[1]Calculation!L62</f>
        <v>0.14520448257929899</v>
      </c>
    </row>
    <row r="20" spans="1:2" x14ac:dyDescent="0.25">
      <c r="A20" s="3" t="s">
        <v>90</v>
      </c>
      <c r="B20" s="4">
        <f>[1]Calculation!L63</f>
        <v>0.14029452814745599</v>
      </c>
    </row>
    <row r="21" spans="1:2" x14ac:dyDescent="0.25">
      <c r="A21" s="3" t="s">
        <v>91</v>
      </c>
      <c r="B21" s="4">
        <f>[1]Calculation!L64</f>
        <v>0.138511262027254</v>
      </c>
    </row>
    <row r="22" spans="1:2" x14ac:dyDescent="0.25">
      <c r="A22" s="3" t="s">
        <v>92</v>
      </c>
      <c r="B22" s="4">
        <f>[1]Calculation!L65</f>
        <v>0.13765067798823399</v>
      </c>
    </row>
    <row r="23" spans="1:2" x14ac:dyDescent="0.25">
      <c r="A23" s="3">
        <v>2021</v>
      </c>
      <c r="B23">
        <f t="shared" ref="B23:B62" si="0">B22/(1+0.022)</f>
        <v>0.13468755184758707</v>
      </c>
    </row>
    <row r="24" spans="1:2" x14ac:dyDescent="0.25">
      <c r="A24" s="3">
        <v>2022</v>
      </c>
      <c r="B24">
        <f t="shared" si="0"/>
        <v>0.13178821120116152</v>
      </c>
    </row>
    <row r="25" spans="1:2" x14ac:dyDescent="0.25">
      <c r="A25" s="3">
        <v>2023</v>
      </c>
      <c r="B25">
        <f t="shared" si="0"/>
        <v>0.12895128297569619</v>
      </c>
    </row>
    <row r="26" spans="1:2" x14ac:dyDescent="0.25">
      <c r="A26" s="3">
        <v>2024</v>
      </c>
      <c r="B26">
        <f t="shared" si="0"/>
        <v>0.12617542365528003</v>
      </c>
    </row>
    <row r="27" spans="1:2" x14ac:dyDescent="0.25">
      <c r="A27" s="3">
        <v>2025</v>
      </c>
      <c r="B27">
        <f t="shared" si="0"/>
        <v>0.12345931864508809</v>
      </c>
    </row>
    <row r="28" spans="1:2" x14ac:dyDescent="0.25">
      <c r="A28" s="3">
        <v>2026</v>
      </c>
      <c r="B28">
        <f t="shared" si="0"/>
        <v>0.12080168164881418</v>
      </c>
    </row>
    <row r="29" spans="1:2" x14ac:dyDescent="0.25">
      <c r="A29" s="3">
        <v>2027</v>
      </c>
      <c r="B29">
        <f t="shared" si="0"/>
        <v>0.11820125405950506</v>
      </c>
    </row>
    <row r="30" spans="1:2" x14ac:dyDescent="0.25">
      <c r="A30" s="3">
        <v>2028</v>
      </c>
      <c r="B30">
        <f t="shared" si="0"/>
        <v>0.11565680436350788</v>
      </c>
    </row>
    <row r="31" spans="1:2" x14ac:dyDescent="0.25">
      <c r="A31" s="3">
        <v>2029</v>
      </c>
      <c r="B31">
        <f t="shared" si="0"/>
        <v>0.11316712755724841</v>
      </c>
    </row>
    <row r="32" spans="1:2" x14ac:dyDescent="0.25">
      <c r="A32" s="3">
        <v>2030</v>
      </c>
      <c r="B32">
        <f t="shared" si="0"/>
        <v>0.11073104457656399</v>
      </c>
    </row>
    <row r="33" spans="1:2" x14ac:dyDescent="0.25">
      <c r="A33" s="3">
        <v>2031</v>
      </c>
      <c r="B33">
        <f t="shared" si="0"/>
        <v>0.10834740173832093</v>
      </c>
    </row>
    <row r="34" spans="1:2" x14ac:dyDescent="0.25">
      <c r="A34" s="3">
        <v>2032</v>
      </c>
      <c r="B34">
        <f t="shared" si="0"/>
        <v>0.10601507019405179</v>
      </c>
    </row>
    <row r="35" spans="1:2" x14ac:dyDescent="0.25">
      <c r="A35" s="3">
        <v>2033</v>
      </c>
      <c r="B35">
        <f t="shared" si="0"/>
        <v>0.10373294539535401</v>
      </c>
    </row>
    <row r="36" spans="1:2" x14ac:dyDescent="0.25">
      <c r="A36" s="3">
        <v>2034</v>
      </c>
      <c r="B36">
        <f t="shared" si="0"/>
        <v>0.10149994657079649</v>
      </c>
    </row>
    <row r="37" spans="1:2" x14ac:dyDescent="0.25">
      <c r="A37" s="3">
        <v>2035</v>
      </c>
      <c r="B37">
        <f t="shared" si="0"/>
        <v>9.9315016214086574E-2</v>
      </c>
    </row>
    <row r="38" spans="1:2" x14ac:dyDescent="0.25">
      <c r="A38" s="3">
        <v>2036</v>
      </c>
      <c r="B38">
        <f t="shared" si="0"/>
        <v>9.7177119583254964E-2</v>
      </c>
    </row>
    <row r="39" spans="1:2" x14ac:dyDescent="0.25">
      <c r="A39" s="3">
        <v>2037</v>
      </c>
      <c r="B39">
        <f t="shared" si="0"/>
        <v>9.5085244210621298E-2</v>
      </c>
    </row>
    <row r="40" spans="1:2" x14ac:dyDescent="0.25">
      <c r="A40" s="3">
        <v>2038</v>
      </c>
      <c r="B40">
        <f t="shared" si="0"/>
        <v>9.3038399423308507E-2</v>
      </c>
    </row>
    <row r="41" spans="1:2" x14ac:dyDescent="0.25">
      <c r="A41" s="3">
        <v>2039</v>
      </c>
      <c r="B41">
        <f t="shared" si="0"/>
        <v>9.1035615874078768E-2</v>
      </c>
    </row>
    <row r="42" spans="1:2" x14ac:dyDescent="0.25">
      <c r="A42" s="3">
        <v>2040</v>
      </c>
      <c r="B42">
        <f t="shared" si="0"/>
        <v>8.9075945082268848E-2</v>
      </c>
    </row>
    <row r="43" spans="1:2" x14ac:dyDescent="0.25">
      <c r="A43" s="3">
        <v>2041</v>
      </c>
      <c r="B43">
        <f t="shared" si="0"/>
        <v>8.7158458984607487E-2</v>
      </c>
    </row>
    <row r="44" spans="1:2" x14ac:dyDescent="0.25">
      <c r="A44" s="3">
        <v>2042</v>
      </c>
      <c r="B44">
        <f t="shared" si="0"/>
        <v>8.5282249495702039E-2</v>
      </c>
    </row>
    <row r="45" spans="1:2" x14ac:dyDescent="0.25">
      <c r="A45" s="3">
        <v>2043</v>
      </c>
      <c r="B45">
        <f t="shared" si="0"/>
        <v>8.3446428077986343E-2</v>
      </c>
    </row>
    <row r="46" spans="1:2" x14ac:dyDescent="0.25">
      <c r="A46" s="3">
        <v>2044</v>
      </c>
      <c r="B46">
        <f t="shared" si="0"/>
        <v>8.165012532092597E-2</v>
      </c>
    </row>
    <row r="47" spans="1:2" x14ac:dyDescent="0.25">
      <c r="A47" s="3">
        <v>2045</v>
      </c>
      <c r="B47">
        <f t="shared" si="0"/>
        <v>7.9892490529281768E-2</v>
      </c>
    </row>
    <row r="48" spans="1:2" x14ac:dyDescent="0.25">
      <c r="A48" s="3">
        <v>2046</v>
      </c>
      <c r="B48">
        <f t="shared" si="0"/>
        <v>7.8172691320236562E-2</v>
      </c>
    </row>
    <row r="49" spans="1:2" x14ac:dyDescent="0.25">
      <c r="A49" s="3">
        <v>2047</v>
      </c>
      <c r="B49">
        <f t="shared" si="0"/>
        <v>7.6489913229194281E-2</v>
      </c>
    </row>
    <row r="50" spans="1:2" x14ac:dyDescent="0.25">
      <c r="A50" s="3">
        <v>2048</v>
      </c>
      <c r="B50">
        <f t="shared" si="0"/>
        <v>7.4843359324064856E-2</v>
      </c>
    </row>
    <row r="51" spans="1:2" x14ac:dyDescent="0.25">
      <c r="A51" s="3">
        <v>2049</v>
      </c>
      <c r="B51">
        <f t="shared" si="0"/>
        <v>7.3232249827852106E-2</v>
      </c>
    </row>
    <row r="52" spans="1:2" x14ac:dyDescent="0.25">
      <c r="A52" s="3">
        <v>2050</v>
      </c>
      <c r="B52">
        <f t="shared" si="0"/>
        <v>7.165582174936605E-2</v>
      </c>
    </row>
    <row r="53" spans="1:2" x14ac:dyDescent="0.25">
      <c r="A53" s="3">
        <v>2051</v>
      </c>
      <c r="B53">
        <f t="shared" si="0"/>
        <v>7.0113328521884594E-2</v>
      </c>
    </row>
    <row r="54" spans="1:2" x14ac:dyDescent="0.25">
      <c r="A54" s="3">
        <v>2052</v>
      </c>
      <c r="B54">
        <f t="shared" si="0"/>
        <v>6.8604039649593537E-2</v>
      </c>
    </row>
    <row r="55" spans="1:2" x14ac:dyDescent="0.25">
      <c r="A55" s="3">
        <v>2053</v>
      </c>
      <c r="B55">
        <f t="shared" si="0"/>
        <v>6.7127240361637516E-2</v>
      </c>
    </row>
    <row r="56" spans="1:2" x14ac:dyDescent="0.25">
      <c r="A56" s="3">
        <v>2054</v>
      </c>
      <c r="B56">
        <f t="shared" si="0"/>
        <v>6.5682231273617928E-2</v>
      </c>
    </row>
    <row r="57" spans="1:2" x14ac:dyDescent="0.25">
      <c r="A57" s="3">
        <v>2055</v>
      </c>
      <c r="B57">
        <f t="shared" si="0"/>
        <v>6.4268328056377624E-2</v>
      </c>
    </row>
    <row r="58" spans="1:2" x14ac:dyDescent="0.25">
      <c r="A58" s="3">
        <v>2056</v>
      </c>
      <c r="B58">
        <f t="shared" si="0"/>
        <v>6.2884861111915477E-2</v>
      </c>
    </row>
    <row r="59" spans="1:2" x14ac:dyDescent="0.25">
      <c r="A59" s="3">
        <v>2057</v>
      </c>
      <c r="B59">
        <f t="shared" si="0"/>
        <v>6.1531175256277375E-2</v>
      </c>
    </row>
    <row r="60" spans="1:2" x14ac:dyDescent="0.25">
      <c r="A60" s="3">
        <v>2058</v>
      </c>
      <c r="B60">
        <f t="shared" si="0"/>
        <v>6.0206629409273363E-2</v>
      </c>
    </row>
    <row r="61" spans="1:2" x14ac:dyDescent="0.25">
      <c r="A61" s="3">
        <v>2059</v>
      </c>
      <c r="B61">
        <f t="shared" si="0"/>
        <v>5.8910596290874133E-2</v>
      </c>
    </row>
    <row r="62" spans="1:2" x14ac:dyDescent="0.25">
      <c r="A62" s="3">
        <v>2060</v>
      </c>
      <c r="B62">
        <f t="shared" si="0"/>
        <v>5.7642462124142986E-2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About</vt:lpstr>
      <vt:lpstr>就业人口计算</vt:lpstr>
      <vt:lpstr>工资外推</vt:lpstr>
      <vt:lpstr>BPEaCP-population</vt:lpstr>
      <vt:lpstr>BPEaCP-employedpop</vt:lpstr>
      <vt:lpstr>BPEaCP-employeecomp</vt:lpstr>
      <vt:lpstr>汇率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2020 zhlx</cp:lastModifiedBy>
  <dcterms:created xsi:type="dcterms:W3CDTF">2023-02-09T08:08:00Z</dcterms:created>
  <dcterms:modified xsi:type="dcterms:W3CDTF">2026-04-02T06:52:00Z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B6BED47B8BBB4A249769141ECB7F0190</vt:lpwstr>
  </property>
  <property fmtid="{D5CDD505-2E9C-101B-9397-08002B2CF9AE}" pid="3" name="KSOProductBuildVer">
    <vt:lpwstr>2052-11.1.0.13703</vt:lpwstr>
  </property>
</Properties>
</file>