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About" sheetId="1" r:id="rId1"/>
    <sheet name="2020年全国投入产出表" sheetId="2" r:id="rId2"/>
    <sheet name="GaHEbIC-government" sheetId="3" r:id="rId3"/>
    <sheet name="GaHEbIC-household" sheetId="4" r:id="rId4"/>
  </sheets>
  <calcPr calcId="144525" iterate="1" iterateCount="100" iterateDelta="1e-5"/>
</workbook>
</file>

<file path=xl/sharedStrings.xml><?xml version="1.0" encoding="utf-8"?>
<sst xmlns="http://schemas.openxmlformats.org/spreadsheetml/2006/main" count="398" uniqueCount="143">
  <si>
    <t>GaHEbIC Government and Household Expenditures by ISIC Code</t>
  </si>
  <si>
    <t>Source:</t>
  </si>
  <si>
    <t>2020年全国投入产出表</t>
  </si>
  <si>
    <t>国家统计局</t>
  </si>
  <si>
    <t>https://data.stats.gov.cn/files/html/quickSearch/trcc/trcc01.html</t>
  </si>
  <si>
    <t>Notes</t>
  </si>
  <si>
    <t>“2020年全国投入产出表”是根据我国2020年全年投入产出表中竞争型和非竞争型两张表结合美国EPS模型总结出来42个部门的投入产出表。政府消费支出是根据“2020年全国投入产出表”中各行业政府消费支出数额乘以当年2020年人民币相对2012美元的汇率得出。</t>
  </si>
  <si>
    <t>We convert 2020 RMB to 2012 USD with the following conversion factor:</t>
  </si>
  <si>
    <t>2020年人民币相对2012美元</t>
  </si>
  <si>
    <t>(按当年生产者价格计算） （Data are calculated at producers' prices in 2020)</t>
  </si>
  <si>
    <t>单位：万元</t>
  </si>
  <si>
    <t xml:space="preserve">   投入                  产出</t>
  </si>
  <si>
    <t>部门名称</t>
  </si>
  <si>
    <t>最终使用</t>
  </si>
  <si>
    <t>进口</t>
  </si>
  <si>
    <t>总产出</t>
  </si>
  <si>
    <t>农林牧渔产品和服务</t>
  </si>
  <si>
    <t>煤炭开采和洗选产品</t>
  </si>
  <si>
    <t>石油和天然气开采产品</t>
  </si>
  <si>
    <t>金属矿采选产品&amp;非金属矿</t>
  </si>
  <si>
    <t>开采辅助活动和其他采矿产品</t>
  </si>
  <si>
    <t>食品和烟草</t>
  </si>
  <si>
    <t>纺织品、纺织服装鞋帽皮革羽绒及其制品</t>
  </si>
  <si>
    <t>木材加工品和家具</t>
  </si>
  <si>
    <t>造纸印刷和文教体育用品</t>
  </si>
  <si>
    <t>石油、炼焦产品和核燃料加工品</t>
  </si>
  <si>
    <t>化学原料和化学制品制造业&amp;化学纤维制造业</t>
  </si>
  <si>
    <t>医药制造业</t>
  </si>
  <si>
    <t>橡胶和塑料制品业</t>
  </si>
  <si>
    <t>非金属矿物制品</t>
  </si>
  <si>
    <t>黑色金属冶炼和压延加工品</t>
  </si>
  <si>
    <t>有色金属冶炼和压延加工品</t>
  </si>
  <si>
    <t>金属制品</t>
  </si>
  <si>
    <t>通用设备</t>
  </si>
  <si>
    <t>专用设备</t>
  </si>
  <si>
    <t>汽车制造业</t>
  </si>
  <si>
    <t>铁路、船舶、航空航天和其他运输设备</t>
  </si>
  <si>
    <t>电气机械和器材</t>
  </si>
  <si>
    <t>通信设备、计算机和其他电子设备&amp;仪器仪表</t>
  </si>
  <si>
    <t>其他制造产品和废品废料、金属制品、机械和设备修理服务</t>
  </si>
  <si>
    <t>电力、热力生产和供应</t>
  </si>
  <si>
    <t>燃气生产和供应</t>
  </si>
  <si>
    <t>水的生产和供应</t>
  </si>
  <si>
    <t>建筑</t>
  </si>
  <si>
    <t>批发和零售</t>
  </si>
  <si>
    <t>交通运输、仓储和邮政</t>
  </si>
  <si>
    <t>住宿和餐饮</t>
  </si>
  <si>
    <t>信息传输、软件和信息技术服务</t>
  </si>
  <si>
    <t>金融</t>
  </si>
  <si>
    <t>房地产</t>
  </si>
  <si>
    <t>租赁和商务服务</t>
  </si>
  <si>
    <t>研究和试验发展</t>
  </si>
  <si>
    <t>综合技术服务</t>
  </si>
  <si>
    <t>居民服务、修理和其他服务</t>
  </si>
  <si>
    <t>教育</t>
  </si>
  <si>
    <t>卫生和社会工作</t>
  </si>
  <si>
    <t>文化、体育和娱乐</t>
  </si>
  <si>
    <t>水利、环境和公共设施管理、公共管理、社会保障和社会组织</t>
  </si>
  <si>
    <t>中间使用合计</t>
  </si>
  <si>
    <t>农村居民消费支出</t>
  </si>
  <si>
    <t>城镇居民消费支出</t>
  </si>
  <si>
    <t>居民消费支出</t>
  </si>
  <si>
    <t>政府消费支出</t>
  </si>
  <si>
    <t>消费支出合计</t>
  </si>
  <si>
    <t>固定资本形成总额</t>
  </si>
  <si>
    <t>存货变动</t>
  </si>
  <si>
    <t>资本形成总额</t>
  </si>
  <si>
    <t>出口</t>
  </si>
  <si>
    <t>最终使用合计</t>
  </si>
  <si>
    <t>代码</t>
  </si>
  <si>
    <t>ISIC 01T03</t>
  </si>
  <si>
    <t>ISIC 05</t>
  </si>
  <si>
    <t>ISIC 06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</si>
  <si>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</si>
  <si>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</si>
  <si>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</si>
  <si>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</si>
  <si>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</si>
  <si>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</si>
  <si>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</si>
  <si>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20</t>
  </si>
  <si>
    <t>ISIC 21</t>
  </si>
  <si>
    <t>ISIC 22</t>
  </si>
  <si>
    <t>ISIC 231</t>
  </si>
  <si>
    <t>ISIC 241</t>
  </si>
  <si>
    <t>ISIC 242</t>
  </si>
  <si>
    <t>ISIC 25</t>
  </si>
  <si>
    <t>ISIC 28</t>
  </si>
  <si>
    <t>ISIC 239</t>
  </si>
  <si>
    <t>ISIC 29</t>
  </si>
  <si>
    <t>ISIC 30</t>
  </si>
  <si>
    <t>ISIC 27</t>
  </si>
  <si>
    <t>ISIC 26</t>
  </si>
  <si>
    <t>ISIC 31T33</t>
  </si>
  <si>
    <t>ISIC 351</t>
  </si>
  <si>
    <t>ISIC 352T353</t>
  </si>
  <si>
    <t>ISIC 36T39</t>
  </si>
  <si>
    <t>ISIC 41T43</t>
  </si>
  <si>
    <t>ISIC 45T47</t>
  </si>
  <si>
    <t>ISIC 49T53</t>
  </si>
  <si>
    <t>ISIC 55T56</t>
  </si>
  <si>
    <t>ISIC 58T60</t>
  </si>
  <si>
    <t>ISIC 64T66</t>
  </si>
  <si>
    <t>ISIC 68</t>
  </si>
  <si>
    <t>ISIC 61</t>
  </si>
  <si>
    <t>ISIC 69T82</t>
  </si>
  <si>
    <t>ISIC 97T98</t>
  </si>
  <si>
    <t>ISIC 85</t>
  </si>
  <si>
    <t>ISIC 86T88</t>
  </si>
  <si>
    <t>ISIC 90T96</t>
  </si>
  <si>
    <t>ISIC 84</t>
  </si>
  <si>
    <t>TIU</t>
  </si>
  <si>
    <t>FU101</t>
  </si>
  <si>
    <t>FU102</t>
  </si>
  <si>
    <t>THC</t>
  </si>
  <si>
    <t>FU103</t>
  </si>
  <si>
    <t>TC</t>
  </si>
  <si>
    <t>FU201</t>
  </si>
  <si>
    <t>FU202</t>
  </si>
  <si>
    <t>GCF</t>
  </si>
  <si>
    <t>EX</t>
  </si>
  <si>
    <t>TFU</t>
  </si>
  <si>
    <t>IM</t>
  </si>
  <si>
    <t>GO</t>
  </si>
  <si>
    <t>中间投入合计</t>
  </si>
  <si>
    <t>TII</t>
  </si>
  <si>
    <t>增加值</t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</si>
  <si>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</si>
  <si>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</si>
  <si>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</si>
  <si>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</si>
  <si>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</si>
  <si>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</si>
  <si>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</si>
  <si>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</si>
  <si>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增加值合计</t>
  </si>
  <si>
    <t>TVA</t>
  </si>
  <si>
    <t>总投入</t>
  </si>
  <si>
    <t>TI</t>
  </si>
  <si>
    <t>Unit: USD</t>
  </si>
  <si>
    <t>ISIC 62T63</t>
  </si>
  <si>
    <t>Government Expenditures</t>
  </si>
  <si>
    <t>Household Expenditures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</si>
</sst>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00_ "/>
  </numFmts>
  <fonts count="35">
    <font>
      <sz val="11"/>
      <color theme="1"/>
      <name val="宋体"/>
      <charset val="134"/>
      <scheme val="minor"/>
    </font>
    <font>
      <i/>
      <sz val="11"/>
      <color theme="1"/>
      <name val="宋体"/>
      <charset val="134"/>
      <scheme val="minor"/>
    </font>
    <font>
      <sz val="9"/>
      <name val="宋体"/>
      <charset val="134"/>
    </font>
    <font>
      <b/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9"/>
      <name val="宋体"/>
      <charset val="134"/>
      <scheme val="minor"/>
    </font>
    <font>
      <b/>
      <sz val="9"/>
      <name val="宋体"/>
      <charset val="134"/>
      <scheme val="minor"/>
    </font>
    <font>
      <b/>
      <sz val="9"/>
      <name val="宋体"/>
      <charset val="134"/>
    </font>
    <font>
      <b/>
      <sz val="9"/>
      <color theme="1"/>
      <name val="宋体"/>
      <charset val="134"/>
      <scheme val="minor"/>
    </font>
    <font>
      <b/>
      <sz val="11"/>
      <color indexed="8"/>
      <name val="宋体"/>
      <charset val="134"/>
      <scheme val="minor"/>
    </font>
    <font>
      <u/>
      <sz val="11"/>
      <color theme="1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"/>
      <name val="Arial"/>
      <charset val="134"/>
    </font>
    <font>
      <sz val="12"/>
      <name val="宋体"/>
      <charset val="134"/>
    </font>
    <font>
      <sz val="11"/>
      <color indexed="8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7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 diagonalDown="1">
      <left/>
      <right/>
      <top style="medium">
        <color auto="1"/>
      </top>
      <bottom/>
      <diagonal style="thin">
        <color auto="1"/>
      </diagonal>
    </border>
    <border diagonalDown="1">
      <left/>
      <right style="thin">
        <color auto="1"/>
      </right>
      <top style="medium">
        <color auto="1"/>
      </top>
      <bottom/>
      <diagonal style="thin">
        <color auto="1"/>
      </diagonal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 diagonalDown="1">
      <left/>
      <right/>
      <top/>
      <bottom style="thin">
        <color auto="1"/>
      </bottom>
      <diagonal style="thin">
        <color auto="1"/>
      </diagonal>
    </border>
    <border diagonalDown="1">
      <left/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4" fillId="3" borderId="2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7" borderId="30" applyNumberFormat="0" applyFont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31" applyNumberFormat="0" applyFill="0" applyAlignment="0" applyProtection="0">
      <alignment vertical="center"/>
    </xf>
    <xf numFmtId="0" fontId="24" fillId="0" borderId="31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9" fillId="0" borderId="32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25" fillId="11" borderId="33" applyNumberFormat="0" applyAlignment="0" applyProtection="0">
      <alignment vertical="center"/>
    </xf>
    <xf numFmtId="0" fontId="26" fillId="11" borderId="29" applyNumberFormat="0" applyAlignment="0" applyProtection="0">
      <alignment vertical="center"/>
    </xf>
    <xf numFmtId="0" fontId="27" fillId="12" borderId="34" applyNumberFormat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8" fillId="0" borderId="35" applyNumberFormat="0" applyFill="0" applyAlignment="0" applyProtection="0">
      <alignment vertical="center"/>
    </xf>
    <xf numFmtId="0" fontId="29" fillId="0" borderId="36" applyNumberFormat="0" applyFill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32" fillId="0" borderId="0"/>
    <xf numFmtId="0" fontId="13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33" fillId="0" borderId="0"/>
    <xf numFmtId="0" fontId="16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0" fillId="0" borderId="0">
      <alignment vertical="center"/>
    </xf>
    <xf numFmtId="0" fontId="33" fillId="0" borderId="0"/>
    <xf numFmtId="0" fontId="0" fillId="0" borderId="0"/>
  </cellStyleXfs>
  <cellXfs count="114">
    <xf numFmtId="0" fontId="0" fillId="0" borderId="0" xfId="0">
      <alignment vertical="center"/>
    </xf>
    <xf numFmtId="0" fontId="1" fillId="0" borderId="0" xfId="0" applyFont="1" applyFill="1" applyAlignment="1">
      <alignment horizontal="left"/>
    </xf>
    <xf numFmtId="0" fontId="0" fillId="0" borderId="0" xfId="0" applyFont="1" applyFill="1" applyBorder="1" applyAlignment="1">
      <alignment horizontal="right"/>
    </xf>
    <xf numFmtId="0" fontId="0" fillId="0" borderId="0" xfId="0" applyFont="1" applyFill="1" applyAlignment="1">
      <alignment horizontal="right"/>
    </xf>
    <xf numFmtId="0" fontId="0" fillId="0" borderId="0" xfId="0" applyFont="1" applyFill="1" applyAlignment="1"/>
    <xf numFmtId="0" fontId="2" fillId="0" borderId="1" xfId="54" applyFont="1" applyFill="1" applyBorder="1" applyAlignment="1">
      <alignment horizontal="justify" vertical="center" wrapText="1"/>
    </xf>
    <xf numFmtId="0" fontId="2" fillId="0" borderId="2" xfId="54" applyFont="1" applyFill="1" applyBorder="1" applyAlignment="1">
      <alignment horizontal="justify" vertical="center" wrapText="1"/>
    </xf>
    <xf numFmtId="0" fontId="3" fillId="0" borderId="0" xfId="52" applyFont="1" applyFill="1" applyAlignment="1">
      <alignment horizontal="left" vertical="center"/>
    </xf>
    <xf numFmtId="0" fontId="0" fillId="0" borderId="0" xfId="54"/>
    <xf numFmtId="0" fontId="0" fillId="0" borderId="0" xfId="54" applyBorder="1"/>
    <xf numFmtId="0" fontId="0" fillId="0" borderId="0" xfId="52" applyFont="1" applyFill="1" applyAlignment="1">
      <alignment horizontal="left" vertical="center"/>
    </xf>
    <xf numFmtId="0" fontId="0" fillId="0" borderId="0" xfId="54" applyFill="1"/>
    <xf numFmtId="1" fontId="4" fillId="0" borderId="0" xfId="54" applyNumberFormat="1" applyFont="1" applyFill="1" applyBorder="1"/>
    <xf numFmtId="0" fontId="0" fillId="0" borderId="3" xfId="0" applyFont="1" applyFill="1" applyBorder="1" applyAlignment="1"/>
    <xf numFmtId="0" fontId="4" fillId="0" borderId="3" xfId="54" applyFont="1" applyBorder="1"/>
    <xf numFmtId="0" fontId="0" fillId="0" borderId="3" xfId="54" applyBorder="1"/>
    <xf numFmtId="0" fontId="5" fillId="0" borderId="0" xfId="54" applyFont="1" applyBorder="1" applyAlignment="1">
      <alignment horizont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 textRotation="255"/>
    </xf>
    <xf numFmtId="0" fontId="4" fillId="0" borderId="7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 textRotation="255"/>
    </xf>
    <xf numFmtId="0" fontId="4" fillId="0" borderId="11" xfId="53" applyFont="1" applyBorder="1" applyAlignment="1">
      <alignment vertical="center"/>
    </xf>
    <xf numFmtId="0" fontId="2" fillId="0" borderId="10" xfId="54" applyFont="1" applyFill="1" applyBorder="1" applyAlignment="1">
      <alignment horizontal="center" vertical="center" wrapText="1"/>
    </xf>
    <xf numFmtId="0" fontId="0" fillId="0" borderId="0" xfId="54" applyFont="1"/>
    <xf numFmtId="0" fontId="4" fillId="0" borderId="2" xfId="54" applyFont="1" applyBorder="1" applyAlignment="1">
      <alignment vertical="center"/>
    </xf>
    <xf numFmtId="0" fontId="4" fillId="0" borderId="12" xfId="54" applyFont="1" applyBorder="1" applyAlignment="1">
      <alignment horizontal="center" vertical="center"/>
    </xf>
    <xf numFmtId="49" fontId="4" fillId="0" borderId="11" xfId="54" applyNumberFormat="1" applyFont="1" applyBorder="1" applyAlignment="1">
      <alignment horizontal="center" vertical="center"/>
    </xf>
    <xf numFmtId="49" fontId="4" fillId="0" borderId="11" xfId="54" applyNumberFormat="1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horizontal="center" vertical="center"/>
    </xf>
    <xf numFmtId="49" fontId="7" fillId="0" borderId="14" xfId="54" applyNumberFormat="1" applyFont="1" applyFill="1" applyBorder="1" applyAlignment="1">
      <alignment horizontal="center" vertical="center" wrapText="1"/>
    </xf>
    <xf numFmtId="1" fontId="7" fillId="0" borderId="15" xfId="54" applyNumberFormat="1" applyFont="1" applyFill="1" applyBorder="1" applyAlignment="1">
      <alignment horizontal="right" vertical="center" wrapText="1"/>
    </xf>
    <xf numFmtId="49" fontId="7" fillId="0" borderId="14" xfId="51" applyNumberFormat="1" applyFont="1" applyFill="1" applyBorder="1" applyAlignment="1">
      <alignment horizontal="center" vertical="center" wrapText="1"/>
    </xf>
    <xf numFmtId="0" fontId="0" fillId="0" borderId="13" xfId="0" applyFill="1" applyBorder="1" applyAlignment="1">
      <alignment vertical="center"/>
    </xf>
    <xf numFmtId="49" fontId="8" fillId="0" borderId="16" xfId="0" applyNumberFormat="1" applyFont="1" applyFill="1" applyBorder="1" applyAlignment="1">
      <alignment horizontal="center" vertical="center" wrapText="1"/>
    </xf>
    <xf numFmtId="0" fontId="0" fillId="0" borderId="17" xfId="0" applyFill="1" applyBorder="1" applyAlignment="1">
      <alignment vertical="center"/>
    </xf>
    <xf numFmtId="0" fontId="9" fillId="0" borderId="1" xfId="54" applyFont="1" applyFill="1" applyBorder="1" applyAlignment="1">
      <alignment horizontal="justify" vertical="center" wrapText="1"/>
    </xf>
    <xf numFmtId="49" fontId="8" fillId="0" borderId="11" xfId="0" applyNumberFormat="1" applyFont="1" applyFill="1" applyBorder="1" applyAlignment="1">
      <alignment horizontal="center" vertical="center" wrapText="1"/>
    </xf>
    <xf numFmtId="1" fontId="8" fillId="0" borderId="10" xfId="54" applyNumberFormat="1" applyFont="1" applyFill="1" applyBorder="1" applyAlignment="1">
      <alignment horizontal="right" vertical="center" wrapText="1"/>
    </xf>
    <xf numFmtId="0" fontId="6" fillId="0" borderId="17" xfId="0" applyFont="1" applyFill="1" applyBorder="1" applyAlignment="1">
      <alignment horizontal="center" vertical="center"/>
    </xf>
    <xf numFmtId="0" fontId="2" fillId="0" borderId="13" xfId="54" applyFont="1" applyFill="1" applyBorder="1" applyAlignment="1">
      <alignment horizontal="justify" vertical="center" wrapText="1"/>
    </xf>
    <xf numFmtId="49" fontId="7" fillId="0" borderId="18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49" fontId="7" fillId="0" borderId="14" xfId="0" applyNumberFormat="1" applyFont="1" applyFill="1" applyBorder="1" applyAlignment="1">
      <alignment horizontal="center" vertical="center" wrapText="1"/>
    </xf>
    <xf numFmtId="0" fontId="9" fillId="0" borderId="13" xfId="54" applyFont="1" applyFill="1" applyBorder="1" applyAlignment="1">
      <alignment horizontal="justify" vertical="center" wrapText="1"/>
    </xf>
    <xf numFmtId="49" fontId="8" fillId="0" borderId="14" xfId="0" applyNumberFormat="1" applyFont="1" applyFill="1" applyBorder="1" applyAlignment="1">
      <alignment horizontal="center" vertical="center" wrapText="1"/>
    </xf>
    <xf numFmtId="1" fontId="8" fillId="0" borderId="15" xfId="54" applyNumberFormat="1" applyFont="1" applyFill="1" applyBorder="1" applyAlignment="1">
      <alignment horizontal="right" vertical="center" wrapText="1"/>
    </xf>
    <xf numFmtId="0" fontId="9" fillId="0" borderId="19" xfId="0" applyFont="1" applyFill="1" applyBorder="1" applyAlignment="1">
      <alignment horizontal="center" vertical="top" wrapText="1"/>
    </xf>
    <xf numFmtId="0" fontId="9" fillId="0" borderId="20" xfId="0" applyFont="1" applyFill="1" applyBorder="1" applyAlignment="1">
      <alignment horizontal="center" vertical="top" wrapText="1"/>
    </xf>
    <xf numFmtId="49" fontId="8" fillId="0" borderId="21" xfId="0" applyNumberFormat="1" applyFont="1" applyFill="1" applyBorder="1" applyAlignment="1">
      <alignment horizontal="center" vertical="top" wrapText="1"/>
    </xf>
    <xf numFmtId="1" fontId="10" fillId="0" borderId="22" xfId="54" applyNumberFormat="1" applyFont="1" applyBorder="1" applyAlignment="1">
      <alignment horizontal="right" vertical="center"/>
    </xf>
    <xf numFmtId="1" fontId="10" fillId="0" borderId="22" xfId="54" applyNumberFormat="1" applyFont="1" applyFill="1" applyBorder="1" applyAlignment="1">
      <alignment horizontal="right" vertical="center"/>
    </xf>
    <xf numFmtId="0" fontId="2" fillId="0" borderId="17" xfId="54" applyFont="1" applyFill="1" applyBorder="1" applyAlignment="1">
      <alignment horizontal="center" vertical="center" wrapText="1"/>
    </xf>
    <xf numFmtId="0" fontId="7" fillId="0" borderId="17" xfId="47" applyFont="1" applyFill="1" applyBorder="1" applyAlignment="1">
      <alignment horizontal="center" vertical="center" wrapText="1"/>
    </xf>
    <xf numFmtId="0" fontId="0" fillId="0" borderId="0" xfId="54" applyFill="1" applyBorder="1"/>
    <xf numFmtId="1" fontId="4" fillId="0" borderId="0" xfId="54" applyNumberFormat="1" applyFont="1" applyBorder="1"/>
    <xf numFmtId="0" fontId="2" fillId="0" borderId="0" xfId="0" applyFont="1" applyFill="1" applyBorder="1" applyAlignment="1">
      <alignment horizontal="center" vertical="center" wrapText="1"/>
    </xf>
    <xf numFmtId="0" fontId="0" fillId="0" borderId="7" xfId="0" applyFill="1" applyBorder="1" applyAlignment="1">
      <alignment vertical="center"/>
    </xf>
    <xf numFmtId="0" fontId="0" fillId="0" borderId="23" xfId="0" applyFill="1" applyBorder="1" applyAlignment="1">
      <alignment vertical="center"/>
    </xf>
    <xf numFmtId="0" fontId="2" fillId="0" borderId="24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8" fillId="0" borderId="11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49" fontId="4" fillId="0" borderId="11" xfId="0" applyNumberFormat="1" applyFont="1" applyFill="1" applyBorder="1" applyAlignment="1">
      <alignment horizontal="center" vertical="center"/>
    </xf>
    <xf numFmtId="1" fontId="10" fillId="0" borderId="15" xfId="54" applyNumberFormat="1" applyFont="1" applyBorder="1" applyAlignment="1">
      <alignment horizontal="right" vertical="center"/>
    </xf>
    <xf numFmtId="1" fontId="4" fillId="0" borderId="15" xfId="54" applyNumberFormat="1" applyFont="1" applyFill="1" applyBorder="1" applyAlignment="1">
      <alignment horizontal="right" vertical="center"/>
    </xf>
    <xf numFmtId="1" fontId="10" fillId="0" borderId="25" xfId="54" applyNumberFormat="1" applyFont="1" applyBorder="1" applyAlignment="1">
      <alignment horizontal="right" vertical="center"/>
    </xf>
    <xf numFmtId="0" fontId="0" fillId="0" borderId="26" xfId="54" applyBorder="1" applyAlignment="1">
      <alignment horizontal="right" vertical="center"/>
    </xf>
    <xf numFmtId="0" fontId="0" fillId="0" borderId="0" xfId="54" applyBorder="1" applyAlignment="1">
      <alignment horizontal="right" vertical="center"/>
    </xf>
    <xf numFmtId="1" fontId="0" fillId="0" borderId="0" xfId="54" applyNumberFormat="1" applyBorder="1" applyAlignment="1">
      <alignment horizontal="right" vertical="center"/>
    </xf>
    <xf numFmtId="1" fontId="10" fillId="0" borderId="27" xfId="54" applyNumberFormat="1" applyFont="1" applyBorder="1" applyAlignment="1">
      <alignment horizontal="right" vertical="center"/>
    </xf>
    <xf numFmtId="0" fontId="0" fillId="0" borderId="3" xfId="54" applyBorder="1" applyAlignment="1">
      <alignment horizontal="right" vertical="center"/>
    </xf>
    <xf numFmtId="0" fontId="3" fillId="0" borderId="0" xfId="54" applyFont="1" applyBorder="1"/>
    <xf numFmtId="0" fontId="11" fillId="0" borderId="0" xfId="0" applyFont="1" applyFill="1" applyAlignment="1"/>
    <xf numFmtId="1" fontId="10" fillId="0" borderId="0" xfId="54" applyNumberFormat="1" applyFont="1" applyBorder="1"/>
    <xf numFmtId="1" fontId="0" fillId="0" borderId="0" xfId="54" applyNumberFormat="1" applyBorder="1"/>
    <xf numFmtId="0" fontId="11" fillId="0" borderId="3" xfId="0" applyFont="1" applyFill="1" applyBorder="1" applyAlignment="1"/>
    <xf numFmtId="0" fontId="2" fillId="0" borderId="23" xfId="0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8" fillId="0" borderId="14" xfId="0" applyFont="1" applyFill="1" applyBorder="1" applyAlignment="1">
      <alignment horizontal="center" vertical="center" wrapText="1"/>
    </xf>
    <xf numFmtId="49" fontId="10" fillId="0" borderId="11" xfId="0" applyNumberFormat="1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/>
    </xf>
    <xf numFmtId="0" fontId="10" fillId="0" borderId="11" xfId="0" applyFont="1" applyFill="1" applyBorder="1" applyAlignment="1">
      <alignment horizontal="center" vertical="center"/>
    </xf>
    <xf numFmtId="1" fontId="4" fillId="0" borderId="15" xfId="54" applyNumberFormat="1" applyFont="1" applyBorder="1" applyAlignment="1">
      <alignment horizontal="right" vertical="center"/>
    </xf>
    <xf numFmtId="176" fontId="10" fillId="0" borderId="15" xfId="0" applyNumberFormat="1" applyFont="1" applyFill="1" applyBorder="1" applyAlignment="1">
      <alignment horizontal="right" vertical="center"/>
    </xf>
    <xf numFmtId="0" fontId="3" fillId="0" borderId="26" xfId="54" applyFont="1" applyBorder="1" applyAlignment="1">
      <alignment horizontal="right" vertical="center"/>
    </xf>
    <xf numFmtId="0" fontId="3" fillId="0" borderId="26" xfId="0" applyFont="1" applyFill="1" applyBorder="1" applyAlignment="1">
      <alignment horizontal="right" vertical="center"/>
    </xf>
    <xf numFmtId="0" fontId="3" fillId="0" borderId="0" xfId="54" applyFont="1" applyBorder="1" applyAlignment="1">
      <alignment horizontal="right" vertical="center"/>
    </xf>
    <xf numFmtId="0" fontId="3" fillId="0" borderId="0" xfId="0" applyFont="1" applyFill="1" applyBorder="1" applyAlignment="1">
      <alignment horizontal="right" vertical="center"/>
    </xf>
    <xf numFmtId="0" fontId="11" fillId="0" borderId="0" xfId="0" applyFont="1" applyFill="1" applyBorder="1" applyAlignment="1">
      <alignment horizontal="right" vertical="center"/>
    </xf>
    <xf numFmtId="0" fontId="3" fillId="0" borderId="3" xfId="54" applyFont="1" applyBorder="1" applyAlignment="1">
      <alignment horizontal="right" vertical="center"/>
    </xf>
    <xf numFmtId="0" fontId="11" fillId="0" borderId="3" xfId="0" applyFont="1" applyFill="1" applyBorder="1" applyAlignment="1">
      <alignment horizontal="right" vertical="center"/>
    </xf>
    <xf numFmtId="0" fontId="2" fillId="0" borderId="6" xfId="0" applyFont="1" applyFill="1" applyBorder="1" applyAlignment="1">
      <alignment horizontal="center" vertical="center" wrapText="1"/>
    </xf>
    <xf numFmtId="0" fontId="10" fillId="0" borderId="28" xfId="0" applyFont="1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11" fillId="0" borderId="25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1" fontId="10" fillId="0" borderId="25" xfId="54" applyNumberFormat="1" applyFont="1" applyFill="1" applyBorder="1" applyAlignment="1">
      <alignment horizontal="right" vertical="center"/>
    </xf>
    <xf numFmtId="1" fontId="8" fillId="0" borderId="18" xfId="54" applyNumberFormat="1" applyFont="1" applyFill="1" applyBorder="1" applyAlignment="1">
      <alignment horizontal="right" vertical="center" wrapText="1"/>
    </xf>
    <xf numFmtId="0" fontId="3" fillId="0" borderId="0" xfId="0" applyFont="1" applyFill="1" applyAlignment="1"/>
    <xf numFmtId="0" fontId="0" fillId="0" borderId="0" xfId="0" applyFont="1" applyFill="1" applyAlignment="1"/>
    <xf numFmtId="0" fontId="3" fillId="0" borderId="0" xfId="0" applyFont="1" applyFill="1" applyAlignment="1"/>
    <xf numFmtId="0" fontId="3" fillId="0" borderId="0" xfId="0" applyFont="1" applyFill="1" applyAlignment="1"/>
    <xf numFmtId="0" fontId="0" fillId="0" borderId="0" xfId="0" applyFont="1" applyFill="1" applyAlignment="1">
      <alignment horizontal="left"/>
    </xf>
    <xf numFmtId="0" fontId="12" fillId="0" borderId="0" xfId="10" applyFont="1" applyFill="1" applyAlignment="1"/>
    <xf numFmtId="0" fontId="1" fillId="0" borderId="0" xfId="0" applyFont="1" applyFill="1" applyAlignment="1"/>
    <xf numFmtId="0" fontId="1" fillId="0" borderId="0" xfId="0" applyFont="1" applyFill="1" applyAlignment="1"/>
    <xf numFmtId="177" fontId="0" fillId="0" borderId="0" xfId="0" applyNumberFormat="1" applyFont="1" applyFill="1" applyAlignment="1">
      <alignment vertical="center"/>
    </xf>
    <xf numFmtId="177" fontId="0" fillId="0" borderId="0" xfId="0" applyNumberFormat="1" applyFont="1" applyFill="1" applyAlignment="1">
      <alignment wrapText="1"/>
    </xf>
    <xf numFmtId="0" fontId="0" fillId="0" borderId="0" xfId="0" applyFill="1">
      <alignment vertical="center"/>
    </xf>
  </cellXfs>
  <cellStyles count="55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Normal 2" xf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常规_Sheet1_1 2" xfId="47"/>
    <cellStyle name="强调文字颜色 6" xfId="48" builtinId="49"/>
    <cellStyle name="40% - 强调文字颜色 6" xfId="49" builtinId="51"/>
    <cellStyle name="60% - 强调文字颜色 6" xfId="50" builtinId="52"/>
    <cellStyle name="常规_Sheet1" xfId="51"/>
    <cellStyle name="常规 2" xfId="52"/>
    <cellStyle name="常规 4" xfId="53"/>
    <cellStyle name="常规 5" xfId="54"/>
  </cellStyles>
  <dxfs count="1">
    <dxf>
      <fill>
        <patternFill patternType="solid"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tabSelected="1" workbookViewId="0">
      <selection activeCell="F7" sqref="F7"/>
    </sheetView>
  </sheetViews>
  <sheetFormatPr defaultColWidth="9" defaultRowHeight="13.5"/>
  <sheetData>
    <row r="1" spans="1:10">
      <c r="A1" s="103" t="s">
        <v>0</v>
      </c>
      <c r="B1" s="4"/>
      <c r="C1" s="103"/>
      <c r="D1" s="4"/>
      <c r="E1" s="103"/>
      <c r="F1" s="4"/>
      <c r="G1" s="103"/>
      <c r="H1" s="4"/>
      <c r="I1" s="103"/>
      <c r="J1" s="4"/>
    </row>
    <row r="2" spans="1:11">
      <c r="A2" s="104"/>
      <c r="B2" s="104"/>
      <c r="C2" s="104"/>
      <c r="D2" s="104"/>
      <c r="E2" s="104"/>
      <c r="F2" s="104"/>
      <c r="G2" s="104"/>
      <c r="H2" s="104"/>
      <c r="I2" s="104"/>
      <c r="J2" s="104"/>
      <c r="K2" s="113"/>
    </row>
    <row r="3" spans="1:11">
      <c r="A3" s="105" t="s">
        <v>1</v>
      </c>
      <c r="B3" s="106" t="s">
        <v>2</v>
      </c>
      <c r="C3" s="105"/>
      <c r="D3" s="106"/>
      <c r="E3" s="105"/>
      <c r="F3" s="106"/>
      <c r="G3" s="105"/>
      <c r="H3" s="106"/>
      <c r="I3" s="105"/>
      <c r="J3" s="106"/>
      <c r="K3" s="113"/>
    </row>
    <row r="4" spans="1:11">
      <c r="A4" s="104"/>
      <c r="B4" s="104" t="s">
        <v>3</v>
      </c>
      <c r="C4" s="104"/>
      <c r="D4" s="104"/>
      <c r="E4" s="104"/>
      <c r="F4" s="104"/>
      <c r="G4" s="104"/>
      <c r="H4" s="104"/>
      <c r="I4" s="104"/>
      <c r="J4" s="104"/>
      <c r="K4" s="113"/>
    </row>
    <row r="5" spans="1:11">
      <c r="A5" s="104"/>
      <c r="B5" s="107">
        <v>2020</v>
      </c>
      <c r="C5" s="104"/>
      <c r="D5" s="107"/>
      <c r="E5" s="104"/>
      <c r="F5" s="107"/>
      <c r="G5" s="104"/>
      <c r="H5" s="107"/>
      <c r="I5" s="104"/>
      <c r="J5" s="107"/>
      <c r="K5" s="113"/>
    </row>
    <row r="6" spans="1:11">
      <c r="A6" s="104"/>
      <c r="B6" s="104" t="s">
        <v>4</v>
      </c>
      <c r="C6" s="104"/>
      <c r="D6" s="104"/>
      <c r="E6" s="104"/>
      <c r="F6" s="104"/>
      <c r="G6" s="104"/>
      <c r="H6" s="104"/>
      <c r="I6" s="104"/>
      <c r="J6" s="104"/>
      <c r="K6" s="113"/>
    </row>
    <row r="7" spans="1:11">
      <c r="A7" s="104"/>
      <c r="B7" s="108"/>
      <c r="C7" s="104"/>
      <c r="D7" s="108"/>
      <c r="E7" s="104"/>
      <c r="F7" s="108"/>
      <c r="G7" s="104"/>
      <c r="H7" s="108"/>
      <c r="I7" s="104"/>
      <c r="J7" s="108"/>
      <c r="K7" s="113"/>
    </row>
    <row r="8" spans="1:11">
      <c r="A8" s="103" t="s">
        <v>5</v>
      </c>
      <c r="B8" s="104"/>
      <c r="C8" s="104"/>
      <c r="D8" s="104"/>
      <c r="E8" s="104"/>
      <c r="F8" s="104"/>
      <c r="G8" s="104"/>
      <c r="H8" s="104"/>
      <c r="I8" s="104"/>
      <c r="J8" s="104"/>
      <c r="K8" s="113"/>
    </row>
    <row r="9" spans="1:11">
      <c r="A9" s="4" t="s">
        <v>6</v>
      </c>
      <c r="B9" s="104"/>
      <c r="C9" s="104"/>
      <c r="D9" s="104"/>
      <c r="E9" s="104"/>
      <c r="F9" s="104"/>
      <c r="G9" s="104"/>
      <c r="H9" s="104"/>
      <c r="I9" s="104"/>
      <c r="J9" s="104"/>
      <c r="K9" s="113"/>
    </row>
    <row r="10" spans="1:11">
      <c r="A10" s="104"/>
      <c r="B10" s="106"/>
      <c r="C10" s="104"/>
      <c r="D10" s="106"/>
      <c r="E10" s="104"/>
      <c r="F10" s="106"/>
      <c r="G10" s="104"/>
      <c r="H10" s="106"/>
      <c r="I10" s="104"/>
      <c r="J10" s="106"/>
      <c r="K10" s="113"/>
    </row>
    <row r="11" spans="1:11">
      <c r="A11" s="104"/>
      <c r="B11" s="109"/>
      <c r="C11" s="104"/>
      <c r="D11" s="109"/>
      <c r="E11" s="104"/>
      <c r="F11" s="109"/>
      <c r="G11" s="104"/>
      <c r="H11" s="109"/>
      <c r="I11" s="104"/>
      <c r="J11" s="109"/>
      <c r="K11" s="113"/>
    </row>
    <row r="12" spans="1:11">
      <c r="A12" s="104"/>
      <c r="B12" s="104"/>
      <c r="C12" s="104"/>
      <c r="D12" s="104"/>
      <c r="E12" s="104"/>
      <c r="F12" s="104"/>
      <c r="G12" s="104"/>
      <c r="H12" s="104"/>
      <c r="I12" s="104"/>
      <c r="J12" s="104"/>
      <c r="K12" s="113"/>
    </row>
    <row r="13" spans="1:10">
      <c r="A13" s="103"/>
      <c r="B13" s="4"/>
      <c r="C13" s="103"/>
      <c r="D13" s="4"/>
      <c r="E13" s="103"/>
      <c r="F13" s="4"/>
      <c r="G13" s="103"/>
      <c r="H13" s="4"/>
      <c r="I13" s="103"/>
      <c r="J13" s="4"/>
    </row>
    <row r="14" spans="1:10">
      <c r="A14" s="4"/>
      <c r="B14" s="4"/>
      <c r="C14" s="4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4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4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4"/>
      <c r="D17" s="4"/>
      <c r="E17" s="4"/>
      <c r="F17" s="4"/>
      <c r="G17" s="4"/>
      <c r="H17" s="4"/>
      <c r="I17" s="4"/>
      <c r="J17" s="4"/>
    </row>
    <row r="18" spans="1:10">
      <c r="A18" s="110"/>
      <c r="B18" s="4"/>
      <c r="C18" s="110"/>
      <c r="D18" s="4"/>
      <c r="E18" s="110"/>
      <c r="F18" s="4"/>
      <c r="G18" s="110"/>
      <c r="H18" s="4"/>
      <c r="I18" s="110"/>
      <c r="J18" s="4"/>
    </row>
    <row r="19" spans="1:10">
      <c r="A19" s="110"/>
      <c r="B19" s="4"/>
      <c r="C19" s="110"/>
      <c r="D19" s="4"/>
      <c r="E19" s="110"/>
      <c r="F19" s="4"/>
      <c r="G19" s="110"/>
      <c r="H19" s="4"/>
      <c r="I19" s="110"/>
      <c r="J19" s="4"/>
    </row>
    <row r="20" spans="1:10">
      <c r="A20" s="103"/>
      <c r="B20" s="4"/>
      <c r="C20" s="103"/>
      <c r="D20" s="4"/>
      <c r="E20" s="103"/>
      <c r="F20" s="4"/>
      <c r="G20" s="103"/>
      <c r="H20" s="4"/>
      <c r="I20" s="103"/>
      <c r="J20" s="4"/>
    </row>
    <row r="21" spans="1:10">
      <c r="A21" s="4" t="s">
        <v>7</v>
      </c>
      <c r="B21" s="4"/>
      <c r="C21" s="4"/>
      <c r="D21" s="4"/>
      <c r="E21" s="4"/>
      <c r="F21" s="4"/>
      <c r="G21" s="4"/>
      <c r="H21" s="4"/>
      <c r="I21" s="4"/>
      <c r="J21" s="4"/>
    </row>
    <row r="22" ht="40.5" spans="1:2">
      <c r="A22" s="111">
        <v>0.137650677988234</v>
      </c>
      <c r="B22" s="112" t="s">
        <v>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55"/>
  <sheetViews>
    <sheetView workbookViewId="0">
      <pane xSplit="3" ySplit="6" topLeftCell="AK30" activePane="bottomRight" state="frozen"/>
      <selection/>
      <selection pane="topRight"/>
      <selection pane="bottomLeft"/>
      <selection pane="bottomRight" activeCell="AR47" sqref="AR47"/>
    </sheetView>
  </sheetViews>
  <sheetFormatPr defaultColWidth="9" defaultRowHeight="13.5"/>
  <sheetData>
    <row r="1" spans="1:58">
      <c r="A1" s="7" t="s">
        <v>2</v>
      </c>
      <c r="B1" s="8"/>
      <c r="C1" s="8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74"/>
      <c r="AX1" s="9"/>
      <c r="AY1" s="74"/>
      <c r="AZ1" s="9"/>
      <c r="BA1" s="9"/>
      <c r="BB1" s="74"/>
      <c r="BC1" s="9"/>
      <c r="BD1" s="75"/>
      <c r="BE1" s="9"/>
      <c r="BF1" s="9"/>
    </row>
    <row r="2" spans="1:58">
      <c r="A2" s="10" t="s">
        <v>9</v>
      </c>
      <c r="B2" s="11"/>
      <c r="C2" s="11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56"/>
      <c r="AT2" s="56"/>
      <c r="AU2" s="57"/>
      <c r="AV2" s="57"/>
      <c r="AW2" s="76"/>
      <c r="AX2" s="57"/>
      <c r="AY2" s="76"/>
      <c r="AZ2" s="57"/>
      <c r="BA2" s="57"/>
      <c r="BB2" s="76"/>
      <c r="BC2" s="77"/>
      <c r="BD2" s="75"/>
      <c r="BE2" s="77"/>
      <c r="BF2" s="9"/>
    </row>
    <row r="3" ht="14.25" spans="1:58">
      <c r="A3" s="13" t="s">
        <v>10</v>
      </c>
      <c r="B3" s="14"/>
      <c r="C3" s="15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9"/>
      <c r="AT3" s="9"/>
      <c r="AU3" s="58"/>
      <c r="AV3" s="58"/>
      <c r="AW3" s="58"/>
      <c r="AX3" s="58"/>
      <c r="AY3" s="58"/>
      <c r="AZ3" s="58"/>
      <c r="BA3" s="58"/>
      <c r="BB3" s="58"/>
      <c r="BC3" s="58"/>
      <c r="BD3" s="78"/>
      <c r="BE3" s="9"/>
      <c r="BF3" s="9"/>
    </row>
    <row r="4" spans="1:58">
      <c r="A4" s="17" t="s">
        <v>11</v>
      </c>
      <c r="B4" s="18"/>
      <c r="C4" s="19" t="s">
        <v>12</v>
      </c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59"/>
      <c r="AS4" s="59"/>
      <c r="AT4" s="60"/>
      <c r="AU4" s="61" t="s">
        <v>13</v>
      </c>
      <c r="AV4" s="62"/>
      <c r="AW4" s="62"/>
      <c r="AX4" s="62"/>
      <c r="AY4" s="62"/>
      <c r="AZ4" s="62"/>
      <c r="BA4" s="62"/>
      <c r="BB4" s="62"/>
      <c r="BC4" s="62"/>
      <c r="BD4" s="79"/>
      <c r="BE4" s="95" t="s">
        <v>14</v>
      </c>
      <c r="BF4" s="96" t="s">
        <v>15</v>
      </c>
    </row>
    <row r="5" ht="67.5" spans="1:58">
      <c r="A5" s="21"/>
      <c r="B5" s="22"/>
      <c r="C5" s="23"/>
      <c r="D5" s="24" t="s">
        <v>16</v>
      </c>
      <c r="E5" s="25" t="s">
        <v>17</v>
      </c>
      <c r="F5" s="25" t="s">
        <v>18</v>
      </c>
      <c r="G5" s="25" t="s">
        <v>19</v>
      </c>
      <c r="H5" s="25" t="s">
        <v>20</v>
      </c>
      <c r="I5" s="25" t="s">
        <v>21</v>
      </c>
      <c r="J5" s="25" t="s">
        <v>22</v>
      </c>
      <c r="K5" s="25" t="s">
        <v>23</v>
      </c>
      <c r="L5" s="25" t="s">
        <v>24</v>
      </c>
      <c r="M5" s="25" t="s">
        <v>25</v>
      </c>
      <c r="N5" s="25" t="s">
        <v>26</v>
      </c>
      <c r="O5" s="25" t="s">
        <v>27</v>
      </c>
      <c r="P5" s="25" t="s">
        <v>28</v>
      </c>
      <c r="Q5" s="54" t="s">
        <v>29</v>
      </c>
      <c r="R5" s="54" t="s">
        <v>30</v>
      </c>
      <c r="S5" s="54" t="s">
        <v>31</v>
      </c>
      <c r="T5" s="54" t="s">
        <v>32</v>
      </c>
      <c r="U5" s="55" t="s">
        <v>33</v>
      </c>
      <c r="V5" s="54" t="s">
        <v>34</v>
      </c>
      <c r="W5" s="54" t="s">
        <v>35</v>
      </c>
      <c r="X5" s="54" t="s">
        <v>36</v>
      </c>
      <c r="Y5" s="54" t="s">
        <v>37</v>
      </c>
      <c r="Z5" s="55" t="s">
        <v>38</v>
      </c>
      <c r="AA5" s="55" t="s">
        <v>39</v>
      </c>
      <c r="AB5" s="55" t="s">
        <v>40</v>
      </c>
      <c r="AC5" s="55" t="s">
        <v>41</v>
      </c>
      <c r="AD5" s="54" t="s">
        <v>42</v>
      </c>
      <c r="AE5" s="54" t="s">
        <v>43</v>
      </c>
      <c r="AF5" s="54" t="s">
        <v>44</v>
      </c>
      <c r="AG5" s="54" t="s">
        <v>45</v>
      </c>
      <c r="AH5" s="54" t="s">
        <v>46</v>
      </c>
      <c r="AI5" s="54" t="s">
        <v>47</v>
      </c>
      <c r="AJ5" s="54" t="s">
        <v>48</v>
      </c>
      <c r="AK5" s="54" t="s">
        <v>49</v>
      </c>
      <c r="AL5" s="54" t="s">
        <v>50</v>
      </c>
      <c r="AM5" s="54" t="s">
        <v>51</v>
      </c>
      <c r="AN5" s="54" t="s">
        <v>52</v>
      </c>
      <c r="AO5" s="54" t="s">
        <v>53</v>
      </c>
      <c r="AP5" s="54" t="s">
        <v>54</v>
      </c>
      <c r="AQ5" s="54" t="s">
        <v>55</v>
      </c>
      <c r="AR5" s="54" t="s">
        <v>56</v>
      </c>
      <c r="AS5" s="54" t="s">
        <v>57</v>
      </c>
      <c r="AT5" s="63" t="s">
        <v>58</v>
      </c>
      <c r="AU5" s="64" t="s">
        <v>59</v>
      </c>
      <c r="AV5" s="64" t="s">
        <v>60</v>
      </c>
      <c r="AW5" s="80" t="s">
        <v>61</v>
      </c>
      <c r="AX5" s="64" t="s">
        <v>62</v>
      </c>
      <c r="AY5" s="80" t="s">
        <v>63</v>
      </c>
      <c r="AZ5" s="64" t="s">
        <v>64</v>
      </c>
      <c r="BA5" s="64" t="s">
        <v>65</v>
      </c>
      <c r="BB5" s="80" t="s">
        <v>66</v>
      </c>
      <c r="BC5" s="81" t="s">
        <v>67</v>
      </c>
      <c r="BD5" s="82" t="s">
        <v>68</v>
      </c>
      <c r="BE5" s="97"/>
      <c r="BF5" s="98"/>
    </row>
    <row r="6" spans="1:58">
      <c r="A6" s="26"/>
      <c r="B6" s="27" t="s">
        <v>12</v>
      </c>
      <c r="C6" s="28" t="s">
        <v>69</v>
      </c>
      <c r="D6" s="29" t="s">
        <v>70</v>
      </c>
      <c r="E6" s="29" t="s">
        <v>71</v>
      </c>
      <c r="F6" s="30" t="s">
        <v>72</v>
      </c>
      <c r="G6" s="29" t="s">
        <v>73</v>
      </c>
      <c r="H6" s="29" t="s">
        <v>74</v>
      </c>
      <c r="I6" s="29" t="s">
        <v>75</v>
      </c>
      <c r="J6" s="29" t="s">
        <v>76</v>
      </c>
      <c r="K6" s="29" t="s">
        <v>77</v>
      </c>
      <c r="L6" s="29" t="s">
        <v>78</v>
      </c>
      <c r="M6" s="29" t="s">
        <v>79</v>
      </c>
      <c r="N6" s="29" t="s">
        <v>80</v>
      </c>
      <c r="O6" s="29" t="s">
        <v>81</v>
      </c>
      <c r="P6" s="29" t="s">
        <v>82</v>
      </c>
      <c r="Q6" s="29" t="s">
        <v>83</v>
      </c>
      <c r="R6" s="29" t="s">
        <v>84</v>
      </c>
      <c r="S6" s="29" t="s">
        <v>85</v>
      </c>
      <c r="T6" s="29" t="s">
        <v>86</v>
      </c>
      <c r="U6" s="29" t="s">
        <v>87</v>
      </c>
      <c r="V6" s="29" t="s">
        <v>88</v>
      </c>
      <c r="W6" s="29" t="s">
        <v>89</v>
      </c>
      <c r="X6" s="29" t="s">
        <v>90</v>
      </c>
      <c r="Y6" s="29" t="s">
        <v>91</v>
      </c>
      <c r="Z6" s="29" t="s">
        <v>92</v>
      </c>
      <c r="AA6" s="29" t="s">
        <v>93</v>
      </c>
      <c r="AB6" s="29" t="s">
        <v>94</v>
      </c>
      <c r="AC6" s="29" t="s">
        <v>95</v>
      </c>
      <c r="AD6" s="29" t="s">
        <v>96</v>
      </c>
      <c r="AE6" s="29" t="s">
        <v>97</v>
      </c>
      <c r="AF6" s="29" t="s">
        <v>98</v>
      </c>
      <c r="AG6" s="29" t="s">
        <v>99</v>
      </c>
      <c r="AH6" s="29" t="s">
        <v>100</v>
      </c>
      <c r="AI6" s="29" t="s">
        <v>101</v>
      </c>
      <c r="AJ6" s="29" t="s">
        <v>102</v>
      </c>
      <c r="AK6" s="29" t="s">
        <v>103</v>
      </c>
      <c r="AL6" s="29" t="s">
        <v>104</v>
      </c>
      <c r="AM6" s="29" t="s">
        <v>102</v>
      </c>
      <c r="AN6" s="29" t="s">
        <v>105</v>
      </c>
      <c r="AO6" s="29" t="s">
        <v>106</v>
      </c>
      <c r="AP6" s="29" t="s">
        <v>107</v>
      </c>
      <c r="AQ6" s="29" t="s">
        <v>108</v>
      </c>
      <c r="AR6" s="29" t="s">
        <v>109</v>
      </c>
      <c r="AS6" s="29" t="s">
        <v>110</v>
      </c>
      <c r="AT6" s="29" t="s">
        <v>111</v>
      </c>
      <c r="AU6" s="65" t="s">
        <v>112</v>
      </c>
      <c r="AV6" s="65" t="s">
        <v>113</v>
      </c>
      <c r="AW6" s="83" t="s">
        <v>114</v>
      </c>
      <c r="AX6" s="65" t="s">
        <v>115</v>
      </c>
      <c r="AY6" s="83" t="s">
        <v>116</v>
      </c>
      <c r="AZ6" s="65" t="s">
        <v>117</v>
      </c>
      <c r="BA6" s="65" t="s">
        <v>118</v>
      </c>
      <c r="BB6" s="83" t="s">
        <v>119</v>
      </c>
      <c r="BC6" s="84" t="s">
        <v>120</v>
      </c>
      <c r="BD6" s="85" t="s">
        <v>121</v>
      </c>
      <c r="BE6" s="99" t="s">
        <v>122</v>
      </c>
      <c r="BF6" s="100" t="s">
        <v>123</v>
      </c>
    </row>
    <row r="7" ht="22.5" spans="1:58">
      <c r="A7" s="31"/>
      <c r="B7" s="5" t="s">
        <v>16</v>
      </c>
      <c r="C7" s="32" t="s">
        <v>70</v>
      </c>
      <c r="D7" s="33">
        <v>183133769.008583</v>
      </c>
      <c r="E7" s="33">
        <v>203490.684084433</v>
      </c>
      <c r="F7" s="33">
        <v>2231.1266199761</v>
      </c>
      <c r="G7" s="33">
        <v>30366.117979029</v>
      </c>
      <c r="H7" s="33">
        <v>118.548902968788</v>
      </c>
      <c r="I7" s="33">
        <v>467586720.286462</v>
      </c>
      <c r="J7" s="33">
        <v>82006169.4863677</v>
      </c>
      <c r="K7" s="33">
        <v>31973462.8480059</v>
      </c>
      <c r="L7" s="33">
        <v>53736066.6778196</v>
      </c>
      <c r="M7" s="33">
        <v>15804.3604181711</v>
      </c>
      <c r="N7" s="33">
        <v>11513733.3673205</v>
      </c>
      <c r="O7" s="33">
        <v>44821824.8935635</v>
      </c>
      <c r="P7" s="33">
        <v>7680873.64622667</v>
      </c>
      <c r="Q7" s="33">
        <v>218881.187698502</v>
      </c>
      <c r="R7" s="33">
        <v>20627.1615019683</v>
      </c>
      <c r="S7" s="33">
        <v>15998.1262949325</v>
      </c>
      <c r="T7" s="33">
        <v>97311.762035804</v>
      </c>
      <c r="U7" s="33">
        <v>27411.8810511182</v>
      </c>
      <c r="V7" s="33">
        <v>79539.6850764251</v>
      </c>
      <c r="W7" s="33">
        <v>26629.6079430389</v>
      </c>
      <c r="X7" s="33">
        <v>12565.823957512</v>
      </c>
      <c r="Y7" s="33">
        <v>68073.7608283015</v>
      </c>
      <c r="Z7" s="33">
        <v>2175.57358849856</v>
      </c>
      <c r="AA7" s="33">
        <v>3451035.18212628</v>
      </c>
      <c r="AB7" s="33">
        <v>101721.231936442</v>
      </c>
      <c r="AC7" s="33">
        <v>1310.78692957769</v>
      </c>
      <c r="AD7" s="33">
        <v>0</v>
      </c>
      <c r="AE7" s="33">
        <v>18834171.9565458</v>
      </c>
      <c r="AF7" s="33">
        <v>13768.5932468323</v>
      </c>
      <c r="AG7" s="33">
        <v>154389.965643367</v>
      </c>
      <c r="AH7" s="33">
        <v>53857078.5856267</v>
      </c>
      <c r="AI7" s="33">
        <v>509534.915201121</v>
      </c>
      <c r="AJ7" s="33">
        <v>67279.7391608202</v>
      </c>
      <c r="AK7" s="33">
        <v>336941.12881731</v>
      </c>
      <c r="AL7" s="33">
        <v>7363183.37905528</v>
      </c>
      <c r="AM7" s="33">
        <v>4230391.82619973</v>
      </c>
      <c r="AN7" s="33">
        <v>1149759.56904357</v>
      </c>
      <c r="AO7" s="33">
        <v>2268491.10930721</v>
      </c>
      <c r="AP7" s="33">
        <v>612269.387448122</v>
      </c>
      <c r="AQ7" s="33">
        <v>605609.604752129</v>
      </c>
      <c r="AR7" s="33">
        <v>477755.870843505</v>
      </c>
      <c r="AS7" s="33">
        <v>9519615.66929329</v>
      </c>
      <c r="AT7" s="33">
        <v>954854691.275501</v>
      </c>
      <c r="AU7" s="33">
        <v>109745451.401855</v>
      </c>
      <c r="AV7" s="33">
        <v>221055004.423882</v>
      </c>
      <c r="AW7" s="33">
        <v>330800455.825737</v>
      </c>
      <c r="AX7" s="33">
        <v>19639627.5808391</v>
      </c>
      <c r="AY7" s="33">
        <v>350440083.406576</v>
      </c>
      <c r="AZ7" s="33">
        <v>17577339.566559</v>
      </c>
      <c r="BA7" s="33">
        <v>54901501.621725</v>
      </c>
      <c r="BB7" s="33">
        <v>72478841.188284</v>
      </c>
      <c r="BC7" s="33">
        <v>18171672.0305951</v>
      </c>
      <c r="BD7" s="33">
        <v>441090596.625456</v>
      </c>
      <c r="BE7" s="33">
        <v>64262037.6299852</v>
      </c>
      <c r="BF7" s="33">
        <v>1331683250.27097</v>
      </c>
    </row>
    <row r="8" ht="22.5" spans="1:58">
      <c r="A8" s="31"/>
      <c r="B8" s="5" t="s">
        <v>17</v>
      </c>
      <c r="C8" s="32" t="s">
        <v>71</v>
      </c>
      <c r="D8" s="33">
        <v>601665.538401025</v>
      </c>
      <c r="E8" s="33">
        <v>36204793.6824397</v>
      </c>
      <c r="F8" s="33">
        <v>63785.089784693</v>
      </c>
      <c r="G8" s="33">
        <v>1725453.87063389</v>
      </c>
      <c r="H8" s="33">
        <v>60512.7785480819</v>
      </c>
      <c r="I8" s="33">
        <v>2167450.15250292</v>
      </c>
      <c r="J8" s="33">
        <v>1809485.73078097</v>
      </c>
      <c r="K8" s="33">
        <v>280086.134625741</v>
      </c>
      <c r="L8" s="33">
        <v>3698845.89207886</v>
      </c>
      <c r="M8" s="33">
        <v>22001119.8287461</v>
      </c>
      <c r="N8" s="33">
        <v>21794626.064205</v>
      </c>
      <c r="O8" s="33">
        <v>436019.617841485</v>
      </c>
      <c r="P8" s="33">
        <v>562146.694431589</v>
      </c>
      <c r="Q8" s="33">
        <v>34167884.2571337</v>
      </c>
      <c r="R8" s="33">
        <v>21281682.9252996</v>
      </c>
      <c r="S8" s="33">
        <v>3302161.3408503</v>
      </c>
      <c r="T8" s="33">
        <v>494727.505065456</v>
      </c>
      <c r="U8" s="33">
        <v>360707.784187513</v>
      </c>
      <c r="V8" s="33">
        <v>252507.674668812</v>
      </c>
      <c r="W8" s="33">
        <v>48318.1349362067</v>
      </c>
      <c r="X8" s="33">
        <v>49904.0456402936</v>
      </c>
      <c r="Y8" s="33">
        <v>214230.209912765</v>
      </c>
      <c r="Z8" s="33">
        <v>20070.6192482144</v>
      </c>
      <c r="AA8" s="33">
        <v>178085.135349557</v>
      </c>
      <c r="AB8" s="33">
        <v>93800322.3463987</v>
      </c>
      <c r="AC8" s="33">
        <v>2360515.48707682</v>
      </c>
      <c r="AD8" s="33">
        <v>0</v>
      </c>
      <c r="AE8" s="33">
        <v>843243.224227162</v>
      </c>
      <c r="AF8" s="33">
        <v>45563.8611651301</v>
      </c>
      <c r="AG8" s="33">
        <v>128090.518834844</v>
      </c>
      <c r="AH8" s="33">
        <v>50429.8104455348</v>
      </c>
      <c r="AI8" s="33">
        <v>0</v>
      </c>
      <c r="AJ8" s="33">
        <v>17218.2296443031</v>
      </c>
      <c r="AK8" s="33">
        <v>63307.6896761316</v>
      </c>
      <c r="AL8" s="33">
        <v>64.3019274386463</v>
      </c>
      <c r="AM8" s="33">
        <v>234549.26818834</v>
      </c>
      <c r="AN8" s="33">
        <v>170081.937520875</v>
      </c>
      <c r="AO8" s="33">
        <v>326757.728113347</v>
      </c>
      <c r="AP8" s="33">
        <v>607785.815862455</v>
      </c>
      <c r="AQ8" s="33">
        <v>360760.392665157</v>
      </c>
      <c r="AR8" s="33">
        <v>41612.6851462715</v>
      </c>
      <c r="AS8" s="33">
        <v>603682.145320457</v>
      </c>
      <c r="AT8" s="66">
        <v>251150170.0149</v>
      </c>
      <c r="AU8" s="67">
        <v>753293.483239878</v>
      </c>
      <c r="AV8" s="67">
        <v>468986.096341701</v>
      </c>
      <c r="AW8" s="66">
        <v>1222279.57958158</v>
      </c>
      <c r="AX8" s="67">
        <v>0</v>
      </c>
      <c r="AY8" s="66">
        <v>1222279.57958158</v>
      </c>
      <c r="AZ8" s="67">
        <v>0</v>
      </c>
      <c r="BA8" s="67">
        <v>-2627614.64154689</v>
      </c>
      <c r="BB8" s="66">
        <v>-2627614.64154689</v>
      </c>
      <c r="BC8" s="86">
        <v>260795.535624569</v>
      </c>
      <c r="BD8" s="87">
        <v>-1144539.52634074</v>
      </c>
      <c r="BE8" s="86">
        <v>14933018.4856</v>
      </c>
      <c r="BF8" s="68">
        <v>235072612.002959</v>
      </c>
    </row>
    <row r="9" ht="22.5" spans="1:58">
      <c r="A9" s="31"/>
      <c r="B9" s="5" t="s">
        <v>18</v>
      </c>
      <c r="C9" s="32" t="s">
        <v>72</v>
      </c>
      <c r="D9" s="33">
        <v>0</v>
      </c>
      <c r="E9" s="33">
        <v>44377.4092007525</v>
      </c>
      <c r="F9" s="33">
        <v>535454.388453147</v>
      </c>
      <c r="G9" s="33">
        <v>31524.5192237171</v>
      </c>
      <c r="H9" s="33">
        <v>15664.7283899067</v>
      </c>
      <c r="I9" s="33">
        <v>0</v>
      </c>
      <c r="J9" s="33">
        <v>0</v>
      </c>
      <c r="K9" s="33">
        <v>0</v>
      </c>
      <c r="L9" s="33">
        <v>59261.9428270362</v>
      </c>
      <c r="M9" s="33">
        <v>187886293.752044</v>
      </c>
      <c r="N9" s="33">
        <v>16889359.6350297</v>
      </c>
      <c r="O9" s="33">
        <v>26683.8113551823</v>
      </c>
      <c r="P9" s="33">
        <v>822898.055168624</v>
      </c>
      <c r="Q9" s="33">
        <v>1363725.18487091</v>
      </c>
      <c r="R9" s="33">
        <v>372310.778593975</v>
      </c>
      <c r="S9" s="33">
        <v>752409.264049758</v>
      </c>
      <c r="T9" s="33">
        <v>586961.701803624</v>
      </c>
      <c r="U9" s="33">
        <v>564473.994730403</v>
      </c>
      <c r="V9" s="33">
        <v>372468.273862654</v>
      </c>
      <c r="W9" s="33">
        <v>425241.526902509</v>
      </c>
      <c r="X9" s="33">
        <v>143883.096274343</v>
      </c>
      <c r="Y9" s="33">
        <v>68067.4046851267</v>
      </c>
      <c r="Z9" s="33">
        <v>0</v>
      </c>
      <c r="AA9" s="33">
        <v>0</v>
      </c>
      <c r="AB9" s="33">
        <v>6735286.14716291</v>
      </c>
      <c r="AC9" s="33">
        <v>33825563.8114644</v>
      </c>
      <c r="AD9" s="33">
        <v>0</v>
      </c>
      <c r="AE9" s="33">
        <v>0</v>
      </c>
      <c r="AF9" s="33">
        <v>0</v>
      </c>
      <c r="AG9" s="33">
        <v>487.919528303472</v>
      </c>
      <c r="AH9" s="33">
        <v>0</v>
      </c>
      <c r="AI9" s="33">
        <v>0</v>
      </c>
      <c r="AJ9" s="33">
        <v>0</v>
      </c>
      <c r="AK9" s="33">
        <v>0</v>
      </c>
      <c r="AL9" s="33">
        <v>0</v>
      </c>
      <c r="AM9" s="33">
        <v>2507.15717502756</v>
      </c>
      <c r="AN9" s="33">
        <v>0</v>
      </c>
      <c r="AO9" s="33">
        <v>0</v>
      </c>
      <c r="AP9" s="33">
        <v>0</v>
      </c>
      <c r="AQ9" s="33">
        <v>34579.8903777148</v>
      </c>
      <c r="AR9" s="33">
        <v>1756.02572738146</v>
      </c>
      <c r="AS9" s="33">
        <v>48307.8921799157</v>
      </c>
      <c r="AT9" s="66">
        <v>251609548.311081</v>
      </c>
      <c r="AU9" s="67">
        <v>0</v>
      </c>
      <c r="AV9" s="67">
        <v>0</v>
      </c>
      <c r="AW9" s="66">
        <v>0</v>
      </c>
      <c r="AX9" s="67">
        <v>0</v>
      </c>
      <c r="AY9" s="66">
        <v>0</v>
      </c>
      <c r="AZ9" s="67">
        <v>0</v>
      </c>
      <c r="BA9" s="67">
        <v>288640.908265803</v>
      </c>
      <c r="BB9" s="66">
        <v>288640.908265803</v>
      </c>
      <c r="BC9" s="86">
        <v>1085317.43329964</v>
      </c>
      <c r="BD9" s="87">
        <v>1373958.34156544</v>
      </c>
      <c r="BE9" s="86">
        <v>145293939.376476</v>
      </c>
      <c r="BF9" s="68">
        <v>107689567.27617</v>
      </c>
    </row>
    <row r="10" ht="33.75" spans="1:58">
      <c r="A10" s="31"/>
      <c r="B10" s="5" t="s">
        <v>19</v>
      </c>
      <c r="C10" s="32" t="s">
        <v>73</v>
      </c>
      <c r="D10" s="33">
        <v>2307.81151857475</v>
      </c>
      <c r="E10" s="33">
        <v>45270.0457964208</v>
      </c>
      <c r="F10" s="33">
        <v>20550.0678376632</v>
      </c>
      <c r="G10" s="33">
        <v>12059564.9586758</v>
      </c>
      <c r="H10" s="33">
        <v>74468.2606276879</v>
      </c>
      <c r="I10" s="33">
        <v>62486.3039670561</v>
      </c>
      <c r="J10" s="33">
        <v>20915.9223997197</v>
      </c>
      <c r="K10" s="33">
        <v>14130.6009395911</v>
      </c>
      <c r="L10" s="33">
        <v>917816.888132654</v>
      </c>
      <c r="M10" s="33">
        <v>351666.072111734</v>
      </c>
      <c r="N10" s="33">
        <v>13663939.4054013</v>
      </c>
      <c r="O10" s="33">
        <v>218560.812755461</v>
      </c>
      <c r="P10" s="33">
        <v>57763.3437147025</v>
      </c>
      <c r="Q10" s="33">
        <v>51091548.5738264</v>
      </c>
      <c r="R10" s="33">
        <v>132438838.939999</v>
      </c>
      <c r="S10" s="33">
        <v>78502942.8511738</v>
      </c>
      <c r="T10" s="33">
        <v>6503772.51550354</v>
      </c>
      <c r="U10" s="33">
        <v>64839.4124824345</v>
      </c>
      <c r="V10" s="33">
        <v>122513.000410724</v>
      </c>
      <c r="W10" s="33">
        <v>165447.679312373</v>
      </c>
      <c r="X10" s="33">
        <v>51425.0087838176</v>
      </c>
      <c r="Y10" s="33">
        <v>614877.851524069</v>
      </c>
      <c r="Z10" s="33">
        <v>90520.2494220508</v>
      </c>
      <c r="AA10" s="33">
        <v>56747.9789854399</v>
      </c>
      <c r="AB10" s="33">
        <v>106588.815233874</v>
      </c>
      <c r="AC10" s="33">
        <v>0</v>
      </c>
      <c r="AD10" s="33">
        <v>0</v>
      </c>
      <c r="AE10" s="33">
        <v>24113818.5012069</v>
      </c>
      <c r="AF10" s="33">
        <v>60555.4574650356</v>
      </c>
      <c r="AG10" s="33">
        <v>179268.148353341</v>
      </c>
      <c r="AH10" s="33">
        <v>4016.85282675244</v>
      </c>
      <c r="AI10" s="33">
        <v>87.1136719403539</v>
      </c>
      <c r="AJ10" s="33">
        <v>747.238828563121</v>
      </c>
      <c r="AK10" s="33">
        <v>376.875238539133</v>
      </c>
      <c r="AL10" s="33">
        <v>1678.85138596035</v>
      </c>
      <c r="AM10" s="33">
        <v>333550.555462021</v>
      </c>
      <c r="AN10" s="33">
        <v>3880.59231738102</v>
      </c>
      <c r="AO10" s="33">
        <v>3727.64372691537</v>
      </c>
      <c r="AP10" s="33">
        <v>2965.11773276757</v>
      </c>
      <c r="AQ10" s="33">
        <v>1023.05544281491</v>
      </c>
      <c r="AR10" s="33">
        <v>5435.0280575937</v>
      </c>
      <c r="AS10" s="33">
        <v>31541.5542402049</v>
      </c>
      <c r="AT10" s="33">
        <v>322048045.355553</v>
      </c>
      <c r="AU10" s="33">
        <v>0</v>
      </c>
      <c r="AV10" s="33">
        <v>0</v>
      </c>
      <c r="AW10" s="33">
        <v>0</v>
      </c>
      <c r="AX10" s="33">
        <v>0</v>
      </c>
      <c r="AY10" s="33">
        <v>0</v>
      </c>
      <c r="AZ10" s="33">
        <v>0</v>
      </c>
      <c r="BA10" s="33">
        <v>2801192.31203604</v>
      </c>
      <c r="BB10" s="33">
        <v>2801192.31203604</v>
      </c>
      <c r="BC10" s="33">
        <v>3333103.89853743</v>
      </c>
      <c r="BD10" s="33">
        <v>6134296.21057347</v>
      </c>
      <c r="BE10" s="33">
        <v>134647742.327847</v>
      </c>
      <c r="BF10" s="33">
        <v>193534599.238279</v>
      </c>
    </row>
    <row r="11" ht="33.75" spans="1:58">
      <c r="A11" s="31"/>
      <c r="B11" s="5" t="s">
        <v>20</v>
      </c>
      <c r="C11" s="32" t="s">
        <v>74</v>
      </c>
      <c r="D11" s="33">
        <v>0</v>
      </c>
      <c r="E11" s="33">
        <v>1372272.59589666</v>
      </c>
      <c r="F11" s="33">
        <v>16942467.3563436</v>
      </c>
      <c r="G11" s="33">
        <v>1047957.68174087</v>
      </c>
      <c r="H11" s="33">
        <v>177012.617993215</v>
      </c>
      <c r="I11" s="33">
        <v>466046.588408006</v>
      </c>
      <c r="J11" s="33">
        <v>0</v>
      </c>
      <c r="K11" s="33">
        <v>0</v>
      </c>
      <c r="L11" s="33">
        <v>0</v>
      </c>
      <c r="M11" s="33">
        <v>0</v>
      </c>
      <c r="N11" s="33">
        <v>0</v>
      </c>
      <c r="O11" s="33">
        <v>0</v>
      </c>
      <c r="P11" s="33">
        <v>0</v>
      </c>
      <c r="Q11" s="33">
        <v>0</v>
      </c>
      <c r="R11" s="33">
        <v>0</v>
      </c>
      <c r="S11" s="33">
        <v>0</v>
      </c>
      <c r="T11" s="33">
        <v>0</v>
      </c>
      <c r="U11" s="33">
        <v>0</v>
      </c>
      <c r="V11" s="33">
        <v>0</v>
      </c>
      <c r="W11" s="33">
        <v>0</v>
      </c>
      <c r="X11" s="33">
        <v>0</v>
      </c>
      <c r="Y11" s="33">
        <v>0</v>
      </c>
      <c r="Z11" s="33">
        <v>12.6722374204862</v>
      </c>
      <c r="AA11" s="33">
        <v>0</v>
      </c>
      <c r="AB11" s="33">
        <v>231004.90996499</v>
      </c>
      <c r="AC11" s="33">
        <v>0</v>
      </c>
      <c r="AD11" s="33">
        <v>0</v>
      </c>
      <c r="AE11" s="33">
        <v>0</v>
      </c>
      <c r="AF11" s="33">
        <v>0</v>
      </c>
      <c r="AG11" s="33">
        <v>0</v>
      </c>
      <c r="AH11" s="33">
        <v>0</v>
      </c>
      <c r="AI11" s="33">
        <v>0</v>
      </c>
      <c r="AJ11" s="33">
        <v>0</v>
      </c>
      <c r="AK11" s="33">
        <v>0</v>
      </c>
      <c r="AL11" s="33">
        <v>0</v>
      </c>
      <c r="AM11" s="33">
        <v>0</v>
      </c>
      <c r="AN11" s="33">
        <v>0</v>
      </c>
      <c r="AO11" s="33">
        <v>0</v>
      </c>
      <c r="AP11" s="33">
        <v>0</v>
      </c>
      <c r="AQ11" s="33">
        <v>0</v>
      </c>
      <c r="AR11" s="33">
        <v>0</v>
      </c>
      <c r="AS11" s="33">
        <v>0</v>
      </c>
      <c r="AT11" s="66">
        <v>20236774.4225848</v>
      </c>
      <c r="AU11" s="67">
        <v>0</v>
      </c>
      <c r="AV11" s="67">
        <v>0</v>
      </c>
      <c r="AW11" s="66">
        <v>0</v>
      </c>
      <c r="AX11" s="67">
        <v>0</v>
      </c>
      <c r="AY11" s="66">
        <v>0</v>
      </c>
      <c r="AZ11" s="67">
        <v>0</v>
      </c>
      <c r="BA11" s="67">
        <v>0</v>
      </c>
      <c r="BB11" s="66">
        <v>0</v>
      </c>
      <c r="BC11" s="86">
        <v>0</v>
      </c>
      <c r="BD11" s="87">
        <v>0</v>
      </c>
      <c r="BE11" s="86">
        <v>0</v>
      </c>
      <c r="BF11" s="68">
        <v>20236774.4225848</v>
      </c>
    </row>
    <row r="12" spans="1:58">
      <c r="A12" s="31"/>
      <c r="B12" s="5" t="s">
        <v>21</v>
      </c>
      <c r="C12" s="32" t="s">
        <v>75</v>
      </c>
      <c r="D12" s="33">
        <v>108184867.522413</v>
      </c>
      <c r="E12" s="33">
        <v>413271.658443367</v>
      </c>
      <c r="F12" s="33">
        <v>79328.1272889104</v>
      </c>
      <c r="G12" s="33">
        <v>942010.646004773</v>
      </c>
      <c r="H12" s="33">
        <v>15471.0429285469</v>
      </c>
      <c r="I12" s="33">
        <v>249372493.69703</v>
      </c>
      <c r="J12" s="33">
        <v>14128691.5738324</v>
      </c>
      <c r="K12" s="33">
        <v>1247437.63886387</v>
      </c>
      <c r="L12" s="33">
        <v>3016090.17085909</v>
      </c>
      <c r="M12" s="33">
        <v>3256002.55383412</v>
      </c>
      <c r="N12" s="33">
        <v>25114335.1987531</v>
      </c>
      <c r="O12" s="33">
        <v>7560676.09697559</v>
      </c>
      <c r="P12" s="33">
        <v>750764.122867235</v>
      </c>
      <c r="Q12" s="33">
        <v>1766033.0825439</v>
      </c>
      <c r="R12" s="33">
        <v>3822314.43070827</v>
      </c>
      <c r="S12" s="33">
        <v>4171930.42313954</v>
      </c>
      <c r="T12" s="33">
        <v>2846827.69215631</v>
      </c>
      <c r="U12" s="33">
        <v>4402856.88402916</v>
      </c>
      <c r="V12" s="33">
        <v>2451141.56851923</v>
      </c>
      <c r="W12" s="33">
        <v>2157646.37847421</v>
      </c>
      <c r="X12" s="33">
        <v>1244965.17236129</v>
      </c>
      <c r="Y12" s="33">
        <v>4524092.63929907</v>
      </c>
      <c r="Z12" s="33">
        <v>7303684.29711116</v>
      </c>
      <c r="AA12" s="33">
        <v>618269.902072792</v>
      </c>
      <c r="AB12" s="33">
        <v>5006459.09186668</v>
      </c>
      <c r="AC12" s="33">
        <v>538269.508626067</v>
      </c>
      <c r="AD12" s="33">
        <v>432454.547487259</v>
      </c>
      <c r="AE12" s="33">
        <v>5743107.42656011</v>
      </c>
      <c r="AF12" s="33">
        <v>2301664.0439841</v>
      </c>
      <c r="AG12" s="33">
        <v>7651112.79792703</v>
      </c>
      <c r="AH12" s="33">
        <v>127743752.704125</v>
      </c>
      <c r="AI12" s="33">
        <v>5595412.73930147</v>
      </c>
      <c r="AJ12" s="33">
        <v>2856239.85034615</v>
      </c>
      <c r="AK12" s="33">
        <v>4673588.72876758</v>
      </c>
      <c r="AL12" s="33">
        <v>16568941.0008212</v>
      </c>
      <c r="AM12" s="33">
        <v>4782871.60767205</v>
      </c>
      <c r="AN12" s="33">
        <v>3289851.36364205</v>
      </c>
      <c r="AO12" s="33">
        <v>7513197.70883892</v>
      </c>
      <c r="AP12" s="33">
        <v>12503170.8552663</v>
      </c>
      <c r="AQ12" s="33">
        <v>7006157.66992134</v>
      </c>
      <c r="AR12" s="33">
        <v>9671567.59988475</v>
      </c>
      <c r="AS12" s="33">
        <v>7647553.5130843</v>
      </c>
      <c r="AT12" s="33">
        <v>679669137.639768</v>
      </c>
      <c r="AU12" s="33">
        <v>156188434.737491</v>
      </c>
      <c r="AV12" s="33">
        <v>452326731.017457</v>
      </c>
      <c r="AW12" s="33">
        <v>608515165.754948</v>
      </c>
      <c r="AX12" s="33">
        <v>0</v>
      </c>
      <c r="AY12" s="33">
        <v>608515165.754948</v>
      </c>
      <c r="AZ12" s="33">
        <v>0</v>
      </c>
      <c r="BA12" s="33">
        <v>8525640.23274636</v>
      </c>
      <c r="BB12" s="33">
        <v>8525640.23274636</v>
      </c>
      <c r="BC12" s="33">
        <v>35833494.4737183</v>
      </c>
      <c r="BD12" s="33">
        <v>652874300.461413</v>
      </c>
      <c r="BE12" s="33">
        <v>81180639.9300747</v>
      </c>
      <c r="BF12" s="33">
        <v>1251362798.17111</v>
      </c>
    </row>
    <row r="13" ht="45" spans="1:58">
      <c r="A13" s="31"/>
      <c r="B13" s="5" t="s">
        <v>22</v>
      </c>
      <c r="C13" s="32" t="s">
        <v>76</v>
      </c>
      <c r="D13" s="33">
        <v>255022.543439289</v>
      </c>
      <c r="E13" s="33">
        <v>1536716.46156944</v>
      </c>
      <c r="F13" s="33">
        <v>172891.147199542</v>
      </c>
      <c r="G13" s="33">
        <v>431377.150599356</v>
      </c>
      <c r="H13" s="33">
        <v>299060.72832193</v>
      </c>
      <c r="I13" s="33">
        <v>3696564.17524091</v>
      </c>
      <c r="J13" s="33">
        <v>314846172.317828</v>
      </c>
      <c r="K13" s="33">
        <v>8109575.90684068</v>
      </c>
      <c r="L13" s="33">
        <v>21141410.3650942</v>
      </c>
      <c r="M13" s="33">
        <v>892568.296699202</v>
      </c>
      <c r="N13" s="33">
        <v>3692227.01976529</v>
      </c>
      <c r="O13" s="33">
        <v>4066224.93700254</v>
      </c>
      <c r="P13" s="33">
        <v>3366898.14673525</v>
      </c>
      <c r="Q13" s="33">
        <v>4050298.89802505</v>
      </c>
      <c r="R13" s="33">
        <v>649060.660570886</v>
      </c>
      <c r="S13" s="33">
        <v>445858.5484269</v>
      </c>
      <c r="T13" s="33">
        <v>2025532.94802317</v>
      </c>
      <c r="U13" s="33">
        <v>1951908.6158987</v>
      </c>
      <c r="V13" s="33">
        <v>1960493.2319758</v>
      </c>
      <c r="W13" s="33">
        <v>5639280.41273128</v>
      </c>
      <c r="X13" s="33">
        <v>1374959.51393638</v>
      </c>
      <c r="Y13" s="33">
        <v>3039653.04025956</v>
      </c>
      <c r="Z13" s="33">
        <v>3035965.53100108</v>
      </c>
      <c r="AA13" s="33">
        <v>4187381.80693571</v>
      </c>
      <c r="AB13" s="33">
        <v>864761.169081432</v>
      </c>
      <c r="AC13" s="33">
        <v>343622.086074463</v>
      </c>
      <c r="AD13" s="33">
        <v>391871.282419785</v>
      </c>
      <c r="AE13" s="33">
        <v>4541077.50017254</v>
      </c>
      <c r="AF13" s="33">
        <v>3219495.27310769</v>
      </c>
      <c r="AG13" s="33">
        <v>5114728.6137928</v>
      </c>
      <c r="AH13" s="33">
        <v>3509705.23363709</v>
      </c>
      <c r="AI13" s="33">
        <v>999494.98799007</v>
      </c>
      <c r="AJ13" s="33">
        <v>4708210.37104308</v>
      </c>
      <c r="AK13" s="33">
        <v>2106065.83794524</v>
      </c>
      <c r="AL13" s="33">
        <v>16680634.6777205</v>
      </c>
      <c r="AM13" s="33">
        <v>2606793.12976341</v>
      </c>
      <c r="AN13" s="33">
        <v>1524598.30164377</v>
      </c>
      <c r="AO13" s="33">
        <v>2503390.60338016</v>
      </c>
      <c r="AP13" s="33">
        <v>1549810.36722802</v>
      </c>
      <c r="AQ13" s="33">
        <v>9533818.84410911</v>
      </c>
      <c r="AR13" s="33">
        <v>4734179.27077031</v>
      </c>
      <c r="AS13" s="33">
        <v>25315084.364078</v>
      </c>
      <c r="AT13" s="33">
        <v>473004868.411237</v>
      </c>
      <c r="AU13" s="33">
        <v>23013748.4379359</v>
      </c>
      <c r="AV13" s="33">
        <v>108193778.357946</v>
      </c>
      <c r="AW13" s="33">
        <v>131207526.795881</v>
      </c>
      <c r="AX13" s="33">
        <v>0</v>
      </c>
      <c r="AY13" s="33">
        <v>131207526.795881</v>
      </c>
      <c r="AZ13" s="33">
        <v>0</v>
      </c>
      <c r="BA13" s="33">
        <v>-3571111.18213603</v>
      </c>
      <c r="BB13" s="33">
        <v>-3571111.18213603</v>
      </c>
      <c r="BC13" s="33">
        <v>186801140.367055</v>
      </c>
      <c r="BD13" s="33">
        <v>314437555.9808</v>
      </c>
      <c r="BE13" s="33">
        <v>30055497.5779274</v>
      </c>
      <c r="BF13" s="33">
        <v>757386926.814109</v>
      </c>
    </row>
    <row r="14" ht="22.5" spans="1:58">
      <c r="A14" s="31"/>
      <c r="B14" s="5" t="s">
        <v>23</v>
      </c>
      <c r="C14" s="32" t="s">
        <v>77</v>
      </c>
      <c r="D14" s="33">
        <v>336188.94851518</v>
      </c>
      <c r="E14" s="33">
        <v>3559037.46550998</v>
      </c>
      <c r="F14" s="33">
        <v>156891.295009284</v>
      </c>
      <c r="G14" s="33">
        <v>254624.370893772</v>
      </c>
      <c r="H14" s="33">
        <v>6327.71506738741</v>
      </c>
      <c r="I14" s="33">
        <v>845240.038181566</v>
      </c>
      <c r="J14" s="33">
        <v>918481.021076632</v>
      </c>
      <c r="K14" s="33">
        <v>81780666.7864068</v>
      </c>
      <c r="L14" s="33">
        <v>90084970.0526307</v>
      </c>
      <c r="M14" s="33">
        <v>186690.20276233</v>
      </c>
      <c r="N14" s="33">
        <v>1302287.31358054</v>
      </c>
      <c r="O14" s="33">
        <v>114696.063166182</v>
      </c>
      <c r="P14" s="33">
        <v>708459.643297441</v>
      </c>
      <c r="Q14" s="33">
        <v>1957227.21283316</v>
      </c>
      <c r="R14" s="33">
        <v>49068.2556692723</v>
      </c>
      <c r="S14" s="33">
        <v>185262.263867208</v>
      </c>
      <c r="T14" s="33">
        <v>4792477.83588318</v>
      </c>
      <c r="U14" s="33">
        <v>931517.230406751</v>
      </c>
      <c r="V14" s="33">
        <v>637156.813873956</v>
      </c>
      <c r="W14" s="33">
        <v>5926683.18023028</v>
      </c>
      <c r="X14" s="33">
        <v>652732.72847239</v>
      </c>
      <c r="Y14" s="33">
        <v>1177748.8394234</v>
      </c>
      <c r="Z14" s="33">
        <v>1019650.00693627</v>
      </c>
      <c r="AA14" s="33">
        <v>1295524.24854755</v>
      </c>
      <c r="AB14" s="33">
        <v>201717.800411536</v>
      </c>
      <c r="AC14" s="33">
        <v>4011.85983524315</v>
      </c>
      <c r="AD14" s="33">
        <v>3316.50846227722</v>
      </c>
      <c r="AE14" s="33">
        <v>57246609.1861674</v>
      </c>
      <c r="AF14" s="33">
        <v>423651.483030054</v>
      </c>
      <c r="AG14" s="33">
        <v>934919.871925881</v>
      </c>
      <c r="AH14" s="33">
        <v>196032.426933949</v>
      </c>
      <c r="AI14" s="33">
        <v>922455.744975699</v>
      </c>
      <c r="AJ14" s="33">
        <v>474744.038779291</v>
      </c>
      <c r="AK14" s="33">
        <v>546486.361082336</v>
      </c>
      <c r="AL14" s="33">
        <v>599781.950685656</v>
      </c>
      <c r="AM14" s="33">
        <v>50562.2035715714</v>
      </c>
      <c r="AN14" s="33">
        <v>401102.145329399</v>
      </c>
      <c r="AO14" s="33">
        <v>635895.594285151</v>
      </c>
      <c r="AP14" s="33">
        <v>342879.719653339</v>
      </c>
      <c r="AQ14" s="33">
        <v>75136.0262608054</v>
      </c>
      <c r="AR14" s="33">
        <v>319747.384311979</v>
      </c>
      <c r="AS14" s="33">
        <v>3983063.10812222</v>
      </c>
      <c r="AT14" s="33">
        <v>184461056.159658</v>
      </c>
      <c r="AU14" s="33">
        <v>5007508.01627223</v>
      </c>
      <c r="AV14" s="33">
        <v>17646337.0974422</v>
      </c>
      <c r="AW14" s="33">
        <v>22653845.1137145</v>
      </c>
      <c r="AX14" s="33">
        <v>0</v>
      </c>
      <c r="AY14" s="33">
        <v>22653845.1137145</v>
      </c>
      <c r="AZ14" s="33">
        <v>21595789.2652824</v>
      </c>
      <c r="BA14" s="33">
        <v>1674063.132307</v>
      </c>
      <c r="BB14" s="33">
        <v>23269852.3975894</v>
      </c>
      <c r="BC14" s="33">
        <v>44765296.8992244</v>
      </c>
      <c r="BD14" s="33">
        <v>90688994.4105282</v>
      </c>
      <c r="BE14" s="33">
        <v>9736870.66063594</v>
      </c>
      <c r="BF14" s="33">
        <v>265413179.90955</v>
      </c>
    </row>
    <row r="15" ht="33.75" spans="1:58">
      <c r="A15" s="31"/>
      <c r="B15" s="5" t="s">
        <v>24</v>
      </c>
      <c r="C15" s="32" t="s">
        <v>78</v>
      </c>
      <c r="D15" s="33">
        <v>1025682.30896579</v>
      </c>
      <c r="E15" s="33">
        <v>31068.8817959149</v>
      </c>
      <c r="F15" s="33">
        <v>9688.63536932747</v>
      </c>
      <c r="G15" s="33">
        <v>315134.032425351</v>
      </c>
      <c r="H15" s="33">
        <v>18042.4084069333</v>
      </c>
      <c r="I15" s="33">
        <v>13214439.5540172</v>
      </c>
      <c r="J15" s="33">
        <v>3599305.40965772</v>
      </c>
      <c r="K15" s="33">
        <v>2513515.69809298</v>
      </c>
      <c r="L15" s="33">
        <v>105171872.237609</v>
      </c>
      <c r="M15" s="33">
        <v>357515.627338638</v>
      </c>
      <c r="N15" s="33">
        <v>4061404.60973771</v>
      </c>
      <c r="O15" s="33">
        <v>4907967.41960839</v>
      </c>
      <c r="P15" s="33">
        <v>1782237.44059344</v>
      </c>
      <c r="Q15" s="33">
        <v>8915729.52251939</v>
      </c>
      <c r="R15" s="33">
        <v>89427.2502958169</v>
      </c>
      <c r="S15" s="33">
        <v>336660.365586566</v>
      </c>
      <c r="T15" s="33">
        <v>1916810.82906771</v>
      </c>
      <c r="U15" s="33">
        <v>1926288.93588328</v>
      </c>
      <c r="V15" s="33">
        <v>1841924.12432413</v>
      </c>
      <c r="W15" s="33">
        <v>1597372.4923795</v>
      </c>
      <c r="X15" s="33">
        <v>344645.462482403</v>
      </c>
      <c r="Y15" s="33">
        <v>5512884.47738923</v>
      </c>
      <c r="Z15" s="33">
        <v>5349964.57540802</v>
      </c>
      <c r="AA15" s="33">
        <v>807927.262605985</v>
      </c>
      <c r="AB15" s="33">
        <v>458088.565631877</v>
      </c>
      <c r="AC15" s="33">
        <v>13078.6129304859</v>
      </c>
      <c r="AD15" s="33">
        <v>21179.9861951949</v>
      </c>
      <c r="AE15" s="33">
        <v>5313846.950804</v>
      </c>
      <c r="AF15" s="33">
        <v>8789370.77705652</v>
      </c>
      <c r="AG15" s="33">
        <v>4327923.85098029</v>
      </c>
      <c r="AH15" s="33">
        <v>1732626.81387094</v>
      </c>
      <c r="AI15" s="33">
        <v>27520721.3741255</v>
      </c>
      <c r="AJ15" s="33">
        <v>20038604.1968911</v>
      </c>
      <c r="AK15" s="33">
        <v>5345538.77828283</v>
      </c>
      <c r="AL15" s="33">
        <v>69510375.7570052</v>
      </c>
      <c r="AM15" s="33">
        <v>2605460.10470989</v>
      </c>
      <c r="AN15" s="33">
        <v>5513422.17324682</v>
      </c>
      <c r="AO15" s="33">
        <v>1759661.66398027</v>
      </c>
      <c r="AP15" s="33">
        <v>12646200.9615065</v>
      </c>
      <c r="AQ15" s="33">
        <v>288424.6339077</v>
      </c>
      <c r="AR15" s="33">
        <v>7453946.58926637</v>
      </c>
      <c r="AS15" s="33">
        <v>20046564.5438227</v>
      </c>
      <c r="AT15" s="33">
        <v>356519030.197682</v>
      </c>
      <c r="AU15" s="33">
        <v>6120942.01358039</v>
      </c>
      <c r="AV15" s="33">
        <v>29346781.884146</v>
      </c>
      <c r="AW15" s="33">
        <v>35467723.8977264</v>
      </c>
      <c r="AX15" s="33">
        <v>0</v>
      </c>
      <c r="AY15" s="33">
        <v>35467723.8977264</v>
      </c>
      <c r="AZ15" s="33">
        <v>4281134.57767656</v>
      </c>
      <c r="BA15" s="33">
        <v>-8038986.62641049</v>
      </c>
      <c r="BB15" s="33">
        <v>-3757852.04873393</v>
      </c>
      <c r="BC15" s="33">
        <v>66074535.2715691</v>
      </c>
      <c r="BD15" s="33">
        <v>97784407.1205616</v>
      </c>
      <c r="BE15" s="33">
        <v>25910670.9349091</v>
      </c>
      <c r="BF15" s="33">
        <v>428392766.383334</v>
      </c>
    </row>
    <row r="16" ht="33.75" spans="1:58">
      <c r="A16" s="31"/>
      <c r="B16" s="5" t="s">
        <v>25</v>
      </c>
      <c r="C16" s="32" t="s">
        <v>79</v>
      </c>
      <c r="D16" s="33">
        <v>4991926.8170677</v>
      </c>
      <c r="E16" s="33">
        <v>700362.548398904</v>
      </c>
      <c r="F16" s="33">
        <v>395976.193217635</v>
      </c>
      <c r="G16" s="33">
        <v>7776692.26087838</v>
      </c>
      <c r="H16" s="33">
        <v>799185.804049714</v>
      </c>
      <c r="I16" s="33">
        <v>1015050.64892136</v>
      </c>
      <c r="J16" s="33">
        <v>1120310.30955065</v>
      </c>
      <c r="K16" s="33">
        <v>1004346.25642645</v>
      </c>
      <c r="L16" s="33">
        <v>1858172.82265521</v>
      </c>
      <c r="M16" s="33">
        <v>22688075.9620932</v>
      </c>
      <c r="N16" s="33">
        <v>63847204.8147908</v>
      </c>
      <c r="O16" s="33">
        <v>474305.058058457</v>
      </c>
      <c r="P16" s="33">
        <v>2190479.26344565</v>
      </c>
      <c r="Q16" s="33">
        <v>19987603.8673744</v>
      </c>
      <c r="R16" s="33">
        <v>42144146.6339878</v>
      </c>
      <c r="S16" s="33">
        <v>7221065.24696479</v>
      </c>
      <c r="T16" s="33">
        <v>3078282.76033665</v>
      </c>
      <c r="U16" s="33">
        <v>2035296.83084512</v>
      </c>
      <c r="V16" s="33">
        <v>1035075.19329482</v>
      </c>
      <c r="W16" s="33">
        <v>1106854.01498069</v>
      </c>
      <c r="X16" s="33">
        <v>444478.819576369</v>
      </c>
      <c r="Y16" s="33">
        <v>1121539.90998124</v>
      </c>
      <c r="Z16" s="33">
        <v>1058861.30704058</v>
      </c>
      <c r="AA16" s="33">
        <v>836932.65424877</v>
      </c>
      <c r="AB16" s="33">
        <v>10310485.4882796</v>
      </c>
      <c r="AC16" s="33">
        <v>1882494.50116738</v>
      </c>
      <c r="AD16" s="33">
        <v>38463.4315203771</v>
      </c>
      <c r="AE16" s="33">
        <v>37120733.0802531</v>
      </c>
      <c r="AF16" s="33">
        <v>3295901.78490335</v>
      </c>
      <c r="AG16" s="33">
        <v>96331786.3585812</v>
      </c>
      <c r="AH16" s="33">
        <v>1029117.57201222</v>
      </c>
      <c r="AI16" s="33">
        <v>1116149.5638976</v>
      </c>
      <c r="AJ16" s="33">
        <v>3729490.57091535</v>
      </c>
      <c r="AK16" s="33">
        <v>1528256.12300274</v>
      </c>
      <c r="AL16" s="33">
        <v>19256951.1198758</v>
      </c>
      <c r="AM16" s="33">
        <v>1475382.56939414</v>
      </c>
      <c r="AN16" s="33">
        <v>12374899.301729</v>
      </c>
      <c r="AO16" s="33">
        <v>1218116.77656808</v>
      </c>
      <c r="AP16" s="33">
        <v>2786127.90665482</v>
      </c>
      <c r="AQ16" s="33">
        <v>239725.60842664</v>
      </c>
      <c r="AR16" s="33">
        <v>469119.179650675</v>
      </c>
      <c r="AS16" s="33">
        <v>5767313.99050409</v>
      </c>
      <c r="AT16" s="33">
        <v>387898394.669095</v>
      </c>
      <c r="AU16" s="33">
        <v>5745628.19309087</v>
      </c>
      <c r="AV16" s="33">
        <v>28313584.6405669</v>
      </c>
      <c r="AW16" s="33">
        <v>34059212.8336577</v>
      </c>
      <c r="AX16" s="33">
        <v>0</v>
      </c>
      <c r="AY16" s="33">
        <v>34059212.8336577</v>
      </c>
      <c r="AZ16" s="33">
        <v>0</v>
      </c>
      <c r="BA16" s="33">
        <v>-5955399.24897708</v>
      </c>
      <c r="BB16" s="33">
        <v>-5955399.24897708</v>
      </c>
      <c r="BC16" s="33">
        <v>15981224.401177</v>
      </c>
      <c r="BD16" s="33">
        <v>44085037.9858576</v>
      </c>
      <c r="BE16" s="33">
        <v>22650148.1800972</v>
      </c>
      <c r="BF16" s="33">
        <v>409333284.474856</v>
      </c>
    </row>
    <row r="17" ht="45" spans="1:58">
      <c r="A17" s="31"/>
      <c r="B17" s="5" t="s">
        <v>26</v>
      </c>
      <c r="C17" s="32" t="s">
        <v>80</v>
      </c>
      <c r="D17" s="33">
        <v>75932742.2132605</v>
      </c>
      <c r="E17" s="33">
        <v>2724058.15268707</v>
      </c>
      <c r="F17" s="33">
        <v>3946860.51405884</v>
      </c>
      <c r="G17" s="33">
        <v>9732267.09147012</v>
      </c>
      <c r="H17" s="33">
        <v>1246400.05568228</v>
      </c>
      <c r="I17" s="33">
        <v>5072727.70069335</v>
      </c>
      <c r="J17" s="33">
        <v>54593583.3185008</v>
      </c>
      <c r="K17" s="33">
        <v>16223099.5250488</v>
      </c>
      <c r="L17" s="33">
        <v>51348512.5649212</v>
      </c>
      <c r="M17" s="33">
        <v>14670765.357755</v>
      </c>
      <c r="N17" s="33">
        <v>292965053.664608</v>
      </c>
      <c r="O17" s="33">
        <v>11936419.0561466</v>
      </c>
      <c r="P17" s="33">
        <v>110271806.293507</v>
      </c>
      <c r="Q17" s="33">
        <v>31280002.3053056</v>
      </c>
      <c r="R17" s="33">
        <v>3761258.98916111</v>
      </c>
      <c r="S17" s="33">
        <v>9341339.83894302</v>
      </c>
      <c r="T17" s="33">
        <v>10641343.791129</v>
      </c>
      <c r="U17" s="33">
        <v>4653059.16834648</v>
      </c>
      <c r="V17" s="33">
        <v>2243331.55982255</v>
      </c>
      <c r="W17" s="33">
        <v>6970340.16868803</v>
      </c>
      <c r="X17" s="33">
        <v>2118210.80846642</v>
      </c>
      <c r="Y17" s="33">
        <v>26478745.3824965</v>
      </c>
      <c r="Z17" s="33">
        <v>15451768.3835839</v>
      </c>
      <c r="AA17" s="33">
        <v>5086887.59076767</v>
      </c>
      <c r="AB17" s="33">
        <v>221438.666535134</v>
      </c>
      <c r="AC17" s="33">
        <v>31293.1657941251</v>
      </c>
      <c r="AD17" s="33">
        <v>2463333.30168075</v>
      </c>
      <c r="AE17" s="33">
        <v>75178170.0559598</v>
      </c>
      <c r="AF17" s="33">
        <v>101065.704092291</v>
      </c>
      <c r="AG17" s="33">
        <v>988410.012628351</v>
      </c>
      <c r="AH17" s="33">
        <v>2502380.83951753</v>
      </c>
      <c r="AI17" s="33">
        <v>1218070.25217909</v>
      </c>
      <c r="AJ17" s="33">
        <v>301378.837718684</v>
      </c>
      <c r="AK17" s="33">
        <v>339047.635231256</v>
      </c>
      <c r="AL17" s="33">
        <v>4302489.10772241</v>
      </c>
      <c r="AM17" s="33">
        <v>14442888.9944065</v>
      </c>
      <c r="AN17" s="33">
        <v>20348720.0274329</v>
      </c>
      <c r="AO17" s="33">
        <v>13522935.637701</v>
      </c>
      <c r="AP17" s="33">
        <v>7517280.07770332</v>
      </c>
      <c r="AQ17" s="33">
        <v>538883.132006158</v>
      </c>
      <c r="AR17" s="33">
        <v>1609725.58352926</v>
      </c>
      <c r="AS17" s="33">
        <v>8727065.82945762</v>
      </c>
      <c r="AT17" s="33">
        <v>906822060.831296</v>
      </c>
      <c r="AU17" s="33">
        <v>2773014.20640511</v>
      </c>
      <c r="AV17" s="33">
        <v>19771296.6729743</v>
      </c>
      <c r="AW17" s="33">
        <v>22544310.8793794</v>
      </c>
      <c r="AX17" s="33">
        <v>0</v>
      </c>
      <c r="AY17" s="33">
        <v>22544310.8793794</v>
      </c>
      <c r="AZ17" s="33">
        <v>0</v>
      </c>
      <c r="BA17" s="33">
        <v>-17407692.4580363</v>
      </c>
      <c r="BB17" s="33">
        <v>-17407692.4580363</v>
      </c>
      <c r="BC17" s="33">
        <v>66207877.6200248</v>
      </c>
      <c r="BD17" s="33">
        <v>71344496.041368</v>
      </c>
      <c r="BE17" s="33">
        <v>123069963.945637</v>
      </c>
      <c r="BF17" s="33">
        <v>855096592.927028</v>
      </c>
    </row>
    <row r="18" spans="1:58">
      <c r="A18" s="31"/>
      <c r="B18" s="5" t="s">
        <v>27</v>
      </c>
      <c r="C18" s="32" t="s">
        <v>81</v>
      </c>
      <c r="D18" s="33">
        <v>6070961.4374369</v>
      </c>
      <c r="E18" s="33">
        <v>41905.1238799485</v>
      </c>
      <c r="F18" s="33">
        <v>18810.3688546611</v>
      </c>
      <c r="G18" s="33">
        <v>6112.28496426447</v>
      </c>
      <c r="H18" s="33">
        <v>670.133278818854</v>
      </c>
      <c r="I18" s="33">
        <v>812022.34228901</v>
      </c>
      <c r="J18" s="33">
        <v>88147.3149178368</v>
      </c>
      <c r="K18" s="33">
        <v>2763.5261905479</v>
      </c>
      <c r="L18" s="33">
        <v>656674.068088808</v>
      </c>
      <c r="M18" s="33">
        <v>14976.675812205</v>
      </c>
      <c r="N18" s="33">
        <v>1196870.9554063</v>
      </c>
      <c r="O18" s="33">
        <v>61912202.1611742</v>
      </c>
      <c r="P18" s="33">
        <v>81220.6786497977</v>
      </c>
      <c r="Q18" s="33">
        <v>569294.792131288</v>
      </c>
      <c r="R18" s="33">
        <v>104789.230336209</v>
      </c>
      <c r="S18" s="33">
        <v>14108.632184689</v>
      </c>
      <c r="T18" s="33">
        <v>174018.265973163</v>
      </c>
      <c r="U18" s="33">
        <v>7811.94097137921</v>
      </c>
      <c r="V18" s="33">
        <v>424487.474676697</v>
      </c>
      <c r="W18" s="33">
        <v>10204.6638427004</v>
      </c>
      <c r="X18" s="33">
        <v>10869.3228811845</v>
      </c>
      <c r="Y18" s="33">
        <v>124300.882651088</v>
      </c>
      <c r="Z18" s="33">
        <v>501241.912749928</v>
      </c>
      <c r="AA18" s="33">
        <v>124963.88315405</v>
      </c>
      <c r="AB18" s="33">
        <v>16580.5681166556</v>
      </c>
      <c r="AC18" s="33">
        <v>375.411928677803</v>
      </c>
      <c r="AD18" s="33">
        <v>16573.3630853305</v>
      </c>
      <c r="AE18" s="33">
        <v>2238386.65971391</v>
      </c>
      <c r="AF18" s="33">
        <v>10825.8566038772</v>
      </c>
      <c r="AG18" s="33">
        <v>152802.039737391</v>
      </c>
      <c r="AH18" s="33">
        <v>814.26545664271</v>
      </c>
      <c r="AI18" s="33">
        <v>302859.26629002</v>
      </c>
      <c r="AJ18" s="33">
        <v>71563.52458761</v>
      </c>
      <c r="AK18" s="33">
        <v>15249.3786046615</v>
      </c>
      <c r="AL18" s="33">
        <v>178518.277358635</v>
      </c>
      <c r="AM18" s="33">
        <v>1060731.91296312</v>
      </c>
      <c r="AN18" s="33">
        <v>2592341.77051539</v>
      </c>
      <c r="AO18" s="33">
        <v>184325.826366096</v>
      </c>
      <c r="AP18" s="33">
        <v>710406.217106057</v>
      </c>
      <c r="AQ18" s="33">
        <v>163829848.564308</v>
      </c>
      <c r="AR18" s="33">
        <v>24625.0368917598</v>
      </c>
      <c r="AS18" s="33">
        <v>264315.067899182</v>
      </c>
      <c r="AT18" s="66">
        <v>244637807.553838</v>
      </c>
      <c r="AU18" s="67">
        <v>16266750.5557219</v>
      </c>
      <c r="AV18" s="67">
        <v>47595953.7120289</v>
      </c>
      <c r="AW18" s="66">
        <v>63862704.2677507</v>
      </c>
      <c r="AX18" s="67">
        <v>0</v>
      </c>
      <c r="AY18" s="66">
        <v>63862704.2677507</v>
      </c>
      <c r="AZ18" s="67">
        <v>0</v>
      </c>
      <c r="BA18" s="67">
        <v>-336221.76102223</v>
      </c>
      <c r="BB18" s="66">
        <v>-336221.76102223</v>
      </c>
      <c r="BC18" s="86">
        <v>22931108.4346494</v>
      </c>
      <c r="BD18" s="87">
        <v>86457590.9413779</v>
      </c>
      <c r="BE18" s="86">
        <v>31039261.6919652</v>
      </c>
      <c r="BF18" s="68">
        <v>300056136.80325</v>
      </c>
    </row>
    <row r="19" ht="22.5" spans="1:58">
      <c r="A19" s="31"/>
      <c r="B19" s="5" t="s">
        <v>28</v>
      </c>
      <c r="C19" s="32" t="s">
        <v>82</v>
      </c>
      <c r="D19" s="33">
        <v>8674566.85602922</v>
      </c>
      <c r="E19" s="33">
        <v>554790.313514515</v>
      </c>
      <c r="F19" s="33">
        <v>68528.8864528181</v>
      </c>
      <c r="G19" s="33">
        <v>994753.47934881</v>
      </c>
      <c r="H19" s="33">
        <v>744309.452237152</v>
      </c>
      <c r="I19" s="33">
        <v>11841214.9098398</v>
      </c>
      <c r="J19" s="33">
        <v>10980215.0053935</v>
      </c>
      <c r="K19" s="33">
        <v>3914342.38141541</v>
      </c>
      <c r="L19" s="33">
        <v>18647978.8345959</v>
      </c>
      <c r="M19" s="33">
        <v>1430383.35073459</v>
      </c>
      <c r="N19" s="33">
        <v>17479775.9892103</v>
      </c>
      <c r="O19" s="33">
        <v>1643105.08134056</v>
      </c>
      <c r="P19" s="33">
        <v>66951058.3381522</v>
      </c>
      <c r="Q19" s="33">
        <v>6557029.94459803</v>
      </c>
      <c r="R19" s="33">
        <v>203901.473861746</v>
      </c>
      <c r="S19" s="33">
        <v>669836.430494631</v>
      </c>
      <c r="T19" s="33">
        <v>5295045.14678062</v>
      </c>
      <c r="U19" s="33">
        <v>7971170.36179427</v>
      </c>
      <c r="V19" s="33">
        <v>9663695.90113678</v>
      </c>
      <c r="W19" s="33">
        <v>23623523.3810003</v>
      </c>
      <c r="X19" s="33">
        <v>5314520.98210378</v>
      </c>
      <c r="Y19" s="33">
        <v>26318074.3545849</v>
      </c>
      <c r="Z19" s="33">
        <v>20386766.106557</v>
      </c>
      <c r="AA19" s="33">
        <v>3231171.45934218</v>
      </c>
      <c r="AB19" s="33">
        <v>33464.5802711214</v>
      </c>
      <c r="AC19" s="33">
        <v>49605.9371683766</v>
      </c>
      <c r="AD19" s="33">
        <v>698996.62604487</v>
      </c>
      <c r="AE19" s="33">
        <v>34699536.488755</v>
      </c>
      <c r="AF19" s="33">
        <v>2792063.86942768</v>
      </c>
      <c r="AG19" s="33">
        <v>11281845.0911446</v>
      </c>
      <c r="AH19" s="33">
        <v>1105133.71679425</v>
      </c>
      <c r="AI19" s="33">
        <v>1435216.1186581</v>
      </c>
      <c r="AJ19" s="33">
        <v>84412.1412041188</v>
      </c>
      <c r="AK19" s="33">
        <v>381127.878140542</v>
      </c>
      <c r="AL19" s="33">
        <v>3235527.54665874</v>
      </c>
      <c r="AM19" s="33">
        <v>1079352.10028159</v>
      </c>
      <c r="AN19" s="33">
        <v>1638385.26975062</v>
      </c>
      <c r="AO19" s="33">
        <v>2721409.74699748</v>
      </c>
      <c r="AP19" s="33">
        <v>56410.5046015424</v>
      </c>
      <c r="AQ19" s="33">
        <v>542008.486108518</v>
      </c>
      <c r="AR19" s="33">
        <v>259882.127805017</v>
      </c>
      <c r="AS19" s="33">
        <v>2071130.04497971</v>
      </c>
      <c r="AT19" s="33">
        <v>313410924.313895</v>
      </c>
      <c r="AU19" s="33">
        <v>1618615.77698355</v>
      </c>
      <c r="AV19" s="33">
        <v>4802149.25930368</v>
      </c>
      <c r="AW19" s="33">
        <v>6420765.03628723</v>
      </c>
      <c r="AX19" s="33">
        <v>0</v>
      </c>
      <c r="AY19" s="33">
        <v>6420765.03628723</v>
      </c>
      <c r="AZ19" s="33">
        <v>0</v>
      </c>
      <c r="BA19" s="33">
        <v>-1905835.73546151</v>
      </c>
      <c r="BB19" s="33">
        <v>-1905835.73546151</v>
      </c>
      <c r="BC19" s="33">
        <v>57120608.6330205</v>
      </c>
      <c r="BD19" s="33">
        <v>61635537.9338462</v>
      </c>
      <c r="BE19" s="33">
        <v>16854882.8883434</v>
      </c>
      <c r="BF19" s="33">
        <v>358191579.359398</v>
      </c>
    </row>
    <row r="20" ht="22.5" spans="1:58">
      <c r="A20" s="31"/>
      <c r="B20" s="5" t="s">
        <v>29</v>
      </c>
      <c r="C20" s="32" t="s">
        <v>83</v>
      </c>
      <c r="D20" s="33">
        <v>527672.17759183</v>
      </c>
      <c r="E20" s="33">
        <v>651313.190797085</v>
      </c>
      <c r="F20" s="33">
        <v>44591.483799541</v>
      </c>
      <c r="G20" s="33">
        <v>1669898.42570184</v>
      </c>
      <c r="H20" s="33">
        <v>621832.464801636</v>
      </c>
      <c r="I20" s="33">
        <v>4888099.93514356</v>
      </c>
      <c r="J20" s="33">
        <v>571224.965780013</v>
      </c>
      <c r="K20" s="33">
        <v>1921176.13456174</v>
      </c>
      <c r="L20" s="33">
        <v>2831024.82899356</v>
      </c>
      <c r="M20" s="33">
        <v>2724987.22578919</v>
      </c>
      <c r="N20" s="33">
        <v>4189217.05651148</v>
      </c>
      <c r="O20" s="33">
        <v>2706366.34919325</v>
      </c>
      <c r="P20" s="33">
        <v>1610249.55809414</v>
      </c>
      <c r="Q20" s="33">
        <v>139143632.929287</v>
      </c>
      <c r="R20" s="33">
        <v>9435905.68320356</v>
      </c>
      <c r="S20" s="33">
        <v>5914732.9799444</v>
      </c>
      <c r="T20" s="33">
        <v>6783958.81574809</v>
      </c>
      <c r="U20" s="33">
        <v>2873744.33131565</v>
      </c>
      <c r="V20" s="33">
        <v>4066510.97931666</v>
      </c>
      <c r="W20" s="33">
        <v>9953436.82817461</v>
      </c>
      <c r="X20" s="33">
        <v>671083.253446356</v>
      </c>
      <c r="Y20" s="33">
        <v>19235014.3764924</v>
      </c>
      <c r="Z20" s="33">
        <v>18711839.3144588</v>
      </c>
      <c r="AA20" s="33">
        <v>485772.817581162</v>
      </c>
      <c r="AB20" s="33">
        <v>1991624.45078551</v>
      </c>
      <c r="AC20" s="33">
        <v>7340.51288021515</v>
      </c>
      <c r="AD20" s="33">
        <v>22846.3969048266</v>
      </c>
      <c r="AE20" s="33">
        <v>454627661.348882</v>
      </c>
      <c r="AF20" s="33">
        <v>241247.964053041</v>
      </c>
      <c r="AG20" s="33">
        <v>461491.740800674</v>
      </c>
      <c r="AH20" s="33">
        <v>358067.299574387</v>
      </c>
      <c r="AI20" s="33">
        <v>91296.3941045513</v>
      </c>
      <c r="AJ20" s="33">
        <v>23697.817957802</v>
      </c>
      <c r="AK20" s="33">
        <v>32694.0298982424</v>
      </c>
      <c r="AL20" s="33">
        <v>260519.45747035</v>
      </c>
      <c r="AM20" s="33">
        <v>2268609.79743726</v>
      </c>
      <c r="AN20" s="33">
        <v>198547.940541488</v>
      </c>
      <c r="AO20" s="33">
        <v>95799.7559726067</v>
      </c>
      <c r="AP20" s="33">
        <v>1130620.33187729</v>
      </c>
      <c r="AQ20" s="33">
        <v>325720.011349539</v>
      </c>
      <c r="AR20" s="33">
        <v>4789.98048536338</v>
      </c>
      <c r="AS20" s="33">
        <v>832366.780787269</v>
      </c>
      <c r="AT20" s="33">
        <v>703287051.982928</v>
      </c>
      <c r="AU20" s="33">
        <v>1560823.70183441</v>
      </c>
      <c r="AV20" s="33">
        <v>3925831.46539935</v>
      </c>
      <c r="AW20" s="33">
        <v>5486655.16723376</v>
      </c>
      <c r="AX20" s="33">
        <v>0</v>
      </c>
      <c r="AY20" s="33">
        <v>5486655.16723376</v>
      </c>
      <c r="AZ20" s="33">
        <v>0</v>
      </c>
      <c r="BA20" s="33">
        <v>2140696.25007459</v>
      </c>
      <c r="BB20" s="33">
        <v>2140696.25007459</v>
      </c>
      <c r="BC20" s="33">
        <v>34554204.1794678</v>
      </c>
      <c r="BD20" s="33">
        <v>42181555.5967762</v>
      </c>
      <c r="BE20" s="33">
        <v>12436721.0287978</v>
      </c>
      <c r="BF20" s="33">
        <v>733031886.550906</v>
      </c>
    </row>
    <row r="21" ht="33.75" spans="1:58">
      <c r="A21" s="31"/>
      <c r="B21" s="5" t="s">
        <v>30</v>
      </c>
      <c r="C21" s="32" t="s">
        <v>84</v>
      </c>
      <c r="D21" s="33">
        <v>231511.568215592</v>
      </c>
      <c r="E21" s="33">
        <v>5985486.08519365</v>
      </c>
      <c r="F21" s="33">
        <v>1118312.49372155</v>
      </c>
      <c r="G21" s="33">
        <v>720856.196573386</v>
      </c>
      <c r="H21" s="33">
        <v>1121508.83883353</v>
      </c>
      <c r="I21" s="33">
        <v>272337.82113822</v>
      </c>
      <c r="J21" s="33">
        <v>382742.215678737</v>
      </c>
      <c r="K21" s="33">
        <v>2368084.20433955</v>
      </c>
      <c r="L21" s="33">
        <v>4485716.34250424</v>
      </c>
      <c r="M21" s="33">
        <v>198223.339229627</v>
      </c>
      <c r="N21" s="33">
        <v>718206.532950773</v>
      </c>
      <c r="O21" s="33">
        <v>44680.393718689</v>
      </c>
      <c r="P21" s="33">
        <v>1465016.60107062</v>
      </c>
      <c r="Q21" s="33">
        <v>13933004.787727</v>
      </c>
      <c r="R21" s="33">
        <v>128395223.97116</v>
      </c>
      <c r="S21" s="33">
        <v>2760821.3172431</v>
      </c>
      <c r="T21" s="33">
        <v>109844585.756683</v>
      </c>
      <c r="U21" s="33">
        <v>45037806.5312968</v>
      </c>
      <c r="V21" s="33">
        <v>24422112.739554</v>
      </c>
      <c r="W21" s="33">
        <v>24330508.5572174</v>
      </c>
      <c r="X21" s="33">
        <v>7720732.11743162</v>
      </c>
      <c r="Y21" s="33">
        <v>18090718.1437351</v>
      </c>
      <c r="Z21" s="33">
        <v>4833386.6625495</v>
      </c>
      <c r="AA21" s="33">
        <v>1307683.86630375</v>
      </c>
      <c r="AB21" s="33">
        <v>256746.456367951</v>
      </c>
      <c r="AC21" s="33">
        <v>114830.235785861</v>
      </c>
      <c r="AD21" s="33">
        <v>71861.8906758102</v>
      </c>
      <c r="AE21" s="33">
        <v>278702659.949081</v>
      </c>
      <c r="AF21" s="33">
        <v>8351.04339150855</v>
      </c>
      <c r="AG21" s="33">
        <v>604608.957174407</v>
      </c>
      <c r="AH21" s="33">
        <v>1823.5000182725</v>
      </c>
      <c r="AI21" s="33">
        <v>6206.66179050182</v>
      </c>
      <c r="AJ21" s="33">
        <v>11.3588255360261</v>
      </c>
      <c r="AK21" s="33">
        <v>1871.32785200208</v>
      </c>
      <c r="AL21" s="33">
        <v>1198.28643644775</v>
      </c>
      <c r="AM21" s="33">
        <v>177423.315010945</v>
      </c>
      <c r="AN21" s="33">
        <v>331864.869519912</v>
      </c>
      <c r="AO21" s="33">
        <v>8411.94844866562</v>
      </c>
      <c r="AP21" s="33">
        <v>26880.8720745407</v>
      </c>
      <c r="AQ21" s="33">
        <v>329.000234934899</v>
      </c>
      <c r="AR21" s="33">
        <v>828.993014998688</v>
      </c>
      <c r="AS21" s="33">
        <v>140681.949732069</v>
      </c>
      <c r="AT21" s="33">
        <v>677877773.495165</v>
      </c>
      <c r="AU21" s="33">
        <v>0</v>
      </c>
      <c r="AV21" s="33">
        <v>0</v>
      </c>
      <c r="AW21" s="33">
        <v>0</v>
      </c>
      <c r="AX21" s="33">
        <v>0</v>
      </c>
      <c r="AY21" s="33">
        <v>0</v>
      </c>
      <c r="AZ21" s="33">
        <v>0</v>
      </c>
      <c r="BA21" s="33">
        <v>4405504.33321625</v>
      </c>
      <c r="BB21" s="33">
        <v>4405504.33321625</v>
      </c>
      <c r="BC21" s="33">
        <v>27767871.7561531</v>
      </c>
      <c r="BD21" s="33">
        <v>32173376.0893694</v>
      </c>
      <c r="BE21" s="33">
        <v>26541208.6738549</v>
      </c>
      <c r="BF21" s="33">
        <v>683509940.910679</v>
      </c>
    </row>
    <row r="22" ht="33.75" spans="1:58">
      <c r="A22" s="31"/>
      <c r="B22" s="5" t="s">
        <v>31</v>
      </c>
      <c r="C22" s="32" t="s">
        <v>85</v>
      </c>
      <c r="D22" s="33">
        <v>8900.67554865504</v>
      </c>
      <c r="E22" s="33">
        <v>15416.107396695</v>
      </c>
      <c r="F22" s="33">
        <v>227.827634013911</v>
      </c>
      <c r="G22" s="33">
        <v>443804.902913691</v>
      </c>
      <c r="H22" s="33">
        <v>166228.309011528</v>
      </c>
      <c r="I22" s="33">
        <v>109160.627027975</v>
      </c>
      <c r="J22" s="33">
        <v>220462.383442483</v>
      </c>
      <c r="K22" s="33">
        <v>906287.232176806</v>
      </c>
      <c r="L22" s="33">
        <v>19977459.015091</v>
      </c>
      <c r="M22" s="33">
        <v>15125.4224014293</v>
      </c>
      <c r="N22" s="33">
        <v>8623449.76741293</v>
      </c>
      <c r="O22" s="33">
        <v>119933.475703443</v>
      </c>
      <c r="P22" s="33">
        <v>2202103.60678586</v>
      </c>
      <c r="Q22" s="33">
        <v>7233885.01679742</v>
      </c>
      <c r="R22" s="33">
        <v>8479844.59701873</v>
      </c>
      <c r="S22" s="33">
        <v>196601311.087144</v>
      </c>
      <c r="T22" s="33">
        <v>48942799.2321454</v>
      </c>
      <c r="U22" s="33">
        <v>37701392.0286137</v>
      </c>
      <c r="V22" s="33">
        <v>12717404.9247811</v>
      </c>
      <c r="W22" s="33">
        <v>34619046.993302</v>
      </c>
      <c r="X22" s="33">
        <v>7591588.55350069</v>
      </c>
      <c r="Y22" s="33">
        <v>128393623.886509</v>
      </c>
      <c r="Z22" s="33">
        <v>31542514.3496544</v>
      </c>
      <c r="AA22" s="33">
        <v>5247794.07373487</v>
      </c>
      <c r="AB22" s="33">
        <v>82372.6373219828</v>
      </c>
      <c r="AC22" s="33">
        <v>775.805635885455</v>
      </c>
      <c r="AD22" s="33">
        <v>5801.64483655563</v>
      </c>
      <c r="AE22" s="33">
        <v>10715656.0886856</v>
      </c>
      <c r="AF22" s="33">
        <v>23345.672744347</v>
      </c>
      <c r="AG22" s="33">
        <v>69400.5413441205</v>
      </c>
      <c r="AH22" s="33">
        <v>3687.67374083509</v>
      </c>
      <c r="AI22" s="33">
        <v>0</v>
      </c>
      <c r="AJ22" s="33">
        <v>0</v>
      </c>
      <c r="AK22" s="33">
        <v>0</v>
      </c>
      <c r="AL22" s="33">
        <v>1660.03780915729</v>
      </c>
      <c r="AM22" s="33">
        <v>173035.624379098</v>
      </c>
      <c r="AN22" s="33">
        <v>92358.9187390749</v>
      </c>
      <c r="AO22" s="33">
        <v>146370.740511227</v>
      </c>
      <c r="AP22" s="33">
        <v>45405.5121285303</v>
      </c>
      <c r="AQ22" s="33">
        <v>1123.57063964577</v>
      </c>
      <c r="AR22" s="33">
        <v>334.009069277174</v>
      </c>
      <c r="AS22" s="33">
        <v>0.00532441881524498</v>
      </c>
      <c r="AT22" s="33">
        <v>562334805.346481</v>
      </c>
      <c r="AU22" s="33">
        <v>0</v>
      </c>
      <c r="AV22" s="33">
        <v>0</v>
      </c>
      <c r="AW22" s="33">
        <v>0</v>
      </c>
      <c r="AX22" s="33">
        <v>0</v>
      </c>
      <c r="AY22" s="33">
        <v>0</v>
      </c>
      <c r="AZ22" s="33">
        <v>0</v>
      </c>
      <c r="BA22" s="33">
        <v>-957892.18613738</v>
      </c>
      <c r="BB22" s="33">
        <v>-957892.18613738</v>
      </c>
      <c r="BC22" s="33">
        <v>17965733.8081997</v>
      </c>
      <c r="BD22" s="33">
        <v>17007841.6220624</v>
      </c>
      <c r="BE22" s="33">
        <v>54672624.2125607</v>
      </c>
      <c r="BF22" s="33">
        <v>524670022.755983</v>
      </c>
    </row>
    <row r="23" spans="1:58">
      <c r="A23" s="31"/>
      <c r="B23" s="5" t="s">
        <v>32</v>
      </c>
      <c r="C23" s="32" t="s">
        <v>86</v>
      </c>
      <c r="D23" s="33">
        <v>823239.119044215</v>
      </c>
      <c r="E23" s="33">
        <v>6843894.59053359</v>
      </c>
      <c r="F23" s="33">
        <v>47481.4940586859</v>
      </c>
      <c r="G23" s="33">
        <v>4175081.20725231</v>
      </c>
      <c r="H23" s="33">
        <v>587075.014773858</v>
      </c>
      <c r="I23" s="33">
        <v>3523907.10591254</v>
      </c>
      <c r="J23" s="33">
        <v>2164374.03906864</v>
      </c>
      <c r="K23" s="33">
        <v>6160907.41042858</v>
      </c>
      <c r="L23" s="33">
        <v>9762688.78290155</v>
      </c>
      <c r="M23" s="33">
        <v>367056.841011746</v>
      </c>
      <c r="N23" s="33">
        <v>3226326.02543016</v>
      </c>
      <c r="O23" s="33">
        <v>1210054.81549578</v>
      </c>
      <c r="P23" s="33">
        <v>4964060.11089454</v>
      </c>
      <c r="Q23" s="33">
        <v>16927420.3252392</v>
      </c>
      <c r="R23" s="33">
        <v>1218101.91400896</v>
      </c>
      <c r="S23" s="33">
        <v>1056789.44990559</v>
      </c>
      <c r="T23" s="33">
        <v>69726613.0196675</v>
      </c>
      <c r="U23" s="33">
        <v>27665192.2268015</v>
      </c>
      <c r="V23" s="33">
        <v>16436651.4292092</v>
      </c>
      <c r="W23" s="33">
        <v>14866905.5316828</v>
      </c>
      <c r="X23" s="33">
        <v>5355333.52508859</v>
      </c>
      <c r="Y23" s="33">
        <v>25722146.7761019</v>
      </c>
      <c r="Z23" s="33">
        <v>16994492.5820494</v>
      </c>
      <c r="AA23" s="33">
        <v>2549699.05053101</v>
      </c>
      <c r="AB23" s="33">
        <v>275728.82485354</v>
      </c>
      <c r="AC23" s="33">
        <v>36839.2092825543</v>
      </c>
      <c r="AD23" s="33">
        <v>843476.845539493</v>
      </c>
      <c r="AE23" s="33">
        <v>132161439.876163</v>
      </c>
      <c r="AF23" s="33">
        <v>290667.527981728</v>
      </c>
      <c r="AG23" s="33">
        <v>3135118.82343839</v>
      </c>
      <c r="AH23" s="33">
        <v>384818.746002096</v>
      </c>
      <c r="AI23" s="33">
        <v>599301.045059108</v>
      </c>
      <c r="AJ23" s="33">
        <v>86808.7666449741</v>
      </c>
      <c r="AK23" s="33">
        <v>1196639.37190678</v>
      </c>
      <c r="AL23" s="33">
        <v>25113883.5679907</v>
      </c>
      <c r="AM23" s="33">
        <v>5682565.08235894</v>
      </c>
      <c r="AN23" s="33">
        <v>13354998.6456774</v>
      </c>
      <c r="AO23" s="33">
        <v>3302520.29842778</v>
      </c>
      <c r="AP23" s="33">
        <v>758921.691067696</v>
      </c>
      <c r="AQ23" s="33">
        <v>53758.7009246846</v>
      </c>
      <c r="AR23" s="33">
        <v>152670.465164302</v>
      </c>
      <c r="AS23" s="33">
        <v>2122995.85967612</v>
      </c>
      <c r="AT23" s="66">
        <v>425767738.324822</v>
      </c>
      <c r="AU23" s="67">
        <v>665462.948125651</v>
      </c>
      <c r="AV23" s="67">
        <v>4215024.12649486</v>
      </c>
      <c r="AW23" s="66">
        <v>4880487.07462051</v>
      </c>
      <c r="AX23" s="67">
        <v>0</v>
      </c>
      <c r="AY23" s="66">
        <v>4880487.07462051</v>
      </c>
      <c r="AZ23" s="67">
        <v>25162931.8981722</v>
      </c>
      <c r="BA23" s="67">
        <v>9509406.91482779</v>
      </c>
      <c r="BB23" s="66">
        <v>34672338.813</v>
      </c>
      <c r="BC23" s="86">
        <v>62348551.2322764</v>
      </c>
      <c r="BD23" s="87">
        <v>101901377.119897</v>
      </c>
      <c r="BE23" s="86">
        <v>8187441.32825617</v>
      </c>
      <c r="BF23" s="68">
        <v>519481674.116463</v>
      </c>
    </row>
    <row r="24" spans="1:58">
      <c r="A24" s="31"/>
      <c r="B24" s="5" t="s">
        <v>33</v>
      </c>
      <c r="C24" s="32" t="s">
        <v>87</v>
      </c>
      <c r="D24" s="33">
        <v>806226.184270114</v>
      </c>
      <c r="E24" s="33">
        <v>2843363.00046338</v>
      </c>
      <c r="F24" s="33">
        <v>696909.963403123</v>
      </c>
      <c r="G24" s="33">
        <v>2538535.26409327</v>
      </c>
      <c r="H24" s="33">
        <v>114281.127685603</v>
      </c>
      <c r="I24" s="33">
        <v>1454621.35317593</v>
      </c>
      <c r="J24" s="33">
        <v>1829431.63016969</v>
      </c>
      <c r="K24" s="33">
        <v>1278520.9770093</v>
      </c>
      <c r="L24" s="33">
        <v>2428023.70479392</v>
      </c>
      <c r="M24" s="33">
        <v>2442105.77966656</v>
      </c>
      <c r="N24" s="33">
        <v>4521088.92408151</v>
      </c>
      <c r="O24" s="33">
        <v>549583.609396482</v>
      </c>
      <c r="P24" s="33">
        <v>1114986.9222332</v>
      </c>
      <c r="Q24" s="33">
        <v>11173708.1146356</v>
      </c>
      <c r="R24" s="33">
        <v>7711312.92107117</v>
      </c>
      <c r="S24" s="33">
        <v>949139.593652273</v>
      </c>
      <c r="T24" s="33">
        <v>13379131.6650398</v>
      </c>
      <c r="U24" s="33">
        <v>113487863.806767</v>
      </c>
      <c r="V24" s="33">
        <v>35452640.1347683</v>
      </c>
      <c r="W24" s="33">
        <v>25719680.5816952</v>
      </c>
      <c r="X24" s="33">
        <v>11260438.3801391</v>
      </c>
      <c r="Y24" s="33">
        <v>24040251.9189083</v>
      </c>
      <c r="Z24" s="33">
        <v>9038625.38526015</v>
      </c>
      <c r="AA24" s="33">
        <v>2159487.82629554</v>
      </c>
      <c r="AB24" s="33">
        <v>2748010.68795233</v>
      </c>
      <c r="AC24" s="33">
        <v>160562.279466362</v>
      </c>
      <c r="AD24" s="33">
        <v>150061.209496772</v>
      </c>
      <c r="AE24" s="33">
        <v>21074962.820469</v>
      </c>
      <c r="AF24" s="33">
        <v>243034.792397356</v>
      </c>
      <c r="AG24" s="33">
        <v>10091175.5281896</v>
      </c>
      <c r="AH24" s="33">
        <v>297627.994707292</v>
      </c>
      <c r="AI24" s="33">
        <v>403328.364740025</v>
      </c>
      <c r="AJ24" s="33">
        <v>644747.674256228</v>
      </c>
      <c r="AK24" s="33">
        <v>308267.213126746</v>
      </c>
      <c r="AL24" s="33">
        <v>296883.487869707</v>
      </c>
      <c r="AM24" s="33">
        <v>216508.4433095</v>
      </c>
      <c r="AN24" s="33">
        <v>721127.504499315</v>
      </c>
      <c r="AO24" s="33">
        <v>131078.395913098</v>
      </c>
      <c r="AP24" s="33">
        <v>649463.411069069</v>
      </c>
      <c r="AQ24" s="33">
        <v>107743.552579729</v>
      </c>
      <c r="AR24" s="33">
        <v>51761.1116605379</v>
      </c>
      <c r="AS24" s="33">
        <v>375857.549392131</v>
      </c>
      <c r="AT24" s="33">
        <v>314383639.81276</v>
      </c>
      <c r="AU24" s="33">
        <v>376403.352121902</v>
      </c>
      <c r="AV24" s="33">
        <v>1228363.59075783</v>
      </c>
      <c r="AW24" s="33">
        <v>1604766.94287974</v>
      </c>
      <c r="AX24" s="33">
        <v>0</v>
      </c>
      <c r="AY24" s="33">
        <v>1604766.94287974</v>
      </c>
      <c r="AZ24" s="33">
        <v>170362145.9457</v>
      </c>
      <c r="BA24" s="33">
        <v>9413554.55023874</v>
      </c>
      <c r="BB24" s="33">
        <v>179775700.495938</v>
      </c>
      <c r="BC24" s="33">
        <v>92569318.3625549</v>
      </c>
      <c r="BD24" s="33">
        <v>273949785.801373</v>
      </c>
      <c r="BE24" s="33">
        <v>55422439.1853585</v>
      </c>
      <c r="BF24" s="33">
        <v>532910986.428774</v>
      </c>
    </row>
    <row r="25" spans="1:58">
      <c r="A25" s="31"/>
      <c r="B25" s="5" t="s">
        <v>34</v>
      </c>
      <c r="C25" s="32" t="s">
        <v>88</v>
      </c>
      <c r="D25" s="33">
        <v>9442062.92801937</v>
      </c>
      <c r="E25" s="33">
        <v>4363149.336806</v>
      </c>
      <c r="F25" s="33">
        <v>2865981.25181855</v>
      </c>
      <c r="G25" s="33">
        <v>5453583.9108511</v>
      </c>
      <c r="H25" s="33">
        <v>1809891.30244196</v>
      </c>
      <c r="I25" s="33">
        <v>571460.14655284</v>
      </c>
      <c r="J25" s="33">
        <v>1222125.93598965</v>
      </c>
      <c r="K25" s="33">
        <v>807146.352519896</v>
      </c>
      <c r="L25" s="33">
        <v>2812881.97833965</v>
      </c>
      <c r="M25" s="33">
        <v>833887.883458399</v>
      </c>
      <c r="N25" s="33">
        <v>3285331.70570163</v>
      </c>
      <c r="O25" s="33">
        <v>235061.275415039</v>
      </c>
      <c r="P25" s="33">
        <v>1275752.54841213</v>
      </c>
      <c r="Q25" s="33">
        <v>3308438.86187986</v>
      </c>
      <c r="R25" s="33">
        <v>5251960.01500806</v>
      </c>
      <c r="S25" s="33">
        <v>3482298.16140767</v>
      </c>
      <c r="T25" s="33">
        <v>3764377.58852423</v>
      </c>
      <c r="U25" s="33">
        <v>4434748.51689896</v>
      </c>
      <c r="V25" s="33">
        <v>48823626.045814</v>
      </c>
      <c r="W25" s="33">
        <v>4354380.29182304</v>
      </c>
      <c r="X25" s="33">
        <v>1023610.76363881</v>
      </c>
      <c r="Y25" s="33">
        <v>4191944.0242041</v>
      </c>
      <c r="Z25" s="33">
        <v>21202968.5853471</v>
      </c>
      <c r="AA25" s="33">
        <v>693670.454658586</v>
      </c>
      <c r="AB25" s="33">
        <v>179779.537392399</v>
      </c>
      <c r="AC25" s="33">
        <v>8470.14890797024</v>
      </c>
      <c r="AD25" s="33">
        <v>108797.717378279</v>
      </c>
      <c r="AE25" s="33">
        <v>17847619.6761968</v>
      </c>
      <c r="AF25" s="33">
        <v>34879.9991827387</v>
      </c>
      <c r="AG25" s="33">
        <v>1382805.2328976</v>
      </c>
      <c r="AH25" s="33">
        <v>142728.162167838</v>
      </c>
      <c r="AI25" s="33">
        <v>102271.223977529</v>
      </c>
      <c r="AJ25" s="33">
        <v>923602.285353108</v>
      </c>
      <c r="AK25" s="33">
        <v>8292.93333092109</v>
      </c>
      <c r="AL25" s="33">
        <v>523390.390744323</v>
      </c>
      <c r="AM25" s="33">
        <v>39920.1783046273</v>
      </c>
      <c r="AN25" s="33">
        <v>160663.045571544</v>
      </c>
      <c r="AO25" s="33">
        <v>160146.609952256</v>
      </c>
      <c r="AP25" s="33">
        <v>133533.267090461</v>
      </c>
      <c r="AQ25" s="33">
        <v>16681231.4471724</v>
      </c>
      <c r="AR25" s="33">
        <v>11275.3032369504</v>
      </c>
      <c r="AS25" s="33">
        <v>264818.8229936</v>
      </c>
      <c r="AT25" s="33">
        <v>173417419.494862</v>
      </c>
      <c r="AU25" s="33">
        <v>595579.786708233</v>
      </c>
      <c r="AV25" s="33">
        <v>3720729.28128777</v>
      </c>
      <c r="AW25" s="33">
        <v>4316309.067996</v>
      </c>
      <c r="AX25" s="33">
        <v>0</v>
      </c>
      <c r="AY25" s="33">
        <v>4316309.067996</v>
      </c>
      <c r="AZ25" s="33">
        <v>204929596.996765</v>
      </c>
      <c r="BA25" s="33">
        <v>4556075.64797651</v>
      </c>
      <c r="BB25" s="33">
        <v>209485672.644741</v>
      </c>
      <c r="BC25" s="33">
        <v>59350299.4024356</v>
      </c>
      <c r="BD25" s="33">
        <v>273152281.115173</v>
      </c>
      <c r="BE25" s="33">
        <v>59218616.8054186</v>
      </c>
      <c r="BF25" s="33">
        <v>387351083.804617</v>
      </c>
    </row>
    <row r="26" spans="1:58">
      <c r="A26" s="31"/>
      <c r="B26" s="5" t="s">
        <v>35</v>
      </c>
      <c r="C26" s="32" t="s">
        <v>89</v>
      </c>
      <c r="D26" s="33">
        <v>1408919.47174852</v>
      </c>
      <c r="E26" s="33">
        <v>198746.703208977</v>
      </c>
      <c r="F26" s="33">
        <v>17829.4995666181</v>
      </c>
      <c r="G26" s="33">
        <v>1022626.22236667</v>
      </c>
      <c r="H26" s="33">
        <v>150879.728926784</v>
      </c>
      <c r="I26" s="33">
        <v>174622.0626038</v>
      </c>
      <c r="J26" s="33">
        <v>253639.827609616</v>
      </c>
      <c r="K26" s="33">
        <v>118989.438174631</v>
      </c>
      <c r="L26" s="33">
        <v>309975.01103407</v>
      </c>
      <c r="M26" s="33">
        <v>11160.7151198479</v>
      </c>
      <c r="N26" s="33">
        <v>366530.842197897</v>
      </c>
      <c r="O26" s="33">
        <v>35280.4114697753</v>
      </c>
      <c r="P26" s="33">
        <v>161696.960472425</v>
      </c>
      <c r="Q26" s="33">
        <v>2370746.5846731</v>
      </c>
      <c r="R26" s="33">
        <v>187208.86335535</v>
      </c>
      <c r="S26" s="33">
        <v>60658.8850420883</v>
      </c>
      <c r="T26" s="33">
        <v>593836.086899674</v>
      </c>
      <c r="U26" s="33">
        <v>7563616.93721981</v>
      </c>
      <c r="V26" s="33">
        <v>8848095.28212466</v>
      </c>
      <c r="W26" s="33">
        <v>237540166.849936</v>
      </c>
      <c r="X26" s="33">
        <v>988820.126352283</v>
      </c>
      <c r="Y26" s="33">
        <v>1344462.38255763</v>
      </c>
      <c r="Z26" s="33">
        <v>694918.872580712</v>
      </c>
      <c r="AA26" s="33">
        <v>291795.627665762</v>
      </c>
      <c r="AB26" s="33">
        <v>58968.4302529935</v>
      </c>
      <c r="AC26" s="33">
        <v>10597.3705342233</v>
      </c>
      <c r="AD26" s="33">
        <v>10282.3495962402</v>
      </c>
      <c r="AE26" s="33">
        <v>1111563.22633228</v>
      </c>
      <c r="AF26" s="33">
        <v>118840.414417673</v>
      </c>
      <c r="AG26" s="33">
        <v>70012316.4917652</v>
      </c>
      <c r="AH26" s="33">
        <v>471817.610119264</v>
      </c>
      <c r="AI26" s="33">
        <v>259987.74788361</v>
      </c>
      <c r="AJ26" s="33">
        <v>289071.471008231</v>
      </c>
      <c r="AK26" s="33">
        <v>28341.215566361</v>
      </c>
      <c r="AL26" s="33">
        <v>32334152.3130725</v>
      </c>
      <c r="AM26" s="33">
        <v>356407.834694694</v>
      </c>
      <c r="AN26" s="33">
        <v>3427487.68638643</v>
      </c>
      <c r="AO26" s="33">
        <v>8061811.89508873</v>
      </c>
      <c r="AP26" s="33">
        <v>115094.302472962</v>
      </c>
      <c r="AQ26" s="33">
        <v>44551.6552238103</v>
      </c>
      <c r="AR26" s="33">
        <v>91094.9497107393</v>
      </c>
      <c r="AS26" s="33">
        <v>4080096.68035588</v>
      </c>
      <c r="AT26" s="33">
        <v>385478717.599214</v>
      </c>
      <c r="AU26" s="33">
        <v>21454358.9824</v>
      </c>
      <c r="AV26" s="33">
        <v>126837276.971455</v>
      </c>
      <c r="AW26" s="33">
        <v>148291635.953854</v>
      </c>
      <c r="AX26" s="33">
        <v>0</v>
      </c>
      <c r="AY26" s="33">
        <v>148291635.953854</v>
      </c>
      <c r="AZ26" s="33">
        <v>176416405.60986</v>
      </c>
      <c r="BA26" s="33">
        <v>16277173.520149</v>
      </c>
      <c r="BB26" s="33">
        <v>192693579.130009</v>
      </c>
      <c r="BC26" s="33">
        <v>31524411.8740067</v>
      </c>
      <c r="BD26" s="33">
        <v>372509626.95787</v>
      </c>
      <c r="BE26" s="33">
        <v>51530883.8938301</v>
      </c>
      <c r="BF26" s="33">
        <v>706457460.663255</v>
      </c>
    </row>
    <row r="27" ht="45" spans="1:58">
      <c r="A27" s="31"/>
      <c r="B27" s="5" t="s">
        <v>36</v>
      </c>
      <c r="C27" s="32" t="s">
        <v>90</v>
      </c>
      <c r="D27" s="33">
        <v>1633653.65806691</v>
      </c>
      <c r="E27" s="33">
        <v>137377.205097078</v>
      </c>
      <c r="F27" s="33">
        <v>3299.56189290866</v>
      </c>
      <c r="G27" s="33">
        <v>67835.3459976172</v>
      </c>
      <c r="H27" s="33">
        <v>4779.07588288803</v>
      </c>
      <c r="I27" s="33">
        <v>63498.7503577343</v>
      </c>
      <c r="J27" s="33">
        <v>69505.4852935894</v>
      </c>
      <c r="K27" s="33">
        <v>69778.9410106169</v>
      </c>
      <c r="L27" s="33">
        <v>108012.372758994</v>
      </c>
      <c r="M27" s="33">
        <v>42843.2728787259</v>
      </c>
      <c r="N27" s="33">
        <v>152643.880331771</v>
      </c>
      <c r="O27" s="33">
        <v>41875.3936036717</v>
      </c>
      <c r="P27" s="33">
        <v>24313.253380856</v>
      </c>
      <c r="Q27" s="33">
        <v>62621.1042461217</v>
      </c>
      <c r="R27" s="33">
        <v>37696.937032712</v>
      </c>
      <c r="S27" s="33">
        <v>1730.54803290979</v>
      </c>
      <c r="T27" s="33">
        <v>65866.2998077061</v>
      </c>
      <c r="U27" s="33">
        <v>2010934.95369182</v>
      </c>
      <c r="V27" s="33">
        <v>1579977.05745096</v>
      </c>
      <c r="W27" s="33">
        <v>566701.38138896</v>
      </c>
      <c r="X27" s="33">
        <v>26429459.4335445</v>
      </c>
      <c r="Y27" s="33">
        <v>415016.332230818</v>
      </c>
      <c r="Z27" s="33">
        <v>293311.212366442</v>
      </c>
      <c r="AA27" s="33">
        <v>2270996.10026629</v>
      </c>
      <c r="AB27" s="33">
        <v>2147.56667994425</v>
      </c>
      <c r="AC27" s="33">
        <v>2909.14583836519</v>
      </c>
      <c r="AD27" s="33">
        <v>3349.17092722103</v>
      </c>
      <c r="AE27" s="33">
        <v>1342301.06272071</v>
      </c>
      <c r="AF27" s="33">
        <v>33836.1077160702</v>
      </c>
      <c r="AG27" s="33">
        <v>17589480.2783088</v>
      </c>
      <c r="AH27" s="33">
        <v>5954.9325288047</v>
      </c>
      <c r="AI27" s="33">
        <v>9733.57136228869</v>
      </c>
      <c r="AJ27" s="33">
        <v>37918.7506338776</v>
      </c>
      <c r="AK27" s="33">
        <v>2136.28184031191</v>
      </c>
      <c r="AL27" s="33">
        <v>30801.7023287918</v>
      </c>
      <c r="AM27" s="33">
        <v>97615.3658618262</v>
      </c>
      <c r="AN27" s="33">
        <v>159496.189974238</v>
      </c>
      <c r="AO27" s="33">
        <v>4542218.64200786</v>
      </c>
      <c r="AP27" s="33">
        <v>18162.6652493418</v>
      </c>
      <c r="AQ27" s="33">
        <v>211712.633190132</v>
      </c>
      <c r="AR27" s="33">
        <v>18823.8901585928</v>
      </c>
      <c r="AS27" s="33">
        <v>630868.856323893</v>
      </c>
      <c r="AT27" s="33">
        <v>60823415.4292531</v>
      </c>
      <c r="AU27" s="33">
        <v>5697629.10822783</v>
      </c>
      <c r="AV27" s="33">
        <v>9025381.58335605</v>
      </c>
      <c r="AW27" s="33">
        <v>14723010.6915839</v>
      </c>
      <c r="AX27" s="33">
        <v>0</v>
      </c>
      <c r="AY27" s="33">
        <v>14723010.6915839</v>
      </c>
      <c r="AZ27" s="33">
        <v>60601018.9130205</v>
      </c>
      <c r="BA27" s="33">
        <v>109528.026406031</v>
      </c>
      <c r="BB27" s="33">
        <v>60710546.9394265</v>
      </c>
      <c r="BC27" s="33">
        <v>28964418.0481885</v>
      </c>
      <c r="BD27" s="33">
        <v>104397975.679199</v>
      </c>
      <c r="BE27" s="33">
        <v>9207467.07582404</v>
      </c>
      <c r="BF27" s="33">
        <v>156013924.032628</v>
      </c>
    </row>
    <row r="28" ht="22.5" spans="1:58">
      <c r="A28" s="31"/>
      <c r="B28" s="5" t="s">
        <v>37</v>
      </c>
      <c r="C28" s="32" t="s">
        <v>91</v>
      </c>
      <c r="D28" s="33">
        <v>197717.415187688</v>
      </c>
      <c r="E28" s="33">
        <v>881627.778062507</v>
      </c>
      <c r="F28" s="33">
        <v>103121.478636574</v>
      </c>
      <c r="G28" s="33">
        <v>981292.411045522</v>
      </c>
      <c r="H28" s="33">
        <v>106644.456891027</v>
      </c>
      <c r="I28" s="33">
        <v>653308.469340626</v>
      </c>
      <c r="J28" s="33">
        <v>495172.500311499</v>
      </c>
      <c r="K28" s="33">
        <v>286554.206893218</v>
      </c>
      <c r="L28" s="33">
        <v>1752872.2545674</v>
      </c>
      <c r="M28" s="33">
        <v>180840.089195095</v>
      </c>
      <c r="N28" s="33">
        <v>822089.173907281</v>
      </c>
      <c r="O28" s="33">
        <v>125439.831913432</v>
      </c>
      <c r="P28" s="33">
        <v>1149003.59757298</v>
      </c>
      <c r="Q28" s="33">
        <v>1447646.24429034</v>
      </c>
      <c r="R28" s="33">
        <v>565778.765745936</v>
      </c>
      <c r="S28" s="33">
        <v>269475.607547603</v>
      </c>
      <c r="T28" s="33">
        <v>1218352.28813117</v>
      </c>
      <c r="U28" s="33">
        <v>30663801.7365319</v>
      </c>
      <c r="V28" s="33">
        <v>17420251.0478405</v>
      </c>
      <c r="W28" s="33">
        <v>16970910.7034714</v>
      </c>
      <c r="X28" s="33">
        <v>16325888.3708768</v>
      </c>
      <c r="Y28" s="33">
        <v>117461126.231873</v>
      </c>
      <c r="Z28" s="33">
        <v>56751423.2515013</v>
      </c>
      <c r="AA28" s="33">
        <v>2060373.1156654</v>
      </c>
      <c r="AB28" s="33">
        <v>42504095.5491839</v>
      </c>
      <c r="AC28" s="33">
        <v>79167.8845453074</v>
      </c>
      <c r="AD28" s="33">
        <v>81672.3925387506</v>
      </c>
      <c r="AE28" s="33">
        <v>93400845.8318153</v>
      </c>
      <c r="AF28" s="33">
        <v>14542910.593776</v>
      </c>
      <c r="AG28" s="33">
        <v>5206775.22295775</v>
      </c>
      <c r="AH28" s="33">
        <v>522242.572353372</v>
      </c>
      <c r="AI28" s="33">
        <v>10616440.4929461</v>
      </c>
      <c r="AJ28" s="33">
        <v>110440.953008636</v>
      </c>
      <c r="AK28" s="33">
        <v>58084.7914951291</v>
      </c>
      <c r="AL28" s="33">
        <v>12746420.9702527</v>
      </c>
      <c r="AM28" s="33">
        <v>7320572.04695897</v>
      </c>
      <c r="AN28" s="33">
        <v>9868972.94329078</v>
      </c>
      <c r="AO28" s="33">
        <v>3254772.87849032</v>
      </c>
      <c r="AP28" s="33">
        <v>94102.0244129902</v>
      </c>
      <c r="AQ28" s="33">
        <v>481029.797254609</v>
      </c>
      <c r="AR28" s="33">
        <v>104873.43936142</v>
      </c>
      <c r="AS28" s="33">
        <v>3268322.84521895</v>
      </c>
      <c r="AT28" s="33">
        <v>472865900.049969</v>
      </c>
      <c r="AU28" s="33">
        <v>10878967.9395498</v>
      </c>
      <c r="AV28" s="33">
        <v>29242602.7435627</v>
      </c>
      <c r="AW28" s="33">
        <v>40121570.6831126</v>
      </c>
      <c r="AX28" s="33">
        <v>0</v>
      </c>
      <c r="AY28" s="33">
        <v>40121570.6831126</v>
      </c>
      <c r="AZ28" s="33">
        <v>63813745.932882</v>
      </c>
      <c r="BA28" s="33">
        <v>752723.18437021</v>
      </c>
      <c r="BB28" s="33">
        <v>64566469.1172523</v>
      </c>
      <c r="BC28" s="33">
        <v>170548525.749384</v>
      </c>
      <c r="BD28" s="33">
        <v>275236565.549748</v>
      </c>
      <c r="BE28" s="33">
        <v>50436211.01256</v>
      </c>
      <c r="BF28" s="33">
        <v>697666254.587158</v>
      </c>
    </row>
    <row r="29" ht="45" spans="1:58">
      <c r="A29" s="31"/>
      <c r="B29" s="5" t="s">
        <v>38</v>
      </c>
      <c r="C29" s="32" t="s">
        <v>92</v>
      </c>
      <c r="D29" s="33">
        <v>331571.923272867</v>
      </c>
      <c r="E29" s="33">
        <v>360777.600048786</v>
      </c>
      <c r="F29" s="33">
        <v>869124.765382683</v>
      </c>
      <c r="G29" s="33">
        <v>145408.002156292</v>
      </c>
      <c r="H29" s="33">
        <v>375468.67917023</v>
      </c>
      <c r="I29" s="33">
        <v>747037.241952358</v>
      </c>
      <c r="J29" s="33">
        <v>409009.192440037</v>
      </c>
      <c r="K29" s="33">
        <v>114685.419699634</v>
      </c>
      <c r="L29" s="33">
        <v>3374013.38554036</v>
      </c>
      <c r="M29" s="33">
        <v>1119303.61774101</v>
      </c>
      <c r="N29" s="33">
        <v>1074059.68590883</v>
      </c>
      <c r="O29" s="33">
        <v>481071.441299769</v>
      </c>
      <c r="P29" s="33">
        <v>1201955.6937511</v>
      </c>
      <c r="Q29" s="33">
        <v>1208113.17557276</v>
      </c>
      <c r="R29" s="33">
        <v>932509.347513557</v>
      </c>
      <c r="S29" s="33">
        <v>157946.375160313</v>
      </c>
      <c r="T29" s="33">
        <v>965077.730843394</v>
      </c>
      <c r="U29" s="33">
        <v>25381587.3322048</v>
      </c>
      <c r="V29" s="33">
        <v>27022920.5556231</v>
      </c>
      <c r="W29" s="33">
        <v>16792407.2437838</v>
      </c>
      <c r="X29" s="33">
        <v>8374607.94999632</v>
      </c>
      <c r="Y29" s="33">
        <v>53832828.6339688</v>
      </c>
      <c r="Z29" s="33">
        <v>603819523.000826</v>
      </c>
      <c r="AA29" s="33">
        <v>2302751.13036301</v>
      </c>
      <c r="AB29" s="33">
        <v>17376246.384033</v>
      </c>
      <c r="AC29" s="33">
        <v>181125.688773073</v>
      </c>
      <c r="AD29" s="33">
        <v>131744.268506082</v>
      </c>
      <c r="AE29" s="33">
        <v>13384228.3465784</v>
      </c>
      <c r="AF29" s="33">
        <v>8333877.7981027</v>
      </c>
      <c r="AG29" s="33">
        <v>6813502.59389121</v>
      </c>
      <c r="AH29" s="33">
        <v>1176063.93985992</v>
      </c>
      <c r="AI29" s="33">
        <v>56611169.5911174</v>
      </c>
      <c r="AJ29" s="33">
        <v>1165549.52734219</v>
      </c>
      <c r="AK29" s="33">
        <v>447000.472689652</v>
      </c>
      <c r="AL29" s="33">
        <v>22296948.6364968</v>
      </c>
      <c r="AM29" s="33">
        <v>16278535.2568956</v>
      </c>
      <c r="AN29" s="33">
        <v>48000174.0522176</v>
      </c>
      <c r="AO29" s="33">
        <v>12802603.0218603</v>
      </c>
      <c r="AP29" s="33">
        <v>5849192.98747776</v>
      </c>
      <c r="AQ29" s="33">
        <v>1202627.02425139</v>
      </c>
      <c r="AR29" s="33">
        <v>1117205.07324635</v>
      </c>
      <c r="AS29" s="33">
        <v>6557094.89338628</v>
      </c>
      <c r="AT29" s="33">
        <v>971003963.261246</v>
      </c>
      <c r="AU29" s="33">
        <v>15240055.9404142</v>
      </c>
      <c r="AV29" s="33">
        <v>51826486.8887288</v>
      </c>
      <c r="AW29" s="33">
        <v>67066542.8291431</v>
      </c>
      <c r="AX29" s="33">
        <v>0</v>
      </c>
      <c r="AY29" s="33">
        <v>67066542.8291431</v>
      </c>
      <c r="AZ29" s="33">
        <v>107099836.458124</v>
      </c>
      <c r="BA29" s="33">
        <v>6140154.94557925</v>
      </c>
      <c r="BB29" s="33">
        <v>113239991.403703</v>
      </c>
      <c r="BC29" s="33">
        <v>439367334.977594</v>
      </c>
      <c r="BD29" s="33">
        <v>619673869.21044</v>
      </c>
      <c r="BE29" s="33">
        <v>402155880.989067</v>
      </c>
      <c r="BF29" s="33">
        <v>1188521951.48262</v>
      </c>
    </row>
    <row r="30" ht="67.5" spans="1:58">
      <c r="A30" s="31"/>
      <c r="B30" s="5" t="s">
        <v>39</v>
      </c>
      <c r="C30" s="32" t="s">
        <v>93</v>
      </c>
      <c r="D30" s="33">
        <v>164747.47787442</v>
      </c>
      <c r="E30" s="33">
        <v>405514.028696877</v>
      </c>
      <c r="F30" s="33">
        <v>146894.390608488</v>
      </c>
      <c r="G30" s="33">
        <v>199118.318682827</v>
      </c>
      <c r="H30" s="33">
        <v>133740.274132896</v>
      </c>
      <c r="I30" s="33">
        <v>651164.662235605</v>
      </c>
      <c r="J30" s="33">
        <v>1365889.24193162</v>
      </c>
      <c r="K30" s="33">
        <v>242435.444202603</v>
      </c>
      <c r="L30" s="33">
        <v>13403852.7991249</v>
      </c>
      <c r="M30" s="33">
        <v>563622.575493812</v>
      </c>
      <c r="N30" s="33">
        <v>2080644.80100684</v>
      </c>
      <c r="O30" s="33">
        <v>113887.729667525</v>
      </c>
      <c r="P30" s="33">
        <v>2943239.54972399</v>
      </c>
      <c r="Q30" s="33">
        <v>3630070.67910031</v>
      </c>
      <c r="R30" s="33">
        <v>53093165.5860322</v>
      </c>
      <c r="S30" s="33">
        <v>13891355.1135089</v>
      </c>
      <c r="T30" s="33">
        <v>8634157.31636042</v>
      </c>
      <c r="U30" s="33">
        <v>880502.959253846</v>
      </c>
      <c r="V30" s="33">
        <v>861292.657281462</v>
      </c>
      <c r="W30" s="33">
        <v>847818.194477255</v>
      </c>
      <c r="X30" s="33">
        <v>612599.365646073</v>
      </c>
      <c r="Y30" s="33">
        <v>953658.576235595</v>
      </c>
      <c r="Z30" s="33">
        <v>1492023.53355406</v>
      </c>
      <c r="AA30" s="33">
        <v>13185015.9538418</v>
      </c>
      <c r="AB30" s="33">
        <v>3665815.02354141</v>
      </c>
      <c r="AC30" s="33">
        <v>154857.195317682</v>
      </c>
      <c r="AD30" s="33">
        <v>89102.3531977336</v>
      </c>
      <c r="AE30" s="33">
        <v>3882686.33623541</v>
      </c>
      <c r="AF30" s="33">
        <v>133738.983320516</v>
      </c>
      <c r="AG30" s="33">
        <v>1407910.29219912</v>
      </c>
      <c r="AH30" s="33">
        <v>205188.885886443</v>
      </c>
      <c r="AI30" s="33">
        <v>462987.371957501</v>
      </c>
      <c r="AJ30" s="33">
        <v>72347.1322713563</v>
      </c>
      <c r="AK30" s="33">
        <v>1286923.14998262</v>
      </c>
      <c r="AL30" s="33">
        <v>8954361.7373353</v>
      </c>
      <c r="AM30" s="33">
        <v>1783852.69528289</v>
      </c>
      <c r="AN30" s="33">
        <v>5440678.95456614</v>
      </c>
      <c r="AO30" s="33">
        <v>2143669.90129252</v>
      </c>
      <c r="AP30" s="33">
        <v>265892.83775368</v>
      </c>
      <c r="AQ30" s="33">
        <v>216482.433895731</v>
      </c>
      <c r="AR30" s="33">
        <v>626246.263194468</v>
      </c>
      <c r="AS30" s="33">
        <v>1384717.88660363</v>
      </c>
      <c r="AT30" s="33">
        <v>152431435.218306</v>
      </c>
      <c r="AU30" s="33">
        <v>1188015.95895082</v>
      </c>
      <c r="AV30" s="33">
        <v>3366560.16355687</v>
      </c>
      <c r="AW30" s="33">
        <v>4554576.12250768</v>
      </c>
      <c r="AX30" s="33">
        <v>0</v>
      </c>
      <c r="AY30" s="33">
        <v>0</v>
      </c>
      <c r="AZ30" s="33">
        <v>1945824.44731674</v>
      </c>
      <c r="BA30" s="33">
        <v>0</v>
      </c>
      <c r="BB30" s="33">
        <v>1945824.44731674</v>
      </c>
      <c r="BC30" s="33">
        <v>5279719.01218634</v>
      </c>
      <c r="BD30" s="33">
        <v>7225543.45950308</v>
      </c>
      <c r="BE30" s="33">
        <v>2317558.09616118</v>
      </c>
      <c r="BF30" s="33">
        <v>20697060.1472694</v>
      </c>
    </row>
    <row r="31" ht="22.5" spans="1:58">
      <c r="A31" s="31"/>
      <c r="B31" s="5" t="s">
        <v>40</v>
      </c>
      <c r="C31" s="32" t="s">
        <v>94</v>
      </c>
      <c r="D31" s="33">
        <v>10632509.6859949</v>
      </c>
      <c r="E31" s="33">
        <v>8492039.32652413</v>
      </c>
      <c r="F31" s="33">
        <v>3827929.6782418</v>
      </c>
      <c r="G31" s="33">
        <v>14593431.6584963</v>
      </c>
      <c r="H31" s="33">
        <v>481039.226825574</v>
      </c>
      <c r="I31" s="33">
        <v>8337210.07376071</v>
      </c>
      <c r="J31" s="33">
        <v>9271306.16593008</v>
      </c>
      <c r="K31" s="33">
        <v>5198622.98158213</v>
      </c>
      <c r="L31" s="33">
        <v>12650200.9247383</v>
      </c>
      <c r="M31" s="33">
        <v>8918733.79000416</v>
      </c>
      <c r="N31" s="33">
        <v>41485169.0347757</v>
      </c>
      <c r="O31" s="33">
        <v>4492909.99627516</v>
      </c>
      <c r="P31" s="33">
        <v>6429846.75502072</v>
      </c>
      <c r="Q31" s="33">
        <v>36511483.2836431</v>
      </c>
      <c r="R31" s="33">
        <v>34770410.7340965</v>
      </c>
      <c r="S31" s="33">
        <v>28693763.7235758</v>
      </c>
      <c r="T31" s="33">
        <v>23642420.6271042</v>
      </c>
      <c r="U31" s="33">
        <v>9037398.27317882</v>
      </c>
      <c r="V31" s="33">
        <v>5826705.64885269</v>
      </c>
      <c r="W31" s="33">
        <v>5789468.17087698</v>
      </c>
      <c r="X31" s="33">
        <v>1608516.39673472</v>
      </c>
      <c r="Y31" s="33">
        <v>8301003.14454721</v>
      </c>
      <c r="Z31" s="33">
        <v>11503234.3090018</v>
      </c>
      <c r="AA31" s="33">
        <v>2024340.44401451</v>
      </c>
      <c r="AB31" s="33">
        <v>207763089.590819</v>
      </c>
      <c r="AC31" s="33">
        <v>1989258.6932658</v>
      </c>
      <c r="AD31" s="33">
        <v>5177395.50409593</v>
      </c>
      <c r="AE31" s="33">
        <v>41785891.4537267</v>
      </c>
      <c r="AF31" s="33">
        <v>12653101.4524859</v>
      </c>
      <c r="AG31" s="33">
        <v>16559627.4871197</v>
      </c>
      <c r="AH31" s="33">
        <v>4171232.36153599</v>
      </c>
      <c r="AI31" s="33">
        <v>9487206.29473871</v>
      </c>
      <c r="AJ31" s="33">
        <v>4342106.13355276</v>
      </c>
      <c r="AK31" s="33">
        <v>4550954.10462631</v>
      </c>
      <c r="AL31" s="33">
        <v>3785533.73970236</v>
      </c>
      <c r="AM31" s="33">
        <v>3096348.06097215</v>
      </c>
      <c r="AN31" s="33">
        <v>2489328.25511629</v>
      </c>
      <c r="AO31" s="33">
        <v>3425610.48251737</v>
      </c>
      <c r="AP31" s="33">
        <v>3442352.68143954</v>
      </c>
      <c r="AQ31" s="33">
        <v>3190635.02150708</v>
      </c>
      <c r="AR31" s="33">
        <v>1566849.48827405</v>
      </c>
      <c r="AS31" s="33">
        <v>10257739.6612089</v>
      </c>
      <c r="AT31" s="66">
        <v>637055331.538918</v>
      </c>
      <c r="AU31" s="67">
        <v>12007734.9831194</v>
      </c>
      <c r="AV31" s="67">
        <v>49517677.8737369</v>
      </c>
      <c r="AW31" s="66">
        <v>61525412.8568563</v>
      </c>
      <c r="AX31" s="67">
        <v>0</v>
      </c>
      <c r="AY31" s="66">
        <v>61525412.8568563</v>
      </c>
      <c r="AZ31" s="67">
        <v>0</v>
      </c>
      <c r="BA31" s="67">
        <v>0</v>
      </c>
      <c r="BB31" s="66">
        <v>0</v>
      </c>
      <c r="BC31" s="67">
        <v>1045039.7484</v>
      </c>
      <c r="BD31" s="87">
        <v>62570452.6052563</v>
      </c>
      <c r="BE31" s="86">
        <v>123218.4412</v>
      </c>
      <c r="BF31" s="101">
        <v>699502565.702974</v>
      </c>
    </row>
    <row r="32" ht="22.5" spans="1:58">
      <c r="A32" s="31"/>
      <c r="B32" s="5" t="s">
        <v>41</v>
      </c>
      <c r="C32" s="34" t="s">
        <v>95</v>
      </c>
      <c r="D32" s="33">
        <v>158734.702636481</v>
      </c>
      <c r="E32" s="33">
        <v>28901.4549832347</v>
      </c>
      <c r="F32" s="33">
        <v>21479.9041926036</v>
      </c>
      <c r="G32" s="33">
        <v>23210.4423339237</v>
      </c>
      <c r="H32" s="33">
        <v>66417.5399308237</v>
      </c>
      <c r="I32" s="33">
        <v>443352.994379064</v>
      </c>
      <c r="J32" s="33">
        <v>187804.342690806</v>
      </c>
      <c r="K32" s="33">
        <v>26205.230886829</v>
      </c>
      <c r="L32" s="33">
        <v>455864.76763071</v>
      </c>
      <c r="M32" s="33">
        <v>817644.248395789</v>
      </c>
      <c r="N32" s="33">
        <v>2010632.17889104</v>
      </c>
      <c r="O32" s="33">
        <v>3228.66241789865</v>
      </c>
      <c r="P32" s="33">
        <v>5038.31191844696</v>
      </c>
      <c r="Q32" s="33">
        <v>240915.818847029</v>
      </c>
      <c r="R32" s="33">
        <v>233825.705392044</v>
      </c>
      <c r="S32" s="33">
        <v>69857.9835722389</v>
      </c>
      <c r="T32" s="33">
        <v>440098.520548632</v>
      </c>
      <c r="U32" s="33">
        <v>183042.984051761</v>
      </c>
      <c r="V32" s="33">
        <v>306402.220074573</v>
      </c>
      <c r="W32" s="33">
        <v>104306.632854689</v>
      </c>
      <c r="X32" s="33">
        <v>136222.61171656</v>
      </c>
      <c r="Y32" s="33">
        <v>250330.610469275</v>
      </c>
      <c r="Z32" s="33">
        <v>139669.20555458</v>
      </c>
      <c r="AA32" s="33">
        <v>421341.498051952</v>
      </c>
      <c r="AB32" s="33">
        <v>1999455.2125125</v>
      </c>
      <c r="AC32" s="33">
        <v>9988214.61525141</v>
      </c>
      <c r="AD32" s="33">
        <v>577.109732247711</v>
      </c>
      <c r="AE32" s="33">
        <v>43646.7161920363</v>
      </c>
      <c r="AF32" s="33">
        <v>108729.406380966</v>
      </c>
      <c r="AG32" s="33">
        <v>19661653.7984179</v>
      </c>
      <c r="AH32" s="33">
        <v>2563138.31292585</v>
      </c>
      <c r="AI32" s="33">
        <v>79885.2056723576</v>
      </c>
      <c r="AJ32" s="33">
        <v>29927.4073905187</v>
      </c>
      <c r="AK32" s="33">
        <v>2003956.33127242</v>
      </c>
      <c r="AL32" s="33">
        <v>461291.884655495</v>
      </c>
      <c r="AM32" s="33">
        <v>181897.000483664</v>
      </c>
      <c r="AN32" s="33">
        <v>211884.969231725</v>
      </c>
      <c r="AO32" s="33">
        <v>1107430.78014094</v>
      </c>
      <c r="AP32" s="33">
        <v>533949.623568463</v>
      </c>
      <c r="AQ32" s="33">
        <v>253896.226234584</v>
      </c>
      <c r="AR32" s="33">
        <v>279996.556747517</v>
      </c>
      <c r="AS32" s="33">
        <v>347185.736217506</v>
      </c>
      <c r="AT32" s="66">
        <v>46605040.2345622</v>
      </c>
      <c r="AU32" s="67">
        <v>1394219.1029458</v>
      </c>
      <c r="AV32" s="67">
        <v>32378337.354393</v>
      </c>
      <c r="AW32" s="66">
        <v>33772556.4573388</v>
      </c>
      <c r="AX32" s="67">
        <v>0</v>
      </c>
      <c r="AY32" s="66">
        <v>33772556.4573388</v>
      </c>
      <c r="AZ32" s="67">
        <v>0</v>
      </c>
      <c r="BA32" s="67">
        <v>893408.640445413</v>
      </c>
      <c r="BB32" s="66">
        <v>893408.640445413</v>
      </c>
      <c r="BC32" s="86">
        <v>0</v>
      </c>
      <c r="BD32" s="87">
        <v>34665965.0977843</v>
      </c>
      <c r="BE32" s="86">
        <v>0</v>
      </c>
      <c r="BF32" s="68">
        <v>81271005.3323466</v>
      </c>
    </row>
    <row r="33" ht="22.5" spans="1:58">
      <c r="A33" s="31"/>
      <c r="B33" s="5" t="s">
        <v>42</v>
      </c>
      <c r="C33" s="34" t="s">
        <v>96</v>
      </c>
      <c r="D33" s="33">
        <v>41316.5882525332</v>
      </c>
      <c r="E33" s="33">
        <v>56861.257707943</v>
      </c>
      <c r="F33" s="33">
        <v>66724.691130288</v>
      </c>
      <c r="G33" s="33">
        <v>75500.916232385</v>
      </c>
      <c r="H33" s="33">
        <v>15289.8763037162</v>
      </c>
      <c r="I33" s="33">
        <v>1176862.55784355</v>
      </c>
      <c r="J33" s="33">
        <v>280582.666045646</v>
      </c>
      <c r="K33" s="33">
        <v>118367.573214222</v>
      </c>
      <c r="L33" s="33">
        <v>442167.917496233</v>
      </c>
      <c r="M33" s="33">
        <v>149328.755060231</v>
      </c>
      <c r="N33" s="33">
        <v>481011.190095962</v>
      </c>
      <c r="O33" s="33">
        <v>235131.246112251</v>
      </c>
      <c r="P33" s="33">
        <v>150793.202845702</v>
      </c>
      <c r="Q33" s="33">
        <v>532732.645140702</v>
      </c>
      <c r="R33" s="33">
        <v>313577.763558793</v>
      </c>
      <c r="S33" s="33">
        <v>110786.029679926</v>
      </c>
      <c r="T33" s="33">
        <v>157179.328359272</v>
      </c>
      <c r="U33" s="33">
        <v>340480.594865973</v>
      </c>
      <c r="V33" s="33">
        <v>185550.309529279</v>
      </c>
      <c r="W33" s="33">
        <v>167372.942433645</v>
      </c>
      <c r="X33" s="33">
        <v>121137.104951136</v>
      </c>
      <c r="Y33" s="33">
        <v>405654.938503351</v>
      </c>
      <c r="Z33" s="33">
        <v>532648.035831734</v>
      </c>
      <c r="AA33" s="33">
        <v>182154.691878221</v>
      </c>
      <c r="AB33" s="33">
        <v>1234128.68752964</v>
      </c>
      <c r="AC33" s="33">
        <v>36613.3440053734</v>
      </c>
      <c r="AD33" s="33">
        <v>2092918.63715616</v>
      </c>
      <c r="AE33" s="33">
        <v>2894162.04830273</v>
      </c>
      <c r="AF33" s="33">
        <v>552057.353167517</v>
      </c>
      <c r="AG33" s="33">
        <v>496240.201919855</v>
      </c>
      <c r="AH33" s="33">
        <v>1161758.09170284</v>
      </c>
      <c r="AI33" s="33">
        <v>269693.691703901</v>
      </c>
      <c r="AJ33" s="33">
        <v>367635.558611322</v>
      </c>
      <c r="AK33" s="33">
        <v>556423.346963119</v>
      </c>
      <c r="AL33" s="33">
        <v>119223.28508388</v>
      </c>
      <c r="AM33" s="33">
        <v>505701.343195469</v>
      </c>
      <c r="AN33" s="33">
        <v>125838.583104519</v>
      </c>
      <c r="AO33" s="33">
        <v>426824.191650271</v>
      </c>
      <c r="AP33" s="33">
        <v>435482.556950679</v>
      </c>
      <c r="AQ33" s="33">
        <v>316913.101361849</v>
      </c>
      <c r="AR33" s="33">
        <v>273234.611677856</v>
      </c>
      <c r="AS33" s="33">
        <v>903821.151777486</v>
      </c>
      <c r="AT33" s="66">
        <v>18989515.0357229</v>
      </c>
      <c r="AU33" s="67">
        <v>2708952.07322227</v>
      </c>
      <c r="AV33" s="67">
        <v>18088343.4027773</v>
      </c>
      <c r="AW33" s="66">
        <v>20797295.4759996</v>
      </c>
      <c r="AX33" s="67">
        <v>0</v>
      </c>
      <c r="AY33" s="66">
        <v>20797295.4759996</v>
      </c>
      <c r="AZ33" s="67">
        <v>0</v>
      </c>
      <c r="BA33" s="67">
        <v>891741.457509418</v>
      </c>
      <c r="BB33" s="66">
        <v>891741.457509418</v>
      </c>
      <c r="BC33" s="86">
        <v>0</v>
      </c>
      <c r="BD33" s="87">
        <v>21689036.933509</v>
      </c>
      <c r="BE33" s="86">
        <v>0</v>
      </c>
      <c r="BF33" s="68">
        <v>40678551.9692319</v>
      </c>
    </row>
    <row r="34" spans="1:58">
      <c r="A34" s="31"/>
      <c r="B34" s="5" t="s">
        <v>43</v>
      </c>
      <c r="C34" s="34" t="s">
        <v>97</v>
      </c>
      <c r="D34" s="33">
        <v>767866.27291259</v>
      </c>
      <c r="E34" s="33">
        <v>136712.764629601</v>
      </c>
      <c r="F34" s="33">
        <v>28483.4786058051</v>
      </c>
      <c r="G34" s="33">
        <v>39555.2327590926</v>
      </c>
      <c r="H34" s="33">
        <v>5924.79353146331</v>
      </c>
      <c r="I34" s="33">
        <v>215253.6531569</v>
      </c>
      <c r="J34" s="33">
        <v>226716.426076526</v>
      </c>
      <c r="K34" s="33">
        <v>132624.129456814</v>
      </c>
      <c r="L34" s="33">
        <v>238488.815300506</v>
      </c>
      <c r="M34" s="33">
        <v>50165.4331946383</v>
      </c>
      <c r="N34" s="33">
        <v>339457.693675222</v>
      </c>
      <c r="O34" s="33">
        <v>62322.093986348</v>
      </c>
      <c r="P34" s="33">
        <v>93738.603114203</v>
      </c>
      <c r="Q34" s="33">
        <v>162675.607305991</v>
      </c>
      <c r="R34" s="33">
        <v>95544.6147399682</v>
      </c>
      <c r="S34" s="33">
        <v>78767.8203396566</v>
      </c>
      <c r="T34" s="33">
        <v>112818.398974717</v>
      </c>
      <c r="U34" s="33">
        <v>310533.934120804</v>
      </c>
      <c r="V34" s="33">
        <v>124690.040871795</v>
      </c>
      <c r="W34" s="33">
        <v>139887.315349785</v>
      </c>
      <c r="X34" s="33">
        <v>47393.8785901501</v>
      </c>
      <c r="Y34" s="33">
        <v>180123.420648795</v>
      </c>
      <c r="Z34" s="33">
        <v>667409.939989195</v>
      </c>
      <c r="AA34" s="33">
        <v>89637.3047416334</v>
      </c>
      <c r="AB34" s="33">
        <v>2679712.79465016</v>
      </c>
      <c r="AC34" s="33">
        <v>28595.2440077961</v>
      </c>
      <c r="AD34" s="33">
        <v>75522.7335050837</v>
      </c>
      <c r="AE34" s="33">
        <v>102777626.861809</v>
      </c>
      <c r="AF34" s="33">
        <v>1487150.41455619</v>
      </c>
      <c r="AG34" s="33">
        <v>2015285.39117833</v>
      </c>
      <c r="AH34" s="33">
        <v>901665.813055647</v>
      </c>
      <c r="AI34" s="33">
        <v>954151.504612121</v>
      </c>
      <c r="AJ34" s="33">
        <v>2489999.29194621</v>
      </c>
      <c r="AK34" s="33">
        <v>14193938.3943872</v>
      </c>
      <c r="AL34" s="33">
        <v>445793.248601771</v>
      </c>
      <c r="AM34" s="33">
        <v>424334.511612386</v>
      </c>
      <c r="AN34" s="33">
        <v>514616.382483729</v>
      </c>
      <c r="AO34" s="33">
        <v>528902.690844943</v>
      </c>
      <c r="AP34" s="33">
        <v>3319541.48031619</v>
      </c>
      <c r="AQ34" s="33">
        <v>1071607.68737372</v>
      </c>
      <c r="AR34" s="33">
        <v>993565.579719691</v>
      </c>
      <c r="AS34" s="33">
        <v>10876464.6866545</v>
      </c>
      <c r="AT34" s="33">
        <v>149992642.24793</v>
      </c>
      <c r="AU34" s="33">
        <v>0</v>
      </c>
      <c r="AV34" s="33">
        <v>0</v>
      </c>
      <c r="AW34" s="33">
        <v>0</v>
      </c>
      <c r="AX34" s="33">
        <v>0</v>
      </c>
      <c r="AY34" s="33">
        <v>0</v>
      </c>
      <c r="AZ34" s="33">
        <v>2707176325.74966</v>
      </c>
      <c r="BA34" s="33">
        <v>0</v>
      </c>
      <c r="BB34" s="33">
        <v>2707176325.74966</v>
      </c>
      <c r="BC34" s="33">
        <v>8681061.2808517</v>
      </c>
      <c r="BD34" s="33">
        <v>2715857387.03052</v>
      </c>
      <c r="BE34" s="33">
        <v>5545047.863764</v>
      </c>
      <c r="BF34" s="33">
        <v>2860304981.41468</v>
      </c>
    </row>
    <row r="35" spans="1:58">
      <c r="A35" s="31"/>
      <c r="B35" s="5" t="s">
        <v>44</v>
      </c>
      <c r="C35" s="34" t="s">
        <v>98</v>
      </c>
      <c r="D35" s="33">
        <v>32445341.8210967</v>
      </c>
      <c r="E35" s="33">
        <v>6037786.73206621</v>
      </c>
      <c r="F35" s="33">
        <v>775392.274015894</v>
      </c>
      <c r="G35" s="33">
        <v>4137179.28818259</v>
      </c>
      <c r="H35" s="33">
        <v>811001.708676019</v>
      </c>
      <c r="I35" s="33">
        <v>81687886.0606435</v>
      </c>
      <c r="J35" s="33">
        <v>49418319.5265258</v>
      </c>
      <c r="K35" s="33">
        <v>23952570.4049686</v>
      </c>
      <c r="L35" s="33">
        <v>51727062.7221526</v>
      </c>
      <c r="M35" s="33">
        <v>10885899.5352103</v>
      </c>
      <c r="N35" s="33">
        <v>35967199.2637394</v>
      </c>
      <c r="O35" s="33">
        <v>19903155.9508427</v>
      </c>
      <c r="P35" s="33">
        <v>19717113.3718961</v>
      </c>
      <c r="Q35" s="33">
        <v>37090632.1279176</v>
      </c>
      <c r="R35" s="33">
        <v>18088633.4335227</v>
      </c>
      <c r="S35" s="33">
        <v>13482091.1086585</v>
      </c>
      <c r="T35" s="33">
        <v>22175914.7376172</v>
      </c>
      <c r="U35" s="33">
        <v>27687169.007829</v>
      </c>
      <c r="V35" s="33">
        <v>19596217.7656178</v>
      </c>
      <c r="W35" s="33">
        <v>54110905.513489</v>
      </c>
      <c r="X35" s="33">
        <v>10569374.970818</v>
      </c>
      <c r="Y35" s="33">
        <v>42723961.5708095</v>
      </c>
      <c r="Z35" s="33">
        <v>59473321.1161256</v>
      </c>
      <c r="AA35" s="33">
        <v>4006169.64242036</v>
      </c>
      <c r="AB35" s="33">
        <v>15451656.1570053</v>
      </c>
      <c r="AC35" s="33">
        <v>2301900.84255216</v>
      </c>
      <c r="AD35" s="33">
        <v>565625.066532062</v>
      </c>
      <c r="AE35" s="33">
        <v>143079872.338243</v>
      </c>
      <c r="AF35" s="33">
        <v>11226156.7817458</v>
      </c>
      <c r="AG35" s="33">
        <v>35456523.3080435</v>
      </c>
      <c r="AH35" s="33">
        <v>28035741.060201</v>
      </c>
      <c r="AI35" s="33">
        <v>15872913.5323215</v>
      </c>
      <c r="AJ35" s="33">
        <v>5735570.83595581</v>
      </c>
      <c r="AK35" s="33">
        <v>3311533.57596043</v>
      </c>
      <c r="AL35" s="33">
        <v>34868107.1847385</v>
      </c>
      <c r="AM35" s="33">
        <v>7310894.07936115</v>
      </c>
      <c r="AN35" s="33">
        <v>13897489.3645106</v>
      </c>
      <c r="AO35" s="33">
        <v>8483107.70316726</v>
      </c>
      <c r="AP35" s="33">
        <v>6371391.47483486</v>
      </c>
      <c r="AQ35" s="33">
        <v>34246220.1817997</v>
      </c>
      <c r="AR35" s="33">
        <v>4838226.82711748</v>
      </c>
      <c r="AS35" s="33">
        <v>15105573.5959533</v>
      </c>
      <c r="AT35" s="33">
        <v>1008676233.15992</v>
      </c>
      <c r="AU35" s="33">
        <v>51457511.0921325</v>
      </c>
      <c r="AV35" s="33">
        <v>166522713.313402</v>
      </c>
      <c r="AW35" s="33">
        <v>217980224.405534</v>
      </c>
      <c r="AX35" s="33">
        <v>0</v>
      </c>
      <c r="AY35" s="33">
        <v>217980224.405534</v>
      </c>
      <c r="AZ35" s="33">
        <v>84921149.4557623</v>
      </c>
      <c r="BA35" s="33">
        <v>8345553.66588406</v>
      </c>
      <c r="BB35" s="33">
        <v>93266703.1216465</v>
      </c>
      <c r="BC35" s="33">
        <v>178591537.872478</v>
      </c>
      <c r="BD35" s="33">
        <v>489838465.399659</v>
      </c>
      <c r="BE35" s="33">
        <v>0</v>
      </c>
      <c r="BF35" s="33">
        <v>1498514698.55958</v>
      </c>
    </row>
    <row r="36" ht="22.5" spans="1:58">
      <c r="A36" s="31"/>
      <c r="B36" s="5" t="s">
        <v>45</v>
      </c>
      <c r="C36" s="34" t="s">
        <v>99</v>
      </c>
      <c r="D36" s="33">
        <v>25502816.8995248</v>
      </c>
      <c r="E36" s="33">
        <v>5466615.46972567</v>
      </c>
      <c r="F36" s="33">
        <v>662325.931770213</v>
      </c>
      <c r="G36" s="33">
        <v>3705387.62436799</v>
      </c>
      <c r="H36" s="33">
        <v>459922.389176214</v>
      </c>
      <c r="I36" s="33">
        <v>33568250.7764825</v>
      </c>
      <c r="J36" s="33">
        <v>30654371.8358142</v>
      </c>
      <c r="K36" s="33">
        <v>8982067.35299724</v>
      </c>
      <c r="L36" s="33">
        <v>20843806.4015415</v>
      </c>
      <c r="M36" s="33">
        <v>11193285.5741792</v>
      </c>
      <c r="N36" s="33">
        <v>31172179.9123803</v>
      </c>
      <c r="O36" s="33">
        <v>11209228.5782545</v>
      </c>
      <c r="P36" s="33">
        <v>13733058.0336033</v>
      </c>
      <c r="Q36" s="33">
        <v>25345785.7534683</v>
      </c>
      <c r="R36" s="33">
        <v>19869246.5517468</v>
      </c>
      <c r="S36" s="33">
        <v>13197425.4115092</v>
      </c>
      <c r="T36" s="33">
        <v>15073279.3625574</v>
      </c>
      <c r="U36" s="33">
        <v>16500075.9244436</v>
      </c>
      <c r="V36" s="33">
        <v>14118443.3879835</v>
      </c>
      <c r="W36" s="33">
        <v>24769356.2474804</v>
      </c>
      <c r="X36" s="33">
        <v>4521511.0037381</v>
      </c>
      <c r="Y36" s="33">
        <v>22153380.4833586</v>
      </c>
      <c r="Z36" s="33">
        <v>18528288.710068</v>
      </c>
      <c r="AA36" s="33">
        <v>2444020.02754389</v>
      </c>
      <c r="AB36" s="33">
        <v>12897844.0571692</v>
      </c>
      <c r="AC36" s="33">
        <v>1690453.88206179</v>
      </c>
      <c r="AD36" s="33">
        <v>399060.123040129</v>
      </c>
      <c r="AE36" s="33">
        <v>77457881.6247078</v>
      </c>
      <c r="AF36" s="33">
        <v>90975726.6415841</v>
      </c>
      <c r="AG36" s="33">
        <v>173252511.261954</v>
      </c>
      <c r="AH36" s="33">
        <v>15280892.5786233</v>
      </c>
      <c r="AI36" s="33">
        <v>13780271.5479487</v>
      </c>
      <c r="AJ36" s="33">
        <v>13542347.8239497</v>
      </c>
      <c r="AK36" s="33">
        <v>4279025.99345872</v>
      </c>
      <c r="AL36" s="33">
        <v>57539641.4806965</v>
      </c>
      <c r="AM36" s="33">
        <v>9247844.26794925</v>
      </c>
      <c r="AN36" s="33">
        <v>18900788.57648</v>
      </c>
      <c r="AO36" s="33">
        <v>7465876.51647536</v>
      </c>
      <c r="AP36" s="33">
        <v>12170731.8832801</v>
      </c>
      <c r="AQ36" s="33">
        <v>15774297.659291</v>
      </c>
      <c r="AR36" s="33">
        <v>5216650.82885439</v>
      </c>
      <c r="AS36" s="33">
        <v>30875236.4145192</v>
      </c>
      <c r="AT36" s="33">
        <v>925439145.452762</v>
      </c>
      <c r="AU36" s="33">
        <v>30607379.1014419</v>
      </c>
      <c r="AV36" s="33">
        <v>107378578.754783</v>
      </c>
      <c r="AW36" s="33">
        <v>137985957.856225</v>
      </c>
      <c r="AX36" s="33">
        <v>42787710.9515996</v>
      </c>
      <c r="AY36" s="33">
        <v>180773668.807825</v>
      </c>
      <c r="AZ36" s="33">
        <v>34380961.708352</v>
      </c>
      <c r="BA36" s="33">
        <v>2787948.9429764</v>
      </c>
      <c r="BB36" s="33">
        <v>37168910.6513285</v>
      </c>
      <c r="BC36" s="33">
        <v>95111712.9359392</v>
      </c>
      <c r="BD36" s="33">
        <v>313054292.395092</v>
      </c>
      <c r="BE36" s="33">
        <v>39322169.2133513</v>
      </c>
      <c r="BF36" s="33">
        <v>1199171268.6345</v>
      </c>
    </row>
    <row r="37" spans="1:58">
      <c r="A37" s="31"/>
      <c r="B37" s="5" t="s">
        <v>46</v>
      </c>
      <c r="C37" s="34" t="s">
        <v>100</v>
      </c>
      <c r="D37" s="33">
        <v>2365578.98808817</v>
      </c>
      <c r="E37" s="33">
        <v>762175.496679947</v>
      </c>
      <c r="F37" s="33">
        <v>199599.926912402</v>
      </c>
      <c r="G37" s="33">
        <v>842149.986134579</v>
      </c>
      <c r="H37" s="33">
        <v>109283.546670268</v>
      </c>
      <c r="I37" s="33">
        <v>5081633.58900609</v>
      </c>
      <c r="J37" s="33">
        <v>2389261.74244902</v>
      </c>
      <c r="K37" s="33">
        <v>1133676.64022426</v>
      </c>
      <c r="L37" s="33">
        <v>3087924.97062347</v>
      </c>
      <c r="M37" s="33">
        <v>858498.177586523</v>
      </c>
      <c r="N37" s="33">
        <v>3499576.94774129</v>
      </c>
      <c r="O37" s="33">
        <v>3967101.99217498</v>
      </c>
      <c r="P37" s="33">
        <v>1394763.17711906</v>
      </c>
      <c r="Q37" s="33">
        <v>4067231.60339072</v>
      </c>
      <c r="R37" s="33">
        <v>2414344.96716937</v>
      </c>
      <c r="S37" s="33">
        <v>1033268.47012779</v>
      </c>
      <c r="T37" s="33">
        <v>2894258.57181722</v>
      </c>
      <c r="U37" s="33">
        <v>2733036.73885831</v>
      </c>
      <c r="V37" s="33">
        <v>3475131.34519183</v>
      </c>
      <c r="W37" s="33">
        <v>2884251.21431984</v>
      </c>
      <c r="X37" s="33">
        <v>837981.495214393</v>
      </c>
      <c r="Y37" s="33">
        <v>3803760.40411029</v>
      </c>
      <c r="Z37" s="33">
        <v>4571761.38176499</v>
      </c>
      <c r="AA37" s="33">
        <v>553103.529085097</v>
      </c>
      <c r="AB37" s="33">
        <v>2051215.08631479</v>
      </c>
      <c r="AC37" s="33">
        <v>224739.514706225</v>
      </c>
      <c r="AD37" s="33">
        <v>196672.810478203</v>
      </c>
      <c r="AE37" s="33">
        <v>14884407.3911327</v>
      </c>
      <c r="AF37" s="33">
        <v>7190141.59560003</v>
      </c>
      <c r="AG37" s="33">
        <v>21824752.6561766</v>
      </c>
      <c r="AH37" s="33">
        <v>939543.146375473</v>
      </c>
      <c r="AI37" s="33">
        <v>5890208.15955415</v>
      </c>
      <c r="AJ37" s="33">
        <v>28451801.880011</v>
      </c>
      <c r="AK37" s="33">
        <v>4188796.83246565</v>
      </c>
      <c r="AL37" s="33">
        <v>46050709.4546587</v>
      </c>
      <c r="AM37" s="33">
        <v>9505464.4839702</v>
      </c>
      <c r="AN37" s="33">
        <v>17842364.9084279</v>
      </c>
      <c r="AO37" s="33">
        <v>3362199.60532963</v>
      </c>
      <c r="AP37" s="33">
        <v>12682565.3168176</v>
      </c>
      <c r="AQ37" s="33">
        <v>1987214.01266115</v>
      </c>
      <c r="AR37" s="33">
        <v>5104499.06347416</v>
      </c>
      <c r="AS37" s="33">
        <v>38154941.9238457</v>
      </c>
      <c r="AT37" s="33">
        <v>274357916.104236</v>
      </c>
      <c r="AU37" s="33">
        <v>26632162.7816424</v>
      </c>
      <c r="AV37" s="33">
        <v>156061116.808666</v>
      </c>
      <c r="AW37" s="33">
        <v>182693279.590308</v>
      </c>
      <c r="AX37" s="33">
        <v>0</v>
      </c>
      <c r="AY37" s="33">
        <v>182693279.590308</v>
      </c>
      <c r="AZ37" s="33">
        <v>0</v>
      </c>
      <c r="BA37" s="33">
        <v>0</v>
      </c>
      <c r="BB37" s="33">
        <v>0</v>
      </c>
      <c r="BC37" s="33">
        <v>2705954.49598409</v>
      </c>
      <c r="BD37" s="33">
        <v>185399234.086293</v>
      </c>
      <c r="BE37" s="33">
        <v>27767390.0851026</v>
      </c>
      <c r="BF37" s="33">
        <v>431989760.105425</v>
      </c>
    </row>
    <row r="38" ht="33.75" spans="1:58">
      <c r="A38" s="31"/>
      <c r="B38" s="5" t="s">
        <v>47</v>
      </c>
      <c r="C38" s="34" t="s">
        <v>101</v>
      </c>
      <c r="D38" s="33">
        <v>2380372.78824075</v>
      </c>
      <c r="E38" s="33">
        <v>321232.861355437</v>
      </c>
      <c r="F38" s="33">
        <v>130830.941198361</v>
      </c>
      <c r="G38" s="33">
        <v>660885.164213261</v>
      </c>
      <c r="H38" s="33">
        <v>51314.843354326</v>
      </c>
      <c r="I38" s="33">
        <v>2985457.20715577</v>
      </c>
      <c r="J38" s="33">
        <v>2795304.30332306</v>
      </c>
      <c r="K38" s="33">
        <v>702160.280937225</v>
      </c>
      <c r="L38" s="33">
        <v>2870632.02376985</v>
      </c>
      <c r="M38" s="33">
        <v>297324.707152127</v>
      </c>
      <c r="N38" s="33">
        <v>2928437.61556918</v>
      </c>
      <c r="O38" s="33">
        <v>1802778.23692655</v>
      </c>
      <c r="P38" s="33">
        <v>1073247.96777688</v>
      </c>
      <c r="Q38" s="33">
        <v>1879832.34809695</v>
      </c>
      <c r="R38" s="33">
        <v>758487.520285756</v>
      </c>
      <c r="S38" s="33">
        <v>759639.704929939</v>
      </c>
      <c r="T38" s="33">
        <v>1666606.60703143</v>
      </c>
      <c r="U38" s="33">
        <v>3216940.16125764</v>
      </c>
      <c r="V38" s="33">
        <v>2097447.46644496</v>
      </c>
      <c r="W38" s="33">
        <v>2312784.18490249</v>
      </c>
      <c r="X38" s="33">
        <v>739434.714819519</v>
      </c>
      <c r="Y38" s="33">
        <v>3891181.91736712</v>
      </c>
      <c r="Z38" s="33">
        <v>26849254.1742833</v>
      </c>
      <c r="AA38" s="33">
        <v>290368.479808388</v>
      </c>
      <c r="AB38" s="33">
        <v>4714676.0832068</v>
      </c>
      <c r="AC38" s="33">
        <v>378597.820452405</v>
      </c>
      <c r="AD38" s="33">
        <v>364023.258410855</v>
      </c>
      <c r="AE38" s="33">
        <v>39431330.9860852</v>
      </c>
      <c r="AF38" s="33">
        <v>11266280.2419986</v>
      </c>
      <c r="AG38" s="33">
        <v>36361881.1529624</v>
      </c>
      <c r="AH38" s="33">
        <v>3189231.68053014</v>
      </c>
      <c r="AI38" s="33">
        <v>194104989.050703</v>
      </c>
      <c r="AJ38" s="33">
        <v>41502192.8395724</v>
      </c>
      <c r="AK38" s="33">
        <v>8707730.93182006</v>
      </c>
      <c r="AL38" s="33">
        <v>14421754.3457487</v>
      </c>
      <c r="AM38" s="33">
        <v>3120866.51659212</v>
      </c>
      <c r="AN38" s="33">
        <v>11332785.5437177</v>
      </c>
      <c r="AO38" s="33">
        <v>1805080.10132818</v>
      </c>
      <c r="AP38" s="33">
        <v>10760607.8818951</v>
      </c>
      <c r="AQ38" s="33">
        <v>10365566.128375</v>
      </c>
      <c r="AR38" s="33">
        <v>2895577.27046514</v>
      </c>
      <c r="AS38" s="33">
        <v>51257794.8407465</v>
      </c>
      <c r="AT38" s="33">
        <v>508740762.613874</v>
      </c>
      <c r="AU38" s="33">
        <v>27729871.4639141</v>
      </c>
      <c r="AV38" s="33">
        <v>96992063.3368684</v>
      </c>
      <c r="AW38" s="33">
        <v>124721934.800783</v>
      </c>
      <c r="AX38" s="33">
        <v>0</v>
      </c>
      <c r="AY38" s="33">
        <v>124721934.800783</v>
      </c>
      <c r="AZ38" s="33">
        <v>328686630.659035</v>
      </c>
      <c r="BA38" s="33">
        <v>0</v>
      </c>
      <c r="BB38" s="33">
        <v>328686630.659035</v>
      </c>
      <c r="BC38" s="33">
        <v>30745009.3330724</v>
      </c>
      <c r="BD38" s="33">
        <v>484153574.79289</v>
      </c>
      <c r="BE38" s="33">
        <v>27651547.5807223</v>
      </c>
      <c r="BF38" s="33">
        <v>965242789.826041</v>
      </c>
    </row>
    <row r="39" spans="1:58">
      <c r="A39" s="31"/>
      <c r="B39" s="5" t="s">
        <v>48</v>
      </c>
      <c r="C39" s="34" t="s">
        <v>102</v>
      </c>
      <c r="D39" s="33">
        <v>15766818.180193</v>
      </c>
      <c r="E39" s="33">
        <v>11355297.9950202</v>
      </c>
      <c r="F39" s="33">
        <v>3523955.05461349</v>
      </c>
      <c r="G39" s="33">
        <v>5093818.78463889</v>
      </c>
      <c r="H39" s="33">
        <v>364840.569674193</v>
      </c>
      <c r="I39" s="33">
        <v>6436987.40793739</v>
      </c>
      <c r="J39" s="33">
        <v>6249925.80135454</v>
      </c>
      <c r="K39" s="33">
        <v>2488537.45839071</v>
      </c>
      <c r="L39" s="33">
        <v>8811327.12666311</v>
      </c>
      <c r="M39" s="33">
        <v>5416578.43596224</v>
      </c>
      <c r="N39" s="33">
        <v>13092551.2328758</v>
      </c>
      <c r="O39" s="33">
        <v>6602747.37566865</v>
      </c>
      <c r="P39" s="33">
        <v>4242624.04434707</v>
      </c>
      <c r="Q39" s="33">
        <v>14297153.9563694</v>
      </c>
      <c r="R39" s="33">
        <v>20570210.4352994</v>
      </c>
      <c r="S39" s="33">
        <v>12597606.3127206</v>
      </c>
      <c r="T39" s="33">
        <v>9590467.50565698</v>
      </c>
      <c r="U39" s="33">
        <v>7295027.1000641</v>
      </c>
      <c r="V39" s="33">
        <v>7663645.76447083</v>
      </c>
      <c r="W39" s="33">
        <v>5381052.84156674</v>
      </c>
      <c r="X39" s="33">
        <v>1960594.08092552</v>
      </c>
      <c r="Y39" s="33">
        <v>9787171.45932322</v>
      </c>
      <c r="Z39" s="33">
        <v>19032060.7874239</v>
      </c>
      <c r="AA39" s="33">
        <v>1872017.33465317</v>
      </c>
      <c r="AB39" s="33">
        <v>30701715.8805196</v>
      </c>
      <c r="AC39" s="33">
        <v>2949098.61340047</v>
      </c>
      <c r="AD39" s="33">
        <v>2337898.07293351</v>
      </c>
      <c r="AE39" s="33">
        <v>104688408.690953</v>
      </c>
      <c r="AF39" s="33">
        <v>66615980.037015</v>
      </c>
      <c r="AG39" s="33">
        <v>112449320.143672</v>
      </c>
      <c r="AH39" s="33">
        <v>4074223.41121468</v>
      </c>
      <c r="AI39" s="33">
        <v>19132082.7698179</v>
      </c>
      <c r="AJ39" s="33">
        <v>88119497.3196389</v>
      </c>
      <c r="AK39" s="33">
        <v>120667640.234183</v>
      </c>
      <c r="AL39" s="33">
        <v>66178193.6972037</v>
      </c>
      <c r="AM39" s="33">
        <v>2215790.53287924</v>
      </c>
      <c r="AN39" s="33">
        <v>20409284.7257853</v>
      </c>
      <c r="AO39" s="33">
        <v>3820089.78940172</v>
      </c>
      <c r="AP39" s="33">
        <v>14202032.2973217</v>
      </c>
      <c r="AQ39" s="33">
        <v>3588207.51262978</v>
      </c>
      <c r="AR39" s="33">
        <v>3870128.16015354</v>
      </c>
      <c r="AS39" s="33">
        <v>24922671.9796097</v>
      </c>
      <c r="AT39" s="33">
        <v>887946743.455756</v>
      </c>
      <c r="AU39" s="33">
        <v>42322847.9455212</v>
      </c>
      <c r="AV39" s="33">
        <v>257666069.660639</v>
      </c>
      <c r="AW39" s="33">
        <v>299988917.606161</v>
      </c>
      <c r="AX39" s="33">
        <v>45102452.9918957</v>
      </c>
      <c r="AY39" s="33">
        <v>345091370.598057</v>
      </c>
      <c r="AZ39" s="33">
        <v>0</v>
      </c>
      <c r="BA39" s="33">
        <v>0</v>
      </c>
      <c r="BB39" s="33">
        <v>0</v>
      </c>
      <c r="BC39" s="33">
        <v>6895161.34376995</v>
      </c>
      <c r="BD39" s="33">
        <v>351986531.941826</v>
      </c>
      <c r="BE39" s="33">
        <v>10563119.925339</v>
      </c>
      <c r="BF39" s="33">
        <v>1229370155.47224</v>
      </c>
    </row>
    <row r="40" spans="1:58">
      <c r="A40" s="31"/>
      <c r="B40" s="5" t="s">
        <v>49</v>
      </c>
      <c r="C40" s="34" t="s">
        <v>103</v>
      </c>
      <c r="D40" s="33">
        <v>20082.659692497</v>
      </c>
      <c r="E40" s="33">
        <v>154368.02123161</v>
      </c>
      <c r="F40" s="33">
        <v>30567.8260411511</v>
      </c>
      <c r="G40" s="33">
        <v>19898.1266009709</v>
      </c>
      <c r="H40" s="33">
        <v>23226.7155544534</v>
      </c>
      <c r="I40" s="33">
        <v>368861.657403463</v>
      </c>
      <c r="J40" s="33">
        <v>288885.354680974</v>
      </c>
      <c r="K40" s="33">
        <v>231530.118779109</v>
      </c>
      <c r="L40" s="33">
        <v>416231.790993955</v>
      </c>
      <c r="M40" s="33">
        <v>11998.50796184</v>
      </c>
      <c r="N40" s="33">
        <v>162231.238773794</v>
      </c>
      <c r="O40" s="33">
        <v>83152.3391850951</v>
      </c>
      <c r="P40" s="33">
        <v>382335.981937265</v>
      </c>
      <c r="Q40" s="33">
        <v>308749.0308285</v>
      </c>
      <c r="R40" s="33">
        <v>13759.6026913174</v>
      </c>
      <c r="S40" s="33">
        <v>26366.7817749392</v>
      </c>
      <c r="T40" s="33">
        <v>274687.647521756</v>
      </c>
      <c r="U40" s="33">
        <v>363253.370293211</v>
      </c>
      <c r="V40" s="33">
        <v>219130.966656677</v>
      </c>
      <c r="W40" s="33">
        <v>250810.524869642</v>
      </c>
      <c r="X40" s="33">
        <v>146868.164765758</v>
      </c>
      <c r="Y40" s="33">
        <v>470907.961317089</v>
      </c>
      <c r="Z40" s="33">
        <v>699524.373059791</v>
      </c>
      <c r="AA40" s="33">
        <v>307943.653537464</v>
      </c>
      <c r="AB40" s="33">
        <v>142396.255764799</v>
      </c>
      <c r="AC40" s="33">
        <v>67003.9951446136</v>
      </c>
      <c r="AD40" s="33">
        <v>57196.021567538</v>
      </c>
      <c r="AE40" s="33">
        <v>529996.065528174</v>
      </c>
      <c r="AF40" s="33">
        <v>109562548.179287</v>
      </c>
      <c r="AG40" s="33">
        <v>15294260.5489939</v>
      </c>
      <c r="AH40" s="33">
        <v>18203225.337623</v>
      </c>
      <c r="AI40" s="33">
        <v>63369467.4121711</v>
      </c>
      <c r="AJ40" s="33">
        <v>74704849.5411753</v>
      </c>
      <c r="AK40" s="33">
        <v>44133548.9181023</v>
      </c>
      <c r="AL40" s="33">
        <v>58013520.6167283</v>
      </c>
      <c r="AM40" s="33">
        <v>3738744.58005519</v>
      </c>
      <c r="AN40" s="33">
        <v>8758746.69435653</v>
      </c>
      <c r="AO40" s="33">
        <v>30523399.633695</v>
      </c>
      <c r="AP40" s="33">
        <v>21605085.831632</v>
      </c>
      <c r="AQ40" s="33">
        <v>7425864.63189016</v>
      </c>
      <c r="AR40" s="33">
        <v>6106378.24334243</v>
      </c>
      <c r="AS40" s="33">
        <v>16933128.687312</v>
      </c>
      <c r="AT40" s="66">
        <v>484213203.491743</v>
      </c>
      <c r="AU40" s="67">
        <v>106799901.48438</v>
      </c>
      <c r="AV40" s="67">
        <v>442660375.357664</v>
      </c>
      <c r="AW40" s="66">
        <v>549460276.842044</v>
      </c>
      <c r="AX40" s="67">
        <v>0</v>
      </c>
      <c r="AY40" s="66">
        <v>549460276.842044</v>
      </c>
      <c r="AZ40" s="67">
        <v>32960000</v>
      </c>
      <c r="BA40" s="67">
        <v>0</v>
      </c>
      <c r="BB40" s="66">
        <v>32960000</v>
      </c>
      <c r="BC40" s="86">
        <v>0</v>
      </c>
      <c r="BD40" s="87">
        <v>582420276.842044</v>
      </c>
      <c r="BE40" s="86">
        <v>0</v>
      </c>
      <c r="BF40" s="68">
        <v>1066633480.33379</v>
      </c>
    </row>
    <row r="41" ht="22.5" spans="1:58">
      <c r="A41" s="31"/>
      <c r="B41" s="5" t="s">
        <v>50</v>
      </c>
      <c r="C41" s="34" t="s">
        <v>104</v>
      </c>
      <c r="D41" s="33">
        <v>3129882.2488734</v>
      </c>
      <c r="E41" s="33">
        <v>7849725.13837399</v>
      </c>
      <c r="F41" s="33">
        <v>1555028.21445079</v>
      </c>
      <c r="G41" s="33">
        <v>4119545.57378903</v>
      </c>
      <c r="H41" s="33">
        <v>372693.72858293</v>
      </c>
      <c r="I41" s="33">
        <v>29453725.8321323</v>
      </c>
      <c r="J41" s="33">
        <v>13137051.9205012</v>
      </c>
      <c r="K41" s="33">
        <v>3192072.91138333</v>
      </c>
      <c r="L41" s="33">
        <v>13280152.6862859</v>
      </c>
      <c r="M41" s="33">
        <v>5462401.45642533</v>
      </c>
      <c r="N41" s="33">
        <v>12564972.5615984</v>
      </c>
      <c r="O41" s="33">
        <v>17577354.9369664</v>
      </c>
      <c r="P41" s="33">
        <v>7884997.01042983</v>
      </c>
      <c r="Q41" s="33">
        <v>12561166.3217849</v>
      </c>
      <c r="R41" s="33">
        <v>4776147.59893781</v>
      </c>
      <c r="S41" s="33">
        <v>2689490.49953187</v>
      </c>
      <c r="T41" s="33">
        <v>8356979.553703</v>
      </c>
      <c r="U41" s="33">
        <v>11688945.1215288</v>
      </c>
      <c r="V41" s="33">
        <v>10242614.5158324</v>
      </c>
      <c r="W41" s="33">
        <v>17330624.9111703</v>
      </c>
      <c r="X41" s="33">
        <v>2164350.08201198</v>
      </c>
      <c r="Y41" s="33">
        <v>13481919.1678082</v>
      </c>
      <c r="Z41" s="33">
        <v>20098279.2868665</v>
      </c>
      <c r="AA41" s="33">
        <v>1727034.30580732</v>
      </c>
      <c r="AB41" s="33">
        <v>4572205.40784744</v>
      </c>
      <c r="AC41" s="33">
        <v>1778231.98856279</v>
      </c>
      <c r="AD41" s="33">
        <v>496311.834059323</v>
      </c>
      <c r="AE41" s="33">
        <v>52549966.3463711</v>
      </c>
      <c r="AF41" s="33">
        <v>159935089.747533</v>
      </c>
      <c r="AG41" s="33">
        <v>36186483.1966158</v>
      </c>
      <c r="AH41" s="33">
        <v>8687960.08398026</v>
      </c>
      <c r="AI41" s="33">
        <v>74215811.3334131</v>
      </c>
      <c r="AJ41" s="33">
        <v>77042668.512262</v>
      </c>
      <c r="AK41" s="33">
        <v>65627876.7691359</v>
      </c>
      <c r="AL41" s="33">
        <v>104609027.148879</v>
      </c>
      <c r="AM41" s="33">
        <v>8846749.56988398</v>
      </c>
      <c r="AN41" s="33">
        <v>27453542.0884154</v>
      </c>
      <c r="AO41" s="33">
        <v>7215213.4638894</v>
      </c>
      <c r="AP41" s="33">
        <v>5708290.12593557</v>
      </c>
      <c r="AQ41" s="33">
        <v>2729915.7078018</v>
      </c>
      <c r="AR41" s="33">
        <v>7213133.87372458</v>
      </c>
      <c r="AS41" s="33">
        <v>28124552.0348992</v>
      </c>
      <c r="AT41" s="33">
        <v>894498111.906603</v>
      </c>
      <c r="AU41" s="33">
        <v>1757638.98538596</v>
      </c>
      <c r="AV41" s="33">
        <v>34063051.8751361</v>
      </c>
      <c r="AW41" s="33">
        <v>35820690.8605221</v>
      </c>
      <c r="AX41" s="33">
        <v>22155634.737713</v>
      </c>
      <c r="AY41" s="33">
        <v>57976325.5982351</v>
      </c>
      <c r="AZ41" s="33">
        <v>0</v>
      </c>
      <c r="BA41" s="33">
        <v>0</v>
      </c>
      <c r="BB41" s="33">
        <v>0</v>
      </c>
      <c r="BC41" s="33">
        <v>40525349.1646139</v>
      </c>
      <c r="BD41" s="33">
        <v>98501674.762849</v>
      </c>
      <c r="BE41" s="33">
        <v>30437186.0607545</v>
      </c>
      <c r="BF41" s="33">
        <v>962562600.608697</v>
      </c>
    </row>
    <row r="42" ht="22.5" spans="1:58">
      <c r="A42" s="31"/>
      <c r="B42" s="5" t="s">
        <v>51</v>
      </c>
      <c r="C42" s="34" t="s">
        <v>102</v>
      </c>
      <c r="D42" s="33">
        <v>0</v>
      </c>
      <c r="E42" s="33">
        <v>0</v>
      </c>
      <c r="F42" s="33">
        <v>0</v>
      </c>
      <c r="G42" s="33">
        <v>0</v>
      </c>
      <c r="H42" s="33">
        <v>0</v>
      </c>
      <c r="I42" s="33">
        <v>0</v>
      </c>
      <c r="J42" s="33">
        <v>0</v>
      </c>
      <c r="K42" s="33">
        <v>0</v>
      </c>
      <c r="L42" s="33">
        <v>0</v>
      </c>
      <c r="M42" s="33">
        <v>0</v>
      </c>
      <c r="N42" s="33">
        <v>0</v>
      </c>
      <c r="O42" s="33">
        <v>0</v>
      </c>
      <c r="P42" s="33">
        <v>0</v>
      </c>
      <c r="Q42" s="33">
        <v>0</v>
      </c>
      <c r="R42" s="33">
        <v>0</v>
      </c>
      <c r="S42" s="33">
        <v>0</v>
      </c>
      <c r="T42" s="33">
        <v>0</v>
      </c>
      <c r="U42" s="33">
        <v>0</v>
      </c>
      <c r="V42" s="33">
        <v>0</v>
      </c>
      <c r="W42" s="33">
        <v>0</v>
      </c>
      <c r="X42" s="33">
        <v>0</v>
      </c>
      <c r="Y42" s="33">
        <v>0</v>
      </c>
      <c r="Z42" s="33">
        <v>0</v>
      </c>
      <c r="AA42" s="33">
        <v>0</v>
      </c>
      <c r="AB42" s="33">
        <v>0</v>
      </c>
      <c r="AC42" s="33">
        <v>0</v>
      </c>
      <c r="AD42" s="33">
        <v>0</v>
      </c>
      <c r="AE42" s="33">
        <v>0</v>
      </c>
      <c r="AF42" s="33">
        <v>0</v>
      </c>
      <c r="AG42" s="33">
        <v>0</v>
      </c>
      <c r="AH42" s="33">
        <v>0</v>
      </c>
      <c r="AI42" s="33">
        <v>0</v>
      </c>
      <c r="AJ42" s="33">
        <v>0</v>
      </c>
      <c r="AK42" s="33">
        <v>0</v>
      </c>
      <c r="AL42" s="33">
        <v>0</v>
      </c>
      <c r="AM42" s="33">
        <v>860250.388241398</v>
      </c>
      <c r="AN42" s="33">
        <v>0</v>
      </c>
      <c r="AO42" s="33">
        <v>0</v>
      </c>
      <c r="AP42" s="33">
        <v>0</v>
      </c>
      <c r="AQ42" s="33">
        <v>0</v>
      </c>
      <c r="AR42" s="33">
        <v>0</v>
      </c>
      <c r="AS42" s="33">
        <v>0</v>
      </c>
      <c r="AT42" s="66">
        <v>860250.388241398</v>
      </c>
      <c r="AU42" s="67">
        <v>0</v>
      </c>
      <c r="AV42" s="67">
        <v>0</v>
      </c>
      <c r="AW42" s="66">
        <v>0</v>
      </c>
      <c r="AX42" s="67">
        <v>60926779.1036859</v>
      </c>
      <c r="AY42" s="66">
        <v>60926779.1036859</v>
      </c>
      <c r="AZ42" s="67">
        <v>187839985.899051</v>
      </c>
      <c r="BA42" s="67">
        <v>0</v>
      </c>
      <c r="BB42" s="66">
        <v>187839985.899051</v>
      </c>
      <c r="BC42" s="86">
        <v>9676778.94604033</v>
      </c>
      <c r="BD42" s="87">
        <v>258443543.948777</v>
      </c>
      <c r="BE42" s="86">
        <v>27747226.1777905</v>
      </c>
      <c r="BF42" s="68">
        <v>231556568.159228</v>
      </c>
    </row>
    <row r="43" ht="22.5" spans="1:58">
      <c r="A43" s="31"/>
      <c r="B43" s="5" t="s">
        <v>52</v>
      </c>
      <c r="C43" s="34" t="s">
        <v>105</v>
      </c>
      <c r="D43" s="33">
        <v>8183686.4984879</v>
      </c>
      <c r="E43" s="33">
        <v>2051462.54138618</v>
      </c>
      <c r="F43" s="33">
        <v>439977.225223194</v>
      </c>
      <c r="G43" s="33">
        <v>2152967.39999736</v>
      </c>
      <c r="H43" s="33">
        <v>231921.082526133</v>
      </c>
      <c r="I43" s="33">
        <v>1676472.63767719</v>
      </c>
      <c r="J43" s="33">
        <v>1471681.37075828</v>
      </c>
      <c r="K43" s="33">
        <v>953469.343936431</v>
      </c>
      <c r="L43" s="33">
        <v>2297490.74468189</v>
      </c>
      <c r="M43" s="33">
        <v>231164.630889436</v>
      </c>
      <c r="N43" s="33">
        <v>7275667.28743772</v>
      </c>
      <c r="O43" s="33">
        <v>1930217.26939713</v>
      </c>
      <c r="P43" s="33">
        <v>1274308.34043299</v>
      </c>
      <c r="Q43" s="33">
        <v>2805612.47685748</v>
      </c>
      <c r="R43" s="33">
        <v>2192418.97039587</v>
      </c>
      <c r="S43" s="33">
        <v>1092155.93932901</v>
      </c>
      <c r="T43" s="33">
        <v>2353821.56698802</v>
      </c>
      <c r="U43" s="33">
        <v>2501260.76717408</v>
      </c>
      <c r="V43" s="33">
        <v>3941338.7136013</v>
      </c>
      <c r="W43" s="33">
        <v>7517546.71555347</v>
      </c>
      <c r="X43" s="33">
        <v>1917876.88571047</v>
      </c>
      <c r="Y43" s="33">
        <v>3565826.69500278</v>
      </c>
      <c r="Z43" s="33">
        <v>10154751.0050959</v>
      </c>
      <c r="AA43" s="33">
        <v>228523.154110395</v>
      </c>
      <c r="AB43" s="33">
        <v>3652469.70564289</v>
      </c>
      <c r="AC43" s="33">
        <v>10048.6627904476</v>
      </c>
      <c r="AD43" s="33">
        <v>43760.7381524557</v>
      </c>
      <c r="AE43" s="33">
        <v>240915312.738259</v>
      </c>
      <c r="AF43" s="33">
        <v>11282048.0261098</v>
      </c>
      <c r="AG43" s="33">
        <v>3801996.45327027</v>
      </c>
      <c r="AH43" s="33">
        <v>167826.700410252</v>
      </c>
      <c r="AI43" s="33">
        <v>3281325.00353324</v>
      </c>
      <c r="AJ43" s="33">
        <v>841145.413044023</v>
      </c>
      <c r="AK43" s="33">
        <v>886848.717321866</v>
      </c>
      <c r="AL43" s="33">
        <v>123358.933337507</v>
      </c>
      <c r="AM43" s="33">
        <v>13591265.8409639</v>
      </c>
      <c r="AN43" s="33">
        <v>72827591.4946328</v>
      </c>
      <c r="AO43" s="33">
        <v>14101.0968310876</v>
      </c>
      <c r="AP43" s="33">
        <v>1373597.44737479</v>
      </c>
      <c r="AQ43" s="33">
        <v>250745.104060527</v>
      </c>
      <c r="AR43" s="33">
        <v>31778.2614969229</v>
      </c>
      <c r="AS43" s="33">
        <v>690117.103671646</v>
      </c>
      <c r="AT43" s="33">
        <v>421273487.359617</v>
      </c>
      <c r="AU43" s="33">
        <v>845712.726253918</v>
      </c>
      <c r="AV43" s="33">
        <v>3554225.22710685</v>
      </c>
      <c r="AW43" s="33">
        <v>4399937.95336077</v>
      </c>
      <c r="AX43" s="33">
        <v>85393018.0481749</v>
      </c>
      <c r="AY43" s="33">
        <v>89792956.0015357</v>
      </c>
      <c r="AZ43" s="33">
        <v>8718585.05</v>
      </c>
      <c r="BA43" s="33">
        <v>0</v>
      </c>
      <c r="BB43" s="33">
        <v>8718585.05</v>
      </c>
      <c r="BC43" s="33">
        <v>1387.71592662749</v>
      </c>
      <c r="BD43" s="33">
        <v>98512928.7674623</v>
      </c>
      <c r="BE43" s="33">
        <v>546.598662121702</v>
      </c>
      <c r="BF43" s="33">
        <v>519785869.528417</v>
      </c>
    </row>
    <row r="44" ht="33.75" spans="1:58">
      <c r="A44" s="31"/>
      <c r="B44" s="5" t="s">
        <v>53</v>
      </c>
      <c r="C44" s="32" t="s">
        <v>106</v>
      </c>
      <c r="D44" s="33">
        <v>1162397.39834427</v>
      </c>
      <c r="E44" s="33">
        <v>1569830.502662</v>
      </c>
      <c r="F44" s="33">
        <v>159386.410420715</v>
      </c>
      <c r="G44" s="33">
        <v>318946.296479189</v>
      </c>
      <c r="H44" s="33">
        <v>31443.2389671735</v>
      </c>
      <c r="I44" s="33">
        <v>1801970.03318312</v>
      </c>
      <c r="J44" s="33">
        <v>1266265.8232641</v>
      </c>
      <c r="K44" s="33">
        <v>748904.04015807</v>
      </c>
      <c r="L44" s="33">
        <v>1959896.55437019</v>
      </c>
      <c r="M44" s="33">
        <v>696299.771721184</v>
      </c>
      <c r="N44" s="33">
        <v>1882933.61136211</v>
      </c>
      <c r="O44" s="33">
        <v>1374331.99067982</v>
      </c>
      <c r="P44" s="33">
        <v>1144520.54790092</v>
      </c>
      <c r="Q44" s="33">
        <v>2152188.08375026</v>
      </c>
      <c r="R44" s="33">
        <v>1142727.12728802</v>
      </c>
      <c r="S44" s="33">
        <v>369600.17646542</v>
      </c>
      <c r="T44" s="33">
        <v>1871053.20942117</v>
      </c>
      <c r="U44" s="33">
        <v>2177435.0947761</v>
      </c>
      <c r="V44" s="33">
        <v>1440596.56517176</v>
      </c>
      <c r="W44" s="33">
        <v>3661165.38872185</v>
      </c>
      <c r="X44" s="33">
        <v>475779.723185139</v>
      </c>
      <c r="Y44" s="33">
        <v>2650589.95304707</v>
      </c>
      <c r="Z44" s="33">
        <v>3183056.16099253</v>
      </c>
      <c r="AA44" s="33">
        <v>353088.741081888</v>
      </c>
      <c r="AB44" s="33">
        <v>2395782.91856207</v>
      </c>
      <c r="AC44" s="33">
        <v>247361.965403633</v>
      </c>
      <c r="AD44" s="33">
        <v>377392.453834334</v>
      </c>
      <c r="AE44" s="33">
        <v>18589278.3485172</v>
      </c>
      <c r="AF44" s="33">
        <v>10936817.2482683</v>
      </c>
      <c r="AG44" s="33">
        <v>17956064.9267489</v>
      </c>
      <c r="AH44" s="33">
        <v>2370048.75002588</v>
      </c>
      <c r="AI44" s="33">
        <v>2165345.51653952</v>
      </c>
      <c r="AJ44" s="33">
        <v>3686570.70586811</v>
      </c>
      <c r="AK44" s="33">
        <v>1817217.87257167</v>
      </c>
      <c r="AL44" s="33">
        <v>7553140.62261423</v>
      </c>
      <c r="AM44" s="33">
        <v>3501305.22514383</v>
      </c>
      <c r="AN44" s="33">
        <v>6088183.53004556</v>
      </c>
      <c r="AO44" s="33">
        <v>5478387.87829708</v>
      </c>
      <c r="AP44" s="33">
        <v>6387727.03453322</v>
      </c>
      <c r="AQ44" s="33">
        <v>3728248.68452788</v>
      </c>
      <c r="AR44" s="33">
        <v>2160584.8214632</v>
      </c>
      <c r="AS44" s="33">
        <v>21334218.2023641</v>
      </c>
      <c r="AT44" s="33">
        <v>149619179.108585</v>
      </c>
      <c r="AU44" s="33">
        <v>25532574.6362359</v>
      </c>
      <c r="AV44" s="33">
        <v>126223906.314163</v>
      </c>
      <c r="AW44" s="33">
        <v>151756480.950399</v>
      </c>
      <c r="AX44" s="33">
        <v>0</v>
      </c>
      <c r="AY44" s="33">
        <v>151756480.950399</v>
      </c>
      <c r="AZ44" s="33">
        <v>0</v>
      </c>
      <c r="BA44" s="33">
        <v>0</v>
      </c>
      <c r="BB44" s="33">
        <v>0</v>
      </c>
      <c r="BC44" s="33">
        <v>97675.72023538</v>
      </c>
      <c r="BD44" s="33">
        <v>151854156.670634</v>
      </c>
      <c r="BE44" s="33">
        <v>1135747.05678996</v>
      </c>
      <c r="BF44" s="33">
        <v>300337588.722429</v>
      </c>
    </row>
    <row r="45" spans="1:58">
      <c r="A45" s="31"/>
      <c r="B45" s="5" t="s">
        <v>54</v>
      </c>
      <c r="C45" s="32" t="s">
        <v>107</v>
      </c>
      <c r="D45" s="33">
        <v>167081.063319981</v>
      </c>
      <c r="E45" s="33">
        <v>84289.854237093</v>
      </c>
      <c r="F45" s="33">
        <v>10224.6414010659</v>
      </c>
      <c r="G45" s="33">
        <v>24879.3677417055</v>
      </c>
      <c r="H45" s="33">
        <v>2741.16377290043</v>
      </c>
      <c r="I45" s="33">
        <v>142405.141809283</v>
      </c>
      <c r="J45" s="33">
        <v>107412.081915253</v>
      </c>
      <c r="K45" s="33">
        <v>64124.2563566548</v>
      </c>
      <c r="L45" s="33">
        <v>108319.73984558</v>
      </c>
      <c r="M45" s="33">
        <v>38711.8431072445</v>
      </c>
      <c r="N45" s="33">
        <v>101524.864179033</v>
      </c>
      <c r="O45" s="33">
        <v>107005.794391859</v>
      </c>
      <c r="P45" s="33">
        <v>53348.1953983236</v>
      </c>
      <c r="Q45" s="33">
        <v>126924.069557151</v>
      </c>
      <c r="R45" s="33">
        <v>33654.3085816125</v>
      </c>
      <c r="S45" s="33">
        <v>28190.0282411897</v>
      </c>
      <c r="T45" s="33">
        <v>113665.885247161</v>
      </c>
      <c r="U45" s="33">
        <v>153989.560783365</v>
      </c>
      <c r="V45" s="33">
        <v>99155.7207475335</v>
      </c>
      <c r="W45" s="33">
        <v>104298.948935405</v>
      </c>
      <c r="X45" s="33">
        <v>28793.4304086373</v>
      </c>
      <c r="Y45" s="33">
        <v>91487.3998867381</v>
      </c>
      <c r="Z45" s="33">
        <v>136697.887802376</v>
      </c>
      <c r="AA45" s="33">
        <v>37989.4885036761</v>
      </c>
      <c r="AB45" s="33">
        <v>21622.4443010024</v>
      </c>
      <c r="AC45" s="33">
        <v>20627.1888158163</v>
      </c>
      <c r="AD45" s="33">
        <v>25220.1084597461</v>
      </c>
      <c r="AE45" s="33">
        <v>864553.128343884</v>
      </c>
      <c r="AF45" s="33">
        <v>1556026.82121632</v>
      </c>
      <c r="AG45" s="33">
        <v>1314848.27798285</v>
      </c>
      <c r="AH45" s="33">
        <v>298521.326528865</v>
      </c>
      <c r="AI45" s="33">
        <v>578304.519396349</v>
      </c>
      <c r="AJ45" s="33">
        <v>3102120.94272495</v>
      </c>
      <c r="AK45" s="33">
        <v>274596.44974074</v>
      </c>
      <c r="AL45" s="33">
        <v>576898.767881597</v>
      </c>
      <c r="AM45" s="33">
        <v>142839.265608974</v>
      </c>
      <c r="AN45" s="33">
        <v>492632.156668667</v>
      </c>
      <c r="AO45" s="33">
        <v>189130.321780453</v>
      </c>
      <c r="AP45" s="33">
        <v>7696008.6095651</v>
      </c>
      <c r="AQ45" s="33">
        <v>792734.636069641</v>
      </c>
      <c r="AR45" s="33">
        <v>245179.807579042</v>
      </c>
      <c r="AS45" s="33">
        <v>7577069.98525504</v>
      </c>
      <c r="AT45" s="66">
        <v>27671725.2377332</v>
      </c>
      <c r="AU45" s="67">
        <v>51147978.3054616</v>
      </c>
      <c r="AV45" s="67">
        <v>183950274.182512</v>
      </c>
      <c r="AW45" s="66">
        <v>235098252.487974</v>
      </c>
      <c r="AX45" s="67">
        <v>269717581.409089</v>
      </c>
      <c r="AY45" s="66">
        <v>504815833.897063</v>
      </c>
      <c r="AZ45" s="67">
        <v>0</v>
      </c>
      <c r="BA45" s="67">
        <v>0</v>
      </c>
      <c r="BB45" s="66">
        <v>0</v>
      </c>
      <c r="BC45" s="86">
        <v>0</v>
      </c>
      <c r="BD45" s="87">
        <v>504815833.897063</v>
      </c>
      <c r="BE45" s="86">
        <v>0</v>
      </c>
      <c r="BF45" s="68">
        <v>532487559.134796</v>
      </c>
    </row>
    <row r="46" ht="22.5" spans="1:58">
      <c r="A46" s="31"/>
      <c r="B46" s="5" t="s">
        <v>55</v>
      </c>
      <c r="C46" s="32" t="s">
        <v>108</v>
      </c>
      <c r="D46" s="33">
        <v>106215.237680217</v>
      </c>
      <c r="E46" s="33">
        <v>145358.069941137</v>
      </c>
      <c r="F46" s="33">
        <v>13148.4182333425</v>
      </c>
      <c r="G46" s="33">
        <v>97022.2327950756</v>
      </c>
      <c r="H46" s="33">
        <v>0</v>
      </c>
      <c r="I46" s="33">
        <v>74031.8008563569</v>
      </c>
      <c r="J46" s="33">
        <v>124131.532760006</v>
      </c>
      <c r="K46" s="33">
        <v>48373.4414229953</v>
      </c>
      <c r="L46" s="33">
        <v>136284.374270547</v>
      </c>
      <c r="M46" s="33">
        <v>838032.644461601</v>
      </c>
      <c r="N46" s="33">
        <v>95879.7545340868</v>
      </c>
      <c r="O46" s="33">
        <v>62106.3589390581</v>
      </c>
      <c r="P46" s="33">
        <v>11596.2393642904</v>
      </c>
      <c r="Q46" s="33">
        <v>239737.571582594</v>
      </c>
      <c r="R46" s="33">
        <v>295395.381698738</v>
      </c>
      <c r="S46" s="33">
        <v>97498.2997660504</v>
      </c>
      <c r="T46" s="33">
        <v>270233.491610175</v>
      </c>
      <c r="U46" s="33">
        <v>412737.913212253</v>
      </c>
      <c r="V46" s="33">
        <v>261703.144700056</v>
      </c>
      <c r="W46" s="33">
        <v>235573.381728295</v>
      </c>
      <c r="X46" s="33">
        <v>109811.424117341</v>
      </c>
      <c r="Y46" s="33">
        <v>307450.819624611</v>
      </c>
      <c r="Z46" s="33">
        <v>179407.085349043</v>
      </c>
      <c r="AA46" s="33">
        <v>18328.0467978609</v>
      </c>
      <c r="AB46" s="33">
        <v>352667.835607818</v>
      </c>
      <c r="AC46" s="33">
        <v>37394.6835848899</v>
      </c>
      <c r="AD46" s="33">
        <v>1848.09228504862</v>
      </c>
      <c r="AE46" s="33">
        <v>1215493.85543785</v>
      </c>
      <c r="AF46" s="33">
        <v>406174.546783614</v>
      </c>
      <c r="AG46" s="33">
        <v>587224.055501807</v>
      </c>
      <c r="AH46" s="33">
        <v>11028.5522628691</v>
      </c>
      <c r="AI46" s="33">
        <v>25143.2503734001</v>
      </c>
      <c r="AJ46" s="33">
        <v>276897.048051173</v>
      </c>
      <c r="AK46" s="33">
        <v>2491.92508066418</v>
      </c>
      <c r="AL46" s="33">
        <v>6425.49009466373</v>
      </c>
      <c r="AM46" s="33">
        <v>19498.6720649739</v>
      </c>
      <c r="AN46" s="33">
        <v>42542.0712860256</v>
      </c>
      <c r="AO46" s="33">
        <v>73930.9620604574</v>
      </c>
      <c r="AP46" s="33">
        <v>205486.835689886</v>
      </c>
      <c r="AQ46" s="33">
        <v>2877366.52646087</v>
      </c>
      <c r="AR46" s="33">
        <v>50119.2848172912</v>
      </c>
      <c r="AS46" s="33">
        <v>2428769.29722126</v>
      </c>
      <c r="AT46" s="33">
        <v>12752186.2086873</v>
      </c>
      <c r="AU46" s="33">
        <v>42485967.9835079</v>
      </c>
      <c r="AV46" s="33">
        <v>129168822.756931</v>
      </c>
      <c r="AW46" s="33">
        <v>171654790.740439</v>
      </c>
      <c r="AX46" s="33">
        <v>316703292.126735</v>
      </c>
      <c r="AY46" s="33">
        <v>488358082.867175</v>
      </c>
      <c r="AZ46" s="33">
        <v>0</v>
      </c>
      <c r="BA46" s="33">
        <v>0</v>
      </c>
      <c r="BB46" s="33">
        <v>0</v>
      </c>
      <c r="BC46" s="33">
        <v>156974.417010226</v>
      </c>
      <c r="BD46" s="33">
        <v>488515057.284185</v>
      </c>
      <c r="BE46" s="33">
        <v>1195045.7535648</v>
      </c>
      <c r="BF46" s="33">
        <v>500072197.739307</v>
      </c>
    </row>
    <row r="47" ht="22.5" spans="1:58">
      <c r="A47" s="35"/>
      <c r="B47" s="5" t="s">
        <v>56</v>
      </c>
      <c r="C47" s="32" t="s">
        <v>109</v>
      </c>
      <c r="D47" s="33">
        <v>101045.025148105</v>
      </c>
      <c r="E47" s="33">
        <v>272786.245746533</v>
      </c>
      <c r="F47" s="33">
        <v>124921.036063118</v>
      </c>
      <c r="G47" s="33">
        <v>173463.23050387</v>
      </c>
      <c r="H47" s="33">
        <v>14812.9162275039</v>
      </c>
      <c r="I47" s="33">
        <v>892690.765976482</v>
      </c>
      <c r="J47" s="33">
        <v>884858.032980677</v>
      </c>
      <c r="K47" s="33">
        <v>293822.585719705</v>
      </c>
      <c r="L47" s="33">
        <v>602336.951721003</v>
      </c>
      <c r="M47" s="33">
        <v>314077.591861205</v>
      </c>
      <c r="N47" s="33">
        <v>651094.05702456</v>
      </c>
      <c r="O47" s="33">
        <v>589693.416263557</v>
      </c>
      <c r="P47" s="33">
        <v>512136.738891985</v>
      </c>
      <c r="Q47" s="33">
        <v>908100.804652584</v>
      </c>
      <c r="R47" s="33">
        <v>616659.727715123</v>
      </c>
      <c r="S47" s="33">
        <v>354148.930160567</v>
      </c>
      <c r="T47" s="33">
        <v>453650.456731865</v>
      </c>
      <c r="U47" s="33">
        <v>1050252.89346804</v>
      </c>
      <c r="V47" s="33">
        <v>537971.468671074</v>
      </c>
      <c r="W47" s="33">
        <v>1486140.93494385</v>
      </c>
      <c r="X47" s="33">
        <v>118962.458864416</v>
      </c>
      <c r="Y47" s="33">
        <v>840454.187094723</v>
      </c>
      <c r="Z47" s="33">
        <v>1170344.74019568</v>
      </c>
      <c r="AA47" s="33">
        <v>133269.637445689</v>
      </c>
      <c r="AB47" s="33">
        <v>1003080.19417144</v>
      </c>
      <c r="AC47" s="33">
        <v>100502.293601321</v>
      </c>
      <c r="AD47" s="33">
        <v>133827.511142723</v>
      </c>
      <c r="AE47" s="33">
        <v>2820755.1566284</v>
      </c>
      <c r="AF47" s="33">
        <v>1726967.78773693</v>
      </c>
      <c r="AG47" s="33">
        <v>2556352.19575943</v>
      </c>
      <c r="AH47" s="33">
        <v>673854.671373082</v>
      </c>
      <c r="AI47" s="33">
        <v>3618427.7880633</v>
      </c>
      <c r="AJ47" s="33">
        <v>10689187.5636944</v>
      </c>
      <c r="AK47" s="33">
        <v>1317653.55264137</v>
      </c>
      <c r="AL47" s="33">
        <v>3954591.75091724</v>
      </c>
      <c r="AM47" s="33">
        <v>1136981.26714152</v>
      </c>
      <c r="AN47" s="33">
        <v>1310351.54310928</v>
      </c>
      <c r="AO47" s="33">
        <v>1135591.42365731</v>
      </c>
      <c r="AP47" s="33">
        <v>2393374.79484084</v>
      </c>
      <c r="AQ47" s="33">
        <v>320154.618769819</v>
      </c>
      <c r="AR47" s="33">
        <v>9232824.9229271</v>
      </c>
      <c r="AS47" s="33">
        <v>7009132.01954374</v>
      </c>
      <c r="AT47" s="33">
        <v>63937483.3040715</v>
      </c>
      <c r="AU47" s="33">
        <v>6949619.469718</v>
      </c>
      <c r="AV47" s="33">
        <v>46077777.7307332</v>
      </c>
      <c r="AW47" s="33">
        <v>53027397.2004513</v>
      </c>
      <c r="AX47" s="33">
        <v>42038587.7775484</v>
      </c>
      <c r="AY47" s="33">
        <v>95065984.9779997</v>
      </c>
      <c r="AZ47" s="33">
        <v>5234595.238605</v>
      </c>
      <c r="BA47" s="33">
        <v>0</v>
      </c>
      <c r="BB47" s="33">
        <v>5234595.238605</v>
      </c>
      <c r="BC47" s="33">
        <v>2845384.05103865</v>
      </c>
      <c r="BD47" s="33">
        <v>103145964.267643</v>
      </c>
      <c r="BE47" s="33">
        <v>11240037.806423</v>
      </c>
      <c r="BF47" s="33">
        <v>155843409.765292</v>
      </c>
    </row>
    <row r="48" ht="67.5" spans="1:58">
      <c r="A48" s="35"/>
      <c r="B48" s="6" t="s">
        <v>57</v>
      </c>
      <c r="C48" s="36" t="s">
        <v>110</v>
      </c>
      <c r="D48" s="33">
        <v>2218338.16994897</v>
      </c>
      <c r="E48" s="33">
        <v>170589.800633999</v>
      </c>
      <c r="F48" s="33">
        <v>68564.3462946525</v>
      </c>
      <c r="G48" s="33">
        <v>381286.092953121</v>
      </c>
      <c r="H48" s="33">
        <v>6404.45782702217</v>
      </c>
      <c r="I48" s="33">
        <v>744385.286160533</v>
      </c>
      <c r="J48" s="33">
        <v>1061636.42096733</v>
      </c>
      <c r="K48" s="33">
        <v>206439.772357999</v>
      </c>
      <c r="L48" s="33">
        <v>1142978.60926435</v>
      </c>
      <c r="M48" s="33">
        <v>311356.105239404</v>
      </c>
      <c r="N48" s="33">
        <v>791949.191993016</v>
      </c>
      <c r="O48" s="33">
        <v>435720.768768947</v>
      </c>
      <c r="P48" s="33">
        <v>309871.618286687</v>
      </c>
      <c r="Q48" s="33">
        <v>856417.185605913</v>
      </c>
      <c r="R48" s="33">
        <v>784447.278194612</v>
      </c>
      <c r="S48" s="33">
        <v>306087.662476427</v>
      </c>
      <c r="T48" s="33">
        <v>464907.684785737</v>
      </c>
      <c r="U48" s="33">
        <v>572919.988146294</v>
      </c>
      <c r="V48" s="33">
        <v>527225.180521682</v>
      </c>
      <c r="W48" s="33">
        <v>475969.027199615</v>
      </c>
      <c r="X48" s="33">
        <v>150409.71021636</v>
      </c>
      <c r="Y48" s="33">
        <v>491132.189280943</v>
      </c>
      <c r="Z48" s="33">
        <v>693755.09776255</v>
      </c>
      <c r="AA48" s="33">
        <v>255387.07343102</v>
      </c>
      <c r="AB48" s="33">
        <v>2290386.23121077</v>
      </c>
      <c r="AC48" s="33">
        <v>42898.6825709694</v>
      </c>
      <c r="AD48" s="33">
        <v>2249050.71523877</v>
      </c>
      <c r="AE48" s="33">
        <v>1559132.32609455</v>
      </c>
      <c r="AF48" s="33">
        <v>2371629.78793353</v>
      </c>
      <c r="AG48" s="33">
        <v>2600955.76114045</v>
      </c>
      <c r="AH48" s="33">
        <v>438174.500920176</v>
      </c>
      <c r="AI48" s="33">
        <v>1620394.81041714</v>
      </c>
      <c r="AJ48" s="33">
        <v>2570161.04926948</v>
      </c>
      <c r="AK48" s="33">
        <v>1739467.04572028</v>
      </c>
      <c r="AL48" s="33">
        <v>5069918.3359143</v>
      </c>
      <c r="AM48" s="33">
        <v>882539.290159881</v>
      </c>
      <c r="AN48" s="33">
        <v>1181929.41206843</v>
      </c>
      <c r="AO48" s="33">
        <v>698723.423187314</v>
      </c>
      <c r="AP48" s="33">
        <v>1484594.00087425</v>
      </c>
      <c r="AQ48" s="33">
        <v>564644.299173505</v>
      </c>
      <c r="AR48" s="33">
        <v>505031.573381659</v>
      </c>
      <c r="AS48" s="33">
        <v>26343336.5723926</v>
      </c>
      <c r="AT48" s="33">
        <v>67434706.7636272</v>
      </c>
      <c r="AU48" s="33">
        <v>1372114.9414002</v>
      </c>
      <c r="AV48" s="33">
        <v>10228084.0427323</v>
      </c>
      <c r="AW48" s="33">
        <v>11600198.9841325</v>
      </c>
      <c r="AX48" s="33">
        <v>831789109.69229</v>
      </c>
      <c r="AY48" s="33">
        <v>843389308.676423</v>
      </c>
      <c r="AZ48" s="33">
        <v>0</v>
      </c>
      <c r="BA48" s="33">
        <v>0</v>
      </c>
      <c r="BB48" s="33">
        <v>0</v>
      </c>
      <c r="BC48" s="33">
        <v>2027457.97120951</v>
      </c>
      <c r="BD48" s="33">
        <v>845416766.647632</v>
      </c>
      <c r="BE48" s="33">
        <v>5145286.05467146</v>
      </c>
      <c r="BF48" s="33">
        <v>907706187.356589</v>
      </c>
    </row>
    <row r="49" ht="22.5" spans="1:58">
      <c r="A49" s="37"/>
      <c r="B49" s="38" t="s">
        <v>124</v>
      </c>
      <c r="C49" s="39" t="s">
        <v>125</v>
      </c>
      <c r="D49" s="33">
        <v>509936007.832905</v>
      </c>
      <c r="E49" s="40">
        <v>115074114.182427</v>
      </c>
      <c r="F49" s="40">
        <v>39965777.4058217</v>
      </c>
      <c r="G49" s="33">
        <v>89225006.090692</v>
      </c>
      <c r="H49" s="40">
        <v>11697851.3445873</v>
      </c>
      <c r="I49" s="33">
        <v>944349112.048559</v>
      </c>
      <c r="J49" s="33">
        <v>612910570.176058</v>
      </c>
      <c r="K49" s="33">
        <v>209811561.586646</v>
      </c>
      <c r="L49" s="33">
        <v>532655360.114312</v>
      </c>
      <c r="M49" s="33">
        <v>308742520.010747</v>
      </c>
      <c r="N49" s="33">
        <v>657082874.069896</v>
      </c>
      <c r="O49" s="40">
        <v>214220106.743116</v>
      </c>
      <c r="P49" s="33">
        <v>271752322.209465</v>
      </c>
      <c r="Q49" s="33">
        <v>502451885.341108</v>
      </c>
      <c r="R49" s="33">
        <v>527215627.052451</v>
      </c>
      <c r="S49" s="33">
        <v>405092577.333424</v>
      </c>
      <c r="T49" s="40">
        <v>392283911.709284</v>
      </c>
      <c r="U49" s="33">
        <v>408823033.829274</v>
      </c>
      <c r="V49" s="33">
        <v>289399787.580346</v>
      </c>
      <c r="W49" s="33">
        <v>560981019.69477</v>
      </c>
      <c r="X49" s="33">
        <v>123772340.761386</v>
      </c>
      <c r="Y49" s="33">
        <v>576339416.358052</v>
      </c>
      <c r="Z49" s="33">
        <v>997209171.282199</v>
      </c>
      <c r="AA49" s="33">
        <v>67374684.1739558</v>
      </c>
      <c r="AB49" s="40">
        <v>481153559.472091</v>
      </c>
      <c r="AC49" s="40">
        <v>61699158.6761411</v>
      </c>
      <c r="AD49" s="40">
        <v>20179486.0771177</v>
      </c>
      <c r="AE49" s="33">
        <v>2140212041.66986</v>
      </c>
      <c r="AF49" s="33">
        <v>544911283.670569</v>
      </c>
      <c r="AG49" s="33">
        <v>742396331.709502</v>
      </c>
      <c r="AH49" s="33">
        <v>286469176.517495</v>
      </c>
      <c r="AI49" s="33">
        <v>517228345.932208</v>
      </c>
      <c r="AJ49" s="33">
        <v>393198764.343139</v>
      </c>
      <c r="AK49" s="40">
        <v>296965938.19793</v>
      </c>
      <c r="AL49" s="33">
        <v>644035496.54548</v>
      </c>
      <c r="AM49" s="40">
        <v>135629401.966561</v>
      </c>
      <c r="AN49" s="33">
        <v>334643313.502596</v>
      </c>
      <c r="AO49" s="33">
        <v>143060914.191484</v>
      </c>
      <c r="AP49" s="40">
        <v>159195396.710307</v>
      </c>
      <c r="AQ49" s="33">
        <v>291866517.474991</v>
      </c>
      <c r="AR49" s="33">
        <v>77833015.0354039</v>
      </c>
      <c r="AS49" s="33">
        <v>396824813.745969</v>
      </c>
      <c r="AT49" s="40">
        <v>16826058032.7837</v>
      </c>
      <c r="AU49" s="40">
        <v>816642871.617193</v>
      </c>
      <c r="AV49" s="40">
        <v>3023440277.96893</v>
      </c>
      <c r="AW49" s="40">
        <v>3840083149.58612</v>
      </c>
      <c r="AX49" s="40">
        <v>1736253794.41957</v>
      </c>
      <c r="AY49" s="40">
        <v>5576336944.00569</v>
      </c>
      <c r="AZ49" s="40">
        <v>4243704003.37183</v>
      </c>
      <c r="BA49" s="40">
        <v>91509937.6772216</v>
      </c>
      <c r="BB49" s="40">
        <v>4335213941.04906</v>
      </c>
      <c r="BC49" s="40">
        <v>1879260657.23314</v>
      </c>
      <c r="BD49" s="40">
        <v>11790811542.2879</v>
      </c>
      <c r="BE49" s="40">
        <v>1626591529.6393</v>
      </c>
      <c r="BF49" s="102">
        <v>26990278045.4323</v>
      </c>
    </row>
    <row r="50" spans="1:58">
      <c r="A50" s="41" t="s">
        <v>126</v>
      </c>
      <c r="B50" s="42" t="s">
        <v>127</v>
      </c>
      <c r="C50" s="43" t="s">
        <v>128</v>
      </c>
      <c r="D50" s="33">
        <v>821109376.632051</v>
      </c>
      <c r="E50" s="33">
        <v>49156975.9562107</v>
      </c>
      <c r="F50" s="33">
        <v>10684586.8078278</v>
      </c>
      <c r="G50" s="33">
        <v>34146732.2608017</v>
      </c>
      <c r="H50" s="33">
        <v>9070894.78577535</v>
      </c>
      <c r="I50" s="33">
        <v>92288059.9056758</v>
      </c>
      <c r="J50" s="33">
        <v>78070178.6100447</v>
      </c>
      <c r="K50" s="33">
        <v>25339700.6887769</v>
      </c>
      <c r="L50" s="33">
        <v>70607744.9636081</v>
      </c>
      <c r="M50" s="33">
        <v>12815275.3213411</v>
      </c>
      <c r="N50" s="33">
        <v>47509590.2427704</v>
      </c>
      <c r="O50" s="33">
        <v>30588660.7146926</v>
      </c>
      <c r="P50" s="33">
        <v>35944267.4865012</v>
      </c>
      <c r="Q50" s="33">
        <v>74959951.9783755</v>
      </c>
      <c r="R50" s="33">
        <v>39116758.5176721</v>
      </c>
      <c r="S50" s="33">
        <v>35418933.9930419</v>
      </c>
      <c r="T50" s="33">
        <v>57488356.1501572</v>
      </c>
      <c r="U50" s="33">
        <v>46988959.7259126</v>
      </c>
      <c r="V50" s="33">
        <v>51031136.4146658</v>
      </c>
      <c r="W50" s="33">
        <v>36758514.0184566</v>
      </c>
      <c r="X50" s="33">
        <v>17700419.3798486</v>
      </c>
      <c r="Y50" s="33">
        <v>47111753.5845014</v>
      </c>
      <c r="Z50" s="33">
        <v>100330129.042527</v>
      </c>
      <c r="AA50" s="33">
        <v>25541967.5256686</v>
      </c>
      <c r="AB50" s="33">
        <v>61395231.1624101</v>
      </c>
      <c r="AC50" s="33">
        <v>7256304.22228311</v>
      </c>
      <c r="AD50" s="33">
        <v>8632889.79187755</v>
      </c>
      <c r="AE50" s="33">
        <v>469645429.010662</v>
      </c>
      <c r="AF50" s="33">
        <v>519792503.263792</v>
      </c>
      <c r="AG50" s="33">
        <v>230523925.740211</v>
      </c>
      <c r="AH50" s="33">
        <v>85067117.1008988</v>
      </c>
      <c r="AI50" s="33">
        <v>206973736.679317</v>
      </c>
      <c r="AJ50" s="33">
        <v>215281976.520711</v>
      </c>
      <c r="AK50" s="33">
        <v>192733122.55735</v>
      </c>
      <c r="AL50" s="33">
        <v>252757212.793925</v>
      </c>
      <c r="AM50" s="33">
        <v>65841576.822612</v>
      </c>
      <c r="AN50" s="33">
        <v>115418456.212316</v>
      </c>
      <c r="AO50" s="33">
        <v>127689767.858012</v>
      </c>
      <c r="AP50" s="33">
        <v>281650493.11452</v>
      </c>
      <c r="AQ50" s="33">
        <v>171783188.525367</v>
      </c>
      <c r="AR50" s="33">
        <v>51172539.734951</v>
      </c>
      <c r="AS50" s="33">
        <v>407600705.014876</v>
      </c>
      <c r="AT50" s="68">
        <v>5295655400.14422</v>
      </c>
      <c r="AU50" s="69"/>
      <c r="AV50" s="69"/>
      <c r="AW50" s="88"/>
      <c r="AX50" s="69"/>
      <c r="AY50" s="88"/>
      <c r="AZ50" s="69"/>
      <c r="BA50" s="69"/>
      <c r="BB50" s="88"/>
      <c r="BC50" s="69"/>
      <c r="BD50" s="89"/>
      <c r="BE50" s="69"/>
      <c r="BF50" s="69"/>
    </row>
    <row r="51" spans="1:58">
      <c r="A51" s="44"/>
      <c r="B51" s="42" t="s">
        <v>129</v>
      </c>
      <c r="C51" s="45" t="s">
        <v>130</v>
      </c>
      <c r="D51" s="33">
        <v>-45528240.6524828</v>
      </c>
      <c r="E51" s="33">
        <v>23728883.970035</v>
      </c>
      <c r="F51" s="33">
        <v>26393586.367127</v>
      </c>
      <c r="G51" s="33">
        <v>29203561.314</v>
      </c>
      <c r="H51" s="33">
        <v>1127941.29772883</v>
      </c>
      <c r="I51" s="33">
        <v>82927929.5671502</v>
      </c>
      <c r="J51" s="33">
        <v>1055456.5261335</v>
      </c>
      <c r="K51" s="33">
        <v>5439494.60237603</v>
      </c>
      <c r="L51" s="33">
        <v>11735859.5567258</v>
      </c>
      <c r="M51" s="33">
        <v>49155195.5214141</v>
      </c>
      <c r="N51" s="33">
        <v>37768625.1294872</v>
      </c>
      <c r="O51" s="33">
        <v>11543781.6746586</v>
      </c>
      <c r="P51" s="33">
        <v>9432919.72683331</v>
      </c>
      <c r="Q51" s="33">
        <v>23472866.7779206</v>
      </c>
      <c r="R51" s="33">
        <v>16809803.9852195</v>
      </c>
      <c r="S51" s="33">
        <v>20103752.8548938</v>
      </c>
      <c r="T51" s="33">
        <v>11219546.9861507</v>
      </c>
      <c r="U51" s="33">
        <v>16723537.9683136</v>
      </c>
      <c r="V51" s="33">
        <v>14548976.722464</v>
      </c>
      <c r="W51" s="33">
        <v>41488605.881303</v>
      </c>
      <c r="X51" s="33">
        <v>2028721.97909231</v>
      </c>
      <c r="Y51" s="33">
        <v>4541468.4707146</v>
      </c>
      <c r="Z51" s="33">
        <v>-3678836.27294552</v>
      </c>
      <c r="AA51" s="33">
        <v>13432368.4743476</v>
      </c>
      <c r="AB51" s="33">
        <v>20698377.6315251</v>
      </c>
      <c r="AC51" s="33">
        <v>1010550.45236413</v>
      </c>
      <c r="AD51" s="33">
        <v>1860447.18374642</v>
      </c>
      <c r="AE51" s="33">
        <v>98116385.5968287</v>
      </c>
      <c r="AF51" s="33">
        <v>95383190.2804768</v>
      </c>
      <c r="AG51" s="33">
        <v>8513567.44219846</v>
      </c>
      <c r="AH51" s="33">
        <v>1360038.66259777</v>
      </c>
      <c r="AI51" s="33">
        <v>13092894.4785477</v>
      </c>
      <c r="AJ51" s="33">
        <v>82718115.8873387</v>
      </c>
      <c r="AK51" s="33">
        <v>123442718.311865</v>
      </c>
      <c r="AL51" s="33">
        <v>27690530.6917165</v>
      </c>
      <c r="AM51" s="33">
        <v>1588413.56834034</v>
      </c>
      <c r="AN51" s="33">
        <v>11715874.6086849</v>
      </c>
      <c r="AO51" s="33">
        <v>5023484.24607627</v>
      </c>
      <c r="AP51" s="33">
        <v>625840.589067589</v>
      </c>
      <c r="AQ51" s="33">
        <v>119102.009382813</v>
      </c>
      <c r="AR51" s="33">
        <v>1590021.04931616</v>
      </c>
      <c r="AS51" s="33">
        <v>2016363.5215086</v>
      </c>
      <c r="AT51" s="68">
        <v>895802230.037866</v>
      </c>
      <c r="AU51" s="70"/>
      <c r="AV51" s="70"/>
      <c r="AW51" s="90"/>
      <c r="AX51" s="70"/>
      <c r="AY51" s="90"/>
      <c r="AZ51" s="70"/>
      <c r="BA51" s="70"/>
      <c r="BB51" s="90"/>
      <c r="BC51" s="70"/>
      <c r="BD51" s="91"/>
      <c r="BE51" s="70"/>
      <c r="BF51" s="70"/>
    </row>
    <row r="52" ht="22.5" spans="1:58">
      <c r="A52" s="44"/>
      <c r="B52" s="42" t="s">
        <v>131</v>
      </c>
      <c r="C52" s="45" t="s">
        <v>132</v>
      </c>
      <c r="D52" s="33">
        <v>23048579.7015093</v>
      </c>
      <c r="E52" s="33">
        <v>11857466.9359743</v>
      </c>
      <c r="F52" s="33">
        <v>23934531.6640675</v>
      </c>
      <c r="G52" s="33">
        <v>14045534.8444722</v>
      </c>
      <c r="H52" s="33">
        <v>881427.489091594</v>
      </c>
      <c r="I52" s="33">
        <v>30616039.4796629</v>
      </c>
      <c r="J52" s="33">
        <v>17159912.3984095</v>
      </c>
      <c r="K52" s="33">
        <v>7115541.18523375</v>
      </c>
      <c r="L52" s="33">
        <v>23476685.1205348</v>
      </c>
      <c r="M52" s="33">
        <v>11540322.9497796</v>
      </c>
      <c r="N52" s="33">
        <v>37261752.7842075</v>
      </c>
      <c r="O52" s="33">
        <v>7442373.45766556</v>
      </c>
      <c r="P52" s="33">
        <v>13681348.1598697</v>
      </c>
      <c r="Q52" s="33">
        <v>36252424.8424867</v>
      </c>
      <c r="R52" s="33">
        <v>31732255.9204724</v>
      </c>
      <c r="S52" s="33">
        <v>20256127.1648298</v>
      </c>
      <c r="T52" s="33">
        <v>17451919.7586117</v>
      </c>
      <c r="U52" s="33">
        <v>16689439.146307</v>
      </c>
      <c r="V52" s="33">
        <v>12133972.5831076</v>
      </c>
      <c r="W52" s="33">
        <v>15404029.9075229</v>
      </c>
      <c r="X52" s="33">
        <v>3816835.02801987</v>
      </c>
      <c r="Y52" s="33">
        <v>15983410.4130126</v>
      </c>
      <c r="Z52" s="33">
        <v>35286959.999098</v>
      </c>
      <c r="AA52" s="33">
        <v>6722131.42762518</v>
      </c>
      <c r="AB52" s="33">
        <v>97784316.3482651</v>
      </c>
      <c r="AC52" s="33">
        <v>5463403.96630397</v>
      </c>
      <c r="AD52" s="33">
        <v>6900167.08475439</v>
      </c>
      <c r="AE52" s="33">
        <v>27714363.6799584</v>
      </c>
      <c r="AF52" s="33">
        <v>118467134.625324</v>
      </c>
      <c r="AG52" s="33">
        <v>200221941.685502</v>
      </c>
      <c r="AH52" s="33">
        <v>46183808.0137878</v>
      </c>
      <c r="AI52" s="33">
        <v>126694176.647774</v>
      </c>
      <c r="AJ52" s="33">
        <v>36197643.6232485</v>
      </c>
      <c r="AK52" s="33">
        <v>70284261.2451192</v>
      </c>
      <c r="AL52" s="33">
        <v>35220354.3225643</v>
      </c>
      <c r="AM52" s="33">
        <v>20894697.1076679</v>
      </c>
      <c r="AN52" s="33">
        <v>47257245.8232094</v>
      </c>
      <c r="AO52" s="33">
        <v>18811000.5847299</v>
      </c>
      <c r="AP52" s="33">
        <v>77784703.2094327</v>
      </c>
      <c r="AQ52" s="33">
        <v>31476065.1203941</v>
      </c>
      <c r="AR52" s="33">
        <v>19443051.9030816</v>
      </c>
      <c r="AS52" s="33">
        <v>92345943.1037209</v>
      </c>
      <c r="AT52" s="68">
        <v>1505819759.27118</v>
      </c>
      <c r="AU52" s="70"/>
      <c r="AV52" s="70"/>
      <c r="AW52" s="90"/>
      <c r="AX52" s="70"/>
      <c r="AY52" s="90"/>
      <c r="AZ52" s="70"/>
      <c r="BA52" s="70"/>
      <c r="BB52" s="90"/>
      <c r="BC52" s="70"/>
      <c r="BD52" s="92"/>
      <c r="BE52" s="70"/>
      <c r="BF52" s="70"/>
    </row>
    <row r="53" spans="1:58">
      <c r="A53" s="44"/>
      <c r="B53" s="42" t="s">
        <v>133</v>
      </c>
      <c r="C53" s="45" t="s">
        <v>134</v>
      </c>
      <c r="D53" s="33">
        <v>23117526.7569887</v>
      </c>
      <c r="E53" s="33">
        <v>35255170.9583124</v>
      </c>
      <c r="F53" s="33">
        <v>6711085.03132599</v>
      </c>
      <c r="G53" s="33">
        <v>26913764.7283137</v>
      </c>
      <c r="H53" s="33">
        <v>-2541340.49459825</v>
      </c>
      <c r="I53" s="33">
        <v>101181657.170058</v>
      </c>
      <c r="J53" s="33">
        <v>48190809.1034635</v>
      </c>
      <c r="K53" s="33">
        <v>17706881.846518</v>
      </c>
      <c r="L53" s="33">
        <v>55330296.5377042</v>
      </c>
      <c r="M53" s="33">
        <v>27079970.6715743</v>
      </c>
      <c r="N53" s="33">
        <v>75473750.7006667</v>
      </c>
      <c r="O53" s="33">
        <v>36261214.2131177</v>
      </c>
      <c r="P53" s="33">
        <v>27380721.776729</v>
      </c>
      <c r="Q53" s="33">
        <v>95894757.611015</v>
      </c>
      <c r="R53" s="33">
        <v>68635495.4348648</v>
      </c>
      <c r="S53" s="33">
        <v>43798631.4097935</v>
      </c>
      <c r="T53" s="33">
        <v>41037939.5122591</v>
      </c>
      <c r="U53" s="33">
        <v>43686015.7589667</v>
      </c>
      <c r="V53" s="33">
        <v>20237210.5040328</v>
      </c>
      <c r="W53" s="33">
        <v>51825291.1612023</v>
      </c>
      <c r="X53" s="33">
        <v>8695606.88428179</v>
      </c>
      <c r="Y53" s="33">
        <v>53690205.7608763</v>
      </c>
      <c r="Z53" s="33">
        <v>59374527.4317411</v>
      </c>
      <c r="AA53" s="33">
        <v>51110402.0784249</v>
      </c>
      <c r="AB53" s="33">
        <v>38471081.0886827</v>
      </c>
      <c r="AC53" s="33">
        <v>5841588.01525428</v>
      </c>
      <c r="AD53" s="33">
        <v>3105561.83173584</v>
      </c>
      <c r="AE53" s="33">
        <v>124616761.457381</v>
      </c>
      <c r="AF53" s="33">
        <v>219960586.719413</v>
      </c>
      <c r="AG53" s="33">
        <v>17515502.0570903</v>
      </c>
      <c r="AH53" s="33">
        <v>12909619.8106462</v>
      </c>
      <c r="AI53" s="33">
        <v>101253636.088194</v>
      </c>
      <c r="AJ53" s="33">
        <v>501973655.097806</v>
      </c>
      <c r="AK53" s="33">
        <v>383207440.021522</v>
      </c>
      <c r="AL53" s="33">
        <v>2859006.25501044</v>
      </c>
      <c r="AM53" s="33">
        <v>7602478.69404698</v>
      </c>
      <c r="AN53" s="33">
        <v>10750979.3816108</v>
      </c>
      <c r="AO53" s="33">
        <v>5752421.84212641</v>
      </c>
      <c r="AP53" s="33">
        <v>13231125.5114678</v>
      </c>
      <c r="AQ53" s="33">
        <v>4827324.60917299</v>
      </c>
      <c r="AR53" s="33">
        <v>5804782.04253919</v>
      </c>
      <c r="AS53" s="33">
        <v>8918361.97051482</v>
      </c>
      <c r="AT53" s="68">
        <v>2466942623.19533</v>
      </c>
      <c r="AU53" s="70"/>
      <c r="AV53" s="70"/>
      <c r="AW53" s="90"/>
      <c r="AX53" s="70"/>
      <c r="AY53" s="90"/>
      <c r="AZ53" s="70"/>
      <c r="BA53" s="70"/>
      <c r="BB53" s="90"/>
      <c r="BC53" s="70"/>
      <c r="BD53" s="92"/>
      <c r="BE53" s="70"/>
      <c r="BF53" s="70"/>
    </row>
    <row r="54" spans="1:58">
      <c r="A54" s="44"/>
      <c r="B54" s="46" t="s">
        <v>135</v>
      </c>
      <c r="C54" s="47" t="s">
        <v>136</v>
      </c>
      <c r="D54" s="33">
        <v>821747242.438066</v>
      </c>
      <c r="E54" s="48">
        <v>119998497.820532</v>
      </c>
      <c r="F54" s="48">
        <v>67723789.8703483</v>
      </c>
      <c r="G54" s="33">
        <v>104309593.147588</v>
      </c>
      <c r="H54" s="48">
        <v>8538923.07799753</v>
      </c>
      <c r="I54" s="33">
        <v>307013686.122547</v>
      </c>
      <c r="J54" s="33">
        <v>144476356.638051</v>
      </c>
      <c r="K54" s="33">
        <v>55601618.3229046</v>
      </c>
      <c r="L54" s="33">
        <v>161150586.178573</v>
      </c>
      <c r="M54" s="33">
        <v>100590764.464109</v>
      </c>
      <c r="N54" s="33">
        <v>198013718.857132</v>
      </c>
      <c r="O54" s="48">
        <v>85836030.0601345</v>
      </c>
      <c r="P54" s="33">
        <v>86439257.1499332</v>
      </c>
      <c r="Q54" s="33">
        <v>230580001.209798</v>
      </c>
      <c r="R54" s="33">
        <v>156294313.858229</v>
      </c>
      <c r="S54" s="33">
        <v>119577445.422559</v>
      </c>
      <c r="T54" s="48">
        <v>127197762.407179</v>
      </c>
      <c r="U54" s="33">
        <v>124087952.5995</v>
      </c>
      <c r="V54" s="33">
        <v>97951296.2242703</v>
      </c>
      <c r="W54" s="33">
        <v>145476440.968485</v>
      </c>
      <c r="X54" s="33">
        <v>32241583.2712426</v>
      </c>
      <c r="Y54" s="33">
        <v>121326838.229105</v>
      </c>
      <c r="Z54" s="33">
        <v>191312780.20042</v>
      </c>
      <c r="AA54" s="33">
        <v>96806869.5060662</v>
      </c>
      <c r="AB54" s="48">
        <v>218349006.230883</v>
      </c>
      <c r="AC54" s="48">
        <v>19571846.6562055</v>
      </c>
      <c r="AD54" s="48">
        <v>20499065.8921142</v>
      </c>
      <c r="AE54" s="33">
        <v>720092939.74483</v>
      </c>
      <c r="AF54" s="33">
        <v>953603414.889006</v>
      </c>
      <c r="AG54" s="33">
        <v>456774936.925002</v>
      </c>
      <c r="AH54" s="33">
        <v>145520583.587931</v>
      </c>
      <c r="AI54" s="33">
        <v>448014443.893833</v>
      </c>
      <c r="AJ54" s="33">
        <v>836171391.129104</v>
      </c>
      <c r="AK54" s="48">
        <v>769667542.135856</v>
      </c>
      <c r="AL54" s="33">
        <v>318527104.063217</v>
      </c>
      <c r="AM54" s="48">
        <v>95927166.1926672</v>
      </c>
      <c r="AN54" s="33">
        <v>185142556.025821</v>
      </c>
      <c r="AO54" s="33">
        <v>157276674.530945</v>
      </c>
      <c r="AP54" s="48">
        <v>373292162.424488</v>
      </c>
      <c r="AQ54" s="33">
        <v>208205680.264317</v>
      </c>
      <c r="AR54" s="33">
        <v>78010394.729888</v>
      </c>
      <c r="AS54" s="33">
        <v>510881373.61062</v>
      </c>
      <c r="AT54" s="68">
        <v>10164220012.6486</v>
      </c>
      <c r="AU54" s="71"/>
      <c r="AV54" s="70"/>
      <c r="AW54" s="90"/>
      <c r="AX54" s="70"/>
      <c r="AY54" s="90"/>
      <c r="AZ54" s="70"/>
      <c r="BA54" s="70"/>
      <c r="BB54" s="90"/>
      <c r="BC54" s="70"/>
      <c r="BD54" s="92"/>
      <c r="BE54" s="70"/>
      <c r="BF54" s="70"/>
    </row>
    <row r="55" ht="14.25" spans="1:58">
      <c r="A55" s="49" t="s">
        <v>137</v>
      </c>
      <c r="B55" s="50"/>
      <c r="C55" s="51" t="s">
        <v>138</v>
      </c>
      <c r="D55" s="33">
        <v>1331683250.27097</v>
      </c>
      <c r="E55" s="52">
        <v>235072612.002959</v>
      </c>
      <c r="F55" s="53">
        <v>107689567.27617</v>
      </c>
      <c r="G55" s="33">
        <v>193534599.238279</v>
      </c>
      <c r="H55" s="52">
        <v>20236774.4225848</v>
      </c>
      <c r="I55" s="33">
        <v>1251362798.17111</v>
      </c>
      <c r="J55" s="33">
        <v>757386926.814109</v>
      </c>
      <c r="K55" s="33">
        <v>265413179.90955</v>
      </c>
      <c r="L55" s="33">
        <v>693805946.292885</v>
      </c>
      <c r="M55" s="33">
        <v>409333284.474856</v>
      </c>
      <c r="N55" s="33">
        <v>855096592.927028</v>
      </c>
      <c r="O55" s="52">
        <v>300056136.80325</v>
      </c>
      <c r="P55" s="33">
        <v>358191579.359398</v>
      </c>
      <c r="Q55" s="33">
        <v>733031886.550906</v>
      </c>
      <c r="R55" s="33">
        <v>683509940.910679</v>
      </c>
      <c r="S55" s="33">
        <v>524670022.755983</v>
      </c>
      <c r="T55" s="52">
        <v>519481674.116463</v>
      </c>
      <c r="U55" s="33">
        <v>532910986.428774</v>
      </c>
      <c r="V55" s="33">
        <v>387351083.804617</v>
      </c>
      <c r="W55" s="33">
        <v>706457460.663255</v>
      </c>
      <c r="X55" s="33">
        <v>156013924.032628</v>
      </c>
      <c r="Y55" s="33">
        <v>697666254.587157</v>
      </c>
      <c r="Z55" s="33">
        <v>1188521951.48262</v>
      </c>
      <c r="AA55" s="33">
        <v>164181553.680022</v>
      </c>
      <c r="AB55" s="52">
        <v>699502565.702974</v>
      </c>
      <c r="AC55" s="52">
        <v>81271005.3323466</v>
      </c>
      <c r="AD55" s="52">
        <v>40678551.9692319</v>
      </c>
      <c r="AE55" s="33">
        <v>2860304981.41469</v>
      </c>
      <c r="AF55" s="33">
        <v>1498514698.55958</v>
      </c>
      <c r="AG55" s="33">
        <v>1199171268.6345</v>
      </c>
      <c r="AH55" s="33">
        <v>431989760.105425</v>
      </c>
      <c r="AI55" s="33">
        <v>965242789.826041</v>
      </c>
      <c r="AJ55" s="33">
        <v>1229370155.47224</v>
      </c>
      <c r="AK55" s="52">
        <v>1066633480.33379</v>
      </c>
      <c r="AL55" s="33">
        <v>962562600.608697</v>
      </c>
      <c r="AM55" s="52">
        <v>231556568.159228</v>
      </c>
      <c r="AN55" s="33">
        <v>519785869.528417</v>
      </c>
      <c r="AO55" s="33">
        <v>300337588.722428</v>
      </c>
      <c r="AP55" s="52">
        <v>532487559.134796</v>
      </c>
      <c r="AQ55" s="33">
        <v>500072197.739307</v>
      </c>
      <c r="AR55" s="33">
        <v>155843409.765292</v>
      </c>
      <c r="AS55" s="33">
        <v>907706187.356589</v>
      </c>
      <c r="AT55" s="72">
        <v>26990278045.4323</v>
      </c>
      <c r="AU55" s="73"/>
      <c r="AV55" s="73"/>
      <c r="AW55" s="93"/>
      <c r="AX55" s="73"/>
      <c r="AY55" s="93"/>
      <c r="AZ55" s="73"/>
      <c r="BA55" s="73"/>
      <c r="BB55" s="93"/>
      <c r="BC55" s="73"/>
      <c r="BD55" s="94"/>
      <c r="BE55" s="73"/>
      <c r="BF55" s="73"/>
    </row>
  </sheetData>
  <mergeCells count="10">
    <mergeCell ref="AU3:BC3"/>
    <mergeCell ref="D4:AT4"/>
    <mergeCell ref="AU4:BD4"/>
    <mergeCell ref="A55:B55"/>
    <mergeCell ref="A7:A49"/>
    <mergeCell ref="A50:A54"/>
    <mergeCell ref="C4:C5"/>
    <mergeCell ref="BE4:BE5"/>
    <mergeCell ref="BF4:BF5"/>
    <mergeCell ref="A4:B5"/>
  </mergeCells>
  <conditionalFormatting sqref="T8:X9 T11:X11 T18:X18 T23:X23 T31:X33 T40:X40 T42:X42 T45:X45 U49:X55">
    <cfRule type="cellIs" dxfId="0" priority="1" operator="lessThan">
      <formula>0</formula>
    </cfRule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3"/>
  <sheetViews>
    <sheetView topLeftCell="X1" workbookViewId="0">
      <selection activeCell="Y2" sqref="Y2"/>
    </sheetView>
  </sheetViews>
  <sheetFormatPr defaultColWidth="9" defaultRowHeight="13.5" outlineLevelRow="2"/>
  <cols>
    <col min="2" max="2" width="12.625"/>
    <col min="31" max="31" width="12.625"/>
    <col min="34" max="36" width="12.625"/>
    <col min="38" max="42" width="12.625"/>
  </cols>
  <sheetData>
    <row r="1" spans="1:43">
      <c r="A1" s="1" t="s">
        <v>139</v>
      </c>
      <c r="B1" s="3" t="s">
        <v>70</v>
      </c>
      <c r="C1" s="2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2" t="s">
        <v>76</v>
      </c>
      <c r="I1" s="2" t="s">
        <v>77</v>
      </c>
      <c r="J1" s="2" t="s">
        <v>78</v>
      </c>
      <c r="K1" s="2" t="s">
        <v>79</v>
      </c>
      <c r="L1" s="2" t="s">
        <v>80</v>
      </c>
      <c r="M1" s="2" t="s">
        <v>81</v>
      </c>
      <c r="N1" s="2" t="s">
        <v>82</v>
      </c>
      <c r="O1" s="2" t="s">
        <v>83</v>
      </c>
      <c r="P1" s="2" t="s">
        <v>88</v>
      </c>
      <c r="Q1" s="2" t="s">
        <v>84</v>
      </c>
      <c r="R1" s="2" t="s">
        <v>85</v>
      </c>
      <c r="S1" s="3" t="s">
        <v>86</v>
      </c>
      <c r="T1" s="3" t="s">
        <v>92</v>
      </c>
      <c r="U1" s="3" t="s">
        <v>91</v>
      </c>
      <c r="V1" s="3" t="s">
        <v>87</v>
      </c>
      <c r="W1" s="3" t="s">
        <v>89</v>
      </c>
      <c r="X1" s="3" t="s">
        <v>90</v>
      </c>
      <c r="Y1" s="2" t="s">
        <v>93</v>
      </c>
      <c r="Z1" s="2" t="s">
        <v>94</v>
      </c>
      <c r="AA1" s="2" t="s">
        <v>95</v>
      </c>
      <c r="AB1" s="2" t="s">
        <v>96</v>
      </c>
      <c r="AC1" s="2" t="s">
        <v>97</v>
      </c>
      <c r="AD1" s="3" t="s">
        <v>98</v>
      </c>
      <c r="AE1" s="3" t="s">
        <v>99</v>
      </c>
      <c r="AF1" s="3" t="s">
        <v>100</v>
      </c>
      <c r="AG1" s="3" t="s">
        <v>101</v>
      </c>
      <c r="AH1" s="3" t="s">
        <v>104</v>
      </c>
      <c r="AI1" s="3" t="s">
        <v>140</v>
      </c>
      <c r="AJ1" s="3" t="s">
        <v>102</v>
      </c>
      <c r="AK1" s="3" t="s">
        <v>103</v>
      </c>
      <c r="AL1" s="3" t="s">
        <v>105</v>
      </c>
      <c r="AM1" s="3" t="s">
        <v>110</v>
      </c>
      <c r="AN1" s="3" t="s">
        <v>107</v>
      </c>
      <c r="AO1" s="3" t="s">
        <v>108</v>
      </c>
      <c r="AP1" s="3" t="s">
        <v>109</v>
      </c>
      <c r="AQ1" s="3" t="s">
        <v>106</v>
      </c>
    </row>
    <row r="2" spans="1:43">
      <c r="A2" s="4" t="s">
        <v>141</v>
      </c>
      <c r="B2">
        <f>'2020年全国投入产出表'!$AX$7*10000*About!$A$22</f>
        <v>27034080519.3892</v>
      </c>
      <c r="C2">
        <f>'2020年全国投入产出表'!AX$8*10000*About!$A$22</f>
        <v>0</v>
      </c>
      <c r="D2">
        <f>'2020年全国投入产出表'!AX$9*10000*About!$A$22</f>
        <v>0</v>
      </c>
      <c r="E2">
        <f>'2020年全国投入产出表'!$AX$10*10000*About!$A$22</f>
        <v>0</v>
      </c>
      <c r="F2">
        <f>'2020年全国投入产出表'!$AX$11*10000*About!$A$22</f>
        <v>0</v>
      </c>
      <c r="G2">
        <f>'2020年全国投入产出表'!$AX$12*10000*About!$A$22</f>
        <v>0</v>
      </c>
      <c r="H2">
        <f>'2020年全国投入产出表'!$AX$13*10000*About!$A$22</f>
        <v>0</v>
      </c>
      <c r="I2">
        <f>'2020年全国投入产出表'!$AX$14*10000*About!$A$22</f>
        <v>0</v>
      </c>
      <c r="J2">
        <f>'2020年全国投入产出表'!$AX$15*10000*About!$A$22</f>
        <v>0</v>
      </c>
      <c r="K2">
        <f>'2020年全国投入产出表'!$AX$16*10000*About!$A$22</f>
        <v>0</v>
      </c>
      <c r="L2">
        <f>'2020年全国投入产出表'!$AX$17*10000*About!$A$22</f>
        <v>0</v>
      </c>
      <c r="M2">
        <f>'2020年全国投入产出表'!$AX$18*10000*About!$A$22</f>
        <v>0</v>
      </c>
      <c r="N2">
        <f>'2020年全国投入产出表'!$AX$19*10000*About!$A$22</f>
        <v>0</v>
      </c>
      <c r="O2">
        <f>'2020年全国投入产出表'!$AX$20*10000*About!$A$22</f>
        <v>0</v>
      </c>
      <c r="P2">
        <f>'2020年全国投入产出表'!$AX$25*10000*About!$A$22</f>
        <v>0</v>
      </c>
      <c r="Q2">
        <f>'2020年全国投入产出表'!$AX$21*10000*About!$A$22</f>
        <v>0</v>
      </c>
      <c r="R2">
        <f>'2020年全国投入产出表'!$AX$22*10000*About!$A$22</f>
        <v>0</v>
      </c>
      <c r="S2">
        <f>'2020年全国投入产出表'!$AX$23*10000*About!$A$22</f>
        <v>0</v>
      </c>
      <c r="T2">
        <f>'2020年全国投入产出表'!$AX$29*10000*About!$A$22</f>
        <v>0</v>
      </c>
      <c r="U2">
        <f>'2020年全国投入产出表'!$AX$28*10000*About!$A$22</f>
        <v>0</v>
      </c>
      <c r="V2">
        <f>'2020年全国投入产出表'!$AX$24*10000*About!$A$22</f>
        <v>0</v>
      </c>
      <c r="W2">
        <f>'2020年全国投入产出表'!$AX$26*10000*About!$A$22</f>
        <v>0</v>
      </c>
      <c r="X2">
        <f>'2020年全国投入产出表'!$AX$27*10000*About!$A$22</f>
        <v>0</v>
      </c>
      <c r="Y2">
        <f>'2020年全国投入产出表'!$AX$30*10000*About!$A$22</f>
        <v>0</v>
      </c>
      <c r="Z2">
        <f>'2020年全国投入产出表'!$AX$31*10000*About!$A$22</f>
        <v>0</v>
      </c>
      <c r="AA2">
        <f>'2020年全国投入产出表'!$AX$32*10000*About!$A$22</f>
        <v>0</v>
      </c>
      <c r="AB2">
        <f>'2020年全国投入产出表'!$AX$33*10000*About!$A$22</f>
        <v>0</v>
      </c>
      <c r="AC2">
        <f>'2020年全国投入产出表'!$AX$34*10000*About!$A$22</f>
        <v>0</v>
      </c>
      <c r="AD2">
        <f>'2020年全国投入产出表'!$AX$35*10000*About!$A$22</f>
        <v>0</v>
      </c>
      <c r="AE2">
        <f>'2020年全国投入产出表'!$AX$36*10000*About!$A$22</f>
        <v>58897574220.5227</v>
      </c>
      <c r="AF2">
        <f>'2020年全国投入产出表'!$AX$37*10000*About!$A$22</f>
        <v>0</v>
      </c>
      <c r="AG2">
        <f>'2020年全国投入产出表'!$AX$38*10000*About!$A$22</f>
        <v>0</v>
      </c>
      <c r="AH2">
        <f>'2020年全国投入产出表'!$AX$41*10000*About!$A$22</f>
        <v>30497381429.0586</v>
      </c>
      <c r="AI2">
        <f>'2020年全国投入产出表'!$AX$42*10000*About!$A$22</f>
        <v>83866124512.6173</v>
      </c>
      <c r="AJ2">
        <f>'2020年全国投入产出表'!$AX$39*10000*About!$A$22</f>
        <v>62083832332.669</v>
      </c>
      <c r="AK2">
        <f>'2020年全国投入产出表'!$AX$40*10000*About!$A$22</f>
        <v>0</v>
      </c>
      <c r="AL2">
        <f>'2020年全国投入产出表'!$AX$43*10000*About!$A$22</f>
        <v>117544068297.928</v>
      </c>
      <c r="AM2">
        <f>'2020年全国投入产出表'!$AX$48*10000*About!$A$22</f>
        <v>1144963348923.73</v>
      </c>
      <c r="AN2">
        <f>'2020年全国投入产出表'!$AX$45*10000*About!$A$22</f>
        <v>371268079463.078</v>
      </c>
      <c r="AO2">
        <f>'2020年全国投入产出表'!$AX$46*10000*About!$A$22</f>
        <v>435944228823.508</v>
      </c>
      <c r="AP2">
        <f>'2020年全国投入产出表'!$AX$47*10000*About!$A$22</f>
        <v>57866401092.4742</v>
      </c>
      <c r="AQ2">
        <f>'2020年全国投入产出表'!$AX$44*10000*About!$A$22</f>
        <v>0</v>
      </c>
    </row>
    <row r="3" ht="67.5" spans="1:43">
      <c r="A3" s="5"/>
      <c r="B3" s="5" t="s">
        <v>16</v>
      </c>
      <c r="C3" s="5" t="s">
        <v>17</v>
      </c>
      <c r="D3" s="5" t="s">
        <v>18</v>
      </c>
      <c r="E3" s="5" t="s">
        <v>19</v>
      </c>
      <c r="F3" s="5" t="s">
        <v>20</v>
      </c>
      <c r="G3" s="5" t="s">
        <v>21</v>
      </c>
      <c r="H3" s="5" t="s">
        <v>22</v>
      </c>
      <c r="I3" s="5" t="s">
        <v>23</v>
      </c>
      <c r="J3" s="5" t="s">
        <v>24</v>
      </c>
      <c r="K3" s="5" t="s">
        <v>25</v>
      </c>
      <c r="L3" s="5" t="s">
        <v>26</v>
      </c>
      <c r="M3" s="5" t="s">
        <v>27</v>
      </c>
      <c r="N3" s="5" t="s">
        <v>28</v>
      </c>
      <c r="O3" s="5" t="s">
        <v>29</v>
      </c>
      <c r="P3" s="5" t="s">
        <v>34</v>
      </c>
      <c r="Q3" s="5" t="s">
        <v>30</v>
      </c>
      <c r="R3" s="5" t="s">
        <v>31</v>
      </c>
      <c r="S3" s="5" t="s">
        <v>32</v>
      </c>
      <c r="T3" s="5" t="s">
        <v>38</v>
      </c>
      <c r="U3" s="5" t="s">
        <v>37</v>
      </c>
      <c r="V3" s="5" t="s">
        <v>33</v>
      </c>
      <c r="W3" s="5" t="s">
        <v>35</v>
      </c>
      <c r="X3" s="5" t="s">
        <v>36</v>
      </c>
      <c r="Y3" s="5" t="s">
        <v>39</v>
      </c>
      <c r="Z3" s="5" t="s">
        <v>40</v>
      </c>
      <c r="AA3" s="5" t="s">
        <v>41</v>
      </c>
      <c r="AB3" s="5" t="s">
        <v>42</v>
      </c>
      <c r="AC3" s="5" t="s">
        <v>43</v>
      </c>
      <c r="AD3" s="5" t="s">
        <v>44</v>
      </c>
      <c r="AE3" s="5" t="s">
        <v>45</v>
      </c>
      <c r="AF3" s="5" t="s">
        <v>46</v>
      </c>
      <c r="AG3" s="5" t="s">
        <v>47</v>
      </c>
      <c r="AH3" s="5" t="s">
        <v>50</v>
      </c>
      <c r="AI3" s="5" t="s">
        <v>51</v>
      </c>
      <c r="AJ3" s="5" t="s">
        <v>48</v>
      </c>
      <c r="AK3" s="5" t="s">
        <v>49</v>
      </c>
      <c r="AL3" s="5" t="s">
        <v>52</v>
      </c>
      <c r="AM3" s="6" t="s">
        <v>57</v>
      </c>
      <c r="AN3" s="5" t="s">
        <v>54</v>
      </c>
      <c r="AO3" s="5" t="s">
        <v>55</v>
      </c>
      <c r="AP3" s="5" t="s">
        <v>56</v>
      </c>
      <c r="AQ3" s="5" t="s">
        <v>53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3"/>
  <sheetViews>
    <sheetView topLeftCell="Y1" workbookViewId="0">
      <selection activeCell="Z2" sqref="Z2"/>
    </sheetView>
  </sheetViews>
  <sheetFormatPr defaultColWidth="9" defaultRowHeight="13.5" outlineLevelRow="2"/>
  <cols>
    <col min="2" max="2" width="12.625"/>
    <col min="3" max="3" width="11.5"/>
    <col min="7" max="12" width="12.625"/>
    <col min="14" max="16" width="11.5"/>
    <col min="19" max="19" width="11.5"/>
    <col min="20" max="21" width="12.625"/>
    <col min="22" max="22" width="11.5"/>
    <col min="23" max="24" width="12.625"/>
    <col min="25" max="25" width="11.5"/>
    <col min="26" max="28" width="12.625"/>
    <col min="30" max="34" width="12.625"/>
    <col min="36" max="37" width="12.625"/>
    <col min="38" max="38" width="11.5"/>
    <col min="39" max="43" width="12.625"/>
  </cols>
  <sheetData>
    <row r="1" spans="1:43">
      <c r="A1" s="1" t="s">
        <v>139</v>
      </c>
      <c r="B1" s="2" t="s">
        <v>70</v>
      </c>
      <c r="C1" s="2" t="s">
        <v>71</v>
      </c>
      <c r="D1" s="2" t="s">
        <v>72</v>
      </c>
      <c r="E1" s="2" t="s">
        <v>73</v>
      </c>
      <c r="F1" s="3" t="s">
        <v>74</v>
      </c>
      <c r="G1" s="3" t="s">
        <v>75</v>
      </c>
      <c r="H1" s="3" t="s">
        <v>76</v>
      </c>
      <c r="I1" s="3" t="s">
        <v>77</v>
      </c>
      <c r="J1" s="3" t="s">
        <v>78</v>
      </c>
      <c r="K1" s="2" t="s">
        <v>79</v>
      </c>
      <c r="L1" s="2" t="s">
        <v>80</v>
      </c>
      <c r="M1" s="2" t="s">
        <v>81</v>
      </c>
      <c r="N1" s="2" t="s">
        <v>82</v>
      </c>
      <c r="O1" s="2" t="s">
        <v>83</v>
      </c>
      <c r="P1" s="2" t="s">
        <v>88</v>
      </c>
      <c r="Q1" s="2" t="s">
        <v>84</v>
      </c>
      <c r="R1" s="2" t="s">
        <v>85</v>
      </c>
      <c r="S1" s="2" t="s">
        <v>86</v>
      </c>
      <c r="T1" s="2" t="s">
        <v>92</v>
      </c>
      <c r="U1" s="2" t="s">
        <v>91</v>
      </c>
      <c r="V1" s="2" t="s">
        <v>87</v>
      </c>
      <c r="W1" s="2" t="s">
        <v>89</v>
      </c>
      <c r="X1" s="2" t="s">
        <v>90</v>
      </c>
      <c r="Y1" s="2" t="s">
        <v>93</v>
      </c>
      <c r="Z1" s="2" t="s">
        <v>94</v>
      </c>
      <c r="AA1" s="2" t="s">
        <v>95</v>
      </c>
      <c r="AB1" s="2" t="s">
        <v>96</v>
      </c>
      <c r="AC1" s="2" t="s">
        <v>97</v>
      </c>
      <c r="AD1" s="3" t="s">
        <v>98</v>
      </c>
      <c r="AE1" s="3" t="s">
        <v>99</v>
      </c>
      <c r="AF1" s="3" t="s">
        <v>100</v>
      </c>
      <c r="AG1" s="3" t="s">
        <v>101</v>
      </c>
      <c r="AH1" s="3" t="s">
        <v>104</v>
      </c>
      <c r="AI1" s="3" t="s">
        <v>140</v>
      </c>
      <c r="AJ1" s="3" t="s">
        <v>102</v>
      </c>
      <c r="AK1" s="3" t="s">
        <v>103</v>
      </c>
      <c r="AL1" s="3" t="s">
        <v>105</v>
      </c>
      <c r="AM1" s="3" t="s">
        <v>110</v>
      </c>
      <c r="AN1" s="3" t="s">
        <v>107</v>
      </c>
      <c r="AO1" s="3" t="s">
        <v>108</v>
      </c>
      <c r="AP1" s="3" t="s">
        <v>109</v>
      </c>
      <c r="AQ1" s="3" t="s">
        <v>106</v>
      </c>
    </row>
    <row r="2" spans="1:43">
      <c r="A2" s="4" t="s">
        <v>142</v>
      </c>
      <c r="B2">
        <f>'2020年全国投入产出表'!$AW$7*10000*About!$A$22</f>
        <v>455349070232.295</v>
      </c>
      <c r="C2">
        <f>'2020年全国投入产出表'!$AW$8*10000*About!$A$22</f>
        <v>1682476128.20578</v>
      </c>
      <c r="D2">
        <f>'2020年全国投入产出表'!$AW$9*10000*About!$A$22</f>
        <v>0</v>
      </c>
      <c r="E2">
        <f>'2020年全国投入产出表'!$AW$10*10000*About!$A$22</f>
        <v>0</v>
      </c>
      <c r="F2">
        <f>'2020年全国投入产出表'!$AW$11*10000*About!$A$22</f>
        <v>0</v>
      </c>
      <c r="G2">
        <f>'2020年全国投入产出表'!$AW$12*10000*About!$A$22</f>
        <v>837625251322.912</v>
      </c>
      <c r="H2">
        <f>'2020年全国投入产出表'!$AW$13*10000*About!$A$22</f>
        <v>180608050206.124</v>
      </c>
      <c r="I2">
        <f>'2020年全国投入产出表'!$AW$14*10000*About!$A$22</f>
        <v>31183171389.4324</v>
      </c>
      <c r="J2">
        <f>'2020年全国投入产出表'!$AW$15*10000*About!$A$22</f>
        <v>48821562412.2153</v>
      </c>
      <c r="K2">
        <f>'2020年全国投入产出表'!$AW$16*10000*About!$A$22</f>
        <v>46882737382.9854</v>
      </c>
      <c r="L2">
        <f>'2020年全国投入产出表'!$AW$17*10000*About!$A$22</f>
        <v>31032396773.2409</v>
      </c>
      <c r="M2">
        <f>'2020年全国投入产出表'!$AX$18*10000*About!$A$22</f>
        <v>0</v>
      </c>
      <c r="N2">
        <f>'2020年全国投入产出表'!$AW$19*10000*About!$A$22</f>
        <v>8838226604.48085</v>
      </c>
      <c r="O2">
        <f>'2020年全国投入产出表'!$AW$20*10000*About!$A$22</f>
        <v>7552418036.57374</v>
      </c>
      <c r="P2">
        <f>'2020年全国投入产出表'!$AW$25*10000*About!$A$22</f>
        <v>5941428696.16412</v>
      </c>
      <c r="Q2">
        <f>'2020年全国投入产出表'!$AW$21*10000*About!$A$22</f>
        <v>0</v>
      </c>
      <c r="R2">
        <f>'2020年全国投入产出表'!$AW$22*10000*About!$A$22</f>
        <v>0</v>
      </c>
      <c r="S2">
        <f>'2020年全国投入产出表'!$AW$23*10000*About!$A$22</f>
        <v>6718023547.34326</v>
      </c>
      <c r="T2">
        <f>'2020年全国投入产出表'!$AW$29*10000*About!$A$22</f>
        <v>92317550907.5848</v>
      </c>
      <c r="U2">
        <f>'2020年全国投入产出表'!$AW$28*10000*About!$A$22</f>
        <v>55227614064.833</v>
      </c>
      <c r="V2">
        <f>'2020年全国投入产出表'!$AW$24*10000*About!$A$22</f>
        <v>2208972577.00502</v>
      </c>
      <c r="W2">
        <f>'2020年全国投入产出表'!$AW$26*10000*About!$A$22</f>
        <v>204124442290.324</v>
      </c>
      <c r="X2">
        <f>'2020年全国投入产出表'!$AW$27*10000*About!$A$22</f>
        <v>20266324037.2454</v>
      </c>
      <c r="Y2">
        <f>'2020年全国投入产出表'!$AW$30*10000*About!$A$22</f>
        <v>6269404912.12204</v>
      </c>
      <c r="Z2">
        <f>'2020年全国投入产出表'!$AW$31*10000*About!$A$22</f>
        <v>84690147932.5228</v>
      </c>
      <c r="AA2">
        <f>'2020年全国投入产出表'!$AW$32*10000*About!$A$22</f>
        <v>46488152937.486</v>
      </c>
      <c r="AB2">
        <f>'2020年全国投入产出表'!$AW$33*10000*About!$A$22</f>
        <v>28627618225.9298</v>
      </c>
      <c r="AC2">
        <f>'2020年全国投入产出表'!$AW$34*10000*About!$A$22</f>
        <v>0</v>
      </c>
      <c r="AD2">
        <f>'2020年全国投入产出表'!$AW$35*10000*About!$A$22</f>
        <v>300051256774.491</v>
      </c>
      <c r="AE2">
        <f>'2020年全国投入产出表'!$AW$36*10000*About!$A$22</f>
        <v>189938606517.653</v>
      </c>
      <c r="AF2">
        <f>'2020年全国投入产出表'!$AW$37*10000*About!$A$22</f>
        <v>251478537994.999</v>
      </c>
      <c r="AG2">
        <f>'2020年全国投入产出表'!$AW$38*10000*About!$A$22</f>
        <v>171680588853.321</v>
      </c>
      <c r="AH2">
        <f>'2020年全国投入产出表'!$AW$41*10000*About!$A$22</f>
        <v>49307423829.578</v>
      </c>
      <c r="AI2">
        <f>'2020年全国投入产出表'!$AW$42*10000*About!$A$22</f>
        <v>0</v>
      </c>
      <c r="AJ2">
        <f>'2020年全国投入产出表'!$AW$39*10000*About!$A$22</f>
        <v>412936778974.445</v>
      </c>
      <c r="AK2">
        <f>'2020年全国投入产出表'!$AW$40*10000*About!$A$22</f>
        <v>756335796349.101</v>
      </c>
      <c r="AL2">
        <f>'2020年全国投入产出表'!$AW$43*10000*About!$A$22</f>
        <v>6056544423.86273</v>
      </c>
      <c r="AM2">
        <f>'2020年全国投入产出表'!$AW$48*10000*About!$A$22</f>
        <v>15967752549.6426</v>
      </c>
      <c r="AN2">
        <f>'2020年全国投入产出表'!$AW$45*10000*About!$A$22</f>
        <v>323614338488.186</v>
      </c>
      <c r="AO2">
        <f>'2020年全国投入产出表'!$AW$46*10000*About!$A$22</f>
        <v>236283983253.499</v>
      </c>
      <c r="AP2">
        <f>'2020年全国投入产出表'!$AW$47*10000*About!$A$22</f>
        <v>72992571765.935</v>
      </c>
      <c r="AQ2">
        <f>'2020年全国投入产出表'!$AW$44*10000*About!$A$22</f>
        <v>208893824919.309</v>
      </c>
    </row>
    <row r="3" ht="45" spans="1:43">
      <c r="A3" s="5"/>
      <c r="B3" s="5" t="s">
        <v>16</v>
      </c>
      <c r="C3" s="5" t="s">
        <v>17</v>
      </c>
      <c r="D3" s="5" t="s">
        <v>18</v>
      </c>
      <c r="E3" s="5" t="s">
        <v>19</v>
      </c>
      <c r="F3" s="5" t="s">
        <v>20</v>
      </c>
      <c r="G3" s="5" t="s">
        <v>21</v>
      </c>
      <c r="H3" s="5" t="s">
        <v>22</v>
      </c>
      <c r="I3" s="5" t="s">
        <v>23</v>
      </c>
      <c r="J3" s="5" t="s">
        <v>24</v>
      </c>
      <c r="K3" s="5" t="s">
        <v>25</v>
      </c>
      <c r="L3" s="5" t="s">
        <v>26</v>
      </c>
      <c r="M3" s="5" t="s">
        <v>27</v>
      </c>
      <c r="N3" s="5" t="s">
        <v>28</v>
      </c>
      <c r="O3" s="5" t="s">
        <v>29</v>
      </c>
      <c r="P3" s="5" t="s">
        <v>34</v>
      </c>
      <c r="Q3" s="5" t="s">
        <v>30</v>
      </c>
      <c r="R3" s="5" t="s">
        <v>31</v>
      </c>
      <c r="S3" s="5" t="s">
        <v>32</v>
      </c>
      <c r="T3" s="5" t="s">
        <v>38</v>
      </c>
      <c r="U3" s="5" t="s">
        <v>37</v>
      </c>
      <c r="V3" s="5" t="s">
        <v>33</v>
      </c>
      <c r="W3" s="5" t="s">
        <v>35</v>
      </c>
      <c r="X3" s="5" t="s">
        <v>36</v>
      </c>
      <c r="Y3" s="5" t="s">
        <v>39</v>
      </c>
      <c r="Z3" s="5" t="s">
        <v>40</v>
      </c>
      <c r="AA3" s="5" t="s">
        <v>41</v>
      </c>
      <c r="AB3" s="5" t="s">
        <v>42</v>
      </c>
      <c r="AC3" s="5" t="s">
        <v>43</v>
      </c>
      <c r="AD3" s="5" t="s">
        <v>44</v>
      </c>
      <c r="AE3" s="5" t="s">
        <v>45</v>
      </c>
      <c r="AF3" s="5" t="s">
        <v>46</v>
      </c>
      <c r="AG3" s="5" t="s">
        <v>47</v>
      </c>
      <c r="AH3" s="5" t="s">
        <v>50</v>
      </c>
      <c r="AI3" s="5" t="s">
        <v>51</v>
      </c>
      <c r="AJ3" s="5" t="s">
        <v>48</v>
      </c>
      <c r="AK3" s="5" t="s">
        <v>49</v>
      </c>
      <c r="AL3" s="5" t="s">
        <v>52</v>
      </c>
      <c r="AM3" s="6" t="s">
        <v>57</v>
      </c>
      <c r="AN3" s="5" t="s">
        <v>54</v>
      </c>
      <c r="AO3" s="5" t="s">
        <v>55</v>
      </c>
      <c r="AP3" s="5" t="s">
        <v>56</v>
      </c>
      <c r="AQ3" s="5" t="s">
        <v>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About</vt:lpstr>
      <vt:lpstr>2020年全国投入产出表</vt:lpstr>
      <vt:lpstr>GaHEbIC-government</vt:lpstr>
      <vt:lpstr>GaHEbIC-household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zhlx2</dc:creator>
  <cp:lastModifiedBy>zhlx2</cp:lastModifiedBy>
  <dcterms:created xsi:type="dcterms:W3CDTF">2023-02-06T02:53:00Z</dcterms:created>
  <dcterms:modified xsi:type="dcterms:W3CDTF">2023-02-08T08:54:15Z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4C7C109AE22F4DBBA969E87D3F7DAF8B</vt:lpwstr>
  </property>
  <property fmtid="{D5CDD505-2E9C-101B-9397-08002B2CF9AE}" pid="3" name="KSOProductBuildVer">
    <vt:lpwstr>2052-11.1.0.13703</vt:lpwstr>
  </property>
</Properties>
</file>