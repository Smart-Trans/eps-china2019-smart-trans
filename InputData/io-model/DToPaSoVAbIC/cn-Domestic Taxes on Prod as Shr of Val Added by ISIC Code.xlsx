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About" sheetId="1" r:id="rId1"/>
    <sheet name="2020年全国投入产出表" sheetId="2" r:id="rId2"/>
    <sheet name="DToPaSoVAbIC" sheetId="3" r:id="rId3"/>
  </sheets>
  <calcPr calcId="144525" iterate="1" iterateCount="100" iterateDelta="1e-5"/>
</workbook>
</file>

<file path=xl/sharedStrings.xml><?xml version="1.0" encoding="utf-8"?>
<sst xmlns="http://schemas.openxmlformats.org/spreadsheetml/2006/main" count="223" uniqueCount="137">
  <si>
    <t>DToPaSoVAbIC Domestic Taxes on Production as Share of Value Added by ISIC Code</t>
  </si>
  <si>
    <t>Source:</t>
  </si>
  <si>
    <t>2020年全国投入产出表</t>
  </si>
  <si>
    <t>国家统计局</t>
  </si>
  <si>
    <t>https://data.stats.gov.cn/files/html/quickSearch/trcc/trcc01.html</t>
  </si>
  <si>
    <t>Notes</t>
  </si>
  <si>
    <t>“2020年全国投入产出表”是根据我国2020年全年投入产出表中竞争型和非竞争型两张表结合美国EPS模型总结出来42个部门的投入产出表。政府消费支出是根据“2020年全国投入产出表”中各行业政府消费支出数额乘以当年2020年人民币相对2012美元的汇率得出。</t>
  </si>
  <si>
    <t>生产税净额占附加值的比重可以直接在“2020年全国投入产出表”求商得出。</t>
  </si>
  <si>
    <t>(按当年生产者价格计算） （Data are calculated at producers' prices in 2020)</t>
  </si>
  <si>
    <t>单位：万元</t>
  </si>
  <si>
    <t xml:space="preserve">   投入                  产出</t>
  </si>
  <si>
    <t>部门名称</t>
  </si>
  <si>
    <t>最终使用</t>
  </si>
  <si>
    <t>进口</t>
  </si>
  <si>
    <t>总产出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</si>
  <si>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</si>
  <si>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</si>
  <si>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</si>
  <si>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</si>
  <si>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</si>
  <si>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</si>
  <si>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</si>
  <si>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</si>
  <si>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</si>
  <si>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</si>
  <si>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</si>
  <si>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</si>
  <si>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</si>
  <si>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</si>
  <si>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</si>
  <si>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</si>
  <si>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</si>
  <si>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</si>
  <si>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</si>
  <si>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</si>
  <si>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</si>
  <si>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</si>
  <si>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</si>
  <si>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</si>
  <si>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</si>
  <si>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</si>
  <si>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</si>
  <si>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</si>
  <si>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</si>
  <si>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</si>
  <si>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</si>
  <si>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</si>
  <si>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</si>
  <si>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</si>
  <si>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</si>
  <si>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</si>
  <si>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</si>
  <si>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</si>
  <si>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</si>
  <si>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</si>
  <si>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</si>
  <si>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</si>
  <si>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</si>
  <si>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</si>
  <si>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</si>
  <si>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</si>
  <si>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</si>
  <si>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</si>
  <si>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</si>
  <si>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</si>
  <si>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</si>
  <si>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</si>
  <si>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</si>
  <si>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代码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</si>
  <si>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</si>
  <si>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</si>
  <si>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</si>
  <si>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</si>
  <si>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</si>
  <si>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</si>
  <si>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</si>
  <si>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</si>
  <si>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</si>
  <si>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</si>
  <si>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</si>
  <si>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</si>
  <si>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</si>
  <si>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</si>
  <si>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241</t>
  </si>
  <si>
    <t>ISIC 242</t>
  </si>
  <si>
    <t>ISIC 25</t>
  </si>
  <si>
    <t>ISIC 28</t>
  </si>
  <si>
    <t>ISIC 239</t>
  </si>
  <si>
    <t>ISIC 29</t>
  </si>
  <si>
    <t>ISIC 30</t>
  </si>
  <si>
    <t>ISIC 27</t>
  </si>
  <si>
    <t>ISIC 26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</si>
  <si>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</si>
  <si>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</si>
  <si>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</si>
  <si>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</si>
  <si>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</si>
  <si>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</si>
  <si>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</si>
  <si>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</si>
  <si>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</si>
  <si>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64T66</t>
  </si>
  <si>
    <t>ISIC 68</t>
  </si>
  <si>
    <t>ISIC 61</t>
  </si>
  <si>
    <t>ISIC 69T82</t>
  </si>
  <si>
    <t>ISIC 97T98</t>
  </si>
  <si>
    <t>ISIC 85</t>
  </si>
  <si>
    <t>ISIC 86T88</t>
  </si>
  <si>
    <t>ISIC 90T96</t>
  </si>
  <si>
    <t>ISIC 84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</si>
  <si>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</si>
  <si>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</si>
  <si>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</si>
  <si>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</si>
  <si>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</si>
  <si>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</si>
  <si>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</si>
  <si>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</si>
  <si>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</si>
  <si>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</si>
  <si>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</si>
  <si>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</si>
  <si>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</si>
  <si>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</si>
  <si>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</si>
  <si>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</si>
  <si>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</si>
  <si>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</si>
  <si>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</si>
  <si>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</si>
  <si>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</si>
  <si>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</si>
  <si>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</si>
  <si>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</si>
  <si>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Unit: dimensionless (%)</t>
  </si>
  <si>
    <t>ISIC 62T63</t>
  </si>
  <si>
    <t>Domestic Taxes as Share of Value Added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</si>
</sst>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33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9"/>
      <name val="宋体"/>
      <charset val="134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</font>
    <font>
      <b/>
      <sz val="9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 diagonalDown="1">
      <left/>
      <right/>
      <top style="medium">
        <color auto="1"/>
      </top>
      <bottom/>
      <diagonal style="thin">
        <color auto="1"/>
      </diagonal>
    </border>
    <border diagonalDown="1">
      <left/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2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24" applyNumberFormat="0" applyFon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5" fillId="11" borderId="27" applyNumberFormat="0" applyAlignment="0" applyProtection="0">
      <alignment vertical="center"/>
    </xf>
    <xf numFmtId="0" fontId="26" fillId="11" borderId="23" applyNumberFormat="0" applyAlignment="0" applyProtection="0">
      <alignment vertical="center"/>
    </xf>
    <xf numFmtId="0" fontId="27" fillId="12" borderId="28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2" fillId="0" borderId="0"/>
    <xf numFmtId="0" fontId="16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2" fillId="0" borderId="0"/>
  </cellStyleXfs>
  <cellXfs count="89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right"/>
    </xf>
    <xf numFmtId="0" fontId="0" fillId="0" borderId="0" xfId="0" applyFont="1" applyFill="1" applyAlignment="1">
      <alignment horizontal="right" wrapText="1"/>
    </xf>
    <xf numFmtId="0" fontId="2" fillId="0" borderId="2" xfId="51" applyFont="1" applyFill="1" applyBorder="1" applyAlignment="1">
      <alignment horizontal="justify" vertical="center" wrapText="1"/>
    </xf>
    <xf numFmtId="0" fontId="2" fillId="0" borderId="3" xfId="51" applyFont="1" applyFill="1" applyBorder="1" applyAlignment="1">
      <alignment horizontal="justify" vertical="center" wrapText="1"/>
    </xf>
    <xf numFmtId="0" fontId="3" fillId="0" borderId="0" xfId="50" applyFont="1" applyFill="1" applyAlignment="1">
      <alignment horizontal="left" vertical="center"/>
    </xf>
    <xf numFmtId="0" fontId="0" fillId="0" borderId="0" xfId="51"/>
    <xf numFmtId="0" fontId="0" fillId="0" borderId="0" xfId="51" applyBorder="1"/>
    <xf numFmtId="0" fontId="0" fillId="0" borderId="0" xfId="50" applyFont="1" applyFill="1" applyAlignment="1">
      <alignment horizontal="left" vertical="center"/>
    </xf>
    <xf numFmtId="0" fontId="0" fillId="0" borderId="0" xfId="51" applyFill="1"/>
    <xf numFmtId="1" fontId="4" fillId="0" borderId="0" xfId="51" applyNumberFormat="1" applyFont="1" applyFill="1" applyBorder="1"/>
    <xf numFmtId="0" fontId="0" fillId="0" borderId="4" xfId="0" applyFont="1" applyFill="1" applyBorder="1" applyAlignment="1"/>
    <xf numFmtId="0" fontId="4" fillId="0" borderId="4" xfId="51" applyFont="1" applyBorder="1"/>
    <xf numFmtId="0" fontId="0" fillId="0" borderId="4" xfId="51" applyBorder="1"/>
    <xf numFmtId="0" fontId="5" fillId="0" borderId="0" xfId="51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textRotation="255"/>
    </xf>
    <xf numFmtId="0" fontId="4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textRotation="255"/>
    </xf>
    <xf numFmtId="0" fontId="4" fillId="0" borderId="1" xfId="52" applyFont="1" applyBorder="1" applyAlignment="1">
      <alignment vertical="center"/>
    </xf>
    <xf numFmtId="0" fontId="2" fillId="0" borderId="11" xfId="51" applyFont="1" applyFill="1" applyBorder="1" applyAlignment="1">
      <alignment horizontal="center" vertical="center" wrapText="1"/>
    </xf>
    <xf numFmtId="0" fontId="0" fillId="0" borderId="0" xfId="51" applyFont="1"/>
    <xf numFmtId="0" fontId="4" fillId="0" borderId="3" xfId="51" applyFont="1" applyBorder="1" applyAlignment="1">
      <alignment vertical="center"/>
    </xf>
    <xf numFmtId="0" fontId="4" fillId="0" borderId="12" xfId="51" applyFont="1" applyBorder="1" applyAlignment="1">
      <alignment horizontal="center" vertical="center"/>
    </xf>
    <xf numFmtId="49" fontId="4" fillId="0" borderId="1" xfId="51" applyNumberFormat="1" applyFont="1" applyBorder="1" applyAlignment="1">
      <alignment horizontal="center" vertical="center"/>
    </xf>
    <xf numFmtId="49" fontId="4" fillId="0" borderId="1" xfId="51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2" fillId="0" borderId="14" xfId="51" applyFont="1" applyFill="1" applyBorder="1" applyAlignment="1">
      <alignment horizontal="justify" vertical="center" wrapText="1"/>
    </xf>
    <xf numFmtId="49" fontId="7" fillId="0" borderId="15" xfId="0" applyNumberFormat="1" applyFont="1" applyFill="1" applyBorder="1" applyAlignment="1">
      <alignment horizontal="center" vertical="center" wrapText="1"/>
    </xf>
    <xf numFmtId="1" fontId="7" fillId="0" borderId="16" xfId="51" applyNumberFormat="1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 wrapText="1"/>
    </xf>
    <xf numFmtId="0" fontId="8" fillId="0" borderId="14" xfId="51" applyFont="1" applyFill="1" applyBorder="1" applyAlignment="1">
      <alignment horizontal="justify" vertical="center" wrapText="1"/>
    </xf>
    <xf numFmtId="49" fontId="9" fillId="0" borderId="17" xfId="0" applyNumberFormat="1" applyFont="1" applyFill="1" applyBorder="1" applyAlignment="1">
      <alignment horizontal="center" vertical="center" wrapText="1"/>
    </xf>
    <xf numFmtId="1" fontId="9" fillId="0" borderId="16" xfId="51" applyNumberFormat="1" applyFont="1" applyFill="1" applyBorder="1" applyAlignment="1">
      <alignment horizontal="right" vertical="center" wrapText="1"/>
    </xf>
    <xf numFmtId="0" fontId="2" fillId="0" borderId="13" xfId="51" applyFont="1" applyFill="1" applyBorder="1" applyAlignment="1">
      <alignment horizontal="center" vertical="center" wrapText="1"/>
    </xf>
    <xf numFmtId="0" fontId="7" fillId="0" borderId="13" xfId="46" applyFont="1" applyFill="1" applyBorder="1" applyAlignment="1">
      <alignment horizontal="center" vertical="center" wrapText="1"/>
    </xf>
    <xf numFmtId="0" fontId="0" fillId="0" borderId="0" xfId="51" applyFill="1" applyBorder="1"/>
    <xf numFmtId="1" fontId="4" fillId="0" borderId="0" xfId="51" applyNumberFormat="1" applyFont="1" applyBorder="1"/>
    <xf numFmtId="0" fontId="2" fillId="0" borderId="0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2" fillId="0" borderId="19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1" fontId="10" fillId="0" borderId="20" xfId="51" applyNumberFormat="1" applyFont="1" applyBorder="1" applyAlignment="1">
      <alignment horizontal="right" vertical="center"/>
    </xf>
    <xf numFmtId="0" fontId="0" fillId="0" borderId="21" xfId="51" applyBorder="1" applyAlignment="1">
      <alignment horizontal="right" vertical="center"/>
    </xf>
    <xf numFmtId="0" fontId="0" fillId="0" borderId="0" xfId="51" applyBorder="1" applyAlignment="1">
      <alignment horizontal="right" vertical="center"/>
    </xf>
    <xf numFmtId="1" fontId="0" fillId="0" borderId="0" xfId="51" applyNumberFormat="1" applyBorder="1" applyAlignment="1">
      <alignment horizontal="right" vertical="center"/>
    </xf>
    <xf numFmtId="0" fontId="3" fillId="0" borderId="0" xfId="51" applyFont="1" applyBorder="1"/>
    <xf numFmtId="0" fontId="11" fillId="0" borderId="0" xfId="0" applyFont="1" applyFill="1" applyAlignment="1"/>
    <xf numFmtId="1" fontId="10" fillId="0" borderId="0" xfId="51" applyNumberFormat="1" applyFont="1" applyBorder="1"/>
    <xf numFmtId="1" fontId="0" fillId="0" borderId="0" xfId="51" applyNumberFormat="1" applyBorder="1"/>
    <xf numFmtId="0" fontId="11" fillId="0" borderId="4" xfId="0" applyFont="1" applyFill="1" applyBorder="1" applyAlignment="1"/>
    <xf numFmtId="0" fontId="2" fillId="0" borderId="18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3" fillId="0" borderId="21" xfId="51" applyFont="1" applyBorder="1" applyAlignment="1">
      <alignment horizontal="right" vertical="center"/>
    </xf>
    <xf numFmtId="0" fontId="3" fillId="0" borderId="21" xfId="0" applyFont="1" applyFill="1" applyBorder="1" applyAlignment="1">
      <alignment horizontal="right" vertical="center"/>
    </xf>
    <xf numFmtId="0" fontId="3" fillId="0" borderId="0" xfId="51" applyFont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0" fontId="2" fillId="0" borderId="7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12" fillId="0" borderId="0" xfId="10" applyFont="1" applyFill="1" applyAlignment="1"/>
    <xf numFmtId="0" fontId="12" fillId="0" borderId="0" xfId="10" applyFont="1" applyFill="1" applyAlignment="1"/>
    <xf numFmtId="0" fontId="0" fillId="0" borderId="0" xfId="0" applyFont="1" applyFill="1" applyAlignment="1">
      <alignment horizontal="left" indent="1"/>
    </xf>
    <xf numFmtId="0" fontId="1" fillId="0" borderId="0" xfId="0" applyFont="1" applyFill="1" applyAlignment="1"/>
    <xf numFmtId="176" fontId="0" fillId="0" borderId="0" xfId="0" applyNumberFormat="1" applyFont="1" applyFill="1" applyAlignment="1"/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5" xfId="51"/>
    <cellStyle name="常规 4" xfId="52"/>
  </cellStyles>
  <dxfs count="1"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selection activeCell="A10" sqref="A10"/>
    </sheetView>
  </sheetViews>
  <sheetFormatPr defaultColWidth="9" defaultRowHeight="13.5" outlineLevelCol="6"/>
  <cols>
    <col min="1" max="1" width="9" style="78"/>
    <col min="2" max="2" width="77.5666666666667" style="78" customWidth="1"/>
    <col min="3" max="16384" width="9" style="78"/>
  </cols>
  <sheetData>
    <row r="1" s="78" customFormat="1" spans="1:1">
      <c r="A1" s="79" t="s">
        <v>0</v>
      </c>
    </row>
    <row r="3" s="78" customFormat="1" spans="1:7">
      <c r="A3" s="80" t="s">
        <v>1</v>
      </c>
      <c r="B3" s="81" t="s">
        <v>2</v>
      </c>
      <c r="C3" s="80"/>
      <c r="D3" s="81"/>
      <c r="E3" s="80"/>
      <c r="F3" s="81"/>
      <c r="G3" s="80"/>
    </row>
    <row r="4" s="78" customFormat="1" spans="1:7">
      <c r="A4" s="82"/>
      <c r="B4" s="82" t="s">
        <v>3</v>
      </c>
      <c r="C4" s="82"/>
      <c r="D4" s="82"/>
      <c r="E4" s="82"/>
      <c r="F4" s="82"/>
      <c r="G4" s="82"/>
    </row>
    <row r="5" s="78" customFormat="1" spans="1:7">
      <c r="A5" s="82"/>
      <c r="B5" s="83">
        <v>2020</v>
      </c>
      <c r="C5" s="82"/>
      <c r="D5" s="83"/>
      <c r="E5" s="82"/>
      <c r="F5" s="83"/>
      <c r="G5" s="82"/>
    </row>
    <row r="6" s="78" customFormat="1" spans="1:7">
      <c r="A6" s="82"/>
      <c r="B6" s="82" t="s">
        <v>4</v>
      </c>
      <c r="C6" s="82"/>
      <c r="D6" s="82"/>
      <c r="E6" s="82"/>
      <c r="F6" s="82"/>
      <c r="G6" s="82"/>
    </row>
    <row r="7" s="78" customFormat="1" spans="1:7">
      <c r="A7" s="82"/>
      <c r="B7" s="84"/>
      <c r="C7" s="82"/>
      <c r="D7" s="84"/>
      <c r="E7" s="82"/>
      <c r="F7" s="84"/>
      <c r="G7" s="82"/>
    </row>
    <row r="8" s="78" customFormat="1" spans="1:7">
      <c r="A8" s="79" t="s">
        <v>5</v>
      </c>
      <c r="B8" s="82"/>
      <c r="C8" s="82"/>
      <c r="D8" s="82"/>
      <c r="E8" s="82"/>
      <c r="F8" s="82"/>
      <c r="G8" s="82"/>
    </row>
    <row r="9" spans="1:7">
      <c r="A9" s="78" t="s">
        <v>6</v>
      </c>
      <c r="B9" s="82"/>
      <c r="C9" s="82"/>
      <c r="D9" s="82"/>
      <c r="E9" s="82"/>
      <c r="F9" s="82"/>
      <c r="G9" s="82"/>
    </row>
    <row r="10" s="78" customFormat="1" spans="1:5">
      <c r="A10" s="82" t="s">
        <v>7</v>
      </c>
      <c r="B10" s="81"/>
      <c r="C10" s="82"/>
      <c r="D10" s="82"/>
      <c r="E10" s="82"/>
    </row>
    <row r="11" s="78" customFormat="1" spans="1:5">
      <c r="A11" s="82"/>
      <c r="B11" s="82"/>
      <c r="C11" s="82"/>
      <c r="D11" s="82"/>
      <c r="E11" s="82"/>
    </row>
    <row r="12" s="78" customFormat="1" spans="1:5">
      <c r="A12" s="82"/>
      <c r="B12" s="83"/>
      <c r="C12" s="82"/>
      <c r="D12" s="82"/>
      <c r="E12" s="82"/>
    </row>
    <row r="13" s="78" customFormat="1" spans="1:5">
      <c r="A13" s="82"/>
      <c r="B13" s="82"/>
      <c r="C13" s="82"/>
      <c r="D13" s="82"/>
      <c r="E13" s="82"/>
    </row>
    <row r="14" s="78" customFormat="1" spans="1:5">
      <c r="A14" s="82"/>
      <c r="B14" s="85"/>
      <c r="C14" s="82"/>
      <c r="D14" s="82"/>
      <c r="E14" s="82"/>
    </row>
    <row r="15" s="78" customFormat="1" spans="1:5">
      <c r="A15" s="82"/>
      <c r="B15" s="82"/>
      <c r="C15" s="82"/>
      <c r="D15" s="82"/>
      <c r="E15" s="82"/>
    </row>
    <row r="16" spans="1:5">
      <c r="A16" s="82"/>
      <c r="B16" s="82"/>
      <c r="C16" s="82"/>
      <c r="D16" s="82"/>
      <c r="E16" s="82"/>
    </row>
    <row r="17" s="78" customFormat="1" spans="1:5">
      <c r="A17" s="82"/>
      <c r="B17" s="82"/>
      <c r="C17" s="82"/>
      <c r="D17" s="82"/>
      <c r="E17" s="82"/>
    </row>
    <row r="18" s="78" customFormat="1" spans="1:5">
      <c r="A18" s="82"/>
      <c r="B18" s="83"/>
      <c r="C18" s="82"/>
      <c r="D18" s="82"/>
      <c r="E18" s="82"/>
    </row>
    <row r="19" s="78" customFormat="1" spans="1:5">
      <c r="A19" s="82"/>
      <c r="B19" s="82"/>
      <c r="C19" s="82"/>
      <c r="D19" s="82"/>
      <c r="E19" s="82"/>
    </row>
    <row r="20" s="78" customFormat="1" spans="1:5">
      <c r="A20" s="82"/>
      <c r="B20" s="85"/>
      <c r="C20" s="82"/>
      <c r="D20" s="82"/>
      <c r="E20" s="82"/>
    </row>
    <row r="21" s="78" customFormat="1" spans="1:5">
      <c r="A21" s="82"/>
      <c r="B21" s="86"/>
      <c r="C21" s="82"/>
      <c r="D21" s="82"/>
      <c r="E21" s="82"/>
    </row>
    <row r="22" s="78" customFormat="1" spans="1:5">
      <c r="A22" s="82"/>
      <c r="B22" s="86"/>
      <c r="C22" s="82"/>
      <c r="D22" s="82"/>
      <c r="E22" s="82"/>
    </row>
    <row r="23" s="78" customFormat="1" spans="1:5">
      <c r="A23" s="82"/>
      <c r="B23" s="86"/>
      <c r="C23" s="82"/>
      <c r="D23" s="82"/>
      <c r="E23" s="82"/>
    </row>
    <row r="24" spans="1:5">
      <c r="A24" s="82"/>
      <c r="B24" s="82"/>
      <c r="C24" s="82"/>
      <c r="D24" s="82"/>
      <c r="E24" s="82"/>
    </row>
    <row r="25" s="78" customFormat="1" spans="1:5">
      <c r="A25" s="80"/>
      <c r="B25" s="82"/>
      <c r="C25" s="82"/>
      <c r="D25" s="82"/>
      <c r="E25" s="82"/>
    </row>
    <row r="26" s="78" customFormat="1" spans="1:5">
      <c r="A26" s="82"/>
      <c r="B26" s="82"/>
      <c r="C26" s="82"/>
      <c r="D26" s="82"/>
      <c r="E26" s="82"/>
    </row>
    <row r="27" s="78" customFormat="1" spans="1:5">
      <c r="A27" s="82"/>
      <c r="B27" s="82"/>
      <c r="C27" s="82"/>
      <c r="D27" s="82"/>
      <c r="E27" s="82"/>
    </row>
    <row r="28" s="78" customFormat="1" spans="1:5">
      <c r="A28" s="80"/>
      <c r="B28" s="82"/>
      <c r="C28" s="82"/>
      <c r="D28" s="82"/>
      <c r="E28" s="82"/>
    </row>
    <row r="29" s="78" customFormat="1" spans="1:5">
      <c r="A29" s="80"/>
      <c r="B29" s="82"/>
      <c r="C29" s="82"/>
      <c r="D29" s="82"/>
      <c r="E29" s="82"/>
    </row>
    <row r="30" spans="1:5">
      <c r="A30" s="82"/>
      <c r="B30" s="82"/>
      <c r="C30" s="82"/>
      <c r="D30" s="82"/>
      <c r="E30" s="82"/>
    </row>
    <row r="31" s="78" customFormat="1" spans="1:5">
      <c r="A31" s="82"/>
      <c r="B31" s="82"/>
      <c r="C31" s="82"/>
      <c r="D31" s="82"/>
      <c r="E31" s="82"/>
    </row>
    <row r="32" s="78" customFormat="1" spans="1:5">
      <c r="A32" s="82"/>
      <c r="B32" s="82"/>
      <c r="C32" s="82"/>
      <c r="D32" s="82"/>
      <c r="E32" s="82"/>
    </row>
    <row r="33" s="78" customFormat="1" spans="1:5">
      <c r="A33" s="82"/>
      <c r="B33" s="82"/>
      <c r="C33" s="82"/>
      <c r="D33" s="82"/>
      <c r="E33" s="82"/>
    </row>
    <row r="34" s="78" customFormat="1" spans="1:5">
      <c r="A34" s="82"/>
      <c r="B34" s="82"/>
      <c r="C34" s="82"/>
      <c r="D34" s="82"/>
      <c r="E34" s="82"/>
    </row>
    <row r="35" spans="1:5">
      <c r="A35" s="82"/>
      <c r="B35" s="82"/>
      <c r="C35" s="82"/>
      <c r="D35" s="82"/>
      <c r="E35" s="82"/>
    </row>
    <row r="36" s="78" customFormat="1" spans="1:5">
      <c r="A36" s="80"/>
      <c r="B36" s="82"/>
      <c r="C36" s="82"/>
      <c r="D36" s="82"/>
      <c r="E36" s="82"/>
    </row>
    <row r="37" s="78" customFormat="1" spans="1:5">
      <c r="A37" s="82"/>
      <c r="B37" s="82"/>
      <c r="C37" s="82"/>
      <c r="D37" s="82"/>
      <c r="E37" s="82"/>
    </row>
    <row r="38" s="78" customFormat="1" spans="1:5">
      <c r="A38" s="82"/>
      <c r="B38" s="83"/>
      <c r="C38" s="82"/>
      <c r="D38" s="82"/>
      <c r="E38" s="82"/>
    </row>
    <row r="39" s="78" customFormat="1" spans="1:5">
      <c r="A39" s="82"/>
      <c r="B39" s="82"/>
      <c r="C39" s="82"/>
      <c r="D39" s="82"/>
      <c r="E39" s="82"/>
    </row>
    <row r="40" s="78" customFormat="1" spans="1:5">
      <c r="A40" s="82"/>
      <c r="B40" s="85"/>
      <c r="C40" s="82"/>
      <c r="D40" s="82"/>
      <c r="E40" s="82"/>
    </row>
    <row r="41" s="78" customFormat="1" spans="1:5">
      <c r="A41" s="82"/>
      <c r="B41" s="82"/>
      <c r="C41" s="82"/>
      <c r="D41" s="82"/>
      <c r="E41" s="82"/>
    </row>
    <row r="42" spans="1:5">
      <c r="A42" s="82"/>
      <c r="B42" s="82"/>
      <c r="C42" s="82"/>
      <c r="D42" s="82"/>
      <c r="E42" s="82"/>
    </row>
    <row r="43" s="78" customFormat="1" spans="1:5">
      <c r="A43" s="82"/>
      <c r="B43" s="82"/>
      <c r="C43" s="82"/>
      <c r="D43" s="82"/>
      <c r="E43" s="82"/>
    </row>
    <row r="44" s="78" customFormat="1" spans="1:5">
      <c r="A44" s="87"/>
      <c r="B44" s="82"/>
      <c r="C44" s="82"/>
      <c r="D44" s="82"/>
      <c r="E44" s="82"/>
    </row>
    <row r="45" s="78" customFormat="1" spans="1:5">
      <c r="A45" s="87"/>
      <c r="B45" s="82"/>
      <c r="C45" s="82"/>
      <c r="D45" s="82"/>
      <c r="E45" s="82"/>
    </row>
    <row r="46" s="78" customFormat="1" spans="1:5">
      <c r="A46" s="87"/>
      <c r="B46" s="82"/>
      <c r="C46" s="82"/>
      <c r="D46" s="82"/>
      <c r="E46" s="82"/>
    </row>
    <row r="47" spans="1:5">
      <c r="A47" s="82"/>
      <c r="B47" s="82"/>
      <c r="C47" s="82"/>
      <c r="D47" s="82"/>
      <c r="E47" s="82"/>
    </row>
    <row r="48" s="78" customFormat="1" spans="1:5">
      <c r="A48" s="82"/>
      <c r="B48" s="82"/>
      <c r="C48" s="82"/>
      <c r="D48" s="82"/>
      <c r="E48" s="82"/>
    </row>
    <row r="49" s="78" customFormat="1" spans="1:5">
      <c r="A49" s="82"/>
      <c r="B49" s="82"/>
      <c r="C49" s="82"/>
      <c r="D49" s="82"/>
      <c r="E49" s="82"/>
    </row>
    <row r="50" s="78" customFormat="1" spans="1:5">
      <c r="A50" s="82"/>
      <c r="B50" s="82"/>
      <c r="C50" s="82"/>
      <c r="D50" s="82"/>
      <c r="E50" s="82"/>
    </row>
    <row r="51" s="78" customFormat="1" spans="1:5">
      <c r="A51" s="82"/>
      <c r="B51" s="82"/>
      <c r="C51" s="82"/>
      <c r="D51" s="82"/>
      <c r="E51" s="82"/>
    </row>
    <row r="52" spans="1:5">
      <c r="A52" s="82"/>
      <c r="B52" s="82"/>
      <c r="C52" s="82"/>
      <c r="D52" s="82"/>
      <c r="E52" s="82"/>
    </row>
    <row r="53" s="78" customFormat="1" spans="1:5">
      <c r="A53" s="82"/>
      <c r="B53" s="82"/>
      <c r="C53" s="82"/>
      <c r="D53" s="82"/>
      <c r="E53" s="82"/>
    </row>
    <row r="54" s="78" customFormat="1" spans="1:5">
      <c r="A54" s="82"/>
      <c r="B54" s="82"/>
      <c r="C54" s="82"/>
      <c r="D54" s="82"/>
      <c r="E54" s="82"/>
    </row>
    <row r="55" s="78" customFormat="1" spans="1:5">
      <c r="A55" s="82"/>
      <c r="B55" s="82"/>
      <c r="C55" s="82"/>
      <c r="D55" s="82"/>
      <c r="E55" s="82"/>
    </row>
    <row r="56" s="78" customFormat="1" spans="1:5">
      <c r="A56" s="82"/>
      <c r="B56" s="82"/>
      <c r="C56" s="82"/>
      <c r="D56" s="82"/>
      <c r="E56" s="82"/>
    </row>
    <row r="57" s="78" customFormat="1" spans="1:5">
      <c r="A57" s="85"/>
      <c r="B57" s="82"/>
      <c r="C57" s="82"/>
      <c r="D57" s="82"/>
      <c r="E57" s="82"/>
    </row>
    <row r="58" spans="1:5">
      <c r="A58" s="82"/>
      <c r="B58" s="82"/>
      <c r="C58" s="82"/>
      <c r="D58" s="82"/>
      <c r="E58" s="82"/>
    </row>
    <row r="59" s="78" customFormat="1" spans="1:5">
      <c r="A59" s="80"/>
      <c r="B59" s="82"/>
      <c r="C59" s="82"/>
      <c r="D59" s="82"/>
      <c r="E59" s="82"/>
    </row>
    <row r="60" s="78" customFormat="1" spans="1:5">
      <c r="A60" s="82"/>
      <c r="B60" s="82"/>
      <c r="C60" s="82"/>
      <c r="D60" s="82"/>
      <c r="E60" s="82"/>
    </row>
    <row r="61" s="78" customFormat="1" spans="1:5">
      <c r="A61" s="88"/>
      <c r="B61" s="82"/>
      <c r="C61" s="82"/>
      <c r="D61" s="82"/>
      <c r="E61" s="82"/>
    </row>
    <row r="62" spans="1:5">
      <c r="A62" s="82"/>
      <c r="B62" s="82"/>
      <c r="C62" s="82"/>
      <c r="D62" s="82"/>
      <c r="E62" s="8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1"/>
  <sheetViews>
    <sheetView workbookViewId="0">
      <pane xSplit="3" ySplit="6" topLeftCell="AB7" activePane="bottomRight" state="frozen"/>
      <selection/>
      <selection pane="topRight"/>
      <selection pane="bottomLeft"/>
      <selection pane="bottomRight" activeCell="C8" sqref="C8"/>
    </sheetView>
  </sheetViews>
  <sheetFormatPr defaultColWidth="9" defaultRowHeight="13.5"/>
  <sheetData>
    <row r="1" spans="1:58">
      <c r="A1" s="6" t="s">
        <v>2</v>
      </c>
      <c r="B1" s="7"/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55"/>
      <c r="AX1" s="8"/>
      <c r="AY1" s="55"/>
      <c r="AZ1" s="8"/>
      <c r="BA1" s="8"/>
      <c r="BB1" s="55"/>
      <c r="BC1" s="8"/>
      <c r="BD1" s="56"/>
      <c r="BE1" s="8"/>
      <c r="BF1" s="8"/>
    </row>
    <row r="2" spans="1:58">
      <c r="A2" s="9" t="s">
        <v>8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41"/>
      <c r="AT2" s="41"/>
      <c r="AU2" s="42"/>
      <c r="AV2" s="42"/>
      <c r="AW2" s="57"/>
      <c r="AX2" s="42"/>
      <c r="AY2" s="57"/>
      <c r="AZ2" s="42"/>
      <c r="BA2" s="42"/>
      <c r="BB2" s="57"/>
      <c r="BC2" s="58"/>
      <c r="BD2" s="56"/>
      <c r="BE2" s="58"/>
      <c r="BF2" s="8"/>
    </row>
    <row r="3" ht="14.25" spans="1:58">
      <c r="A3" s="12" t="s">
        <v>9</v>
      </c>
      <c r="B3" s="13"/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8"/>
      <c r="AT3" s="8"/>
      <c r="AU3" s="43"/>
      <c r="AV3" s="43"/>
      <c r="AW3" s="43"/>
      <c r="AX3" s="43"/>
      <c r="AY3" s="43"/>
      <c r="AZ3" s="43"/>
      <c r="BA3" s="43"/>
      <c r="BB3" s="43"/>
      <c r="BC3" s="43"/>
      <c r="BD3" s="59"/>
      <c r="BE3" s="8"/>
      <c r="BF3" s="8"/>
    </row>
    <row r="4" spans="1:58">
      <c r="A4" s="16" t="s">
        <v>10</v>
      </c>
      <c r="B4" s="17"/>
      <c r="C4" s="18" t="s">
        <v>11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44"/>
      <c r="AS4" s="44"/>
      <c r="AT4" s="45"/>
      <c r="AU4" s="46" t="s">
        <v>12</v>
      </c>
      <c r="AV4" s="47"/>
      <c r="AW4" s="47"/>
      <c r="AX4" s="47"/>
      <c r="AY4" s="47"/>
      <c r="AZ4" s="47"/>
      <c r="BA4" s="47"/>
      <c r="BB4" s="47"/>
      <c r="BC4" s="47"/>
      <c r="BD4" s="60"/>
      <c r="BE4" s="72" t="s">
        <v>13</v>
      </c>
      <c r="BF4" s="73" t="s">
        <v>14</v>
      </c>
    </row>
    <row r="5" ht="67.5" spans="1:58">
      <c r="A5" s="20"/>
      <c r="B5" s="21"/>
      <c r="C5" s="22"/>
      <c r="D5" s="23" t="s">
        <v>15</v>
      </c>
      <c r="E5" s="24" t="s">
        <v>16</v>
      </c>
      <c r="F5" s="24" t="s">
        <v>17</v>
      </c>
      <c r="G5" s="24" t="s">
        <v>18</v>
      </c>
      <c r="H5" s="24" t="s">
        <v>19</v>
      </c>
      <c r="I5" s="24" t="s">
        <v>20</v>
      </c>
      <c r="J5" s="24" t="s">
        <v>21</v>
      </c>
      <c r="K5" s="24" t="s">
        <v>22</v>
      </c>
      <c r="L5" s="24" t="s">
        <v>23</v>
      </c>
      <c r="M5" s="24" t="s">
        <v>24</v>
      </c>
      <c r="N5" s="24" t="s">
        <v>25</v>
      </c>
      <c r="O5" s="24" t="s">
        <v>26</v>
      </c>
      <c r="P5" s="24" t="s">
        <v>27</v>
      </c>
      <c r="Q5" s="39" t="s">
        <v>28</v>
      </c>
      <c r="R5" s="39" t="s">
        <v>29</v>
      </c>
      <c r="S5" s="39" t="s">
        <v>30</v>
      </c>
      <c r="T5" s="39" t="s">
        <v>31</v>
      </c>
      <c r="U5" s="40" t="s">
        <v>32</v>
      </c>
      <c r="V5" s="39" t="s">
        <v>33</v>
      </c>
      <c r="W5" s="39" t="s">
        <v>34</v>
      </c>
      <c r="X5" s="39" t="s">
        <v>35</v>
      </c>
      <c r="Y5" s="39" t="s">
        <v>36</v>
      </c>
      <c r="Z5" s="40" t="s">
        <v>37</v>
      </c>
      <c r="AA5" s="40" t="s">
        <v>38</v>
      </c>
      <c r="AB5" s="40" t="s">
        <v>39</v>
      </c>
      <c r="AC5" s="40" t="s">
        <v>40</v>
      </c>
      <c r="AD5" s="39" t="s">
        <v>41</v>
      </c>
      <c r="AE5" s="39" t="s">
        <v>42</v>
      </c>
      <c r="AF5" s="39" t="s">
        <v>43</v>
      </c>
      <c r="AG5" s="39" t="s">
        <v>44</v>
      </c>
      <c r="AH5" s="39" t="s">
        <v>45</v>
      </c>
      <c r="AI5" s="39" t="s">
        <v>46</v>
      </c>
      <c r="AJ5" s="39" t="s">
        <v>47</v>
      </c>
      <c r="AK5" s="39" t="s">
        <v>48</v>
      </c>
      <c r="AL5" s="39" t="s">
        <v>49</v>
      </c>
      <c r="AM5" s="39" t="s">
        <v>50</v>
      </c>
      <c r="AN5" s="39" t="s">
        <v>51</v>
      </c>
      <c r="AO5" s="39" t="s">
        <v>52</v>
      </c>
      <c r="AP5" s="39" t="s">
        <v>53</v>
      </c>
      <c r="AQ5" s="39" t="s">
        <v>54</v>
      </c>
      <c r="AR5" s="39" t="s">
        <v>55</v>
      </c>
      <c r="AS5" s="39" t="s">
        <v>56</v>
      </c>
      <c r="AT5" s="48" t="s">
        <v>57</v>
      </c>
      <c r="AU5" s="49" t="s">
        <v>58</v>
      </c>
      <c r="AV5" s="49" t="s">
        <v>59</v>
      </c>
      <c r="AW5" s="61" t="s">
        <v>60</v>
      </c>
      <c r="AX5" s="49" t="s">
        <v>61</v>
      </c>
      <c r="AY5" s="61" t="s">
        <v>62</v>
      </c>
      <c r="AZ5" s="49" t="s">
        <v>63</v>
      </c>
      <c r="BA5" s="49" t="s">
        <v>64</v>
      </c>
      <c r="BB5" s="61" t="s">
        <v>65</v>
      </c>
      <c r="BC5" s="62" t="s">
        <v>66</v>
      </c>
      <c r="BD5" s="63" t="s">
        <v>67</v>
      </c>
      <c r="BE5" s="74"/>
      <c r="BF5" s="75"/>
    </row>
    <row r="6" spans="1:58">
      <c r="A6" s="25"/>
      <c r="B6" s="26" t="s">
        <v>11</v>
      </c>
      <c r="C6" s="27" t="s">
        <v>68</v>
      </c>
      <c r="D6" s="28" t="s">
        <v>69</v>
      </c>
      <c r="E6" s="28" t="s">
        <v>70</v>
      </c>
      <c r="F6" s="29" t="s">
        <v>71</v>
      </c>
      <c r="G6" s="28" t="s">
        <v>72</v>
      </c>
      <c r="H6" s="28" t="s">
        <v>73</v>
      </c>
      <c r="I6" s="28" t="s">
        <v>74</v>
      </c>
      <c r="J6" s="28" t="s">
        <v>75</v>
      </c>
      <c r="K6" s="28" t="s">
        <v>76</v>
      </c>
      <c r="L6" s="28" t="s">
        <v>77</v>
      </c>
      <c r="M6" s="28" t="s">
        <v>78</v>
      </c>
      <c r="N6" s="28" t="s">
        <v>79</v>
      </c>
      <c r="O6" s="28" t="s">
        <v>80</v>
      </c>
      <c r="P6" s="28" t="s">
        <v>81</v>
      </c>
      <c r="Q6" s="28" t="s">
        <v>82</v>
      </c>
      <c r="R6" s="28" t="s">
        <v>83</v>
      </c>
      <c r="S6" s="28" t="s">
        <v>84</v>
      </c>
      <c r="T6" s="28" t="s">
        <v>85</v>
      </c>
      <c r="U6" s="28" t="s">
        <v>86</v>
      </c>
      <c r="V6" s="28" t="s">
        <v>87</v>
      </c>
      <c r="W6" s="28" t="s">
        <v>88</v>
      </c>
      <c r="X6" s="28" t="s">
        <v>89</v>
      </c>
      <c r="Y6" s="28" t="s">
        <v>90</v>
      </c>
      <c r="Z6" s="28" t="s">
        <v>91</v>
      </c>
      <c r="AA6" s="28" t="s">
        <v>92</v>
      </c>
      <c r="AB6" s="28" t="s">
        <v>93</v>
      </c>
      <c r="AC6" s="28" t="s">
        <v>94</v>
      </c>
      <c r="AD6" s="28" t="s">
        <v>95</v>
      </c>
      <c r="AE6" s="28" t="s">
        <v>96</v>
      </c>
      <c r="AF6" s="28" t="s">
        <v>97</v>
      </c>
      <c r="AG6" s="28" t="s">
        <v>98</v>
      </c>
      <c r="AH6" s="28" t="s">
        <v>99</v>
      </c>
      <c r="AI6" s="28" t="s">
        <v>100</v>
      </c>
      <c r="AJ6" s="28" t="s">
        <v>101</v>
      </c>
      <c r="AK6" s="28" t="s">
        <v>102</v>
      </c>
      <c r="AL6" s="28" t="s">
        <v>103</v>
      </c>
      <c r="AM6" s="28" t="s">
        <v>101</v>
      </c>
      <c r="AN6" s="28" t="s">
        <v>104</v>
      </c>
      <c r="AO6" s="28" t="s">
        <v>105</v>
      </c>
      <c r="AP6" s="28" t="s">
        <v>106</v>
      </c>
      <c r="AQ6" s="28" t="s">
        <v>107</v>
      </c>
      <c r="AR6" s="28" t="s">
        <v>108</v>
      </c>
      <c r="AS6" s="28" t="s">
        <v>109</v>
      </c>
      <c r="AT6" s="28" t="s">
        <v>110</v>
      </c>
      <c r="AU6" s="50" t="s">
        <v>111</v>
      </c>
      <c r="AV6" s="50" t="s">
        <v>112</v>
      </c>
      <c r="AW6" s="64" t="s">
        <v>113</v>
      </c>
      <c r="AX6" s="50" t="s">
        <v>114</v>
      </c>
      <c r="AY6" s="64" t="s">
        <v>115</v>
      </c>
      <c r="AZ6" s="50" t="s">
        <v>116</v>
      </c>
      <c r="BA6" s="50" t="s">
        <v>117</v>
      </c>
      <c r="BB6" s="64" t="s">
        <v>118</v>
      </c>
      <c r="BC6" s="65" t="s">
        <v>119</v>
      </c>
      <c r="BD6" s="66" t="s">
        <v>120</v>
      </c>
      <c r="BE6" s="76" t="s">
        <v>121</v>
      </c>
      <c r="BF6" s="77" t="s">
        <v>122</v>
      </c>
    </row>
    <row r="7" spans="1:58">
      <c r="A7" s="30" t="s">
        <v>123</v>
      </c>
      <c r="B7" s="31" t="s">
        <v>124</v>
      </c>
      <c r="C7" s="32" t="s">
        <v>125</v>
      </c>
      <c r="D7" s="33">
        <v>821109376.632051</v>
      </c>
      <c r="E7" s="33">
        <v>49156975.9562107</v>
      </c>
      <c r="F7" s="33">
        <v>10684586.8078278</v>
      </c>
      <c r="G7" s="33">
        <v>34146732.2608017</v>
      </c>
      <c r="H7" s="33">
        <v>9070894.78577535</v>
      </c>
      <c r="I7" s="33">
        <v>92288059.9056758</v>
      </c>
      <c r="J7" s="33">
        <v>78070178.6100447</v>
      </c>
      <c r="K7" s="33">
        <v>25339700.6887769</v>
      </c>
      <c r="L7" s="33">
        <v>70607744.9636081</v>
      </c>
      <c r="M7" s="33">
        <v>12815275.3213411</v>
      </c>
      <c r="N7" s="33">
        <v>47509590.2427704</v>
      </c>
      <c r="O7" s="33">
        <v>30588660.7146926</v>
      </c>
      <c r="P7" s="33">
        <v>35944267.4865012</v>
      </c>
      <c r="Q7" s="33">
        <v>74959951.9783755</v>
      </c>
      <c r="R7" s="33">
        <v>39116758.5176721</v>
      </c>
      <c r="S7" s="33">
        <v>35418933.9930419</v>
      </c>
      <c r="T7" s="33">
        <v>57488356.1501572</v>
      </c>
      <c r="U7" s="33">
        <v>46988959.7259126</v>
      </c>
      <c r="V7" s="33">
        <v>51031136.4146658</v>
      </c>
      <c r="W7" s="33">
        <v>36758514.0184566</v>
      </c>
      <c r="X7" s="33">
        <v>17700419.3798486</v>
      </c>
      <c r="Y7" s="33">
        <v>47111753.5845014</v>
      </c>
      <c r="Z7" s="33">
        <v>100330129.042527</v>
      </c>
      <c r="AA7" s="33">
        <v>25541967.5256686</v>
      </c>
      <c r="AB7" s="33">
        <v>61395231.1624101</v>
      </c>
      <c r="AC7" s="33">
        <v>7256304.22228311</v>
      </c>
      <c r="AD7" s="33">
        <v>8632889.79187755</v>
      </c>
      <c r="AE7" s="33">
        <v>469645429.010662</v>
      </c>
      <c r="AF7" s="33">
        <v>519792503.263792</v>
      </c>
      <c r="AG7" s="33">
        <v>230523925.740211</v>
      </c>
      <c r="AH7" s="33">
        <v>85067117.1008988</v>
      </c>
      <c r="AI7" s="33">
        <v>206973736.679317</v>
      </c>
      <c r="AJ7" s="33">
        <v>215281976.520711</v>
      </c>
      <c r="AK7" s="33">
        <v>192733122.55735</v>
      </c>
      <c r="AL7" s="33">
        <v>252757212.793925</v>
      </c>
      <c r="AM7" s="33">
        <v>65841576.822612</v>
      </c>
      <c r="AN7" s="33">
        <v>115418456.212316</v>
      </c>
      <c r="AO7" s="33">
        <v>127689767.858012</v>
      </c>
      <c r="AP7" s="33">
        <v>281650493.11452</v>
      </c>
      <c r="AQ7" s="33">
        <v>171783188.525367</v>
      </c>
      <c r="AR7" s="33">
        <v>51172539.734951</v>
      </c>
      <c r="AS7" s="33">
        <v>407600705.014876</v>
      </c>
      <c r="AT7" s="51">
        <v>5295655400.14422</v>
      </c>
      <c r="AU7" s="52"/>
      <c r="AV7" s="52"/>
      <c r="AW7" s="67"/>
      <c r="AX7" s="52"/>
      <c r="AY7" s="67"/>
      <c r="AZ7" s="52"/>
      <c r="BA7" s="52"/>
      <c r="BB7" s="67"/>
      <c r="BC7" s="52"/>
      <c r="BD7" s="68"/>
      <c r="BE7" s="52"/>
      <c r="BF7" s="52"/>
    </row>
    <row r="8" spans="1:58">
      <c r="A8" s="34"/>
      <c r="B8" s="31" t="s">
        <v>126</v>
      </c>
      <c r="C8" s="35" t="s">
        <v>127</v>
      </c>
      <c r="D8" s="33">
        <v>-45528240.6524828</v>
      </c>
      <c r="E8" s="33">
        <v>23728883.970035</v>
      </c>
      <c r="F8" s="33">
        <v>26393586.367127</v>
      </c>
      <c r="G8" s="33">
        <v>29203561.314</v>
      </c>
      <c r="H8" s="33">
        <v>1127941.29772883</v>
      </c>
      <c r="I8" s="33">
        <v>82927929.5671502</v>
      </c>
      <c r="J8" s="33">
        <v>1055456.5261335</v>
      </c>
      <c r="K8" s="33">
        <v>5439494.60237603</v>
      </c>
      <c r="L8" s="33">
        <v>11735859.5567258</v>
      </c>
      <c r="M8" s="33">
        <v>49155195.5214141</v>
      </c>
      <c r="N8" s="33">
        <v>37768625.1294872</v>
      </c>
      <c r="O8" s="33">
        <v>11543781.6746586</v>
      </c>
      <c r="P8" s="33">
        <v>9432919.72683331</v>
      </c>
      <c r="Q8" s="33">
        <v>23472866.7779206</v>
      </c>
      <c r="R8" s="33">
        <v>16809803.9852195</v>
      </c>
      <c r="S8" s="33">
        <v>20103752.8548938</v>
      </c>
      <c r="T8" s="33">
        <v>11219546.9861507</v>
      </c>
      <c r="U8" s="33">
        <v>16723537.9683136</v>
      </c>
      <c r="V8" s="33">
        <v>14548976.722464</v>
      </c>
      <c r="W8" s="33">
        <v>41488605.881303</v>
      </c>
      <c r="X8" s="33">
        <v>2028721.97909231</v>
      </c>
      <c r="Y8" s="33">
        <v>4541468.4707146</v>
      </c>
      <c r="Z8" s="33">
        <v>-3678836.27294552</v>
      </c>
      <c r="AA8" s="33">
        <v>13432368.4743476</v>
      </c>
      <c r="AB8" s="33">
        <v>20698377.6315251</v>
      </c>
      <c r="AC8" s="33">
        <v>1010550.45236413</v>
      </c>
      <c r="AD8" s="33">
        <v>1860447.18374642</v>
      </c>
      <c r="AE8" s="33">
        <v>98116385.5968287</v>
      </c>
      <c r="AF8" s="33">
        <v>95383190.2804768</v>
      </c>
      <c r="AG8" s="33">
        <v>8513567.44219846</v>
      </c>
      <c r="AH8" s="33">
        <v>1360038.66259777</v>
      </c>
      <c r="AI8" s="33">
        <v>13092894.4785477</v>
      </c>
      <c r="AJ8" s="33">
        <v>82718115.8873387</v>
      </c>
      <c r="AK8" s="33">
        <v>123442718.311865</v>
      </c>
      <c r="AL8" s="33">
        <v>27690530.6917165</v>
      </c>
      <c r="AM8" s="33">
        <v>1588413.56834034</v>
      </c>
      <c r="AN8" s="33">
        <v>11715874.6086849</v>
      </c>
      <c r="AO8" s="33">
        <v>5023484.24607627</v>
      </c>
      <c r="AP8" s="33">
        <v>625840.589067589</v>
      </c>
      <c r="AQ8" s="33">
        <v>119102.009382813</v>
      </c>
      <c r="AR8" s="33">
        <v>1590021.04931616</v>
      </c>
      <c r="AS8" s="33">
        <v>2016363.5215086</v>
      </c>
      <c r="AT8" s="51">
        <v>895802230.037866</v>
      </c>
      <c r="AU8" s="53"/>
      <c r="AV8" s="53"/>
      <c r="AW8" s="69"/>
      <c r="AX8" s="53"/>
      <c r="AY8" s="69"/>
      <c r="AZ8" s="53"/>
      <c r="BA8" s="53"/>
      <c r="BB8" s="69"/>
      <c r="BC8" s="53"/>
      <c r="BD8" s="70"/>
      <c r="BE8" s="53"/>
      <c r="BF8" s="53"/>
    </row>
    <row r="9" ht="22.5" spans="1:58">
      <c r="A9" s="34"/>
      <c r="B9" s="31" t="s">
        <v>128</v>
      </c>
      <c r="C9" s="35" t="s">
        <v>129</v>
      </c>
      <c r="D9" s="33">
        <v>23048579.7015093</v>
      </c>
      <c r="E9" s="33">
        <v>11857466.9359743</v>
      </c>
      <c r="F9" s="33">
        <v>23934531.6640675</v>
      </c>
      <c r="G9" s="33">
        <v>14045534.8444722</v>
      </c>
      <c r="H9" s="33">
        <v>881427.489091594</v>
      </c>
      <c r="I9" s="33">
        <v>30616039.4796629</v>
      </c>
      <c r="J9" s="33">
        <v>17159912.3984095</v>
      </c>
      <c r="K9" s="33">
        <v>7115541.18523375</v>
      </c>
      <c r="L9" s="33">
        <v>23476685.1205348</v>
      </c>
      <c r="M9" s="33">
        <v>11540322.9497796</v>
      </c>
      <c r="N9" s="33">
        <v>37261752.7842075</v>
      </c>
      <c r="O9" s="33">
        <v>7442373.45766556</v>
      </c>
      <c r="P9" s="33">
        <v>13681348.1598697</v>
      </c>
      <c r="Q9" s="33">
        <v>36252424.8424867</v>
      </c>
      <c r="R9" s="33">
        <v>31732255.9204724</v>
      </c>
      <c r="S9" s="33">
        <v>20256127.1648298</v>
      </c>
      <c r="T9" s="33">
        <v>17451919.7586117</v>
      </c>
      <c r="U9" s="33">
        <v>16689439.146307</v>
      </c>
      <c r="V9" s="33">
        <v>12133972.5831076</v>
      </c>
      <c r="W9" s="33">
        <v>15404029.9075229</v>
      </c>
      <c r="X9" s="33">
        <v>3816835.02801987</v>
      </c>
      <c r="Y9" s="33">
        <v>15983410.4130126</v>
      </c>
      <c r="Z9" s="33">
        <v>35286959.999098</v>
      </c>
      <c r="AA9" s="33">
        <v>6722131.42762518</v>
      </c>
      <c r="AB9" s="33">
        <v>97784316.3482651</v>
      </c>
      <c r="AC9" s="33">
        <v>5463403.96630397</v>
      </c>
      <c r="AD9" s="33">
        <v>6900167.08475439</v>
      </c>
      <c r="AE9" s="33">
        <v>27714363.6799584</v>
      </c>
      <c r="AF9" s="33">
        <v>118467134.625324</v>
      </c>
      <c r="AG9" s="33">
        <v>200221941.685502</v>
      </c>
      <c r="AH9" s="33">
        <v>46183808.0137878</v>
      </c>
      <c r="AI9" s="33">
        <v>126694176.647774</v>
      </c>
      <c r="AJ9" s="33">
        <v>36197643.6232485</v>
      </c>
      <c r="AK9" s="33">
        <v>70284261.2451192</v>
      </c>
      <c r="AL9" s="33">
        <v>35220354.3225643</v>
      </c>
      <c r="AM9" s="33">
        <v>20894697.1076679</v>
      </c>
      <c r="AN9" s="33">
        <v>47257245.8232094</v>
      </c>
      <c r="AO9" s="33">
        <v>18811000.5847299</v>
      </c>
      <c r="AP9" s="33">
        <v>77784703.2094327</v>
      </c>
      <c r="AQ9" s="33">
        <v>31476065.1203941</v>
      </c>
      <c r="AR9" s="33">
        <v>19443051.9030816</v>
      </c>
      <c r="AS9" s="33">
        <v>92345943.1037209</v>
      </c>
      <c r="AT9" s="51">
        <v>1505819759.27118</v>
      </c>
      <c r="AU9" s="53"/>
      <c r="AV9" s="53"/>
      <c r="AW9" s="69"/>
      <c r="AX9" s="53"/>
      <c r="AY9" s="69"/>
      <c r="AZ9" s="53"/>
      <c r="BA9" s="53"/>
      <c r="BB9" s="69"/>
      <c r="BC9" s="53"/>
      <c r="BD9" s="71"/>
      <c r="BE9" s="53"/>
      <c r="BF9" s="53"/>
    </row>
    <row r="10" spans="1:58">
      <c r="A10" s="34"/>
      <c r="B10" s="31" t="s">
        <v>130</v>
      </c>
      <c r="C10" s="35" t="s">
        <v>131</v>
      </c>
      <c r="D10" s="33">
        <v>23117526.7569887</v>
      </c>
      <c r="E10" s="33">
        <v>35255170.9583124</v>
      </c>
      <c r="F10" s="33">
        <v>6711085.03132599</v>
      </c>
      <c r="G10" s="33">
        <v>26913764.7283137</v>
      </c>
      <c r="H10" s="33">
        <v>-2541340.49459825</v>
      </c>
      <c r="I10" s="33">
        <v>101181657.170058</v>
      </c>
      <c r="J10" s="33">
        <v>48190809.1034635</v>
      </c>
      <c r="K10" s="33">
        <v>17706881.846518</v>
      </c>
      <c r="L10" s="33">
        <v>55330296.5377042</v>
      </c>
      <c r="M10" s="33">
        <v>27079970.6715743</v>
      </c>
      <c r="N10" s="33">
        <v>75473750.7006667</v>
      </c>
      <c r="O10" s="33">
        <v>36261214.2131177</v>
      </c>
      <c r="P10" s="33">
        <v>27380721.776729</v>
      </c>
      <c r="Q10" s="33">
        <v>95894757.611015</v>
      </c>
      <c r="R10" s="33">
        <v>68635495.4348648</v>
      </c>
      <c r="S10" s="33">
        <v>43798631.4097935</v>
      </c>
      <c r="T10" s="33">
        <v>41037939.5122591</v>
      </c>
      <c r="U10" s="33">
        <v>43686015.7589667</v>
      </c>
      <c r="V10" s="33">
        <v>20237210.5040328</v>
      </c>
      <c r="W10" s="33">
        <v>51825291.1612023</v>
      </c>
      <c r="X10" s="33">
        <v>8695606.88428179</v>
      </c>
      <c r="Y10" s="33">
        <v>53690205.7608763</v>
      </c>
      <c r="Z10" s="33">
        <v>59374527.4317411</v>
      </c>
      <c r="AA10" s="33">
        <v>51110402.0784249</v>
      </c>
      <c r="AB10" s="33">
        <v>38471081.0886827</v>
      </c>
      <c r="AC10" s="33">
        <v>5841588.01525428</v>
      </c>
      <c r="AD10" s="33">
        <v>3105561.83173584</v>
      </c>
      <c r="AE10" s="33">
        <v>124616761.457381</v>
      </c>
      <c r="AF10" s="33">
        <v>219960586.719413</v>
      </c>
      <c r="AG10" s="33">
        <v>17515502.0570903</v>
      </c>
      <c r="AH10" s="33">
        <v>12909619.8106462</v>
      </c>
      <c r="AI10" s="33">
        <v>101253636.088194</v>
      </c>
      <c r="AJ10" s="33">
        <v>501973655.097806</v>
      </c>
      <c r="AK10" s="33">
        <v>383207440.021522</v>
      </c>
      <c r="AL10" s="33">
        <v>2859006.25501044</v>
      </c>
      <c r="AM10" s="33">
        <v>7602478.69404698</v>
      </c>
      <c r="AN10" s="33">
        <v>10750979.3816108</v>
      </c>
      <c r="AO10" s="33">
        <v>5752421.84212641</v>
      </c>
      <c r="AP10" s="33">
        <v>13231125.5114678</v>
      </c>
      <c r="AQ10" s="33">
        <v>4827324.60917299</v>
      </c>
      <c r="AR10" s="33">
        <v>5804782.04253919</v>
      </c>
      <c r="AS10" s="33">
        <v>8918361.97051482</v>
      </c>
      <c r="AT10" s="51">
        <v>2466942623.19533</v>
      </c>
      <c r="AU10" s="53"/>
      <c r="AV10" s="53"/>
      <c r="AW10" s="69"/>
      <c r="AX10" s="53"/>
      <c r="AY10" s="69"/>
      <c r="AZ10" s="53"/>
      <c r="BA10" s="53"/>
      <c r="BB10" s="69"/>
      <c r="BC10" s="53"/>
      <c r="BD10" s="71"/>
      <c r="BE10" s="53"/>
      <c r="BF10" s="53"/>
    </row>
    <row r="11" spans="1:58">
      <c r="A11" s="34"/>
      <c r="B11" s="36" t="s">
        <v>132</v>
      </c>
      <c r="C11" s="37" t="s">
        <v>133</v>
      </c>
      <c r="D11" s="33">
        <v>821747242.438066</v>
      </c>
      <c r="E11" s="38">
        <v>119998497.820532</v>
      </c>
      <c r="F11" s="38">
        <v>67723789.8703483</v>
      </c>
      <c r="G11" s="33">
        <v>104309593.147588</v>
      </c>
      <c r="H11" s="38">
        <v>8538923.07799753</v>
      </c>
      <c r="I11" s="33">
        <v>307013686.122547</v>
      </c>
      <c r="J11" s="33">
        <v>144476356.638051</v>
      </c>
      <c r="K11" s="33">
        <v>55601618.3229046</v>
      </c>
      <c r="L11" s="33">
        <v>161150586.178573</v>
      </c>
      <c r="M11" s="33">
        <v>100590764.464109</v>
      </c>
      <c r="N11" s="33">
        <v>198013718.857132</v>
      </c>
      <c r="O11" s="38">
        <v>85836030.0601345</v>
      </c>
      <c r="P11" s="33">
        <v>86439257.1499332</v>
      </c>
      <c r="Q11" s="33">
        <v>230580001.209798</v>
      </c>
      <c r="R11" s="33">
        <v>156294313.858229</v>
      </c>
      <c r="S11" s="33">
        <v>119577445.422559</v>
      </c>
      <c r="T11" s="38">
        <v>127197762.407179</v>
      </c>
      <c r="U11" s="33">
        <v>124087952.5995</v>
      </c>
      <c r="V11" s="33">
        <v>97951296.2242703</v>
      </c>
      <c r="W11" s="33">
        <v>145476440.968485</v>
      </c>
      <c r="X11" s="33">
        <v>32241583.2712426</v>
      </c>
      <c r="Y11" s="33">
        <v>121326838.229105</v>
      </c>
      <c r="Z11" s="33">
        <v>191312780.20042</v>
      </c>
      <c r="AA11" s="33">
        <v>96806869.5060662</v>
      </c>
      <c r="AB11" s="38">
        <v>218349006.230883</v>
      </c>
      <c r="AC11" s="38">
        <v>19571846.6562055</v>
      </c>
      <c r="AD11" s="38">
        <v>20499065.8921142</v>
      </c>
      <c r="AE11" s="33">
        <v>720092939.74483</v>
      </c>
      <c r="AF11" s="33">
        <v>953603414.889006</v>
      </c>
      <c r="AG11" s="33">
        <v>456774936.925002</v>
      </c>
      <c r="AH11" s="33">
        <v>145520583.587931</v>
      </c>
      <c r="AI11" s="33">
        <v>448014443.893833</v>
      </c>
      <c r="AJ11" s="33">
        <v>836171391.129104</v>
      </c>
      <c r="AK11" s="38">
        <v>769667542.135856</v>
      </c>
      <c r="AL11" s="33">
        <v>318527104.063217</v>
      </c>
      <c r="AM11" s="38">
        <v>95927166.1926672</v>
      </c>
      <c r="AN11" s="33">
        <v>185142556.025821</v>
      </c>
      <c r="AO11" s="33">
        <v>157276674.530945</v>
      </c>
      <c r="AP11" s="38">
        <v>373292162.424488</v>
      </c>
      <c r="AQ11" s="33">
        <v>208205680.264317</v>
      </c>
      <c r="AR11" s="33">
        <v>78010394.729888</v>
      </c>
      <c r="AS11" s="33">
        <v>510881373.61062</v>
      </c>
      <c r="AT11" s="51">
        <v>10164220012.6486</v>
      </c>
      <c r="AU11" s="54"/>
      <c r="AV11" s="53"/>
      <c r="AW11" s="69"/>
      <c r="AX11" s="53"/>
      <c r="AY11" s="69"/>
      <c r="AZ11" s="53"/>
      <c r="BA11" s="53"/>
      <c r="BB11" s="69"/>
      <c r="BC11" s="53"/>
      <c r="BD11" s="71"/>
      <c r="BE11" s="53"/>
      <c r="BF11" s="53"/>
    </row>
  </sheetData>
  <mergeCells count="8">
    <mergeCell ref="AU3:BC3"/>
    <mergeCell ref="D4:AT4"/>
    <mergeCell ref="AU4:BD4"/>
    <mergeCell ref="A7:A11"/>
    <mergeCell ref="C4:C5"/>
    <mergeCell ref="BE4:BE5"/>
    <mergeCell ref="BF4:BF5"/>
    <mergeCell ref="A4:B5"/>
  </mergeCells>
  <conditionalFormatting sqref="U7:X11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"/>
  <sheetViews>
    <sheetView workbookViewId="0">
      <selection activeCell="B2" sqref="B2"/>
    </sheetView>
  </sheetViews>
  <sheetFormatPr defaultColWidth="9" defaultRowHeight="13.5" outlineLevelRow="2"/>
  <cols>
    <col min="2" max="19" width="12.625"/>
    <col min="20" max="20" width="13.75"/>
    <col min="21" max="23" width="12.625"/>
    <col min="24" max="25" width="11.5"/>
    <col min="26" max="28" width="12.625"/>
    <col min="29" max="30" width="11.5"/>
    <col min="31" max="37" width="12.625"/>
    <col min="38" max="38" width="11.5"/>
    <col min="39" max="40" width="12.625"/>
    <col min="41" max="41" width="11.5"/>
    <col min="42" max="43" width="12.625"/>
  </cols>
  <sheetData>
    <row r="1" spans="1:43">
      <c r="A1" s="1" t="s">
        <v>134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87</v>
      </c>
      <c r="Q1" s="2" t="s">
        <v>83</v>
      </c>
      <c r="R1" s="2" t="s">
        <v>84</v>
      </c>
      <c r="S1" s="2" t="s">
        <v>85</v>
      </c>
      <c r="T1" s="2" t="s">
        <v>91</v>
      </c>
      <c r="U1" s="2" t="s">
        <v>90</v>
      </c>
      <c r="V1" s="2" t="s">
        <v>86</v>
      </c>
      <c r="W1" s="2" t="s">
        <v>88</v>
      </c>
      <c r="X1" s="2" t="s">
        <v>89</v>
      </c>
      <c r="Y1" s="2" t="s">
        <v>92</v>
      </c>
      <c r="Z1" s="2" t="s">
        <v>93</v>
      </c>
      <c r="AA1" s="2" t="s">
        <v>94</v>
      </c>
      <c r="AB1" s="2" t="s">
        <v>95</v>
      </c>
      <c r="AC1" s="2" t="s">
        <v>96</v>
      </c>
      <c r="AD1" s="2" t="s">
        <v>97</v>
      </c>
      <c r="AE1" s="2" t="s">
        <v>98</v>
      </c>
      <c r="AF1" s="2" t="s">
        <v>99</v>
      </c>
      <c r="AG1" s="2" t="s">
        <v>100</v>
      </c>
      <c r="AH1" s="2" t="s">
        <v>103</v>
      </c>
      <c r="AI1" s="2" t="s">
        <v>135</v>
      </c>
      <c r="AJ1" s="2" t="s">
        <v>101</v>
      </c>
      <c r="AK1" s="2" t="s">
        <v>102</v>
      </c>
      <c r="AL1" s="2" t="s">
        <v>104</v>
      </c>
      <c r="AM1" s="2" t="s">
        <v>109</v>
      </c>
      <c r="AN1" s="2" t="s">
        <v>106</v>
      </c>
      <c r="AO1" s="2" t="s">
        <v>107</v>
      </c>
      <c r="AP1" s="2" t="s">
        <v>108</v>
      </c>
      <c r="AQ1" s="2" t="s">
        <v>105</v>
      </c>
    </row>
    <row r="2" ht="67.5" spans="1:43">
      <c r="A2" s="3" t="s">
        <v>136</v>
      </c>
      <c r="B2">
        <f>'2020年全国投入产出表'!$D$8/'2020年全国投入产出表'!$D$11</f>
        <v>-0.0554041903656454</v>
      </c>
      <c r="C2">
        <f>'2020年全国投入产出表'!$E$8/'2020年全国投入产出表'!$E$11</f>
        <v>0.197743175131439</v>
      </c>
      <c r="D2">
        <f>'2020年全国投入产出表'!$F$8/'2020年全国投入产出表'!$F$11</f>
        <v>0.389724001235834</v>
      </c>
      <c r="E2">
        <f>'2020年全国投入产出表'!$G$8/'2020年全国投入产出表'!$G$11</f>
        <v>0.279970043337047</v>
      </c>
      <c r="F2">
        <f>'2020年全国投入产出表'!$H$8/'2020年全国投入产出表'!$H$11</f>
        <v>0.132094092829484</v>
      </c>
      <c r="G2">
        <f>'2020年全国投入产出表'!$I$8/'2020年全国投入产出表'!$I$11</f>
        <v>0.270111507452631</v>
      </c>
      <c r="H2">
        <f>'2020年全国投入产出表'!$J$8/'2020年全国投入产出表'!$J$11</f>
        <v>0.0073053927347966</v>
      </c>
      <c r="I2">
        <f>'2020年全国投入产出表'!$K$8/'2020年全国投入产出表'!$K$11</f>
        <v>0.0978297892479737</v>
      </c>
      <c r="J2">
        <f>'2020年全国投入产出表'!$L$8/'2020年全国投入产出表'!$L$11</f>
        <v>0.0728254226994939</v>
      </c>
      <c r="K2">
        <f>'2020年全国投入产出表'!$M$8/'2020年全国投入产出表'!$M$11</f>
        <v>0.488665095481532</v>
      </c>
      <c r="L2">
        <f>'2020年全国投入产出表'!$N$8/'2020年全国投入产出表'!$N$11</f>
        <v>0.190737416313753</v>
      </c>
      <c r="M2">
        <f>'2020年全国投入产出表'!$O$8/'2020年全国投入产出表'!$O$11</f>
        <v>0.134486434968758</v>
      </c>
      <c r="N2">
        <f>'2020年全国投入产出表'!$P$8/'2020年全国投入产出表'!$P$11</f>
        <v>0.109127727815516</v>
      </c>
      <c r="O2">
        <f>'2020年全国投入产出表'!$Q$8/'2020年全国投入产出表'!$Q$11</f>
        <v>0.101799230873294</v>
      </c>
      <c r="P2">
        <f>'2020年全国投入产出表'!$V$8/'2020年全国投入产出表'!$V$11</f>
        <v>0.148532763559887</v>
      </c>
      <c r="Q2">
        <f>'2020年全国投入产出表'!$R$8/'2020年全国投入产出表'!$R$11</f>
        <v>0.107552242754444</v>
      </c>
      <c r="R2">
        <f>'2020年全国投入产出表'!$S$8/'2020年全国投入产出表'!$S$11</f>
        <v>0.168123284318809</v>
      </c>
      <c r="S2">
        <f>'2020年全国投入产出表'!$T$8/'2020年全国投入产出表'!$T$11</f>
        <v>0.0882055373760055</v>
      </c>
      <c r="T2">
        <f>'2020年全国投入产出表'!$Z$8/'2020年全国投入产出表'!$Z$11</f>
        <v>-0.019229432916565</v>
      </c>
      <c r="U2">
        <f>'2020年全国投入产出表'!$Y$8/'2020年全国投入产出表'!$Y$11</f>
        <v>0.0374316889568886</v>
      </c>
      <c r="V2">
        <f>'2020年全国投入产出表'!$U$8/'2020年全国投入产出表'!$U$11</f>
        <v>0.134771648802117</v>
      </c>
      <c r="W2">
        <f>'2020年全国投入产出表'!$W$8/'2020年全国投入产出表'!$W$11</f>
        <v>0.285191235124392</v>
      </c>
      <c r="X2">
        <f>'2020年全国投入产出表'!$X$8/'2020年全国投入产出表'!$X$11</f>
        <v>0.0629225296420787</v>
      </c>
      <c r="Y2">
        <f>'2020年全国投入产出表'!$AA$8/'2020年全国投入产出表'!$AA$11</f>
        <v>0.138754290298643</v>
      </c>
      <c r="Z2">
        <f>'2020年全国投入产出表'!$AB$8/'2020年全国投入产出表'!$AB$11</f>
        <v>0.0947949248261683</v>
      </c>
      <c r="AA2">
        <f>'2020年全国投入产出表'!$AC$8/'2020年全国投入产出表'!$AC$11</f>
        <v>0.0516328617383543</v>
      </c>
      <c r="AB2">
        <f>'2020年全国投入产出表'!$AD$8/'2020年全国投入产出表'!$AD$11</f>
        <v>0.090757656643375</v>
      </c>
      <c r="AC2">
        <f>'2020年全国投入产出表'!$AE$8/'2020年全国投入产出表'!$AE$11</f>
        <v>0.136255169550193</v>
      </c>
      <c r="AD2">
        <f>'2020年全国投入产出表'!$AF$8/'2020年全国投入产出表'!$AF$11</f>
        <v>0.100023960475832</v>
      </c>
      <c r="AE2">
        <f>'2020年全国投入产出表'!$AG$8/'2020年全国投入产出表'!$AG$11</f>
        <v>0.0186384294626837</v>
      </c>
      <c r="AF2">
        <f>'2020年全国投入产出表'!$AH$8/'2020年全国投入产出表'!$AH$11</f>
        <v>0.00934602259738716</v>
      </c>
      <c r="AG2">
        <f>'2020年全国投入产出表'!$AI$8/'2020年全国投入产出表'!$AI$11</f>
        <v>0.0292242686748072</v>
      </c>
      <c r="AH2">
        <f>'2020年全国投入产出表'!$AL$8/'2020年全国投入产出表'!$AL$11</f>
        <v>0.0869330438084819</v>
      </c>
      <c r="AI2">
        <f>'2020年全国投入产出表'!$AM$8/'2020年全国投入产出表'!$AM$11</f>
        <v>0.0165585373923176</v>
      </c>
      <c r="AJ2">
        <f>'2020年全国投入产出表'!$AJ$8/'2020年全国投入产出表'!$AJ$11</f>
        <v>0.0989248337899271</v>
      </c>
      <c r="AK2">
        <f>'2020年全国投入产出表'!$AK$8/'2020年全国投入产出表'!$AK$11</f>
        <v>0.160384466739116</v>
      </c>
      <c r="AL2">
        <f>'2020年全国投入产出表'!$AN$8/'2020年全国投入产出表'!$AN$11</f>
        <v>0.0632802898489256</v>
      </c>
      <c r="AM2">
        <f>'2020年全国投入产出表'!$AS$8/'2020年全国投入产出表'!$AS$11</f>
        <v>0.00394683311168322</v>
      </c>
      <c r="AN2">
        <f>'2020年全国投入产出表'!$AP$8/'2020年全国投入产出表'!$AP$11</f>
        <v>0.00167654360863842</v>
      </c>
      <c r="AO2">
        <f>'2020年全国投入产出表'!$AQ$8/'2020年全国投入产出表'!$AQ$11</f>
        <v>0.000572040153907487</v>
      </c>
      <c r="AP2">
        <f>'2020年全国投入产出表'!$AR$8/'2020年全国投入产出表'!$AR$11</f>
        <v>0.0203821690022417</v>
      </c>
      <c r="AQ2">
        <f>'2020年全国投入产出表'!$AO$8/'2020年全国投入产出表'!$AO$11</f>
        <v>0.0319404276639119</v>
      </c>
    </row>
    <row r="3" ht="45" spans="1:43">
      <c r="A3" s="4"/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33</v>
      </c>
      <c r="Q3" s="4" t="s">
        <v>29</v>
      </c>
      <c r="R3" s="4" t="s">
        <v>30</v>
      </c>
      <c r="S3" s="4" t="s">
        <v>31</v>
      </c>
      <c r="T3" s="4" t="s">
        <v>37</v>
      </c>
      <c r="U3" s="4" t="s">
        <v>36</v>
      </c>
      <c r="V3" s="4" t="s">
        <v>32</v>
      </c>
      <c r="W3" s="4" t="s">
        <v>34</v>
      </c>
      <c r="X3" s="4" t="s">
        <v>35</v>
      </c>
      <c r="Y3" s="4" t="s">
        <v>38</v>
      </c>
      <c r="Z3" s="4" t="s">
        <v>39</v>
      </c>
      <c r="AA3" s="4" t="s">
        <v>40</v>
      </c>
      <c r="AB3" s="4" t="s">
        <v>41</v>
      </c>
      <c r="AC3" s="4" t="s">
        <v>42</v>
      </c>
      <c r="AD3" s="4" t="s">
        <v>43</v>
      </c>
      <c r="AE3" s="4" t="s">
        <v>44</v>
      </c>
      <c r="AF3" s="4" t="s">
        <v>45</v>
      </c>
      <c r="AG3" s="4" t="s">
        <v>46</v>
      </c>
      <c r="AH3" s="4" t="s">
        <v>49</v>
      </c>
      <c r="AI3" s="4" t="s">
        <v>50</v>
      </c>
      <c r="AJ3" s="4" t="s">
        <v>47</v>
      </c>
      <c r="AK3" s="4" t="s">
        <v>48</v>
      </c>
      <c r="AL3" s="4" t="s">
        <v>51</v>
      </c>
      <c r="AM3" s="5" t="s">
        <v>56</v>
      </c>
      <c r="AN3" s="4" t="s">
        <v>53</v>
      </c>
      <c r="AO3" s="4" t="s">
        <v>54</v>
      </c>
      <c r="AP3" s="4" t="s">
        <v>55</v>
      </c>
      <c r="AQ3" s="4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2020年全国投入产出表</vt:lpstr>
      <vt:lpstr>DToPaSoVAbIC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zhlx2</dc:creator>
  <cp:lastModifiedBy>zhlx2</cp:lastModifiedBy>
  <dcterms:created xsi:type="dcterms:W3CDTF">2023-02-07T02:16:00Z</dcterms:created>
  <dcterms:modified xsi:type="dcterms:W3CDTF">2023-02-08T08:53:52Z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FE87A01D48C046C7BF3511BE86461A4B</vt:lpwstr>
  </property>
  <property fmtid="{D5CDD505-2E9C-101B-9397-08002B2CF9AE}" pid="3" name="KSOProductBuildVer">
    <vt:lpwstr>2052-11.1.0.13703</vt:lpwstr>
  </property>
</Properties>
</file>