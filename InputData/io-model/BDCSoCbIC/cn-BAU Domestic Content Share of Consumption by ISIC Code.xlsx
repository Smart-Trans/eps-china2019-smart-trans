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 activeTab="1"/>
  </bookViews>
  <sheets>
    <sheet name="About" sheetId="6" r:id="rId1"/>
    <sheet name="Calculations" sheetId="4" r:id="rId2"/>
    <sheet name="2020年全国投入产出表" sheetId="2" r:id="rId3"/>
    <sheet name="2020年非竞争型投入产出表" sheetId="3" r:id="rId4"/>
    <sheet name="BDCSoCbIC" sheetId="5" r:id="rId5"/>
  </sheets>
  <calcPr calcId="144525"/>
</workbook>
</file>

<file path=xl/sharedStrings.xml><?xml version="1.0" encoding="utf-8"?>
<sst xmlns="http://schemas.openxmlformats.org/spreadsheetml/2006/main" count="655" uniqueCount="212">
  <si>
    <t>BDCSoCbIC BAU Domestic Content Share of Consumption by ISIC Code</t>
  </si>
  <si>
    <t>Source:</t>
  </si>
  <si>
    <t>2020年全国投入产出表</t>
  </si>
  <si>
    <t>国家统计局</t>
  </si>
  <si>
    <t>https://data.stats.gov.cn/files/html/quickSearch/trcc/trcc01.html</t>
  </si>
  <si>
    <t>Notes</t>
  </si>
  <si>
    <t>“2020年全国投入产出表”是根据我国2020年全年投入产出表中竞争型和非竞争型两张表结合美国EPS模型总结出来42个部门的投入产出表。政府消费支出是根据“2020年全国投入产出表”中各行业政府消费支出数额乘以当年2020年人民币相对2012美元的汇率得出。</t>
  </si>
  <si>
    <t>各行业总产出加总进口减去总出口等于国内消费。根据“2020年非竞争型投入产出表”算出进口品占出口的份额，各行业国内消耗的进口品为进口乘以（1-进口品占出口的份额），国内生产消费为国内消费减去国内消费进口的部分。国内消费除以国内生产消费得到Domestic Content Share of Consumption。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</si>
  <si>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</si>
  <si>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</si>
  <si>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</si>
  <si>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</si>
  <si>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</si>
  <si>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</si>
  <si>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</si>
  <si>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</si>
  <si>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</si>
  <si>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</si>
  <si>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</si>
  <si>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</si>
  <si>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</si>
  <si>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</si>
  <si>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</si>
  <si>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</si>
  <si>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</si>
  <si>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</si>
  <si>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</si>
  <si>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</si>
  <si>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</si>
  <si>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</si>
  <si>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</si>
  <si>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</si>
  <si>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</si>
  <si>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</si>
  <si>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</si>
  <si>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</si>
  <si>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</si>
  <si>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</si>
  <si>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</si>
  <si>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</si>
  <si>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</si>
  <si>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</si>
  <si>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</si>
  <si>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</si>
  <si>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</si>
  <si>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</si>
  <si>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</si>
  <si>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</si>
  <si>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</si>
  <si>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</si>
  <si>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Domestic Production</t>
  </si>
  <si>
    <t>Imports</t>
  </si>
  <si>
    <t>Exports</t>
  </si>
  <si>
    <t>Domestic Consumption</t>
  </si>
  <si>
    <t>Imported Content Share of Exports</t>
  </si>
  <si>
    <t>Imports Consumed Domestically</t>
  </si>
  <si>
    <t>Domestic Production Consumed Domestically</t>
  </si>
  <si>
    <t>Domestic Content Share of Domestic Consumption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</si>
  <si>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</si>
  <si>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</si>
  <si>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</si>
  <si>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</si>
  <si>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</si>
  <si>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</si>
  <si>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</si>
  <si>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</si>
  <si>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</si>
  <si>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</si>
  <si>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</si>
  <si>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</si>
  <si>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</si>
  <si>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</si>
  <si>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专用设备</t>
  </si>
  <si>
    <t>黑色金属冶炼和压延加工品</t>
  </si>
  <si>
    <t>有色金属冶炼和压延加工品</t>
  </si>
  <si>
    <t>金属制品</t>
  </si>
  <si>
    <t>通信设备、计算机和其他电子设备&amp;仪器仪表</t>
  </si>
  <si>
    <t>电气机械和器材</t>
  </si>
  <si>
    <t>通用设备</t>
  </si>
  <si>
    <t>汽车制造业</t>
  </si>
  <si>
    <t>铁路、船舶、航空航天和其他运输设备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</si>
  <si>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</si>
  <si>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</si>
  <si>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</si>
  <si>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</si>
  <si>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</si>
  <si>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</si>
  <si>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</si>
  <si>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</si>
  <si>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</si>
  <si>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租赁和商务服务</t>
  </si>
  <si>
    <t>研究和试验发展</t>
  </si>
  <si>
    <t>金融</t>
  </si>
  <si>
    <t>房地产</t>
  </si>
  <si>
    <t>综合技术服务</t>
  </si>
  <si>
    <t>水利、环境和公共设施管理、公共管理、社会保障和社会组织</t>
  </si>
  <si>
    <t>教育</t>
  </si>
  <si>
    <t>卫生和社会工作</t>
  </si>
  <si>
    <t>文化、体育和娱乐</t>
  </si>
  <si>
    <t>居民服务、修理和其他服务</t>
  </si>
  <si>
    <t>2020年人民币相对2012美元</t>
  </si>
  <si>
    <t>2020</t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</si>
  <si>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</si>
  <si>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</si>
  <si>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</si>
  <si>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</si>
  <si>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</si>
  <si>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</si>
  <si>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</si>
  <si>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</si>
  <si>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</si>
  <si>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</si>
  <si>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</si>
  <si>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</si>
  <si>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</si>
  <si>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</si>
  <si>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</si>
  <si>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</si>
  <si>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</si>
  <si>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</si>
  <si>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</si>
  <si>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</si>
  <si>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</si>
  <si>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</si>
  <si>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</si>
  <si>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</si>
  <si>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</si>
  <si>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</si>
  <si>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</si>
  <si>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</si>
  <si>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</si>
  <si>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</si>
  <si>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</si>
  <si>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</si>
  <si>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</si>
  <si>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</si>
  <si>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</si>
  <si>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</si>
  <si>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</si>
  <si>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</si>
  <si>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</si>
  <si>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</si>
  <si>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</si>
  <si>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</si>
  <si>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</si>
  <si>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</si>
  <si>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</si>
  <si>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</si>
  <si>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</si>
  <si>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中  间  使  用</t>
  </si>
  <si>
    <t>煤炭采选产品</t>
  </si>
  <si>
    <t>金属矿采选产品</t>
  </si>
  <si>
    <t>非金属矿和其他矿采选产品</t>
  </si>
  <si>
    <t>纺织品</t>
  </si>
  <si>
    <t>纺织服装鞋帽皮革羽绒及其制品</t>
  </si>
  <si>
    <t>化学产品</t>
  </si>
  <si>
    <t>金属冶炼和压延加工品</t>
  </si>
  <si>
    <t>交通运输设备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</si>
  <si>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</si>
  <si>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</si>
  <si>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</si>
  <si>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</si>
  <si>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</si>
  <si>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水利、环境和公共设施管理</t>
  </si>
  <si>
    <t>公共管理、社会保障和社会组织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</si>
  <si>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</si>
  <si>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</si>
  <si>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</si>
  <si>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</si>
  <si>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</si>
  <si>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</si>
  <si>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</si>
  <si>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</si>
  <si>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</si>
  <si>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</si>
  <si>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</si>
  <si>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</si>
  <si>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</si>
  <si>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</si>
  <si>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</si>
  <si>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</si>
  <si>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</si>
  <si>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</si>
  <si>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</si>
  <si>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</si>
  <si>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</si>
  <si>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</si>
  <si>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</si>
  <si>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</si>
  <si>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</si>
  <si>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</si>
  <si>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</si>
  <si>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</si>
  <si>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</si>
  <si>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</si>
  <si>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</si>
  <si>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</si>
  <si>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</si>
  <si>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</si>
  <si>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</si>
  <si>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</si>
  <si>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</si>
  <si>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</si>
  <si>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</si>
  <si>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</si>
  <si>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</si>
  <si>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</si>
  <si>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</t>
  </si>
  <si>
    <t>中   间   投  入</t>
  </si>
  <si>
    <t>国   产   品</t>
  </si>
  <si>
    <t>进   口   品</t>
  </si>
  <si>
    <t>Unit: dimensionless (%)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</si>
</sst>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"/>
  </numFmts>
  <fonts count="4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Arial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9"/>
      <name val="Arial"/>
      <charset val="134"/>
    </font>
    <font>
      <b/>
      <sz val="9"/>
      <color theme="1"/>
      <name val="Times New Roman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theme="10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" borderId="3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35" applyNumberFormat="0" applyFont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3" fillId="11" borderId="38" applyNumberFormat="0" applyAlignment="0" applyProtection="0">
      <alignment vertical="center"/>
    </xf>
    <xf numFmtId="0" fontId="34" fillId="11" borderId="34" applyNumberFormat="0" applyAlignment="0" applyProtection="0">
      <alignment vertical="center"/>
    </xf>
    <xf numFmtId="0" fontId="35" fillId="12" borderId="39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" fillId="0" borderId="0"/>
    <xf numFmtId="0" fontId="24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0" fillId="0" borderId="0"/>
    <xf numFmtId="0" fontId="40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52" applyFont="1" applyAlignment="1">
      <alignment vertical="center"/>
    </xf>
    <xf numFmtId="0" fontId="2" fillId="0" borderId="0" xfId="52"/>
    <xf numFmtId="0" fontId="3" fillId="0" borderId="1" xfId="52" applyFont="1" applyBorder="1"/>
    <xf numFmtId="0" fontId="2" fillId="0" borderId="1" xfId="52" applyBorder="1"/>
    <xf numFmtId="0" fontId="4" fillId="0" borderId="0" xfId="52" applyFont="1" applyAlignment="1">
      <alignment horizontal="center"/>
    </xf>
    <xf numFmtId="0" fontId="1" fillId="0" borderId="2" xfId="52" applyFont="1" applyBorder="1" applyAlignment="1">
      <alignment horizontal="center" vertical="center"/>
    </xf>
    <xf numFmtId="0" fontId="1" fillId="0" borderId="3" xfId="52" applyFont="1" applyBorder="1" applyAlignment="1">
      <alignment horizontal="center" vertical="center"/>
    </xf>
    <xf numFmtId="0" fontId="5" fillId="0" borderId="4" xfId="52" applyFont="1" applyBorder="1" applyAlignment="1">
      <alignment horizontal="center" vertical="center" textRotation="255"/>
    </xf>
    <xf numFmtId="0" fontId="6" fillId="0" borderId="5" xfId="52" applyFont="1" applyBorder="1" applyAlignment="1">
      <alignment horizontal="center" vertical="center" wrapText="1"/>
    </xf>
    <xf numFmtId="0" fontId="6" fillId="0" borderId="6" xfId="52" applyFont="1" applyBorder="1" applyAlignment="1">
      <alignment horizontal="center" vertical="center" wrapText="1"/>
    </xf>
    <xf numFmtId="0" fontId="1" fillId="0" borderId="7" xfId="52" applyFont="1" applyBorder="1" applyAlignment="1">
      <alignment horizontal="center" vertical="center"/>
    </xf>
    <xf numFmtId="0" fontId="1" fillId="0" borderId="8" xfId="52" applyFont="1" applyBorder="1" applyAlignment="1">
      <alignment horizontal="center" vertical="center"/>
    </xf>
    <xf numFmtId="0" fontId="5" fillId="0" borderId="9" xfId="52" applyFont="1" applyBorder="1" applyAlignment="1">
      <alignment horizontal="center" vertical="center" textRotation="255"/>
    </xf>
    <xf numFmtId="0" fontId="5" fillId="0" borderId="10" xfId="52" applyFont="1" applyBorder="1" applyAlignment="1">
      <alignment horizontal="center" vertical="center" wrapText="1"/>
    </xf>
    <xf numFmtId="0" fontId="5" fillId="0" borderId="11" xfId="52" applyFont="1" applyBorder="1" applyAlignment="1">
      <alignment horizontal="center" vertical="center"/>
    </xf>
    <xf numFmtId="0" fontId="5" fillId="0" borderId="12" xfId="52" applyFont="1" applyBorder="1" applyAlignment="1">
      <alignment horizontal="center" vertical="center"/>
    </xf>
    <xf numFmtId="0" fontId="5" fillId="0" borderId="10" xfId="52" applyFont="1" applyBorder="1" applyAlignment="1">
      <alignment horizontal="center" vertical="center"/>
    </xf>
    <xf numFmtId="49" fontId="5" fillId="0" borderId="10" xfId="52" applyNumberFormat="1" applyFont="1" applyBorder="1" applyAlignment="1">
      <alignment horizontal="center" vertical="center"/>
    </xf>
    <xf numFmtId="0" fontId="7" fillId="0" borderId="12" xfId="52" applyFont="1" applyBorder="1" applyAlignment="1">
      <alignment horizontal="center" vertical="center" textRotation="255" wrapText="1"/>
    </xf>
    <xf numFmtId="0" fontId="6" fillId="0" borderId="10" xfId="52" applyFont="1" applyBorder="1" applyAlignment="1">
      <alignment horizontal="center" vertical="center" textRotation="255" wrapText="1"/>
    </xf>
    <xf numFmtId="0" fontId="5" fillId="0" borderId="10" xfId="52" applyFont="1" applyBorder="1" applyAlignment="1">
      <alignment vertical="center"/>
    </xf>
    <xf numFmtId="176" fontId="8" fillId="0" borderId="10" xfId="52" applyNumberFormat="1" applyFont="1" applyBorder="1" applyAlignment="1">
      <alignment horizontal="right" vertical="center" wrapText="1"/>
    </xf>
    <xf numFmtId="0" fontId="6" fillId="0" borderId="13" xfId="52" applyFont="1" applyBorder="1" applyAlignment="1">
      <alignment horizontal="center" vertical="center" textRotation="255" wrapText="1"/>
    </xf>
    <xf numFmtId="0" fontId="5" fillId="0" borderId="13" xfId="52" applyFont="1" applyBorder="1" applyAlignment="1">
      <alignment vertical="center"/>
    </xf>
    <xf numFmtId="0" fontId="5" fillId="0" borderId="13" xfId="52" applyFont="1" applyBorder="1" applyAlignment="1">
      <alignment horizontal="center" vertical="center"/>
    </xf>
    <xf numFmtId="0" fontId="6" fillId="0" borderId="9" xfId="52" applyFont="1" applyBorder="1" applyAlignment="1">
      <alignment horizontal="center" vertical="center" textRotation="255" wrapText="1"/>
    </xf>
    <xf numFmtId="0" fontId="5" fillId="0" borderId="9" xfId="52" applyFont="1" applyBorder="1" applyAlignment="1">
      <alignment vertical="center"/>
    </xf>
    <xf numFmtId="0" fontId="5" fillId="0" borderId="9" xfId="52" applyFont="1" applyBorder="1" applyAlignment="1">
      <alignment horizontal="center" vertical="center"/>
    </xf>
    <xf numFmtId="0" fontId="9" fillId="0" borderId="10" xfId="52" applyFont="1" applyBorder="1" applyAlignment="1">
      <alignment horizontal="center" vertical="center" wrapText="1"/>
    </xf>
    <xf numFmtId="0" fontId="1" fillId="0" borderId="0" xfId="52" applyFont="1"/>
    <xf numFmtId="0" fontId="6" fillId="0" borderId="14" xfId="52" applyFont="1" applyBorder="1" applyAlignment="1">
      <alignment horizontal="center" vertical="center" wrapText="1"/>
    </xf>
    <xf numFmtId="0" fontId="10" fillId="0" borderId="10" xfId="52" applyFont="1" applyBorder="1" applyAlignment="1">
      <alignment horizontal="center" vertical="center" wrapText="1"/>
    </xf>
    <xf numFmtId="49" fontId="11" fillId="0" borderId="10" xfId="52" applyNumberFormat="1" applyFont="1" applyBorder="1" applyAlignment="1">
      <alignment horizontal="center" vertical="center"/>
    </xf>
    <xf numFmtId="176" fontId="12" fillId="0" borderId="10" xfId="52" applyNumberFormat="1" applyFont="1" applyBorder="1" applyAlignment="1">
      <alignment horizontal="right" vertical="center" wrapText="1"/>
    </xf>
    <xf numFmtId="0" fontId="1" fillId="0" borderId="1" xfId="52" applyFont="1" applyBorder="1"/>
    <xf numFmtId="0" fontId="10" fillId="0" borderId="15" xfId="52" applyFont="1" applyBorder="1" applyAlignment="1">
      <alignment horizontal="center" vertical="center" wrapText="1"/>
    </xf>
    <xf numFmtId="0" fontId="10" fillId="0" borderId="16" xfId="52" applyFont="1" applyBorder="1" applyAlignment="1">
      <alignment horizontal="center" vertical="center" wrapText="1"/>
    </xf>
    <xf numFmtId="0" fontId="11" fillId="0" borderId="10" xfId="52" applyFont="1" applyBorder="1" applyAlignment="1">
      <alignment horizontal="center" vertical="center"/>
    </xf>
    <xf numFmtId="0" fontId="13" fillId="0" borderId="10" xfId="51" applyFont="1" applyBorder="1" applyAlignment="1">
      <alignment horizontal="center" vertical="center"/>
    </xf>
    <xf numFmtId="49" fontId="11" fillId="0" borderId="17" xfId="51" applyNumberFormat="1" applyFont="1" applyBorder="1" applyAlignment="1">
      <alignment horizontal="center" vertical="center"/>
    </xf>
    <xf numFmtId="176" fontId="12" fillId="0" borderId="18" xfId="52" applyNumberFormat="1" applyFont="1" applyBorder="1" applyAlignment="1">
      <alignment horizontal="right" vertical="center" wrapText="1"/>
    </xf>
    <xf numFmtId="0" fontId="11" fillId="0" borderId="10" xfId="52" applyFont="1" applyBorder="1" applyAlignment="1">
      <alignment horizontal="left"/>
    </xf>
    <xf numFmtId="0" fontId="4" fillId="0" borderId="10" xfId="52" applyFont="1" applyBorder="1" applyAlignment="1">
      <alignment horizontal="center" vertical="center"/>
    </xf>
    <xf numFmtId="0" fontId="11" fillId="0" borderId="12" xfId="52" applyFont="1" applyBorder="1" applyAlignment="1">
      <alignment horizontal="center" vertical="center"/>
    </xf>
    <xf numFmtId="0" fontId="5" fillId="0" borderId="10" xfId="52" applyFont="1" applyBorder="1" applyAlignment="1">
      <alignment horizontal="left"/>
    </xf>
    <xf numFmtId="0" fontId="11" fillId="0" borderId="19" xfId="52" applyFont="1" applyBorder="1" applyAlignment="1">
      <alignment horizontal="center"/>
    </xf>
    <xf numFmtId="0" fontId="11" fillId="0" borderId="20" xfId="52" applyFont="1" applyBorder="1" applyAlignment="1">
      <alignment horizontal="center"/>
    </xf>
    <xf numFmtId="0" fontId="11" fillId="0" borderId="20" xfId="52" applyFont="1" applyBorder="1" applyAlignment="1">
      <alignment horizontal="center" vertical="center"/>
    </xf>
    <xf numFmtId="176" fontId="12" fillId="0" borderId="20" xfId="52" applyNumberFormat="1" applyFont="1" applyBorder="1" applyAlignment="1">
      <alignment horizontal="right" vertical="center" wrapText="1"/>
    </xf>
    <xf numFmtId="176" fontId="14" fillId="0" borderId="10" xfId="52" applyNumberFormat="1" applyFont="1" applyBorder="1" applyAlignment="1">
      <alignment horizontal="right"/>
    </xf>
    <xf numFmtId="176" fontId="15" fillId="0" borderId="17" xfId="52" applyNumberFormat="1" applyFont="1" applyBorder="1" applyAlignment="1">
      <alignment horizontal="right"/>
    </xf>
    <xf numFmtId="176" fontId="15" fillId="0" borderId="21" xfId="52" applyNumberFormat="1" applyFont="1" applyBorder="1" applyAlignment="1">
      <alignment horizontal="right"/>
    </xf>
    <xf numFmtId="176" fontId="14" fillId="0" borderId="21" xfId="52" applyNumberFormat="1" applyFont="1" applyBorder="1" applyAlignment="1">
      <alignment horizontal="right"/>
    </xf>
    <xf numFmtId="176" fontId="14" fillId="0" borderId="20" xfId="52" applyNumberFormat="1" applyFont="1" applyBorder="1" applyAlignment="1">
      <alignment horizontal="right"/>
    </xf>
    <xf numFmtId="176" fontId="14" fillId="0" borderId="22" xfId="52" applyNumberFormat="1" applyFont="1" applyBorder="1" applyAlignment="1">
      <alignment horizontal="right"/>
    </xf>
    <xf numFmtId="176" fontId="15" fillId="0" borderId="23" xfId="52" applyNumberFormat="1" applyFont="1" applyBorder="1" applyAlignment="1">
      <alignment horizontal="right"/>
    </xf>
    <xf numFmtId="176" fontId="14" fillId="0" borderId="23" xfId="52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76" fontId="15" fillId="0" borderId="0" xfId="52" applyNumberFormat="1" applyFont="1" applyAlignment="1">
      <alignment horizontal="right"/>
    </xf>
    <xf numFmtId="176" fontId="14" fillId="0" borderId="0" xfId="52" applyNumberFormat="1" applyFont="1" applyAlignment="1">
      <alignment horizontal="right"/>
    </xf>
    <xf numFmtId="176" fontId="14" fillId="0" borderId="1" xfId="52" applyNumberFormat="1" applyFont="1" applyBorder="1" applyAlignment="1">
      <alignment horizontal="right"/>
    </xf>
    <xf numFmtId="0" fontId="0" fillId="0" borderId="0" xfId="50" applyAlignment="1">
      <alignment horizontal="left" vertical="center"/>
    </xf>
    <xf numFmtId="0" fontId="0" fillId="0" borderId="0" xfId="53"/>
    <xf numFmtId="1" fontId="5" fillId="0" borderId="0" xfId="53" applyNumberFormat="1" applyFont="1"/>
    <xf numFmtId="0" fontId="0" fillId="0" borderId="1" xfId="0" applyBorder="1" applyAlignment="1"/>
    <xf numFmtId="0" fontId="5" fillId="0" borderId="1" xfId="53" applyFont="1" applyBorder="1"/>
    <xf numFmtId="0" fontId="0" fillId="0" borderId="1" xfId="53" applyBorder="1"/>
    <xf numFmtId="0" fontId="3" fillId="0" borderId="0" xfId="53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textRotation="255"/>
    </xf>
    <xf numFmtId="0" fontId="9" fillId="0" borderId="9" xfId="53" applyFont="1" applyBorder="1" applyAlignment="1">
      <alignment horizontal="center" vertical="center" wrapText="1"/>
    </xf>
    <xf numFmtId="0" fontId="5" fillId="0" borderId="24" xfId="53" applyFont="1" applyBorder="1" applyAlignment="1">
      <alignment vertical="center"/>
    </xf>
    <xf numFmtId="0" fontId="5" fillId="0" borderId="25" xfId="53" applyFont="1" applyBorder="1" applyAlignment="1">
      <alignment horizontal="center" vertical="center"/>
    </xf>
    <xf numFmtId="49" fontId="5" fillId="0" borderId="10" xfId="53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9" fillId="0" borderId="12" xfId="53" applyFont="1" applyBorder="1" applyAlignment="1">
      <alignment horizontal="justify" vertical="center" wrapText="1"/>
    </xf>
    <xf numFmtId="49" fontId="16" fillId="0" borderId="18" xfId="53" applyNumberFormat="1" applyFont="1" applyBorder="1" applyAlignment="1">
      <alignment horizontal="center" vertical="center" wrapText="1"/>
    </xf>
    <xf numFmtId="1" fontId="16" fillId="0" borderId="27" xfId="53" applyNumberFormat="1" applyFont="1" applyBorder="1" applyAlignment="1">
      <alignment horizontal="right" vertical="center" wrapText="1"/>
    </xf>
    <xf numFmtId="49" fontId="16" fillId="0" borderId="18" xfId="54" applyNumberFormat="1" applyFont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9" fillId="0" borderId="24" xfId="53" applyFont="1" applyBorder="1" applyAlignment="1">
      <alignment horizontal="justify" vertical="center" wrapText="1"/>
    </xf>
    <xf numFmtId="49" fontId="16" fillId="0" borderId="17" xfId="0" applyNumberFormat="1" applyFont="1" applyBorder="1" applyAlignment="1">
      <alignment horizontal="center" vertical="center" wrapText="1"/>
    </xf>
    <xf numFmtId="0" fontId="0" fillId="0" borderId="28" xfId="0" applyBorder="1">
      <alignment vertical="center"/>
    </xf>
    <xf numFmtId="49" fontId="16" fillId="0" borderId="10" xfId="0" applyNumberFormat="1" applyFont="1" applyBorder="1" applyAlignment="1">
      <alignment horizontal="center" vertical="center" wrapText="1"/>
    </xf>
    <xf numFmtId="1" fontId="16" fillId="0" borderId="9" xfId="53" applyNumberFormat="1" applyFont="1" applyBorder="1" applyAlignment="1">
      <alignment horizontal="right" vertical="center" wrapText="1"/>
    </xf>
    <xf numFmtId="0" fontId="3" fillId="0" borderId="28" xfId="0" applyFont="1" applyBorder="1" applyAlignment="1">
      <alignment horizontal="center" vertical="center"/>
    </xf>
    <xf numFmtId="0" fontId="9" fillId="0" borderId="26" xfId="53" applyFont="1" applyBorder="1" applyAlignment="1">
      <alignment horizontal="justify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49" fontId="16" fillId="0" borderId="31" xfId="0" applyNumberFormat="1" applyFont="1" applyBorder="1" applyAlignment="1">
      <alignment horizontal="center" vertical="top" wrapText="1"/>
    </xf>
    <xf numFmtId="1" fontId="5" fillId="0" borderId="32" xfId="53" applyNumberFormat="1" applyFont="1" applyBorder="1" applyAlignment="1">
      <alignment horizontal="right" vertical="center"/>
    </xf>
    <xf numFmtId="0" fontId="9" fillId="0" borderId="28" xfId="53" applyFont="1" applyBorder="1" applyAlignment="1">
      <alignment horizontal="center" vertical="center" wrapText="1"/>
    </xf>
    <xf numFmtId="0" fontId="16" fillId="0" borderId="28" xfId="46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14" xfId="0" applyBorder="1">
      <alignment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/>
    </xf>
    <xf numFmtId="1" fontId="5" fillId="0" borderId="27" xfId="53" applyNumberFormat="1" applyFont="1" applyBorder="1" applyAlignment="1">
      <alignment horizontal="right" vertical="center"/>
    </xf>
    <xf numFmtId="1" fontId="5" fillId="0" borderId="21" xfId="53" applyNumberFormat="1" applyFont="1" applyBorder="1" applyAlignment="1">
      <alignment horizontal="right" vertical="center"/>
    </xf>
    <xf numFmtId="0" fontId="0" fillId="0" borderId="23" xfId="53" applyBorder="1" applyAlignment="1">
      <alignment horizontal="right" vertical="center"/>
    </xf>
    <xf numFmtId="0" fontId="0" fillId="0" borderId="0" xfId="53" applyAlignment="1">
      <alignment horizontal="right" vertical="center"/>
    </xf>
    <xf numFmtId="1" fontId="0" fillId="0" borderId="0" xfId="53" applyNumberFormat="1" applyAlignment="1">
      <alignment horizontal="right" vertical="center"/>
    </xf>
    <xf numFmtId="1" fontId="5" fillId="0" borderId="22" xfId="53" applyNumberFormat="1" applyFont="1" applyBorder="1" applyAlignment="1">
      <alignment horizontal="right" vertical="center"/>
    </xf>
    <xf numFmtId="0" fontId="0" fillId="0" borderId="1" xfId="53" applyBorder="1" applyAlignment="1">
      <alignment horizontal="right" vertical="center"/>
    </xf>
    <xf numFmtId="0" fontId="17" fillId="0" borderId="0" xfId="0" applyFont="1" applyAlignment="1"/>
    <xf numFmtId="1" fontId="0" fillId="0" borderId="0" xfId="53" applyNumberFormat="1"/>
    <xf numFmtId="0" fontId="17" fillId="0" borderId="1" xfId="0" applyFont="1" applyBorder="1" applyAlignment="1"/>
    <xf numFmtId="0" fontId="9" fillId="0" borderId="1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" fontId="16" fillId="0" borderId="29" xfId="53" applyNumberFormat="1" applyFont="1" applyBorder="1" applyAlignment="1">
      <alignment horizontal="right" vertical="center" wrapText="1"/>
    </xf>
    <xf numFmtId="177" fontId="0" fillId="0" borderId="0" xfId="0" applyNumberFormat="1" applyAlignment="1">
      <alignment wrapText="1"/>
    </xf>
    <xf numFmtId="177" fontId="0" fillId="0" borderId="0" xfId="0" applyNumberFormat="1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18" fillId="0" borderId="0" xfId="10" applyFont="1" applyAlignment="1"/>
    <xf numFmtId="0" fontId="19" fillId="0" borderId="0" xfId="0" applyFont="1" applyAlignment="1"/>
    <xf numFmtId="0" fontId="20" fillId="0" borderId="0" xfId="0" applyFont="1" applyAlignment="1"/>
    <xf numFmtId="178" fontId="0" fillId="0" borderId="0" xfId="0" applyNumberFormat="1" applyAlignment="1"/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  <cellStyle name="常规 4" xfId="52"/>
    <cellStyle name="常规 5" xfId="53"/>
    <cellStyle name="常规_Sheet1" xfId="54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0" sqref="A10"/>
    </sheetView>
  </sheetViews>
  <sheetFormatPr defaultColWidth="9" defaultRowHeight="13.5" outlineLevelCol="2"/>
  <cols>
    <col min="1" max="1" width="9" style="1"/>
    <col min="2" max="2" width="77.625" style="1" customWidth="1"/>
    <col min="3" max="16384" width="9" style="1"/>
  </cols>
  <sheetData>
    <row r="1" spans="1:1">
      <c r="A1" s="140" t="s">
        <v>0</v>
      </c>
    </row>
    <row r="3" spans="1:3">
      <c r="A3" s="140" t="s">
        <v>1</v>
      </c>
      <c r="B3" s="140" t="s">
        <v>2</v>
      </c>
      <c r="C3" s="140"/>
    </row>
    <row r="4" spans="2:2">
      <c r="B4" s="1" t="s">
        <v>3</v>
      </c>
    </row>
    <row r="5" spans="2:2">
      <c r="B5" s="141">
        <v>2020</v>
      </c>
    </row>
    <row r="6" spans="2:2">
      <c r="B6" s="1" t="s">
        <v>4</v>
      </c>
    </row>
    <row r="7" spans="2:2">
      <c r="B7" s="142"/>
    </row>
    <row r="8" spans="1:1">
      <c r="A8" s="140" t="s">
        <v>5</v>
      </c>
    </row>
    <row r="9" spans="1:1">
      <c r="A9" s="1" t="s">
        <v>6</v>
      </c>
    </row>
    <row r="10" spans="1:2">
      <c r="A10" s="1" t="s">
        <v>7</v>
      </c>
      <c r="B10" s="140"/>
    </row>
    <row r="11" spans="2:2">
      <c r="B11" s="143"/>
    </row>
    <row r="15" spans="1:1">
      <c r="A15" s="140"/>
    </row>
    <row r="25" spans="1:1">
      <c r="A25" s="140"/>
    </row>
    <row r="34" spans="1:1">
      <c r="A34" s="143"/>
    </row>
    <row r="35" spans="1:1">
      <c r="A35" s="143"/>
    </row>
    <row r="36" spans="1:1">
      <c r="A36" s="143"/>
    </row>
    <row r="38" spans="1:1">
      <c r="A38" s="144"/>
    </row>
    <row r="43" spans="1:1">
      <c r="A43" s="143"/>
    </row>
    <row r="44" spans="1:1">
      <c r="A44" s="143"/>
    </row>
    <row r="45" spans="1:1">
      <c r="A45" s="143"/>
    </row>
    <row r="46" spans="1:1">
      <c r="A46" s="143"/>
    </row>
    <row r="47" spans="1:1">
      <c r="A47" s="143"/>
    </row>
    <row r="48" spans="1:1">
      <c r="A48" s="143"/>
    </row>
    <row r="49" spans="1:1">
      <c r="A49" s="140"/>
    </row>
    <row r="51" spans="1:1">
      <c r="A51" s="14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7"/>
  <sheetViews>
    <sheetView tabSelected="1" workbookViewId="0">
      <pane xSplit="2" topLeftCell="AC1" activePane="topRight" state="frozen"/>
      <selection/>
      <selection pane="topRight" activeCell="AM35" sqref="AM35"/>
    </sheetView>
  </sheetViews>
  <sheetFormatPr defaultColWidth="9" defaultRowHeight="13.5"/>
  <cols>
    <col min="1" max="1" width="23.875" customWidth="1"/>
    <col min="2" max="43" width="12.625"/>
  </cols>
  <sheetData>
    <row r="1" spans="2:43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</row>
    <row r="2" spans="1:43">
      <c r="A2" s="2" t="s">
        <v>50</v>
      </c>
      <c r="B2">
        <f>'2020年全国投入产出表'!$BF$7*$B$14</f>
        <v>183307102.265374</v>
      </c>
      <c r="C2">
        <f>'2020年全国投入产出表'!$BF$8*$B$14</f>
        <v>32357904.4186724</v>
      </c>
      <c r="D2">
        <f>$B$14*'2020年全国投入产出表'!$BF$9</f>
        <v>14823541.9478243</v>
      </c>
      <c r="E2">
        <f>$B$14*'2020年全国投入产出表'!$BF$10</f>
        <v>26640168.7993303</v>
      </c>
      <c r="F2">
        <f>$B$14*'2020年全国投入产出表'!$BF$11</f>
        <v>2785605.71956375</v>
      </c>
      <c r="G2">
        <f>$B$14*'2020年全国投入产出表'!$BF$12</f>
        <v>172250937.577507</v>
      </c>
      <c r="H2">
        <f>$B$14*'2020年全国投入产出表'!$BF$13</f>
        <v>104254823.975387</v>
      </c>
      <c r="I2">
        <f>$B$14*'2020年全国投入产出表'!$BF$14</f>
        <v>36534304.1615627</v>
      </c>
      <c r="J2">
        <f>$B$14*'2020年全国投入产出表'!$BF$15</f>
        <v>58968554.7379211</v>
      </c>
      <c r="K2">
        <f>$B$14*'2020年全国投入产出表'!$BF$16</f>
        <v>56345004.1311146</v>
      </c>
      <c r="L2">
        <f>$B$14*'2020年全国投入产出表'!$BF$17</f>
        <v>117704625.761834</v>
      </c>
      <c r="M2">
        <f>$B$14*'2020年全国投入产出表'!$BF$18</f>
        <v>41302930.6654977</v>
      </c>
      <c r="N2">
        <f>$B$14*'2020年全国投入产出表'!$BF$19</f>
        <v>49305313.7484975</v>
      </c>
      <c r="O2">
        <f>$B$14*'2020年全国投入产出表'!$BF$20</f>
        <v>100902336.170726</v>
      </c>
      <c r="P2">
        <f>$B$14*'2020年全国投入产出表'!$BF$25</f>
        <v>53319139.3051828</v>
      </c>
      <c r="Q2">
        <f>$B$14*'2020年全国投入产出表'!$BF$21</f>
        <v>94085606.7780527</v>
      </c>
      <c r="R2">
        <f>$B$14*'2020年全国投入产出表'!$BF$22</f>
        <v>72221184.3524632</v>
      </c>
      <c r="S2">
        <f>$B$14*'2020年全国投入产出表'!$BF$23</f>
        <v>71507004.644594</v>
      </c>
      <c r="T2">
        <f>$B$14*'2020年全国投入产出表'!$BF$29</f>
        <v>163600852.425482</v>
      </c>
      <c r="U2">
        <f>$B$14*'2020年全国投入产出表'!$BF$28</f>
        <v>96034232.9534342</v>
      </c>
      <c r="V2">
        <f>$B$14*'2020年全国投入产出表'!$BF$24</f>
        <v>73355558.5892993</v>
      </c>
      <c r="W2">
        <f>$B$14*'2020年全国投入产出表'!$BF$26</f>
        <v>97244348.4301432</v>
      </c>
      <c r="X2">
        <f>$B$14*'2020年全国投入产出表'!$BF$27</f>
        <v>21475422.4186961</v>
      </c>
      <c r="Y2">
        <f>$B$14*'2020年全国投入产出表'!$BF$30</f>
        <v>2848964.36163489</v>
      </c>
      <c r="Z2">
        <f>$B$14*'2020年全国投入产出表'!$BF$31</f>
        <v>96287002.4235236</v>
      </c>
      <c r="AA2">
        <f>$B$14*'2020年全国投入产出表'!$BF$32</f>
        <v>11187008.9847829</v>
      </c>
      <c r="AB2">
        <f>$B$14*'2020年全国投入产出表'!$BF$33</f>
        <v>5599430.25814438</v>
      </c>
      <c r="AC2">
        <f>$B$14*'2020年全国投入产出表'!$BF$34</f>
        <v>393722919.944854</v>
      </c>
      <c r="AD2">
        <f>$B$14*'2020年全国投入产出表'!$BF$35</f>
        <v>206271564.23206</v>
      </c>
      <c r="AE2">
        <f>$B$14*'2020年全国投入产出表'!$BF$36</f>
        <v>165066738.15155</v>
      </c>
      <c r="AF2">
        <f>$B$14*'2020年全国投入产出表'!$BF$37</f>
        <v>59463683.3624863</v>
      </c>
      <c r="AG2">
        <f>$B$14*'2020年全国投入产出表'!$BF$38</f>
        <v>132866324.442809</v>
      </c>
      <c r="AH2">
        <f>$B$14*'2020年全国投入产出表'!$BF$41</f>
        <v>132497394.579905</v>
      </c>
      <c r="AI2">
        <f>$B$14*'2020年全国投入产出表'!$BF$42</f>
        <v>31873918.5997465</v>
      </c>
      <c r="AJ2">
        <f>$B$14*'2020年全国投入产出表'!$BF$39</f>
        <v>169223635.399254</v>
      </c>
      <c r="AK2">
        <f>$B$14*'2020年全国投入产出表'!$BF$40</f>
        <v>146822821.732896</v>
      </c>
      <c r="AL2">
        <f>$B$14*'2020年全国投入产出表'!$BF$43</f>
        <v>71548877.3492903</v>
      </c>
      <c r="AM2">
        <f>$B$14*'2020年全国投入产出表'!$BF$48</f>
        <v>124946372.103749</v>
      </c>
      <c r="AN2">
        <f>$B$14*'2020年全国投入产出表'!$BF$45</f>
        <v>73297273.5352045</v>
      </c>
      <c r="AO2">
        <f>$B$14*'2020年全国投入产出表'!$BF$46</f>
        <v>68835277.0618818</v>
      </c>
      <c r="AP2">
        <f>$B$14*'2020年全国投入产出表'!$BF$47</f>
        <v>21451951.0141906</v>
      </c>
      <c r="AQ2">
        <f>$B$14*'2020年全国投入产出表'!$BF$44</f>
        <v>41341672.7129937</v>
      </c>
    </row>
    <row r="3" spans="1:43">
      <c r="A3" s="2" t="s">
        <v>51</v>
      </c>
      <c r="B3">
        <f>$B$14*'2020年全国投入产出表'!$BE$7</f>
        <v>8845713.04867287</v>
      </c>
      <c r="C3">
        <f>$B$14*'2020年全国投入产出表'!$BE$8</f>
        <v>2055540.11895367</v>
      </c>
      <c r="D3">
        <f>$B$14*'2020年全国投入产出表'!$BE$9</f>
        <v>19999809.2627533</v>
      </c>
      <c r="E3">
        <f>$B$14*'2020年全国投入产出表'!$BE$10</f>
        <v>18534353.0210132</v>
      </c>
      <c r="F3">
        <f>$B$14*'2020年全国投入产出表'!$BE$11</f>
        <v>0</v>
      </c>
      <c r="G3">
        <f>$B$14*'2020年全国投入产出表'!$BE$12</f>
        <v>11174570.1258935</v>
      </c>
      <c r="H3">
        <f>$B$14*'2020年全国投入产出表'!$BE$13</f>
        <v>4137159.61887543</v>
      </c>
      <c r="I3">
        <f>$B$14*'2020年全国投入产出表'!$BE$14</f>
        <v>1340286.84792028</v>
      </c>
      <c r="J3">
        <f>$B$14*'2020年全国投入产出表'!$BE$15</f>
        <v>3566621.42132027</v>
      </c>
      <c r="K3">
        <f>$B$14*'2020年全国投入产出表'!$BE$16</f>
        <v>3117808.25352434</v>
      </c>
      <c r="L3">
        <f>$B$14*'2020年全国投入产出表'!$BE$17</f>
        <v>16940663.9771044</v>
      </c>
      <c r="M3">
        <f>$B$14*'2020年全国投入产出表'!$BE$18</f>
        <v>4272575.41615323</v>
      </c>
      <c r="N3">
        <f>$B$14*'2020年全国投入产出表'!$BE$19</f>
        <v>2320086.05699275</v>
      </c>
      <c r="O3">
        <f>$B$14*'2020年全国投入产出表'!$BE$20</f>
        <v>1711923.08156454</v>
      </c>
      <c r="P3">
        <f>$B$14*'2020年全国投入产出表'!$BE$25</f>
        <v>8151482.7527913</v>
      </c>
      <c r="Q3">
        <f>$B$14*'2020年全国投入产出表'!$BE$21</f>
        <v>3653415.36858332</v>
      </c>
      <c r="R3">
        <f>$B$14*'2020年全国投入产出表'!$BE$22</f>
        <v>7525723.79025492</v>
      </c>
      <c r="S3">
        <f>$B$14*'2020年全国投入产出表'!$BE$23</f>
        <v>1127006.84982335</v>
      </c>
      <c r="T3">
        <f>$B$14*'2020年全国投入产出表'!$BE$29</f>
        <v>55357029.6751006</v>
      </c>
      <c r="U3">
        <f>$B$14*'2020年全国投入产出表'!$BE$28</f>
        <v>6942578.64103652</v>
      </c>
      <c r="V3">
        <f>$B$14*'2020年全国投入产出表'!$BE$24</f>
        <v>7628936.32962626</v>
      </c>
      <c r="W3">
        <f>$B$14*'2020年全国投入产出表'!$BE$26</f>
        <v>7093261.10531868</v>
      </c>
      <c r="X3">
        <f>$B$14*'2020年全国投入产出表'!$BE$27</f>
        <v>1267414.08554152</v>
      </c>
      <c r="Y3">
        <f>$B$14*'2020年全国投入产出表'!$BE$30</f>
        <v>319013.443213707</v>
      </c>
      <c r="Z3">
        <f>$B$14*'2020年全国投入产出表'!$BE$31</f>
        <v>16961.1019718333</v>
      </c>
      <c r="AA3">
        <f>$B$14*'2020年全国投入产出表'!$BE$32</f>
        <v>0</v>
      </c>
      <c r="AB3">
        <f>$B$14*'2020年全国投入产出表'!$BE$33</f>
        <v>0</v>
      </c>
      <c r="AC3">
        <f>$B$14*'2020年全国投入产出表'!$BE$34</f>
        <v>763279.597924323</v>
      </c>
      <c r="AD3">
        <f>$B$14*'2020年全国投入产出表'!$BE$35</f>
        <v>0</v>
      </c>
      <c r="AE3">
        <f>$B$14*'2020年全国投入产出表'!$BE$36</f>
        <v>5412723.25218587</v>
      </c>
      <c r="AF3">
        <f>$B$14*'2020年全国投入产出表'!$BE$37</f>
        <v>3822200.07117814</v>
      </c>
      <c r="AG3">
        <f>$B$14*'2020年全国投入产出表'!$BE$38</f>
        <v>3806254.27191034</v>
      </c>
      <c r="AH3">
        <f>$B$14*'2020年全国投入产出表'!$BE$41</f>
        <v>4189699.29731688</v>
      </c>
      <c r="AI3">
        <f>$B$14*'2020年全国投入产出表'!$BE$42</f>
        <v>3819424.49566574</v>
      </c>
      <c r="AJ3">
        <f>$B$14*'2020年全国投入产出表'!$BE$39</f>
        <v>1454020.61939394</v>
      </c>
      <c r="AK3">
        <f>$B$14*'2020年全国投入产出表'!$BE$40</f>
        <v>0</v>
      </c>
      <c r="AL3">
        <f>$B$14*'2020年全国投入产出表'!$BE$43</f>
        <v>75.2396764285139</v>
      </c>
      <c r="AM3">
        <f>$B$14*'2020年全国投入产出表'!$BE$48</f>
        <v>708252.113868932</v>
      </c>
      <c r="AN3">
        <f>$B$14*'2020年全国投入产出表'!$BE$45</f>
        <v>0</v>
      </c>
      <c r="AO3">
        <f>$B$14*'2020年全国投入产出表'!$BE$46</f>
        <v>164498.858205155</v>
      </c>
      <c r="AP3">
        <f>$B$14*'2020年全国投入产出表'!$BE$47</f>
        <v>1547198.82466751</v>
      </c>
      <c r="AQ3">
        <f>$B$14*'2020年全国投入产出表'!$BE$44</f>
        <v>156336.352390279</v>
      </c>
    </row>
    <row r="4" spans="1:43">
      <c r="A4" s="2" t="s">
        <v>52</v>
      </c>
      <c r="B4">
        <f>$B$14*'2020年全国投入产出表'!$BC$7</f>
        <v>2501342.97519124</v>
      </c>
      <c r="C4">
        <f>$B$14*'2020年全国投入产出表'!$BC$8</f>
        <v>35898.6822950266</v>
      </c>
      <c r="D4">
        <f>$B$14*'2020年全国投入产出表'!$BC$9</f>
        <v>149394.680526145</v>
      </c>
      <c r="E4">
        <f>$B$14*'2020年全国投入产出表'!$BC$10</f>
        <v>458804.011438903</v>
      </c>
      <c r="F4">
        <f>$B$14*'2020年全国投入产出表'!$BC$11</f>
        <v>0</v>
      </c>
      <c r="G4">
        <f>$B$14*'2020年全国投入产出表'!$BC$12</f>
        <v>4932504.80899496</v>
      </c>
      <c r="H4">
        <f>$B$14*'2020年全国投入产出表'!$BC$13</f>
        <v>25713303.6205004</v>
      </c>
      <c r="I4">
        <f>$B$14*'2020年全国投入产出表'!$BC$14</f>
        <v>6161973.46852283</v>
      </c>
      <c r="J4">
        <f>$B$14*'2020年全国投入产出表'!$BC$15</f>
        <v>9095204.57788897</v>
      </c>
      <c r="K4">
        <f>$B$14*'2020年全国投入产出表'!$BC$16</f>
        <v>2199826.37390412</v>
      </c>
      <c r="L4">
        <f>$B$14*'2020年全国投入产出表'!$BC$17</f>
        <v>9113559.24255844</v>
      </c>
      <c r="M4">
        <f>$B$14*'2020年全国投入产出表'!$BC$18</f>
        <v>3156482.6230512</v>
      </c>
      <c r="N4">
        <f>$B$14*'2020年全国投入产出表'!$BC$19</f>
        <v>7862690.50543584</v>
      </c>
      <c r="O4">
        <f>$B$14*'2020年全国投入产出表'!$BC$20</f>
        <v>4756409.63264761</v>
      </c>
      <c r="P4">
        <f>$B$14*'2020年全国投入产出表'!$BC$25</f>
        <v>8169608.95154994</v>
      </c>
      <c r="Q4">
        <f>$B$14*'2020年全国投入产出表'!$BC$21</f>
        <v>3822266.37352481</v>
      </c>
      <c r="R4">
        <f>$B$14*'2020年全国投入产出表'!$BC$22</f>
        <v>2472995.43925483</v>
      </c>
      <c r="S4">
        <f>$B$14*'2020年全国投入产出表'!$BC$23</f>
        <v>8582320.34870699</v>
      </c>
      <c r="T4">
        <f>$B$14*'2020年全国投入产出表'!$BC$29</f>
        <v>60479211.5455493</v>
      </c>
      <c r="U4">
        <f>$B$14*'2020年全国投入产出表'!$BC$28</f>
        <v>23476120.1992965</v>
      </c>
      <c r="V4">
        <f>$B$14*'2020年全国投入产出表'!$BC$24</f>
        <v>12742229.4335144</v>
      </c>
      <c r="W4">
        <f>$B$14*'2020年全国投入产出表'!$BC$26</f>
        <v>4339356.66763736</v>
      </c>
      <c r="X4">
        <f>$B$14*'2020年全国投入产出表'!$BC$27</f>
        <v>3986971.78186779</v>
      </c>
      <c r="Y4">
        <f>$B$14*'2020年全国投入产出表'!$BC$30</f>
        <v>726756.901614819</v>
      </c>
      <c r="Z4">
        <f>$B$14*'2020年全国投入产出表'!$BC$31</f>
        <v>143850.429891913</v>
      </c>
      <c r="AA4">
        <f>$B$14*'2020年全国投入产出表'!$BC$32</f>
        <v>0</v>
      </c>
      <c r="AB4">
        <f>$B$14*'2020年全国投入产出表'!$BC$33</f>
        <v>0</v>
      </c>
      <c r="AC4">
        <f>$B$14*'2020年全国投入产出表'!$BC$34</f>
        <v>1194953.97096664</v>
      </c>
      <c r="AD4">
        <f>$B$14*'2020年全国投入产出表'!$BC$35</f>
        <v>24583246.271108</v>
      </c>
      <c r="AE4">
        <f>$B$14*'2020年全国投入产出表'!$BC$36</f>
        <v>13092191.7702543</v>
      </c>
      <c r="AF4">
        <f>$B$14*'2020年全国投入产出表'!$BC$37</f>
        <v>372476.47097752</v>
      </c>
      <c r="AG4">
        <f>$B$14*'2020年全国投入产出表'!$BC$38</f>
        <v>4232071.379452</v>
      </c>
      <c r="AH4">
        <f>$B$14*'2020年全国投入产出表'!$BC$41</f>
        <v>5578341.78821902</v>
      </c>
      <c r="AI4">
        <f>$B$14*'2020年全国投入产出表'!$BC$42</f>
        <v>1332015.18266472</v>
      </c>
      <c r="AJ4">
        <f>$B$14*'2020年全国投入产出表'!$BC$39</f>
        <v>949123.633808196</v>
      </c>
      <c r="AK4">
        <f>$B$14*'2020年全国投入产出表'!$BC$40</f>
        <v>0</v>
      </c>
      <c r="AL4">
        <f>$B$14*'2020年全国投入产出表'!$BC$43</f>
        <v>191.020038155344</v>
      </c>
      <c r="AM4">
        <f>$B$14*'2020年全国投入产出表'!$BC$48</f>
        <v>279080.964329638</v>
      </c>
      <c r="AN4">
        <f>$B$14*'2020年全国投入产出表'!$BC$45</f>
        <v>0</v>
      </c>
      <c r="AO4">
        <f>$B$14*'2020年全国投入产出表'!$BC$46</f>
        <v>21607.6349282654</v>
      </c>
      <c r="AP4">
        <f>$B$14*'2020年全国投入产出表'!$BC$47</f>
        <v>391669.043762378</v>
      </c>
      <c r="AQ4">
        <f>$B$14*'2020年全国投入产出表'!$BC$44</f>
        <v>13445.1291133891</v>
      </c>
    </row>
    <row r="5" spans="1:43">
      <c r="A5" s="2" t="s">
        <v>53</v>
      </c>
      <c r="B5">
        <f>B2+B3-B4</f>
        <v>189651472.338856</v>
      </c>
      <c r="C5">
        <f t="shared" ref="C5:R5" si="0">C2+C3-C4</f>
        <v>34377545.855331</v>
      </c>
      <c r="D5">
        <f t="shared" si="0"/>
        <v>34673956.5300515</v>
      </c>
      <c r="E5">
        <f t="shared" si="0"/>
        <v>44715717.8089045</v>
      </c>
      <c r="F5">
        <f t="shared" si="0"/>
        <v>2785605.71956375</v>
      </c>
      <c r="G5">
        <f t="shared" si="0"/>
        <v>178493002.894405</v>
      </c>
      <c r="H5">
        <f t="shared" si="0"/>
        <v>82678679.9737621</v>
      </c>
      <c r="I5">
        <f t="shared" si="0"/>
        <v>31712617.5409601</v>
      </c>
      <c r="J5">
        <f t="shared" si="0"/>
        <v>53439971.5813524</v>
      </c>
      <c r="K5">
        <f t="shared" si="0"/>
        <v>57262986.0107348</v>
      </c>
      <c r="L5">
        <f t="shared" si="0"/>
        <v>125531730.49638</v>
      </c>
      <c r="M5">
        <f t="shared" si="0"/>
        <v>42419023.4585997</v>
      </c>
      <c r="N5">
        <f t="shared" si="0"/>
        <v>43762709.3000544</v>
      </c>
      <c r="O5">
        <f t="shared" si="0"/>
        <v>97857849.6196434</v>
      </c>
      <c r="P5">
        <f t="shared" si="0"/>
        <v>53301013.1064241</v>
      </c>
      <c r="Q5">
        <f t="shared" si="0"/>
        <v>93916755.7731112</v>
      </c>
      <c r="R5">
        <f t="shared" si="0"/>
        <v>77273912.7034633</v>
      </c>
      <c r="S5">
        <f t="shared" ref="S5:AQ5" si="1">S2+S3-S4</f>
        <v>64051691.1457103</v>
      </c>
      <c r="T5">
        <f t="shared" si="1"/>
        <v>158478670.555033</v>
      </c>
      <c r="U5">
        <f t="shared" si="1"/>
        <v>79500691.3951742</v>
      </c>
      <c r="V5">
        <f t="shared" si="1"/>
        <v>68242265.4854112</v>
      </c>
      <c r="W5">
        <f t="shared" si="1"/>
        <v>99998252.8678245</v>
      </c>
      <c r="X5">
        <f t="shared" si="1"/>
        <v>18755864.7223698</v>
      </c>
      <c r="Y5">
        <f t="shared" si="1"/>
        <v>2441220.90323378</v>
      </c>
      <c r="Z5">
        <f t="shared" si="1"/>
        <v>96160113.0956035</v>
      </c>
      <c r="AA5">
        <f t="shared" si="1"/>
        <v>11187008.9847829</v>
      </c>
      <c r="AB5">
        <f t="shared" si="1"/>
        <v>5599430.25814438</v>
      </c>
      <c r="AC5">
        <f t="shared" si="1"/>
        <v>393291245.571811</v>
      </c>
      <c r="AD5">
        <f t="shared" si="1"/>
        <v>181688317.960952</v>
      </c>
      <c r="AE5">
        <f t="shared" si="1"/>
        <v>157387269.633481</v>
      </c>
      <c r="AF5">
        <f t="shared" si="1"/>
        <v>62913406.9626869</v>
      </c>
      <c r="AG5">
        <f t="shared" si="1"/>
        <v>132440507.335267</v>
      </c>
      <c r="AH5">
        <f t="shared" si="1"/>
        <v>131108752.089003</v>
      </c>
      <c r="AI5">
        <f t="shared" si="1"/>
        <v>34361327.9127475</v>
      </c>
      <c r="AJ5">
        <f t="shared" si="1"/>
        <v>169728532.38484</v>
      </c>
      <c r="AK5">
        <f t="shared" si="1"/>
        <v>146822821.732896</v>
      </c>
      <c r="AL5">
        <f t="shared" si="1"/>
        <v>71548761.5689286</v>
      </c>
      <c r="AM5">
        <f t="shared" si="1"/>
        <v>125375543.253289</v>
      </c>
      <c r="AN5">
        <f t="shared" si="1"/>
        <v>73297273.5352045</v>
      </c>
      <c r="AO5">
        <f t="shared" si="1"/>
        <v>68978168.2851587</v>
      </c>
      <c r="AP5">
        <f t="shared" si="1"/>
        <v>22607480.7950957</v>
      </c>
      <c r="AQ5">
        <f t="shared" si="1"/>
        <v>41484563.9362706</v>
      </c>
    </row>
    <row r="6" spans="1:43">
      <c r="A6" s="2" t="s">
        <v>54</v>
      </c>
      <c r="B6">
        <f>'2020年非竞争型投入产出表'!$AY$48/('2020年非竞争型投入产出表'!$AY$48+'2020年非竞争型投入产出表'!$AY$6)</f>
        <v>0.000384356479915389</v>
      </c>
      <c r="C6">
        <f>'2020年非竞争型投入产出表'!$AY$49/('2020年非竞争型投入产出表'!$AY$49+'2020年非竞争型投入产出表'!$AY$7)</f>
        <v>0.107207381100146</v>
      </c>
      <c r="D6">
        <f>'2020年非竞争型投入产出表'!$AY$50/('2020年非竞争型投入产出表'!$AY$50+'2020年非竞争型投入产出表'!$AY$8)</f>
        <v>0.75</v>
      </c>
      <c r="E6">
        <f>'2020年非竞争型投入产出表'!$AY$51/('2020年非竞争型投入产出表'!$AY$51+'2020年非竞争型投入产出表'!$AY$9)</f>
        <v>0.737708563656019</v>
      </c>
      <c r="F6">
        <f>'2020年非竞争型投入产出表'!$AY$52/('2020年非竞争型投入产出表'!AY52+'2020年非竞争型投入产出表'!AY10)</f>
        <v>0.0210767009412199</v>
      </c>
      <c r="G6">
        <f>'2020年非竞争型投入产出表'!$AY$53/('2020年非竞争型投入产出表'!$AY$53+'2020年非竞争型投入产出表'!$AY$11)</f>
        <v>0.00221224245193174</v>
      </c>
      <c r="H6">
        <f>('2020年非竞争型投入产出表'!$AY$54+'2020年非竞争型投入产出表'!$AY$54)/('2020年非竞争型投入产出表'!$AY$54+'2020年非竞争型投入产出表'!$AY$55+'2020年非竞争型投入产出表'!$AY$12+'2020年非竞争型投入产出表'!$AY$13)</f>
        <v>0</v>
      </c>
      <c r="I6">
        <f>'2020年非竞争型投入产出表'!$AY$56/('2020年非竞争型投入产出表'!$AY$56+'2020年非竞争型投入产出表'!$AY$14)</f>
        <v>0.00108431357038181</v>
      </c>
      <c r="J6">
        <f>'2020年非竞争型投入产出表'!$AY$57/('2020年非竞争型投入产出表'!$AY$57+'2020年非竞争型投入产出表'!$AY$15)</f>
        <v>0.00648704731256585</v>
      </c>
      <c r="K6">
        <f>'2020年非竞争型投入产出表'!$AY$58/('2020年非竞争型投入产出表'!$AY$58+'2020年非竞争型投入产出表'!$AY$16)</f>
        <v>0.133743478209438</v>
      </c>
      <c r="L6">
        <f>'2020年非竞争型投入产出表'!$AY$59/('2020年非竞争型投入产出表'!$AY$59+'2020年非竞争型投入产出表'!$AY$17)</f>
        <v>0.00381323481923792</v>
      </c>
      <c r="M6">
        <f>'2020年非竞争型投入产出表'!$AY$59/('2020年非竞争型投入产出表'!$AY$59+'2020年非竞争型投入产出表'!$AY$17)</f>
        <v>0.00381323481923792</v>
      </c>
      <c r="N6">
        <f>'2020年非竞争型投入产出表'!$AY$59/('2020年非竞争型投入产出表'!$AY$59+'2020年非竞争型投入产出表'!$AY$17)</f>
        <v>0.00381323481923792</v>
      </c>
      <c r="O6">
        <f>'2020年非竞争型投入产出表'!$AY$60/('2020年非竞争型投入产出表'!$AY$60+'2020年非竞争型投入产出表'!$AY$18)</f>
        <v>0.00985773495537799</v>
      </c>
      <c r="P6">
        <f>'2020年非竞争型投入产出表'!$AY$64/('2020年非竞争型投入产出表'!$AY$64+'2020年非竞争型投入产出表'!$AY$22)</f>
        <v>0.00795673778440183</v>
      </c>
      <c r="Q6">
        <f>'2020年非竞争型投入产出表'!$AY$61/('2020年非竞争型投入产出表'!$AY$61+'2020年非竞争型投入产出表'!$AY$19)</f>
        <v>0.0342227705692194</v>
      </c>
      <c r="R6">
        <f>'2020年非竞争型投入产出表'!$AY$61/('2020年非竞争型投入产出表'!$AY$61+'2020年非竞争型投入产出表'!$AY$19)</f>
        <v>0.0342227705692194</v>
      </c>
      <c r="S6">
        <f>'2020年非竞争型投入产出表'!$AY$62/('2020年非竞争型投入产出表'!$AY$62+'2020年非竞争型投入产出表'!$AY$20)</f>
        <v>0.00166994370308379</v>
      </c>
      <c r="T6">
        <f>'2020年非竞争型投入产出表'!$AY$67/('2020年非竞争型投入产出表'!$AY$67+'2020年非竞争型投入产出表'!$AY$25)</f>
        <v>0.0589717828463856</v>
      </c>
      <c r="U6">
        <f>'2020年非竞争型投入产出表'!$AY$66/('2020年非竞争型投入产出表'!$AY$66+'2020年非竞争型投入产出表'!$AY$24)</f>
        <v>0.00835929480701408</v>
      </c>
      <c r="V6">
        <f>'2020年非竞争型投入产出表'!$AY$63/('2020年非竞争型投入产出表'!$AY$63+'2020年非竞争型投入产出表'!$AY$21)</f>
        <v>0.011718284994803</v>
      </c>
      <c r="W6">
        <f>'2020年非竞争型投入产出表'!$AY$65/('2020年非竞争型投入产出表'!$AY$65+'2020年非竞争型投入产出表'!$AY$23)</f>
        <v>0.00708174224249788</v>
      </c>
      <c r="X6">
        <f>'2020年非竞争型投入产出表'!$AY$65/('2020年非竞争型投入产出表'!$AY$65+'2020年非竞争型投入产出表'!$AY$23)</f>
        <v>0.00708174224249788</v>
      </c>
      <c r="Y6">
        <f>'2020年非竞争型投入产出表'!$AY$69/('2020年非竞争型投入产出表'!$AY$69+'2020年非竞争型投入产出表'!$AY$27)</f>
        <v>0</v>
      </c>
      <c r="Z6">
        <f>'2020年非竞争型投入产出表'!$AY$71/('2020年非竞争型投入产出表'!$AY$71+'2020年非竞争型投入产出表'!$AY$29)</f>
        <v>0</v>
      </c>
      <c r="AA6" t="e">
        <f>'2020年非竞争型投入产出表'!$AY$72/('2020年非竞争型投入产出表'!$AY$72+'2020年非竞争型投入产出表'!$AY$30)</f>
        <v>#DIV/0!</v>
      </c>
      <c r="AB6" t="e">
        <f>'2020年非竞争型投入产出表'!$AY$73/('2020年非竞争型投入产出表'!$AY$73+'2020年非竞争型投入产出表'!$AY$31)</f>
        <v>#DIV/0!</v>
      </c>
      <c r="AC6">
        <f>'2020年非竞争型投入产出表'!$AY$74/('2020年非竞争型投入产出表'!$AY$74+'2020年非竞争型投入产出表'!$AY$32)</f>
        <v>0</v>
      </c>
      <c r="AD6">
        <f>'2020年非竞争型投入产出表'!$AY$75/('2020年非竞争型投入产出表'!$AY$75+'2020年非竞争型投入产出表'!$AY$33)</f>
        <v>0</v>
      </c>
      <c r="AE6">
        <f>'2020年非竞争型投入产出表'!$AY$76/('2020年非竞争型投入产出表'!$AY$76+'2020年非竞争型投入产出表'!$AY$34)</f>
        <v>0</v>
      </c>
      <c r="AF6">
        <f>'2020年非竞争型投入产出表'!$AY$77/('2020年非竞争型投入产出表'!$AY$77+'2020年非竞争型投入产出表'!$AY$35)</f>
        <v>0</v>
      </c>
      <c r="AG6">
        <f>'2020年非竞争型投入产出表'!$AY$78/('2020年非竞争型投入产出表'!$AY$78+'2020年非竞争型投入产出表'!$AY$34)</f>
        <v>0</v>
      </c>
      <c r="AH6">
        <f>'2020年非竞争型投入产出表'!$AY$81/('2020年非竞争型投入产出表'!$AY$81+'2020年非竞争型投入产出表'!$AY$39)</f>
        <v>0</v>
      </c>
      <c r="AI6">
        <f>'2020年非竞争型投入产出表'!$AY$82/('2020年非竞争型投入产出表'!$AY$82+'2020年非竞争型投入产出表'!$AY$40)</f>
        <v>0</v>
      </c>
      <c r="AJ6">
        <f>'2020年非竞争型投入产出表'!$AY$79/('2020年非竞争型投入产出表'!$AY$79+'2020年非竞争型投入产出表'!$AY$37)</f>
        <v>0</v>
      </c>
      <c r="AK6" t="e">
        <f>'2020年非竞争型投入产出表'!$AY$80/('2020年非竞争型投入产出表'!$AY$80+'2020年非竞争型投入产出表'!$AY$38)</f>
        <v>#DIV/0!</v>
      </c>
      <c r="AL6">
        <f>'2020年非竞争型投入产出表'!$AY$83/('2020年非竞争型投入产出表'!$AY$83+'2020年非竞争型投入产出表'!$AY$41)</f>
        <v>0</v>
      </c>
      <c r="AM6">
        <f>'2020年非竞争型投入产出表'!$AY$84/('2020年非竞争型投入产出表'!$AY$84+'2020年非竞争型投入产出表'!$AY$42)</f>
        <v>0</v>
      </c>
      <c r="AN6" t="e">
        <f>'2020年非竞争型投入产出表'!$AY$86/('2020年非竞争型投入产出表'!$AY$86+'2020年非竞争型投入产出表'!$AY$44)</f>
        <v>#DIV/0!</v>
      </c>
      <c r="AO6">
        <f>'2020年非竞争型投入产出表'!$AY$87/('2020年非竞争型投入产出表'!$AY$87+'2020年非竞争型投入产出表'!$AY$45)</f>
        <v>0</v>
      </c>
      <c r="AP6">
        <f>'2020年非竞争型投入产出表'!$AY$88/('2020年非竞争型投入产出表'!$AY$88+'2020年非竞争型投入产出表'!$AY$46)</f>
        <v>0</v>
      </c>
      <c r="AQ6">
        <f>'2020年非竞争型投入产出表'!$AY$85/('2020年非竞争型投入产出表'!$AY$85+'2020年非竞争型投入产出表'!$AY$43)</f>
        <v>0</v>
      </c>
    </row>
    <row r="7" spans="1:43">
      <c r="A7" s="2" t="s">
        <v>55</v>
      </c>
      <c r="B7">
        <f>B3*(1-B6)</f>
        <v>8842313.14154314</v>
      </c>
      <c r="C7">
        <f>C3*(1-C6)</f>
        <v>1835171.04605437</v>
      </c>
      <c r="D7">
        <f t="shared" ref="D7:AQ7" si="2">D3*(1-D6)</f>
        <v>4999952.31568832</v>
      </c>
      <c r="E7">
        <f t="shared" si="2"/>
        <v>4861402.07558794</v>
      </c>
      <c r="F7">
        <f t="shared" si="2"/>
        <v>0</v>
      </c>
      <c r="G7">
        <f t="shared" si="2"/>
        <v>11149849.2674789</v>
      </c>
      <c r="H7">
        <f t="shared" si="2"/>
        <v>4137159.61887543</v>
      </c>
      <c r="I7">
        <f t="shared" si="2"/>
        <v>1338833.55670288</v>
      </c>
      <c r="J7">
        <f t="shared" si="2"/>
        <v>3543484.57941415</v>
      </c>
      <c r="K7">
        <f t="shared" si="2"/>
        <v>2700821.73330791</v>
      </c>
      <c r="L7">
        <f t="shared" si="2"/>
        <v>16876065.2473659</v>
      </c>
      <c r="M7">
        <f t="shared" si="2"/>
        <v>4256283.08280853</v>
      </c>
      <c r="N7">
        <f t="shared" si="2"/>
        <v>2311239.0240566</v>
      </c>
      <c r="O7">
        <f t="shared" si="2"/>
        <v>1695047.39756249</v>
      </c>
      <c r="P7">
        <f t="shared" si="2"/>
        <v>8086623.54197326</v>
      </c>
      <c r="Q7">
        <f t="shared" si="2"/>
        <v>3528385.37263024</v>
      </c>
      <c r="R7">
        <f t="shared" si="2"/>
        <v>7268172.67161371</v>
      </c>
      <c r="S7">
        <f t="shared" si="2"/>
        <v>1125124.81183115</v>
      </c>
      <c r="T7">
        <f t="shared" si="2"/>
        <v>52092526.9420797</v>
      </c>
      <c r="U7">
        <f t="shared" si="2"/>
        <v>6884543.57945521</v>
      </c>
      <c r="V7">
        <f t="shared" si="2"/>
        <v>7539538.2795085</v>
      </c>
      <c r="W7">
        <f t="shared" si="2"/>
        <v>7043028.45851208</v>
      </c>
      <c r="X7">
        <f t="shared" si="2"/>
        <v>1258438.58567321</v>
      </c>
      <c r="Y7">
        <f t="shared" si="2"/>
        <v>319013.443213707</v>
      </c>
      <c r="Z7">
        <f t="shared" si="2"/>
        <v>16961.1019718333</v>
      </c>
      <c r="AA7" t="e">
        <f t="shared" si="2"/>
        <v>#DIV/0!</v>
      </c>
      <c r="AB7" t="e">
        <f t="shared" si="2"/>
        <v>#DIV/0!</v>
      </c>
      <c r="AC7">
        <f t="shared" si="2"/>
        <v>763279.597924323</v>
      </c>
      <c r="AD7">
        <f t="shared" si="2"/>
        <v>0</v>
      </c>
      <c r="AE7">
        <f t="shared" si="2"/>
        <v>5412723.25218587</v>
      </c>
      <c r="AF7">
        <f t="shared" si="2"/>
        <v>3822200.07117814</v>
      </c>
      <c r="AG7">
        <f t="shared" si="2"/>
        <v>3806254.27191034</v>
      </c>
      <c r="AH7">
        <f t="shared" si="2"/>
        <v>4189699.29731688</v>
      </c>
      <c r="AI7">
        <f t="shared" si="2"/>
        <v>3819424.49566574</v>
      </c>
      <c r="AJ7">
        <f t="shared" si="2"/>
        <v>1454020.61939394</v>
      </c>
      <c r="AK7" t="e">
        <f t="shared" si="2"/>
        <v>#DIV/0!</v>
      </c>
      <c r="AL7">
        <f t="shared" si="2"/>
        <v>75.2396764285139</v>
      </c>
      <c r="AM7">
        <f t="shared" si="2"/>
        <v>708252.113868932</v>
      </c>
      <c r="AN7" t="e">
        <f t="shared" si="2"/>
        <v>#DIV/0!</v>
      </c>
      <c r="AO7">
        <f t="shared" si="2"/>
        <v>164498.858205155</v>
      </c>
      <c r="AP7">
        <f t="shared" si="2"/>
        <v>1547198.82466751</v>
      </c>
      <c r="AQ7">
        <f t="shared" si="2"/>
        <v>156336.352390279</v>
      </c>
    </row>
    <row r="8" spans="1:43">
      <c r="A8" s="2" t="s">
        <v>56</v>
      </c>
      <c r="B8">
        <f>B5-B7</f>
        <v>180809159.197313</v>
      </c>
      <c r="C8">
        <f t="shared" ref="C8:AQ8" si="3">C5-C7</f>
        <v>32542374.8092767</v>
      </c>
      <c r="D8">
        <f t="shared" si="3"/>
        <v>29674004.2143632</v>
      </c>
      <c r="E8">
        <f t="shared" si="3"/>
        <v>39854315.7333166</v>
      </c>
      <c r="F8">
        <f t="shared" si="3"/>
        <v>2785605.71956375</v>
      </c>
      <c r="G8">
        <f t="shared" si="3"/>
        <v>167343153.626927</v>
      </c>
      <c r="H8">
        <f t="shared" si="3"/>
        <v>78541520.3548867</v>
      </c>
      <c r="I8">
        <f t="shared" si="3"/>
        <v>30373783.9842573</v>
      </c>
      <c r="J8">
        <f t="shared" si="3"/>
        <v>49896487.0019382</v>
      </c>
      <c r="K8">
        <f t="shared" si="3"/>
        <v>54562164.2774269</v>
      </c>
      <c r="L8">
        <f t="shared" si="3"/>
        <v>108655665.249014</v>
      </c>
      <c r="M8">
        <f t="shared" si="3"/>
        <v>38162740.3757911</v>
      </c>
      <c r="N8">
        <f t="shared" si="3"/>
        <v>41451470.2759978</v>
      </c>
      <c r="O8">
        <f t="shared" si="3"/>
        <v>96162802.2220809</v>
      </c>
      <c r="P8">
        <f t="shared" si="3"/>
        <v>45214389.5644509</v>
      </c>
      <c r="Q8">
        <f t="shared" si="3"/>
        <v>90388370.400481</v>
      </c>
      <c r="R8">
        <f t="shared" si="3"/>
        <v>70005740.0318496</v>
      </c>
      <c r="S8">
        <f t="shared" si="3"/>
        <v>62926566.3338792</v>
      </c>
      <c r="T8">
        <f t="shared" si="3"/>
        <v>106386143.612953</v>
      </c>
      <c r="U8">
        <f t="shared" si="3"/>
        <v>72616147.815719</v>
      </c>
      <c r="V8">
        <f t="shared" si="3"/>
        <v>60702727.2059027</v>
      </c>
      <c r="W8">
        <f t="shared" si="3"/>
        <v>92955224.4093124</v>
      </c>
      <c r="X8">
        <f t="shared" si="3"/>
        <v>17497426.1366966</v>
      </c>
      <c r="Y8">
        <f t="shared" si="3"/>
        <v>2122207.46002007</v>
      </c>
      <c r="Z8">
        <f t="shared" si="3"/>
        <v>96143151.9936316</v>
      </c>
      <c r="AA8" t="e">
        <f t="shared" si="3"/>
        <v>#DIV/0!</v>
      </c>
      <c r="AB8" t="e">
        <f t="shared" si="3"/>
        <v>#DIV/0!</v>
      </c>
      <c r="AC8">
        <f t="shared" si="3"/>
        <v>392527965.973887</v>
      </c>
      <c r="AD8">
        <f t="shared" si="3"/>
        <v>181688317.960952</v>
      </c>
      <c r="AE8">
        <f t="shared" si="3"/>
        <v>151974546.381295</v>
      </c>
      <c r="AF8">
        <f t="shared" si="3"/>
        <v>59091206.8915088</v>
      </c>
      <c r="AG8">
        <f t="shared" si="3"/>
        <v>128634253.063357</v>
      </c>
      <c r="AH8">
        <f t="shared" si="3"/>
        <v>126919052.791686</v>
      </c>
      <c r="AI8">
        <f t="shared" si="3"/>
        <v>30541903.4170817</v>
      </c>
      <c r="AJ8">
        <f t="shared" si="3"/>
        <v>168274511.765446</v>
      </c>
      <c r="AK8" t="e">
        <f t="shared" si="3"/>
        <v>#DIV/0!</v>
      </c>
      <c r="AL8">
        <f t="shared" si="3"/>
        <v>71548686.3292522</v>
      </c>
      <c r="AM8">
        <f t="shared" si="3"/>
        <v>124667291.13942</v>
      </c>
      <c r="AN8" t="e">
        <f t="shared" si="3"/>
        <v>#DIV/0!</v>
      </c>
      <c r="AO8">
        <f t="shared" si="3"/>
        <v>68813669.4269536</v>
      </c>
      <c r="AP8">
        <f t="shared" si="3"/>
        <v>21060281.9704282</v>
      </c>
      <c r="AQ8">
        <f t="shared" si="3"/>
        <v>41328227.5838803</v>
      </c>
    </row>
    <row r="9" spans="1:43">
      <c r="A9" s="2" t="s">
        <v>57</v>
      </c>
      <c r="B9">
        <f>B8/B5</f>
        <v>0.953375984734016</v>
      </c>
      <c r="C9">
        <f t="shared" ref="C9:AQ9" si="4">C8/C5</f>
        <v>0.946617159532644</v>
      </c>
      <c r="D9">
        <f t="shared" si="4"/>
        <v>0.855800929110731</v>
      </c>
      <c r="E9">
        <f t="shared" si="4"/>
        <v>0.891282029814137</v>
      </c>
      <c r="F9">
        <f t="shared" si="4"/>
        <v>1</v>
      </c>
      <c r="G9">
        <f t="shared" si="4"/>
        <v>0.937533409788198</v>
      </c>
      <c r="H9">
        <f t="shared" si="4"/>
        <v>0.949960986070552</v>
      </c>
      <c r="I9">
        <f t="shared" si="4"/>
        <v>0.957782306838165</v>
      </c>
      <c r="J9">
        <f t="shared" si="4"/>
        <v>0.93369224431529</v>
      </c>
      <c r="K9">
        <f t="shared" si="4"/>
        <v>0.952834773010237</v>
      </c>
      <c r="L9">
        <f t="shared" si="4"/>
        <v>0.865563350551815</v>
      </c>
      <c r="M9">
        <f t="shared" si="4"/>
        <v>0.899660983780954</v>
      </c>
      <c r="N9">
        <f t="shared" si="4"/>
        <v>0.94718702152991</v>
      </c>
      <c r="O9">
        <f t="shared" si="4"/>
        <v>0.982678472864968</v>
      </c>
      <c r="P9">
        <f t="shared" si="4"/>
        <v>0.848283867966506</v>
      </c>
      <c r="Q9">
        <f t="shared" si="4"/>
        <v>0.962430714907207</v>
      </c>
      <c r="R9">
        <f t="shared" si="4"/>
        <v>0.905942737758018</v>
      </c>
      <c r="S9">
        <f t="shared" si="4"/>
        <v>0.982434112328562</v>
      </c>
      <c r="T9">
        <f t="shared" si="4"/>
        <v>0.671296290159185</v>
      </c>
      <c r="U9">
        <f t="shared" si="4"/>
        <v>0.913402720672778</v>
      </c>
      <c r="V9">
        <f t="shared" si="4"/>
        <v>0.889518054157796</v>
      </c>
      <c r="W9">
        <f t="shared" si="4"/>
        <v>0.929568484883217</v>
      </c>
      <c r="X9">
        <f t="shared" si="4"/>
        <v>0.932904261984131</v>
      </c>
      <c r="Y9">
        <f t="shared" si="4"/>
        <v>0.869322172855753</v>
      </c>
      <c r="Z9">
        <f t="shared" si="4"/>
        <v>0.999823616035528</v>
      </c>
      <c r="AA9" t="e">
        <f t="shared" si="4"/>
        <v>#DIV/0!</v>
      </c>
      <c r="AB9" t="e">
        <f t="shared" si="4"/>
        <v>#DIV/0!</v>
      </c>
      <c r="AC9">
        <f t="shared" si="4"/>
        <v>0.998059250983798</v>
      </c>
      <c r="AD9">
        <f t="shared" si="4"/>
        <v>1</v>
      </c>
      <c r="AE9">
        <f t="shared" si="4"/>
        <v>0.965608887778593</v>
      </c>
      <c r="AF9">
        <f t="shared" si="4"/>
        <v>0.939246652570492</v>
      </c>
      <c r="AG9">
        <f t="shared" si="4"/>
        <v>0.971260648660345</v>
      </c>
      <c r="AH9">
        <f t="shared" si="4"/>
        <v>0.968044091408385</v>
      </c>
      <c r="AI9">
        <f t="shared" si="4"/>
        <v>0.888845259258773</v>
      </c>
      <c r="AJ9">
        <f t="shared" si="4"/>
        <v>0.991433257573352</v>
      </c>
      <c r="AK9" t="e">
        <f t="shared" si="4"/>
        <v>#DIV/0!</v>
      </c>
      <c r="AL9">
        <f t="shared" si="4"/>
        <v>0.999998948413994</v>
      </c>
      <c r="AM9">
        <f t="shared" si="4"/>
        <v>0.994350954775621</v>
      </c>
      <c r="AN9" t="e">
        <f t="shared" si="4"/>
        <v>#DIV/0!</v>
      </c>
      <c r="AO9">
        <f t="shared" si="4"/>
        <v>0.997615204023321</v>
      </c>
      <c r="AP9">
        <f t="shared" si="4"/>
        <v>0.931562528408599</v>
      </c>
      <c r="AQ9">
        <f t="shared" si="4"/>
        <v>0.996231457256476</v>
      </c>
    </row>
    <row r="10" ht="45" spans="2:43">
      <c r="B10" s="83" t="s">
        <v>58</v>
      </c>
      <c r="C10" s="83" t="s">
        <v>59</v>
      </c>
      <c r="D10" s="83" t="s">
        <v>60</v>
      </c>
      <c r="E10" s="83" t="s">
        <v>61</v>
      </c>
      <c r="F10" s="83" t="s">
        <v>62</v>
      </c>
      <c r="G10" s="83" t="s">
        <v>63</v>
      </c>
      <c r="H10" s="83" t="s">
        <v>64</v>
      </c>
      <c r="I10" s="83" t="s">
        <v>65</v>
      </c>
      <c r="J10" s="83" t="s">
        <v>66</v>
      </c>
      <c r="K10" s="83" t="s">
        <v>67</v>
      </c>
      <c r="L10" s="83" t="s">
        <v>68</v>
      </c>
      <c r="M10" s="83" t="s">
        <v>69</v>
      </c>
      <c r="N10" s="83" t="s">
        <v>70</v>
      </c>
      <c r="O10" s="83" t="s">
        <v>71</v>
      </c>
      <c r="P10" s="83" t="s">
        <v>72</v>
      </c>
      <c r="Q10" s="83" t="s">
        <v>73</v>
      </c>
      <c r="R10" s="83" t="s">
        <v>74</v>
      </c>
      <c r="S10" s="83" t="s">
        <v>75</v>
      </c>
      <c r="T10" s="83" t="s">
        <v>76</v>
      </c>
      <c r="U10" s="83" t="s">
        <v>77</v>
      </c>
      <c r="V10" s="83" t="s">
        <v>78</v>
      </c>
      <c r="W10" s="83" t="s">
        <v>79</v>
      </c>
      <c r="X10" s="83" t="s">
        <v>80</v>
      </c>
      <c r="Y10" s="83" t="s">
        <v>81</v>
      </c>
      <c r="Z10" s="83" t="s">
        <v>82</v>
      </c>
      <c r="AA10" s="83" t="s">
        <v>83</v>
      </c>
      <c r="AB10" s="83" t="s">
        <v>84</v>
      </c>
      <c r="AC10" s="83" t="s">
        <v>85</v>
      </c>
      <c r="AD10" s="83" t="s">
        <v>86</v>
      </c>
      <c r="AE10" s="83" t="s">
        <v>87</v>
      </c>
      <c r="AF10" s="83" t="s">
        <v>88</v>
      </c>
      <c r="AG10" s="83" t="s">
        <v>89</v>
      </c>
      <c r="AH10" s="83" t="s">
        <v>90</v>
      </c>
      <c r="AI10" s="83" t="s">
        <v>91</v>
      </c>
      <c r="AJ10" s="83" t="s">
        <v>92</v>
      </c>
      <c r="AK10" s="83" t="s">
        <v>93</v>
      </c>
      <c r="AL10" s="83" t="s">
        <v>94</v>
      </c>
      <c r="AM10" s="88" t="s">
        <v>95</v>
      </c>
      <c r="AN10" s="83" t="s">
        <v>96</v>
      </c>
      <c r="AO10" s="83" t="s">
        <v>97</v>
      </c>
      <c r="AP10" s="83" t="s">
        <v>98</v>
      </c>
      <c r="AQ10" s="83" t="s">
        <v>99</v>
      </c>
    </row>
    <row r="13" ht="27" spans="2:2">
      <c r="B13" s="138" t="s">
        <v>100</v>
      </c>
    </row>
    <row r="14" spans="1:37">
      <c r="A14" s="1" t="s">
        <v>101</v>
      </c>
      <c r="B14" s="139">
        <v>0.137650677988234</v>
      </c>
      <c r="AA14">
        <v>0</v>
      </c>
      <c r="AB14">
        <v>0</v>
      </c>
      <c r="AK14">
        <v>0</v>
      </c>
    </row>
    <row r="15" spans="27:37">
      <c r="AA15">
        <f>AA3*(1-AA14)</f>
        <v>0</v>
      </c>
      <c r="AB15">
        <f>AB3*(1-AB14)</f>
        <v>0</v>
      </c>
      <c r="AK15">
        <f>AK3*(1-AK14)</f>
        <v>0</v>
      </c>
    </row>
    <row r="16" spans="27:37">
      <c r="AA16">
        <f>AA5-AA15</f>
        <v>11187008.9847829</v>
      </c>
      <c r="AB16">
        <f>AB5-AB15</f>
        <v>5599430.25814438</v>
      </c>
      <c r="AK16">
        <f>AK5-AK15</f>
        <v>146822821.732896</v>
      </c>
    </row>
    <row r="17" spans="27:40">
      <c r="AA17">
        <f>AA16/AA5</f>
        <v>1</v>
      </c>
      <c r="AB17">
        <f>AB16/AB5</f>
        <v>1</v>
      </c>
      <c r="AK17">
        <f>AK16/AK5</f>
        <v>1</v>
      </c>
      <c r="AN1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5"/>
  <sheetViews>
    <sheetView workbookViewId="0">
      <pane xSplit="3" ySplit="9" topLeftCell="AM27" activePane="bottomRight" state="frozen"/>
      <selection/>
      <selection pane="topRight"/>
      <selection pane="bottomLeft"/>
      <selection pane="bottomRight" activeCell="AV34" sqref="AV34"/>
    </sheetView>
  </sheetViews>
  <sheetFormatPr defaultColWidth="9" defaultRowHeight="13.5"/>
  <cols>
    <col min="46" max="46" width="9.625"/>
    <col min="56" max="56" width="9.625"/>
    <col min="58" max="58" width="9.625"/>
  </cols>
  <sheetData>
    <row r="1" spans="1:58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119"/>
      <c r="BE1" s="65"/>
      <c r="BF1" s="65"/>
    </row>
    <row r="2" spans="1:58">
      <c r="A2" s="64" t="s">
        <v>102</v>
      </c>
      <c r="B2" s="65"/>
      <c r="C2" s="65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5"/>
      <c r="AT2" s="65"/>
      <c r="AU2" s="66"/>
      <c r="AV2" s="66"/>
      <c r="AW2" s="66"/>
      <c r="AX2" s="66"/>
      <c r="AY2" s="66"/>
      <c r="AZ2" s="66"/>
      <c r="BA2" s="66"/>
      <c r="BB2" s="66"/>
      <c r="BC2" s="120"/>
      <c r="BD2" s="119"/>
      <c r="BE2" s="120"/>
      <c r="BF2" s="65"/>
    </row>
    <row r="3" ht="14.25" spans="1:58">
      <c r="A3" s="67" t="s">
        <v>103</v>
      </c>
      <c r="B3" s="68"/>
      <c r="C3" s="69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5"/>
      <c r="AT3" s="65"/>
      <c r="AU3" s="104"/>
      <c r="AV3" s="104"/>
      <c r="AW3" s="104"/>
      <c r="AX3" s="104"/>
      <c r="AY3" s="104"/>
      <c r="AZ3" s="104"/>
      <c r="BA3" s="104"/>
      <c r="BB3" s="104"/>
      <c r="BC3" s="104"/>
      <c r="BD3" s="121"/>
      <c r="BE3" s="65"/>
      <c r="BF3" s="65"/>
    </row>
    <row r="4" spans="1:58">
      <c r="A4" s="71" t="s">
        <v>104</v>
      </c>
      <c r="B4" s="72"/>
      <c r="C4" s="73" t="s">
        <v>105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105"/>
      <c r="AS4" s="105"/>
      <c r="AT4" s="106"/>
      <c r="AU4" s="107" t="s">
        <v>106</v>
      </c>
      <c r="AV4" s="108"/>
      <c r="AW4" s="108"/>
      <c r="AX4" s="108"/>
      <c r="AY4" s="108"/>
      <c r="AZ4" s="108"/>
      <c r="BA4" s="108"/>
      <c r="BB4" s="108"/>
      <c r="BC4" s="108"/>
      <c r="BD4" s="122"/>
      <c r="BE4" s="132" t="s">
        <v>107</v>
      </c>
      <c r="BF4" s="133" t="s">
        <v>108</v>
      </c>
    </row>
    <row r="5" ht="67.5" spans="1:58">
      <c r="A5" s="75"/>
      <c r="B5" s="76"/>
      <c r="C5" s="77"/>
      <c r="D5" s="23" t="s">
        <v>58</v>
      </c>
      <c r="E5" s="78" t="s">
        <v>59</v>
      </c>
      <c r="F5" s="78" t="s">
        <v>60</v>
      </c>
      <c r="G5" s="78" t="s">
        <v>61</v>
      </c>
      <c r="H5" s="78" t="s">
        <v>62</v>
      </c>
      <c r="I5" s="78" t="s">
        <v>63</v>
      </c>
      <c r="J5" s="78" t="s">
        <v>64</v>
      </c>
      <c r="K5" s="78" t="s">
        <v>65</v>
      </c>
      <c r="L5" s="78" t="s">
        <v>66</v>
      </c>
      <c r="M5" s="78" t="s">
        <v>67</v>
      </c>
      <c r="N5" s="78" t="s">
        <v>68</v>
      </c>
      <c r="O5" s="78" t="s">
        <v>69</v>
      </c>
      <c r="P5" s="78" t="s">
        <v>70</v>
      </c>
      <c r="Q5" s="102" t="s">
        <v>71</v>
      </c>
      <c r="R5" s="102" t="s">
        <v>73</v>
      </c>
      <c r="S5" s="102" t="s">
        <v>74</v>
      </c>
      <c r="T5" s="102" t="s">
        <v>75</v>
      </c>
      <c r="U5" s="103" t="s">
        <v>78</v>
      </c>
      <c r="V5" s="102" t="s">
        <v>72</v>
      </c>
      <c r="W5" s="102" t="s">
        <v>79</v>
      </c>
      <c r="X5" s="102" t="s">
        <v>80</v>
      </c>
      <c r="Y5" s="102" t="s">
        <v>77</v>
      </c>
      <c r="Z5" s="103" t="s">
        <v>76</v>
      </c>
      <c r="AA5" s="103" t="s">
        <v>81</v>
      </c>
      <c r="AB5" s="103" t="s">
        <v>82</v>
      </c>
      <c r="AC5" s="103" t="s">
        <v>83</v>
      </c>
      <c r="AD5" s="102" t="s">
        <v>84</v>
      </c>
      <c r="AE5" s="102" t="s">
        <v>85</v>
      </c>
      <c r="AF5" s="102" t="s">
        <v>86</v>
      </c>
      <c r="AG5" s="102" t="s">
        <v>87</v>
      </c>
      <c r="AH5" s="102" t="s">
        <v>88</v>
      </c>
      <c r="AI5" s="102" t="s">
        <v>89</v>
      </c>
      <c r="AJ5" s="102" t="s">
        <v>92</v>
      </c>
      <c r="AK5" s="102" t="s">
        <v>93</v>
      </c>
      <c r="AL5" s="102" t="s">
        <v>90</v>
      </c>
      <c r="AM5" s="102" t="s">
        <v>91</v>
      </c>
      <c r="AN5" s="102" t="s">
        <v>94</v>
      </c>
      <c r="AO5" s="102" t="s">
        <v>99</v>
      </c>
      <c r="AP5" s="102" t="s">
        <v>96</v>
      </c>
      <c r="AQ5" s="102" t="s">
        <v>97</v>
      </c>
      <c r="AR5" s="102" t="s">
        <v>98</v>
      </c>
      <c r="AS5" s="102" t="s">
        <v>95</v>
      </c>
      <c r="AT5" s="109" t="s">
        <v>109</v>
      </c>
      <c r="AU5" s="110" t="s">
        <v>110</v>
      </c>
      <c r="AV5" s="110" t="s">
        <v>111</v>
      </c>
      <c r="AW5" s="110" t="s">
        <v>112</v>
      </c>
      <c r="AX5" s="110" t="s">
        <v>113</v>
      </c>
      <c r="AY5" s="110" t="s">
        <v>114</v>
      </c>
      <c r="AZ5" s="110" t="s">
        <v>115</v>
      </c>
      <c r="BA5" s="110" t="s">
        <v>116</v>
      </c>
      <c r="BB5" s="110" t="s">
        <v>117</v>
      </c>
      <c r="BC5" s="123" t="s">
        <v>118</v>
      </c>
      <c r="BD5" s="124" t="s">
        <v>119</v>
      </c>
      <c r="BE5" s="134"/>
      <c r="BF5" s="135"/>
    </row>
    <row r="6" spans="1:58">
      <c r="A6" s="65"/>
      <c r="B6" s="79" t="s">
        <v>105</v>
      </c>
      <c r="C6" s="80" t="s">
        <v>120</v>
      </c>
      <c r="D6" s="81" t="s">
        <v>8</v>
      </c>
      <c r="E6" s="81" t="s">
        <v>9</v>
      </c>
      <c r="F6" s="81" t="s">
        <v>10</v>
      </c>
      <c r="G6" s="81" t="s">
        <v>11</v>
      </c>
      <c r="H6" s="81" t="s">
        <v>12</v>
      </c>
      <c r="I6" s="81" t="s">
        <v>13</v>
      </c>
      <c r="J6" s="81" t="s">
        <v>14</v>
      </c>
      <c r="K6" s="81" t="s">
        <v>15</v>
      </c>
      <c r="L6" s="81" t="s">
        <v>16</v>
      </c>
      <c r="M6" s="81" t="s">
        <v>17</v>
      </c>
      <c r="N6" s="81" t="s">
        <v>18</v>
      </c>
      <c r="O6" s="81" t="s">
        <v>19</v>
      </c>
      <c r="P6" s="81" t="s">
        <v>20</v>
      </c>
      <c r="Q6" s="81" t="s">
        <v>21</v>
      </c>
      <c r="R6" s="81" t="s">
        <v>23</v>
      </c>
      <c r="S6" s="81" t="s">
        <v>24</v>
      </c>
      <c r="T6" s="81" t="s">
        <v>25</v>
      </c>
      <c r="U6" s="81" t="s">
        <v>28</v>
      </c>
      <c r="V6" s="81" t="s">
        <v>22</v>
      </c>
      <c r="W6" s="81" t="s">
        <v>29</v>
      </c>
      <c r="X6" s="81" t="s">
        <v>30</v>
      </c>
      <c r="Y6" s="81" t="s">
        <v>27</v>
      </c>
      <c r="Z6" s="81" t="s">
        <v>26</v>
      </c>
      <c r="AA6" s="81" t="s">
        <v>31</v>
      </c>
      <c r="AB6" s="81" t="s">
        <v>32</v>
      </c>
      <c r="AC6" s="81" t="s">
        <v>33</v>
      </c>
      <c r="AD6" s="81" t="s">
        <v>34</v>
      </c>
      <c r="AE6" s="81" t="s">
        <v>35</v>
      </c>
      <c r="AF6" s="81" t="s">
        <v>36</v>
      </c>
      <c r="AG6" s="81" t="s">
        <v>37</v>
      </c>
      <c r="AH6" s="81" t="s">
        <v>38</v>
      </c>
      <c r="AI6" s="81" t="s">
        <v>39</v>
      </c>
      <c r="AJ6" s="81" t="s">
        <v>42</v>
      </c>
      <c r="AK6" s="81" t="s">
        <v>43</v>
      </c>
      <c r="AL6" s="81" t="s">
        <v>40</v>
      </c>
      <c r="AM6" s="81" t="s">
        <v>42</v>
      </c>
      <c r="AN6" s="81" t="s">
        <v>44</v>
      </c>
      <c r="AO6" s="81" t="s">
        <v>49</v>
      </c>
      <c r="AP6" s="81" t="s">
        <v>46</v>
      </c>
      <c r="AQ6" s="81" t="s">
        <v>47</v>
      </c>
      <c r="AR6" s="81" t="s">
        <v>48</v>
      </c>
      <c r="AS6" s="81" t="s">
        <v>45</v>
      </c>
      <c r="AT6" s="81" t="s">
        <v>121</v>
      </c>
      <c r="AU6" s="111" t="s">
        <v>122</v>
      </c>
      <c r="AV6" s="111" t="s">
        <v>123</v>
      </c>
      <c r="AW6" s="111" t="s">
        <v>124</v>
      </c>
      <c r="AX6" s="111" t="s">
        <v>125</v>
      </c>
      <c r="AY6" s="111" t="s">
        <v>126</v>
      </c>
      <c r="AZ6" s="111" t="s">
        <v>127</v>
      </c>
      <c r="BA6" s="111" t="s">
        <v>128</v>
      </c>
      <c r="BB6" s="111" t="s">
        <v>129</v>
      </c>
      <c r="BC6" s="125" t="s">
        <v>130</v>
      </c>
      <c r="BD6" s="126" t="s">
        <v>131</v>
      </c>
      <c r="BE6" s="126" t="s">
        <v>132</v>
      </c>
      <c r="BF6" s="136" t="s">
        <v>133</v>
      </c>
    </row>
    <row r="7" ht="22.5" spans="1:58">
      <c r="A7" s="82"/>
      <c r="B7" s="83" t="s">
        <v>58</v>
      </c>
      <c r="C7" s="84" t="s">
        <v>8</v>
      </c>
      <c r="D7" s="85">
        <v>183133769.008583</v>
      </c>
      <c r="E7" s="85">
        <v>203490.684084433</v>
      </c>
      <c r="F7" s="85">
        <v>2231.1266199761</v>
      </c>
      <c r="G7" s="85">
        <v>30366.117979029</v>
      </c>
      <c r="H7" s="85">
        <v>118.548902968788</v>
      </c>
      <c r="I7" s="85">
        <v>467586720.286462</v>
      </c>
      <c r="J7" s="85">
        <v>82006169.4863677</v>
      </c>
      <c r="K7" s="85">
        <v>31973462.8480059</v>
      </c>
      <c r="L7" s="85">
        <v>53736066.6778196</v>
      </c>
      <c r="M7" s="85">
        <v>15804.3604181711</v>
      </c>
      <c r="N7" s="85">
        <v>11513733.3673205</v>
      </c>
      <c r="O7" s="85">
        <v>44821824.8935635</v>
      </c>
      <c r="P7" s="85">
        <v>7680873.64622667</v>
      </c>
      <c r="Q7" s="85">
        <v>218881.187698502</v>
      </c>
      <c r="R7" s="85">
        <v>20627.1615019683</v>
      </c>
      <c r="S7" s="85">
        <v>15998.1262949325</v>
      </c>
      <c r="T7" s="85">
        <v>97311.762035804</v>
      </c>
      <c r="U7" s="85">
        <v>27411.8810511182</v>
      </c>
      <c r="V7" s="85">
        <v>79539.6850764251</v>
      </c>
      <c r="W7" s="85">
        <v>26629.6079430389</v>
      </c>
      <c r="X7" s="85">
        <v>12565.823957512</v>
      </c>
      <c r="Y7" s="85">
        <v>68073.7608283015</v>
      </c>
      <c r="Z7" s="85">
        <v>2175.57358849856</v>
      </c>
      <c r="AA7" s="85">
        <v>3451035.18212628</v>
      </c>
      <c r="AB7" s="85">
        <v>101721.231936442</v>
      </c>
      <c r="AC7" s="85">
        <v>1310.78692957769</v>
      </c>
      <c r="AD7" s="85">
        <v>0</v>
      </c>
      <c r="AE7" s="85">
        <v>18834171.9565458</v>
      </c>
      <c r="AF7" s="85">
        <v>13768.5932468323</v>
      </c>
      <c r="AG7" s="85">
        <v>154389.965643367</v>
      </c>
      <c r="AH7" s="85">
        <v>53857078.5856267</v>
      </c>
      <c r="AI7" s="85">
        <v>509534.915201121</v>
      </c>
      <c r="AJ7" s="85">
        <v>67279.7391608202</v>
      </c>
      <c r="AK7" s="85">
        <v>336941.12881731</v>
      </c>
      <c r="AL7" s="85">
        <v>7363183.37905528</v>
      </c>
      <c r="AM7" s="85">
        <v>4230391.82619973</v>
      </c>
      <c r="AN7" s="85">
        <v>1149759.56904357</v>
      </c>
      <c r="AO7" s="85">
        <v>2268491.10930721</v>
      </c>
      <c r="AP7" s="85">
        <v>612269.387448122</v>
      </c>
      <c r="AQ7" s="85">
        <v>605609.604752129</v>
      </c>
      <c r="AR7" s="85">
        <v>477755.870843505</v>
      </c>
      <c r="AS7" s="85">
        <v>9519615.66929329</v>
      </c>
      <c r="AT7" s="85">
        <v>954854691.275501</v>
      </c>
      <c r="AU7" s="85">
        <v>109745451.401855</v>
      </c>
      <c r="AV7" s="85">
        <v>221055004.423882</v>
      </c>
      <c r="AW7" s="85">
        <v>330800455.825737</v>
      </c>
      <c r="AX7" s="85">
        <v>19639627.5808391</v>
      </c>
      <c r="AY7" s="85">
        <v>350440083.406576</v>
      </c>
      <c r="AZ7" s="85">
        <v>17577339.566559</v>
      </c>
      <c r="BA7" s="85">
        <v>54901501.621725</v>
      </c>
      <c r="BB7" s="85">
        <v>72478841.188284</v>
      </c>
      <c r="BC7" s="85">
        <v>18171672.0305951</v>
      </c>
      <c r="BD7" s="85">
        <v>441090596.625456</v>
      </c>
      <c r="BE7" s="85">
        <v>64262037.6299852</v>
      </c>
      <c r="BF7" s="85">
        <v>1331683250.27097</v>
      </c>
    </row>
    <row r="8" ht="22.5" spans="1:58">
      <c r="A8" s="82"/>
      <c r="B8" s="83" t="s">
        <v>59</v>
      </c>
      <c r="C8" s="84" t="s">
        <v>9</v>
      </c>
      <c r="D8" s="85">
        <v>601665.538401025</v>
      </c>
      <c r="E8" s="85">
        <v>36204793.6824397</v>
      </c>
      <c r="F8" s="85">
        <v>63785.089784693</v>
      </c>
      <c r="G8" s="85">
        <v>1725453.87063389</v>
      </c>
      <c r="H8" s="85">
        <v>60512.7785480819</v>
      </c>
      <c r="I8" s="85">
        <v>2167450.15250292</v>
      </c>
      <c r="J8" s="85">
        <v>1809485.73078097</v>
      </c>
      <c r="K8" s="85">
        <v>280086.134625741</v>
      </c>
      <c r="L8" s="85">
        <v>3698845.89207886</v>
      </c>
      <c r="M8" s="85">
        <v>22001119.8287461</v>
      </c>
      <c r="N8" s="85">
        <v>21794626.064205</v>
      </c>
      <c r="O8" s="85">
        <v>436019.617841485</v>
      </c>
      <c r="P8" s="85">
        <v>562146.694431589</v>
      </c>
      <c r="Q8" s="85">
        <v>34167884.2571337</v>
      </c>
      <c r="R8" s="85">
        <v>21281682.9252996</v>
      </c>
      <c r="S8" s="85">
        <v>3302161.3408503</v>
      </c>
      <c r="T8" s="85">
        <v>494727.505065456</v>
      </c>
      <c r="U8" s="85">
        <v>360707.784187513</v>
      </c>
      <c r="V8" s="85">
        <v>252507.674668812</v>
      </c>
      <c r="W8" s="85">
        <v>48318.1349362067</v>
      </c>
      <c r="X8" s="85">
        <v>49904.0456402936</v>
      </c>
      <c r="Y8" s="85">
        <v>214230.209912765</v>
      </c>
      <c r="Z8" s="85">
        <v>20070.6192482144</v>
      </c>
      <c r="AA8" s="85">
        <v>178085.135349557</v>
      </c>
      <c r="AB8" s="85">
        <v>93800322.3463987</v>
      </c>
      <c r="AC8" s="85">
        <v>2360515.48707682</v>
      </c>
      <c r="AD8" s="85">
        <v>0</v>
      </c>
      <c r="AE8" s="85">
        <v>843243.224227162</v>
      </c>
      <c r="AF8" s="85">
        <v>45563.8611651301</v>
      </c>
      <c r="AG8" s="85">
        <v>128090.518834844</v>
      </c>
      <c r="AH8" s="85">
        <v>50429.8104455348</v>
      </c>
      <c r="AI8" s="85">
        <v>0</v>
      </c>
      <c r="AJ8" s="85">
        <v>17218.2296443031</v>
      </c>
      <c r="AK8" s="85">
        <v>63307.6896761316</v>
      </c>
      <c r="AL8" s="85">
        <v>64.3019274386463</v>
      </c>
      <c r="AM8" s="85">
        <v>234549.26818834</v>
      </c>
      <c r="AN8" s="85">
        <v>170081.937520875</v>
      </c>
      <c r="AO8" s="85">
        <v>326757.728113347</v>
      </c>
      <c r="AP8" s="85">
        <v>607785.815862455</v>
      </c>
      <c r="AQ8" s="85">
        <v>360760.392665157</v>
      </c>
      <c r="AR8" s="85">
        <v>41612.6851462715</v>
      </c>
      <c r="AS8" s="85">
        <v>603682.145320457</v>
      </c>
      <c r="AT8" s="112">
        <v>251150170.0149</v>
      </c>
      <c r="AU8" s="112">
        <v>753293.483239878</v>
      </c>
      <c r="AV8" s="112">
        <v>468986.096341701</v>
      </c>
      <c r="AW8" s="112">
        <v>1222279.57958158</v>
      </c>
      <c r="AX8" s="112">
        <v>0</v>
      </c>
      <c r="AY8" s="112">
        <v>1222279.57958158</v>
      </c>
      <c r="AZ8" s="112">
        <v>0</v>
      </c>
      <c r="BA8" s="112">
        <v>-2627614.64154689</v>
      </c>
      <c r="BB8" s="112">
        <v>-2627614.64154689</v>
      </c>
      <c r="BC8" s="112">
        <v>260795.535624569</v>
      </c>
      <c r="BD8" s="127">
        <v>-1144539.52634074</v>
      </c>
      <c r="BE8" s="112">
        <v>14933018.4856</v>
      </c>
      <c r="BF8" s="113">
        <v>235072612.002959</v>
      </c>
    </row>
    <row r="9" ht="22.5" spans="1:58">
      <c r="A9" s="82"/>
      <c r="B9" s="83" t="s">
        <v>60</v>
      </c>
      <c r="C9" s="84" t="s">
        <v>10</v>
      </c>
      <c r="D9" s="85">
        <v>0</v>
      </c>
      <c r="E9" s="85">
        <v>44377.4092007525</v>
      </c>
      <c r="F9" s="85">
        <v>535454.388453147</v>
      </c>
      <c r="G9" s="85">
        <v>31524.5192237171</v>
      </c>
      <c r="H9" s="85">
        <v>15664.7283899067</v>
      </c>
      <c r="I9" s="85">
        <v>0</v>
      </c>
      <c r="J9" s="85">
        <v>0</v>
      </c>
      <c r="K9" s="85">
        <v>0</v>
      </c>
      <c r="L9" s="85">
        <v>59261.9428270362</v>
      </c>
      <c r="M9" s="85">
        <v>187886293.752044</v>
      </c>
      <c r="N9" s="85">
        <v>16889359.6350297</v>
      </c>
      <c r="O9" s="85">
        <v>26683.8113551823</v>
      </c>
      <c r="P9" s="85">
        <v>822898.055168624</v>
      </c>
      <c r="Q9" s="85">
        <v>1363725.18487091</v>
      </c>
      <c r="R9" s="85">
        <v>372310.778593975</v>
      </c>
      <c r="S9" s="85">
        <v>752409.264049758</v>
      </c>
      <c r="T9" s="85">
        <v>586961.701803624</v>
      </c>
      <c r="U9" s="85">
        <v>564473.994730403</v>
      </c>
      <c r="V9" s="85">
        <v>372468.273862654</v>
      </c>
      <c r="W9" s="85">
        <v>425241.526902509</v>
      </c>
      <c r="X9" s="85">
        <v>143883.096274343</v>
      </c>
      <c r="Y9" s="85">
        <v>68067.4046851267</v>
      </c>
      <c r="Z9" s="85">
        <v>0</v>
      </c>
      <c r="AA9" s="85">
        <v>0</v>
      </c>
      <c r="AB9" s="85">
        <v>6735286.14716291</v>
      </c>
      <c r="AC9" s="85">
        <v>33825563.8114644</v>
      </c>
      <c r="AD9" s="85">
        <v>0</v>
      </c>
      <c r="AE9" s="85">
        <v>0</v>
      </c>
      <c r="AF9" s="85">
        <v>0</v>
      </c>
      <c r="AG9" s="85">
        <v>487.919528303472</v>
      </c>
      <c r="AH9" s="85">
        <v>0</v>
      </c>
      <c r="AI9" s="85">
        <v>0</v>
      </c>
      <c r="AJ9" s="85">
        <v>0</v>
      </c>
      <c r="AK9" s="85">
        <v>0</v>
      </c>
      <c r="AL9" s="85">
        <v>0</v>
      </c>
      <c r="AM9" s="85">
        <v>2507.15717502756</v>
      </c>
      <c r="AN9" s="85">
        <v>0</v>
      </c>
      <c r="AO9" s="85">
        <v>0</v>
      </c>
      <c r="AP9" s="85">
        <v>0</v>
      </c>
      <c r="AQ9" s="85">
        <v>34579.8903777148</v>
      </c>
      <c r="AR9" s="85">
        <v>1756.02572738146</v>
      </c>
      <c r="AS9" s="85">
        <v>48307.8921799157</v>
      </c>
      <c r="AT9" s="112">
        <v>251609548.311081</v>
      </c>
      <c r="AU9" s="112">
        <v>0</v>
      </c>
      <c r="AV9" s="112">
        <v>0</v>
      </c>
      <c r="AW9" s="112">
        <v>0</v>
      </c>
      <c r="AX9" s="112">
        <v>0</v>
      </c>
      <c r="AY9" s="112">
        <v>0</v>
      </c>
      <c r="AZ9" s="112">
        <v>0</v>
      </c>
      <c r="BA9" s="112">
        <v>288640.908265803</v>
      </c>
      <c r="BB9" s="112">
        <v>288640.908265803</v>
      </c>
      <c r="BC9" s="112">
        <v>1085317.43329964</v>
      </c>
      <c r="BD9" s="127">
        <v>1373958.34156544</v>
      </c>
      <c r="BE9" s="112">
        <v>145293939.376476</v>
      </c>
      <c r="BF9" s="113">
        <v>107689567.27617</v>
      </c>
    </row>
    <row r="10" ht="33.75" spans="1:58">
      <c r="A10" s="82"/>
      <c r="B10" s="83" t="s">
        <v>61</v>
      </c>
      <c r="C10" s="84" t="s">
        <v>11</v>
      </c>
      <c r="D10" s="85">
        <v>2307.81151857475</v>
      </c>
      <c r="E10" s="85">
        <v>45270.0457964208</v>
      </c>
      <c r="F10" s="85">
        <v>20550.0678376632</v>
      </c>
      <c r="G10" s="85">
        <v>12059564.9586758</v>
      </c>
      <c r="H10" s="85">
        <v>74468.2606276879</v>
      </c>
      <c r="I10" s="85">
        <v>62486.3039670561</v>
      </c>
      <c r="J10" s="85">
        <v>20915.9223997197</v>
      </c>
      <c r="K10" s="85">
        <v>14130.6009395911</v>
      </c>
      <c r="L10" s="85">
        <v>917816.888132654</v>
      </c>
      <c r="M10" s="85">
        <v>351666.072111734</v>
      </c>
      <c r="N10" s="85">
        <v>13663939.4054013</v>
      </c>
      <c r="O10" s="85">
        <v>218560.812755461</v>
      </c>
      <c r="P10" s="85">
        <v>57763.3437147025</v>
      </c>
      <c r="Q10" s="85">
        <v>51091548.5738264</v>
      </c>
      <c r="R10" s="85">
        <v>132438838.939999</v>
      </c>
      <c r="S10" s="85">
        <v>78502942.8511738</v>
      </c>
      <c r="T10" s="85">
        <v>6503772.51550354</v>
      </c>
      <c r="U10" s="85">
        <v>64839.4124824345</v>
      </c>
      <c r="V10" s="85">
        <v>122513.000410724</v>
      </c>
      <c r="W10" s="85">
        <v>165447.679312373</v>
      </c>
      <c r="X10" s="85">
        <v>51425.0087838176</v>
      </c>
      <c r="Y10" s="85">
        <v>614877.851524069</v>
      </c>
      <c r="Z10" s="85">
        <v>90520.2494220508</v>
      </c>
      <c r="AA10" s="85">
        <v>56747.9789854399</v>
      </c>
      <c r="AB10" s="85">
        <v>106588.815233874</v>
      </c>
      <c r="AC10" s="85">
        <v>0</v>
      </c>
      <c r="AD10" s="85">
        <v>0</v>
      </c>
      <c r="AE10" s="85">
        <v>24113818.5012069</v>
      </c>
      <c r="AF10" s="85">
        <v>60555.4574650356</v>
      </c>
      <c r="AG10" s="85">
        <v>179268.148353341</v>
      </c>
      <c r="AH10" s="85">
        <v>4016.85282675244</v>
      </c>
      <c r="AI10" s="85">
        <v>87.1136719403539</v>
      </c>
      <c r="AJ10" s="85">
        <v>747.238828563121</v>
      </c>
      <c r="AK10" s="85">
        <v>376.875238539133</v>
      </c>
      <c r="AL10" s="85">
        <v>1678.85138596035</v>
      </c>
      <c r="AM10" s="85">
        <v>333550.555462021</v>
      </c>
      <c r="AN10" s="85">
        <v>3880.59231738102</v>
      </c>
      <c r="AO10" s="85">
        <v>3727.64372691537</v>
      </c>
      <c r="AP10" s="85">
        <v>2965.11773276757</v>
      </c>
      <c r="AQ10" s="85">
        <v>1023.05544281491</v>
      </c>
      <c r="AR10" s="85">
        <v>5435.0280575937</v>
      </c>
      <c r="AS10" s="85">
        <v>31541.5542402049</v>
      </c>
      <c r="AT10" s="85">
        <v>322048045.355553</v>
      </c>
      <c r="AU10" s="85">
        <v>0</v>
      </c>
      <c r="AV10" s="85">
        <v>0</v>
      </c>
      <c r="AW10" s="85">
        <v>0</v>
      </c>
      <c r="AX10" s="85">
        <v>0</v>
      </c>
      <c r="AY10" s="85">
        <v>0</v>
      </c>
      <c r="AZ10" s="85">
        <v>0</v>
      </c>
      <c r="BA10" s="85">
        <v>2801192.31203604</v>
      </c>
      <c r="BB10" s="85">
        <v>2801192.31203604</v>
      </c>
      <c r="BC10" s="85">
        <v>3333103.89853743</v>
      </c>
      <c r="BD10" s="85">
        <v>6134296.21057347</v>
      </c>
      <c r="BE10" s="85">
        <v>134647742.327847</v>
      </c>
      <c r="BF10" s="85">
        <v>193534599.238279</v>
      </c>
    </row>
    <row r="11" ht="33.75" spans="1:58">
      <c r="A11" s="82"/>
      <c r="B11" s="83" t="s">
        <v>62</v>
      </c>
      <c r="C11" s="84" t="s">
        <v>12</v>
      </c>
      <c r="D11" s="85">
        <v>0</v>
      </c>
      <c r="E11" s="85">
        <v>1372272.59589666</v>
      </c>
      <c r="F11" s="85">
        <v>16942467.3563436</v>
      </c>
      <c r="G11" s="85">
        <v>1047957.68174087</v>
      </c>
      <c r="H11" s="85">
        <v>177012.617993215</v>
      </c>
      <c r="I11" s="85">
        <v>466046.588408006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12.6722374204862</v>
      </c>
      <c r="AA11" s="85">
        <v>0</v>
      </c>
      <c r="AB11" s="85">
        <v>231004.90996499</v>
      </c>
      <c r="AC11" s="85">
        <v>0</v>
      </c>
      <c r="AD11" s="85">
        <v>0</v>
      </c>
      <c r="AE11" s="85">
        <v>0</v>
      </c>
      <c r="AF11" s="85">
        <v>0</v>
      </c>
      <c r="AG11" s="85">
        <v>0</v>
      </c>
      <c r="AH11" s="85">
        <v>0</v>
      </c>
      <c r="AI11" s="85">
        <v>0</v>
      </c>
      <c r="AJ11" s="85">
        <v>0</v>
      </c>
      <c r="AK11" s="85">
        <v>0</v>
      </c>
      <c r="AL11" s="85">
        <v>0</v>
      </c>
      <c r="AM11" s="85">
        <v>0</v>
      </c>
      <c r="AN11" s="85">
        <v>0</v>
      </c>
      <c r="AO11" s="85">
        <v>0</v>
      </c>
      <c r="AP11" s="85">
        <v>0</v>
      </c>
      <c r="AQ11" s="85">
        <v>0</v>
      </c>
      <c r="AR11" s="85">
        <v>0</v>
      </c>
      <c r="AS11" s="85">
        <v>0</v>
      </c>
      <c r="AT11" s="112">
        <v>20236774.4225848</v>
      </c>
      <c r="AU11" s="112">
        <v>0</v>
      </c>
      <c r="AV11" s="112">
        <v>0</v>
      </c>
      <c r="AW11" s="112">
        <v>0</v>
      </c>
      <c r="AX11" s="112">
        <v>0</v>
      </c>
      <c r="AY11" s="112">
        <v>0</v>
      </c>
      <c r="AZ11" s="112">
        <v>0</v>
      </c>
      <c r="BA11" s="112">
        <v>0</v>
      </c>
      <c r="BB11" s="112">
        <v>0</v>
      </c>
      <c r="BC11" s="112">
        <v>0</v>
      </c>
      <c r="BD11" s="127">
        <v>0</v>
      </c>
      <c r="BE11" s="112">
        <v>0</v>
      </c>
      <c r="BF11" s="113">
        <v>20236774.4225848</v>
      </c>
    </row>
    <row r="12" spans="1:58">
      <c r="A12" s="82"/>
      <c r="B12" s="83" t="s">
        <v>63</v>
      </c>
      <c r="C12" s="84" t="s">
        <v>13</v>
      </c>
      <c r="D12" s="85">
        <v>108184867.522413</v>
      </c>
      <c r="E12" s="85">
        <v>413271.658443367</v>
      </c>
      <c r="F12" s="85">
        <v>79328.1272889104</v>
      </c>
      <c r="G12" s="85">
        <v>942010.646004773</v>
      </c>
      <c r="H12" s="85">
        <v>15471.0429285469</v>
      </c>
      <c r="I12" s="85">
        <v>249372493.69703</v>
      </c>
      <c r="J12" s="85">
        <v>14128691.5738324</v>
      </c>
      <c r="K12" s="85">
        <v>1247437.63886387</v>
      </c>
      <c r="L12" s="85">
        <v>3016090.17085909</v>
      </c>
      <c r="M12" s="85">
        <v>3256002.55383412</v>
      </c>
      <c r="N12" s="85">
        <v>25114335.1987531</v>
      </c>
      <c r="O12" s="85">
        <v>7560676.09697559</v>
      </c>
      <c r="P12" s="85">
        <v>750764.122867235</v>
      </c>
      <c r="Q12" s="85">
        <v>1766033.0825439</v>
      </c>
      <c r="R12" s="85">
        <v>3822314.43070827</v>
      </c>
      <c r="S12" s="85">
        <v>4171930.42313954</v>
      </c>
      <c r="T12" s="85">
        <v>2846827.69215631</v>
      </c>
      <c r="U12" s="85">
        <v>4402856.88402916</v>
      </c>
      <c r="V12" s="85">
        <v>2451141.56851923</v>
      </c>
      <c r="W12" s="85">
        <v>2157646.37847421</v>
      </c>
      <c r="X12" s="85">
        <v>1244965.17236129</v>
      </c>
      <c r="Y12" s="85">
        <v>4524092.63929907</v>
      </c>
      <c r="Z12" s="85">
        <v>7303684.29711116</v>
      </c>
      <c r="AA12" s="85">
        <v>618269.902072792</v>
      </c>
      <c r="AB12" s="85">
        <v>5006459.09186668</v>
      </c>
      <c r="AC12" s="85">
        <v>538269.508626067</v>
      </c>
      <c r="AD12" s="85">
        <v>432454.547487259</v>
      </c>
      <c r="AE12" s="85">
        <v>5743107.42656011</v>
      </c>
      <c r="AF12" s="85">
        <v>2301664.0439841</v>
      </c>
      <c r="AG12" s="85">
        <v>7651112.79792703</v>
      </c>
      <c r="AH12" s="85">
        <v>127743752.704125</v>
      </c>
      <c r="AI12" s="85">
        <v>5595412.73930147</v>
      </c>
      <c r="AJ12" s="85">
        <v>2856239.85034615</v>
      </c>
      <c r="AK12" s="85">
        <v>4673588.72876758</v>
      </c>
      <c r="AL12" s="85">
        <v>16568941.0008212</v>
      </c>
      <c r="AM12" s="85">
        <v>4782871.60767205</v>
      </c>
      <c r="AN12" s="85">
        <v>3289851.36364205</v>
      </c>
      <c r="AO12" s="85">
        <v>7513197.70883892</v>
      </c>
      <c r="AP12" s="85">
        <v>12503170.8552663</v>
      </c>
      <c r="AQ12" s="85">
        <v>7006157.66992134</v>
      </c>
      <c r="AR12" s="85">
        <v>9671567.59988475</v>
      </c>
      <c r="AS12" s="85">
        <v>7647553.5130843</v>
      </c>
      <c r="AT12" s="85">
        <v>679669137.639768</v>
      </c>
      <c r="AU12" s="85">
        <v>156188434.737491</v>
      </c>
      <c r="AV12" s="85">
        <v>452326731.017457</v>
      </c>
      <c r="AW12" s="85">
        <v>608515165.754948</v>
      </c>
      <c r="AX12" s="85">
        <v>0</v>
      </c>
      <c r="AY12" s="85">
        <v>608515165.754948</v>
      </c>
      <c r="AZ12" s="85">
        <v>0</v>
      </c>
      <c r="BA12" s="85">
        <v>8525640.23274636</v>
      </c>
      <c r="BB12" s="85">
        <v>8525640.23274636</v>
      </c>
      <c r="BC12" s="85">
        <v>35833494.4737183</v>
      </c>
      <c r="BD12" s="85">
        <v>652874300.461413</v>
      </c>
      <c r="BE12" s="85">
        <v>81180639.9300747</v>
      </c>
      <c r="BF12" s="85">
        <v>1251362798.17111</v>
      </c>
    </row>
    <row r="13" ht="45" spans="1:58">
      <c r="A13" s="82"/>
      <c r="B13" s="83" t="s">
        <v>64</v>
      </c>
      <c r="C13" s="84" t="s">
        <v>14</v>
      </c>
      <c r="D13" s="85">
        <v>255022.543439289</v>
      </c>
      <c r="E13" s="85">
        <v>1536716.46156944</v>
      </c>
      <c r="F13" s="85">
        <v>172891.147199542</v>
      </c>
      <c r="G13" s="85">
        <v>431377.150599356</v>
      </c>
      <c r="H13" s="85">
        <v>299060.72832193</v>
      </c>
      <c r="I13" s="85">
        <v>3696564.17524091</v>
      </c>
      <c r="J13" s="85">
        <v>314846172.317828</v>
      </c>
      <c r="K13" s="85">
        <v>8109575.90684068</v>
      </c>
      <c r="L13" s="85">
        <v>21141410.3650942</v>
      </c>
      <c r="M13" s="85">
        <v>892568.296699202</v>
      </c>
      <c r="N13" s="85">
        <v>3692227.01976529</v>
      </c>
      <c r="O13" s="85">
        <v>4066224.93700254</v>
      </c>
      <c r="P13" s="85">
        <v>3366898.14673525</v>
      </c>
      <c r="Q13" s="85">
        <v>4050298.89802505</v>
      </c>
      <c r="R13" s="85">
        <v>649060.660570886</v>
      </c>
      <c r="S13" s="85">
        <v>445858.5484269</v>
      </c>
      <c r="T13" s="85">
        <v>2025532.94802317</v>
      </c>
      <c r="U13" s="85">
        <v>1951908.6158987</v>
      </c>
      <c r="V13" s="85">
        <v>1960493.2319758</v>
      </c>
      <c r="W13" s="85">
        <v>5639280.41273128</v>
      </c>
      <c r="X13" s="85">
        <v>1374959.51393638</v>
      </c>
      <c r="Y13" s="85">
        <v>3039653.04025956</v>
      </c>
      <c r="Z13" s="85">
        <v>3035965.53100108</v>
      </c>
      <c r="AA13" s="85">
        <v>4187381.80693571</v>
      </c>
      <c r="AB13" s="85">
        <v>864761.169081432</v>
      </c>
      <c r="AC13" s="85">
        <v>343622.086074463</v>
      </c>
      <c r="AD13" s="85">
        <v>391871.282419785</v>
      </c>
      <c r="AE13" s="85">
        <v>4541077.50017254</v>
      </c>
      <c r="AF13" s="85">
        <v>3219495.27310769</v>
      </c>
      <c r="AG13" s="85">
        <v>5114728.6137928</v>
      </c>
      <c r="AH13" s="85">
        <v>3509705.23363709</v>
      </c>
      <c r="AI13" s="85">
        <v>999494.98799007</v>
      </c>
      <c r="AJ13" s="85">
        <v>4708210.37104308</v>
      </c>
      <c r="AK13" s="85">
        <v>2106065.83794524</v>
      </c>
      <c r="AL13" s="85">
        <v>16680634.6777205</v>
      </c>
      <c r="AM13" s="85">
        <v>2606793.12976341</v>
      </c>
      <c r="AN13" s="85">
        <v>1524598.30164377</v>
      </c>
      <c r="AO13" s="85">
        <v>2503390.60338016</v>
      </c>
      <c r="AP13" s="85">
        <v>1549810.36722802</v>
      </c>
      <c r="AQ13" s="85">
        <v>9533818.84410911</v>
      </c>
      <c r="AR13" s="85">
        <v>4734179.27077031</v>
      </c>
      <c r="AS13" s="85">
        <v>25315084.364078</v>
      </c>
      <c r="AT13" s="85">
        <v>473004868.411237</v>
      </c>
      <c r="AU13" s="85">
        <v>23013748.4379359</v>
      </c>
      <c r="AV13" s="85">
        <v>108193778.357946</v>
      </c>
      <c r="AW13" s="85">
        <v>131207526.795881</v>
      </c>
      <c r="AX13" s="85">
        <v>0</v>
      </c>
      <c r="AY13" s="85">
        <v>131207526.795881</v>
      </c>
      <c r="AZ13" s="85">
        <v>0</v>
      </c>
      <c r="BA13" s="85">
        <v>-3571111.18213603</v>
      </c>
      <c r="BB13" s="85">
        <v>-3571111.18213603</v>
      </c>
      <c r="BC13" s="85">
        <v>186801140.367055</v>
      </c>
      <c r="BD13" s="85">
        <v>314437555.9808</v>
      </c>
      <c r="BE13" s="85">
        <v>30055497.5779274</v>
      </c>
      <c r="BF13" s="85">
        <v>757386926.814109</v>
      </c>
    </row>
    <row r="14" ht="22.5" spans="1:58">
      <c r="A14" s="82"/>
      <c r="B14" s="83" t="s">
        <v>65</v>
      </c>
      <c r="C14" s="84" t="s">
        <v>15</v>
      </c>
      <c r="D14" s="85">
        <v>336188.94851518</v>
      </c>
      <c r="E14" s="85">
        <v>3559037.46550998</v>
      </c>
      <c r="F14" s="85">
        <v>156891.295009284</v>
      </c>
      <c r="G14" s="85">
        <v>254624.370893772</v>
      </c>
      <c r="H14" s="85">
        <v>6327.71506738741</v>
      </c>
      <c r="I14" s="85">
        <v>845240.038181566</v>
      </c>
      <c r="J14" s="85">
        <v>918481.021076632</v>
      </c>
      <c r="K14" s="85">
        <v>81780666.7864068</v>
      </c>
      <c r="L14" s="85">
        <v>90084970.0526307</v>
      </c>
      <c r="M14" s="85">
        <v>186690.20276233</v>
      </c>
      <c r="N14" s="85">
        <v>1302287.31358054</v>
      </c>
      <c r="O14" s="85">
        <v>114696.063166182</v>
      </c>
      <c r="P14" s="85">
        <v>708459.643297441</v>
      </c>
      <c r="Q14" s="85">
        <v>1957227.21283316</v>
      </c>
      <c r="R14" s="85">
        <v>49068.2556692723</v>
      </c>
      <c r="S14" s="85">
        <v>185262.263867208</v>
      </c>
      <c r="T14" s="85">
        <v>4792477.83588318</v>
      </c>
      <c r="U14" s="85">
        <v>931517.230406751</v>
      </c>
      <c r="V14" s="85">
        <v>637156.813873956</v>
      </c>
      <c r="W14" s="85">
        <v>5926683.18023028</v>
      </c>
      <c r="X14" s="85">
        <v>652732.72847239</v>
      </c>
      <c r="Y14" s="85">
        <v>1177748.8394234</v>
      </c>
      <c r="Z14" s="85">
        <v>1019650.00693627</v>
      </c>
      <c r="AA14" s="85">
        <v>1295524.24854755</v>
      </c>
      <c r="AB14" s="85">
        <v>201717.800411536</v>
      </c>
      <c r="AC14" s="85">
        <v>4011.85983524315</v>
      </c>
      <c r="AD14" s="85">
        <v>3316.50846227722</v>
      </c>
      <c r="AE14" s="85">
        <v>57246609.1861674</v>
      </c>
      <c r="AF14" s="85">
        <v>423651.483030054</v>
      </c>
      <c r="AG14" s="85">
        <v>934919.871925881</v>
      </c>
      <c r="AH14" s="85">
        <v>196032.426933949</v>
      </c>
      <c r="AI14" s="85">
        <v>922455.744975699</v>
      </c>
      <c r="AJ14" s="85">
        <v>474744.038779291</v>
      </c>
      <c r="AK14" s="85">
        <v>546486.361082336</v>
      </c>
      <c r="AL14" s="85">
        <v>599781.950685656</v>
      </c>
      <c r="AM14" s="85">
        <v>50562.2035715714</v>
      </c>
      <c r="AN14" s="85">
        <v>401102.145329399</v>
      </c>
      <c r="AO14" s="85">
        <v>635895.594285151</v>
      </c>
      <c r="AP14" s="85">
        <v>342879.719653339</v>
      </c>
      <c r="AQ14" s="85">
        <v>75136.0262608054</v>
      </c>
      <c r="AR14" s="85">
        <v>319747.384311979</v>
      </c>
      <c r="AS14" s="85">
        <v>3983063.10812222</v>
      </c>
      <c r="AT14" s="85">
        <v>184461056.159658</v>
      </c>
      <c r="AU14" s="85">
        <v>5007508.01627223</v>
      </c>
      <c r="AV14" s="85">
        <v>17646337.0974422</v>
      </c>
      <c r="AW14" s="85">
        <v>22653845.1137145</v>
      </c>
      <c r="AX14" s="85">
        <v>0</v>
      </c>
      <c r="AY14" s="85">
        <v>22653845.1137145</v>
      </c>
      <c r="AZ14" s="85">
        <v>21595789.2652824</v>
      </c>
      <c r="BA14" s="85">
        <v>1674063.132307</v>
      </c>
      <c r="BB14" s="85">
        <v>23269852.3975894</v>
      </c>
      <c r="BC14" s="85">
        <v>44765296.8992244</v>
      </c>
      <c r="BD14" s="85">
        <v>90688994.4105282</v>
      </c>
      <c r="BE14" s="85">
        <v>9736870.66063594</v>
      </c>
      <c r="BF14" s="85">
        <v>265413179.90955</v>
      </c>
    </row>
    <row r="15" ht="33.75" spans="1:58">
      <c r="A15" s="82"/>
      <c r="B15" s="83" t="s">
        <v>66</v>
      </c>
      <c r="C15" s="84" t="s">
        <v>16</v>
      </c>
      <c r="D15" s="85">
        <v>1025682.30896579</v>
      </c>
      <c r="E15" s="85">
        <v>31068.8817959149</v>
      </c>
      <c r="F15" s="85">
        <v>9688.63536932747</v>
      </c>
      <c r="G15" s="85">
        <v>315134.032425351</v>
      </c>
      <c r="H15" s="85">
        <v>18042.4084069333</v>
      </c>
      <c r="I15" s="85">
        <v>13214439.5540172</v>
      </c>
      <c r="J15" s="85">
        <v>3599305.40965772</v>
      </c>
      <c r="K15" s="85">
        <v>2513515.69809298</v>
      </c>
      <c r="L15" s="85">
        <v>105171872.237609</v>
      </c>
      <c r="M15" s="85">
        <v>357515.627338638</v>
      </c>
      <c r="N15" s="85">
        <v>4061404.60973771</v>
      </c>
      <c r="O15" s="85">
        <v>4907967.41960839</v>
      </c>
      <c r="P15" s="85">
        <v>1782237.44059344</v>
      </c>
      <c r="Q15" s="85">
        <v>8915729.52251939</v>
      </c>
      <c r="R15" s="85">
        <v>89427.2502958169</v>
      </c>
      <c r="S15" s="85">
        <v>336660.365586566</v>
      </c>
      <c r="T15" s="85">
        <v>1916810.82906771</v>
      </c>
      <c r="U15" s="85">
        <v>1926288.93588328</v>
      </c>
      <c r="V15" s="85">
        <v>1841924.12432413</v>
      </c>
      <c r="W15" s="85">
        <v>1597372.4923795</v>
      </c>
      <c r="X15" s="85">
        <v>344645.462482403</v>
      </c>
      <c r="Y15" s="85">
        <v>5512884.47738923</v>
      </c>
      <c r="Z15" s="85">
        <v>5349964.57540802</v>
      </c>
      <c r="AA15" s="85">
        <v>807927.262605985</v>
      </c>
      <c r="AB15" s="85">
        <v>458088.565631877</v>
      </c>
      <c r="AC15" s="85">
        <v>13078.6129304859</v>
      </c>
      <c r="AD15" s="85">
        <v>21179.9861951949</v>
      </c>
      <c r="AE15" s="85">
        <v>5313846.950804</v>
      </c>
      <c r="AF15" s="85">
        <v>8789370.77705652</v>
      </c>
      <c r="AG15" s="85">
        <v>4327923.85098029</v>
      </c>
      <c r="AH15" s="85">
        <v>1732626.81387094</v>
      </c>
      <c r="AI15" s="85">
        <v>27520721.3741255</v>
      </c>
      <c r="AJ15" s="85">
        <v>20038604.1968911</v>
      </c>
      <c r="AK15" s="85">
        <v>5345538.77828283</v>
      </c>
      <c r="AL15" s="85">
        <v>69510375.7570052</v>
      </c>
      <c r="AM15" s="85">
        <v>2605460.10470989</v>
      </c>
      <c r="AN15" s="85">
        <v>5513422.17324682</v>
      </c>
      <c r="AO15" s="85">
        <v>1759661.66398027</v>
      </c>
      <c r="AP15" s="85">
        <v>12646200.9615065</v>
      </c>
      <c r="AQ15" s="85">
        <v>288424.6339077</v>
      </c>
      <c r="AR15" s="85">
        <v>7453946.58926637</v>
      </c>
      <c r="AS15" s="85">
        <v>20046564.5438227</v>
      </c>
      <c r="AT15" s="85">
        <v>356519030.197682</v>
      </c>
      <c r="AU15" s="85">
        <v>6120942.01358039</v>
      </c>
      <c r="AV15" s="85">
        <v>29346781.884146</v>
      </c>
      <c r="AW15" s="85">
        <v>35467723.8977264</v>
      </c>
      <c r="AX15" s="85">
        <v>0</v>
      </c>
      <c r="AY15" s="85">
        <v>35467723.8977264</v>
      </c>
      <c r="AZ15" s="85">
        <v>4281134.57767656</v>
      </c>
      <c r="BA15" s="85">
        <v>-8038986.62641049</v>
      </c>
      <c r="BB15" s="85">
        <v>-3757852.04873393</v>
      </c>
      <c r="BC15" s="85">
        <v>66074535.2715691</v>
      </c>
      <c r="BD15" s="85">
        <v>97784407.1205616</v>
      </c>
      <c r="BE15" s="85">
        <v>25910670.9349091</v>
      </c>
      <c r="BF15" s="85">
        <v>428392766.383334</v>
      </c>
    </row>
    <row r="16" ht="33.75" spans="1:58">
      <c r="A16" s="82"/>
      <c r="B16" s="83" t="s">
        <v>67</v>
      </c>
      <c r="C16" s="84" t="s">
        <v>17</v>
      </c>
      <c r="D16" s="85">
        <v>4991926.8170677</v>
      </c>
      <c r="E16" s="85">
        <v>700362.548398904</v>
      </c>
      <c r="F16" s="85">
        <v>395976.193217635</v>
      </c>
      <c r="G16" s="85">
        <v>7776692.26087838</v>
      </c>
      <c r="H16" s="85">
        <v>799185.804049714</v>
      </c>
      <c r="I16" s="85">
        <v>1015050.64892136</v>
      </c>
      <c r="J16" s="85">
        <v>1120310.30955065</v>
      </c>
      <c r="K16" s="85">
        <v>1004346.25642645</v>
      </c>
      <c r="L16" s="85">
        <v>1858172.82265521</v>
      </c>
      <c r="M16" s="85">
        <v>22688075.9620932</v>
      </c>
      <c r="N16" s="85">
        <v>63847204.8147908</v>
      </c>
      <c r="O16" s="85">
        <v>474305.058058457</v>
      </c>
      <c r="P16" s="85">
        <v>2190479.26344565</v>
      </c>
      <c r="Q16" s="85">
        <v>19987603.8673744</v>
      </c>
      <c r="R16" s="85">
        <v>42144146.6339878</v>
      </c>
      <c r="S16" s="85">
        <v>7221065.24696479</v>
      </c>
      <c r="T16" s="85">
        <v>3078282.76033665</v>
      </c>
      <c r="U16" s="85">
        <v>2035296.83084512</v>
      </c>
      <c r="V16" s="85">
        <v>1035075.19329482</v>
      </c>
      <c r="W16" s="85">
        <v>1106854.01498069</v>
      </c>
      <c r="X16" s="85">
        <v>444478.819576369</v>
      </c>
      <c r="Y16" s="85">
        <v>1121539.90998124</v>
      </c>
      <c r="Z16" s="85">
        <v>1058861.30704058</v>
      </c>
      <c r="AA16" s="85">
        <v>836932.65424877</v>
      </c>
      <c r="AB16" s="85">
        <v>10310485.4882796</v>
      </c>
      <c r="AC16" s="85">
        <v>1882494.50116738</v>
      </c>
      <c r="AD16" s="85">
        <v>38463.4315203771</v>
      </c>
      <c r="AE16" s="85">
        <v>37120733.0802531</v>
      </c>
      <c r="AF16" s="85">
        <v>3295901.78490335</v>
      </c>
      <c r="AG16" s="85">
        <v>96331786.3585812</v>
      </c>
      <c r="AH16" s="85">
        <v>1029117.57201222</v>
      </c>
      <c r="AI16" s="85">
        <v>1116149.5638976</v>
      </c>
      <c r="AJ16" s="85">
        <v>3729490.57091535</v>
      </c>
      <c r="AK16" s="85">
        <v>1528256.12300274</v>
      </c>
      <c r="AL16" s="85">
        <v>19256951.1198758</v>
      </c>
      <c r="AM16" s="85">
        <v>1475382.56939414</v>
      </c>
      <c r="AN16" s="85">
        <v>12374899.301729</v>
      </c>
      <c r="AO16" s="85">
        <v>1218116.77656808</v>
      </c>
      <c r="AP16" s="85">
        <v>2786127.90665482</v>
      </c>
      <c r="AQ16" s="85">
        <v>239725.60842664</v>
      </c>
      <c r="AR16" s="85">
        <v>469119.179650675</v>
      </c>
      <c r="AS16" s="85">
        <v>5767313.99050409</v>
      </c>
      <c r="AT16" s="85">
        <v>387898394.669095</v>
      </c>
      <c r="AU16" s="85">
        <v>5745628.19309087</v>
      </c>
      <c r="AV16" s="85">
        <v>28313584.6405669</v>
      </c>
      <c r="AW16" s="85">
        <v>34059212.8336577</v>
      </c>
      <c r="AX16" s="85">
        <v>0</v>
      </c>
      <c r="AY16" s="85">
        <v>34059212.8336577</v>
      </c>
      <c r="AZ16" s="85">
        <v>0</v>
      </c>
      <c r="BA16" s="85">
        <v>-5955399.24897708</v>
      </c>
      <c r="BB16" s="85">
        <v>-5955399.24897708</v>
      </c>
      <c r="BC16" s="85">
        <v>15981224.401177</v>
      </c>
      <c r="BD16" s="85">
        <v>44085037.9858576</v>
      </c>
      <c r="BE16" s="85">
        <v>22650148.1800972</v>
      </c>
      <c r="BF16" s="85">
        <v>409333284.474856</v>
      </c>
    </row>
    <row r="17" ht="45" spans="1:58">
      <c r="A17" s="82"/>
      <c r="B17" s="83" t="s">
        <v>68</v>
      </c>
      <c r="C17" s="84" t="s">
        <v>18</v>
      </c>
      <c r="D17" s="85">
        <v>75932742.2132605</v>
      </c>
      <c r="E17" s="85">
        <v>2724058.15268707</v>
      </c>
      <c r="F17" s="85">
        <v>3946860.51405884</v>
      </c>
      <c r="G17" s="85">
        <v>9732267.09147012</v>
      </c>
      <c r="H17" s="85">
        <v>1246400.05568228</v>
      </c>
      <c r="I17" s="85">
        <v>5072727.70069335</v>
      </c>
      <c r="J17" s="85">
        <v>54593583.3185008</v>
      </c>
      <c r="K17" s="85">
        <v>16223099.5250488</v>
      </c>
      <c r="L17" s="85">
        <v>51348512.5649212</v>
      </c>
      <c r="M17" s="85">
        <v>14670765.357755</v>
      </c>
      <c r="N17" s="85">
        <v>292965053.664608</v>
      </c>
      <c r="O17" s="85">
        <v>11936419.0561466</v>
      </c>
      <c r="P17" s="85">
        <v>110271806.293507</v>
      </c>
      <c r="Q17" s="85">
        <v>31280002.3053056</v>
      </c>
      <c r="R17" s="85">
        <v>3761258.98916111</v>
      </c>
      <c r="S17" s="85">
        <v>9341339.83894302</v>
      </c>
      <c r="T17" s="85">
        <v>10641343.791129</v>
      </c>
      <c r="U17" s="85">
        <v>4653059.16834648</v>
      </c>
      <c r="V17" s="85">
        <v>2243331.55982255</v>
      </c>
      <c r="W17" s="85">
        <v>6970340.16868803</v>
      </c>
      <c r="X17" s="85">
        <v>2118210.80846642</v>
      </c>
      <c r="Y17" s="85">
        <v>26478745.3824965</v>
      </c>
      <c r="Z17" s="85">
        <v>15451768.3835839</v>
      </c>
      <c r="AA17" s="85">
        <v>5086887.59076767</v>
      </c>
      <c r="AB17" s="85">
        <v>221438.666535134</v>
      </c>
      <c r="AC17" s="85">
        <v>31293.1657941251</v>
      </c>
      <c r="AD17" s="85">
        <v>2463333.30168075</v>
      </c>
      <c r="AE17" s="85">
        <v>75178170.0559598</v>
      </c>
      <c r="AF17" s="85">
        <v>101065.704092291</v>
      </c>
      <c r="AG17" s="85">
        <v>988410.012628351</v>
      </c>
      <c r="AH17" s="85">
        <v>2502380.83951753</v>
      </c>
      <c r="AI17" s="85">
        <v>1218070.25217909</v>
      </c>
      <c r="AJ17" s="85">
        <v>301378.837718684</v>
      </c>
      <c r="AK17" s="85">
        <v>339047.635231256</v>
      </c>
      <c r="AL17" s="85">
        <v>4302489.10772241</v>
      </c>
      <c r="AM17" s="85">
        <v>14442888.9944065</v>
      </c>
      <c r="AN17" s="85">
        <v>20348720.0274329</v>
      </c>
      <c r="AO17" s="85">
        <v>13522935.637701</v>
      </c>
      <c r="AP17" s="85">
        <v>7517280.07770332</v>
      </c>
      <c r="AQ17" s="85">
        <v>538883.132006158</v>
      </c>
      <c r="AR17" s="85">
        <v>1609725.58352926</v>
      </c>
      <c r="AS17" s="85">
        <v>8727065.82945762</v>
      </c>
      <c r="AT17" s="85">
        <v>906822060.831296</v>
      </c>
      <c r="AU17" s="85">
        <v>2773014.20640511</v>
      </c>
      <c r="AV17" s="85">
        <v>19771296.6729743</v>
      </c>
      <c r="AW17" s="85">
        <v>22544310.8793794</v>
      </c>
      <c r="AX17" s="85">
        <v>0</v>
      </c>
      <c r="AY17" s="85">
        <v>22544310.8793794</v>
      </c>
      <c r="AZ17" s="85">
        <v>0</v>
      </c>
      <c r="BA17" s="85">
        <v>-17407692.4580363</v>
      </c>
      <c r="BB17" s="85">
        <v>-17407692.4580363</v>
      </c>
      <c r="BC17" s="85">
        <v>66207877.6200248</v>
      </c>
      <c r="BD17" s="85">
        <v>71344496.041368</v>
      </c>
      <c r="BE17" s="85">
        <v>123069963.945637</v>
      </c>
      <c r="BF17" s="85">
        <v>855096592.927028</v>
      </c>
    </row>
    <row r="18" spans="1:58">
      <c r="A18" s="82"/>
      <c r="B18" s="83" t="s">
        <v>69</v>
      </c>
      <c r="C18" s="84" t="s">
        <v>19</v>
      </c>
      <c r="D18" s="85">
        <v>6070961.4374369</v>
      </c>
      <c r="E18" s="85">
        <v>41905.1238799485</v>
      </c>
      <c r="F18" s="85">
        <v>18810.3688546611</v>
      </c>
      <c r="G18" s="85">
        <v>6112.28496426447</v>
      </c>
      <c r="H18" s="85">
        <v>670.133278818854</v>
      </c>
      <c r="I18" s="85">
        <v>812022.34228901</v>
      </c>
      <c r="J18" s="85">
        <v>88147.3149178368</v>
      </c>
      <c r="K18" s="85">
        <v>2763.5261905479</v>
      </c>
      <c r="L18" s="85">
        <v>656674.068088808</v>
      </c>
      <c r="M18" s="85">
        <v>14976.675812205</v>
      </c>
      <c r="N18" s="85">
        <v>1196870.9554063</v>
      </c>
      <c r="O18" s="85">
        <v>61912202.1611742</v>
      </c>
      <c r="P18" s="85">
        <v>81220.6786497977</v>
      </c>
      <c r="Q18" s="85">
        <v>569294.792131288</v>
      </c>
      <c r="R18" s="85">
        <v>104789.230336209</v>
      </c>
      <c r="S18" s="85">
        <v>14108.632184689</v>
      </c>
      <c r="T18" s="85">
        <v>174018.265973163</v>
      </c>
      <c r="U18" s="85">
        <v>7811.94097137921</v>
      </c>
      <c r="V18" s="85">
        <v>424487.474676697</v>
      </c>
      <c r="W18" s="85">
        <v>10204.6638427004</v>
      </c>
      <c r="X18" s="85">
        <v>10869.3228811845</v>
      </c>
      <c r="Y18" s="85">
        <v>124300.882651088</v>
      </c>
      <c r="Z18" s="85">
        <v>501241.912749928</v>
      </c>
      <c r="AA18" s="85">
        <v>124963.88315405</v>
      </c>
      <c r="AB18" s="85">
        <v>16580.5681166556</v>
      </c>
      <c r="AC18" s="85">
        <v>375.411928677803</v>
      </c>
      <c r="AD18" s="85">
        <v>16573.3630853305</v>
      </c>
      <c r="AE18" s="85">
        <v>2238386.65971391</v>
      </c>
      <c r="AF18" s="85">
        <v>10825.8566038772</v>
      </c>
      <c r="AG18" s="85">
        <v>152802.039737391</v>
      </c>
      <c r="AH18" s="85">
        <v>814.26545664271</v>
      </c>
      <c r="AI18" s="85">
        <v>302859.26629002</v>
      </c>
      <c r="AJ18" s="85">
        <v>71563.52458761</v>
      </c>
      <c r="AK18" s="85">
        <v>15249.3786046615</v>
      </c>
      <c r="AL18" s="85">
        <v>178518.277358635</v>
      </c>
      <c r="AM18" s="85">
        <v>1060731.91296312</v>
      </c>
      <c r="AN18" s="85">
        <v>2592341.77051539</v>
      </c>
      <c r="AO18" s="85">
        <v>184325.826366096</v>
      </c>
      <c r="AP18" s="85">
        <v>710406.217106057</v>
      </c>
      <c r="AQ18" s="85">
        <v>163829848.564308</v>
      </c>
      <c r="AR18" s="85">
        <v>24625.0368917598</v>
      </c>
      <c r="AS18" s="85">
        <v>264315.067899182</v>
      </c>
      <c r="AT18" s="112">
        <v>244637807.553838</v>
      </c>
      <c r="AU18" s="112">
        <v>16266750.5557219</v>
      </c>
      <c r="AV18" s="112">
        <v>47595953.7120289</v>
      </c>
      <c r="AW18" s="112">
        <v>63862704.2677507</v>
      </c>
      <c r="AX18" s="112">
        <v>0</v>
      </c>
      <c r="AY18" s="112">
        <v>63862704.2677507</v>
      </c>
      <c r="AZ18" s="112">
        <v>0</v>
      </c>
      <c r="BA18" s="112">
        <v>-336221.76102223</v>
      </c>
      <c r="BB18" s="112">
        <v>-336221.76102223</v>
      </c>
      <c r="BC18" s="112">
        <v>22931108.4346494</v>
      </c>
      <c r="BD18" s="127">
        <v>86457590.9413779</v>
      </c>
      <c r="BE18" s="112">
        <v>31039261.6919652</v>
      </c>
      <c r="BF18" s="113">
        <v>300056136.80325</v>
      </c>
    </row>
    <row r="19" ht="22.5" spans="1:58">
      <c r="A19" s="82"/>
      <c r="B19" s="83" t="s">
        <v>70</v>
      </c>
      <c r="C19" s="84" t="s">
        <v>20</v>
      </c>
      <c r="D19" s="85">
        <v>8674566.85602922</v>
      </c>
      <c r="E19" s="85">
        <v>554790.313514515</v>
      </c>
      <c r="F19" s="85">
        <v>68528.8864528181</v>
      </c>
      <c r="G19" s="85">
        <v>994753.47934881</v>
      </c>
      <c r="H19" s="85">
        <v>744309.452237152</v>
      </c>
      <c r="I19" s="85">
        <v>11841214.9098398</v>
      </c>
      <c r="J19" s="85">
        <v>10980215.0053935</v>
      </c>
      <c r="K19" s="85">
        <v>3914342.38141541</v>
      </c>
      <c r="L19" s="85">
        <v>18647978.8345959</v>
      </c>
      <c r="M19" s="85">
        <v>1430383.35073459</v>
      </c>
      <c r="N19" s="85">
        <v>17479775.9892103</v>
      </c>
      <c r="O19" s="85">
        <v>1643105.08134056</v>
      </c>
      <c r="P19" s="85">
        <v>66951058.3381522</v>
      </c>
      <c r="Q19" s="85">
        <v>6557029.94459803</v>
      </c>
      <c r="R19" s="85">
        <v>203901.473861746</v>
      </c>
      <c r="S19" s="85">
        <v>669836.430494631</v>
      </c>
      <c r="T19" s="85">
        <v>5295045.14678062</v>
      </c>
      <c r="U19" s="85">
        <v>7971170.36179427</v>
      </c>
      <c r="V19" s="85">
        <v>9663695.90113678</v>
      </c>
      <c r="W19" s="85">
        <v>23623523.3810003</v>
      </c>
      <c r="X19" s="85">
        <v>5314520.98210378</v>
      </c>
      <c r="Y19" s="85">
        <v>26318074.3545849</v>
      </c>
      <c r="Z19" s="85">
        <v>20386766.106557</v>
      </c>
      <c r="AA19" s="85">
        <v>3231171.45934218</v>
      </c>
      <c r="AB19" s="85">
        <v>33464.5802711214</v>
      </c>
      <c r="AC19" s="85">
        <v>49605.9371683766</v>
      </c>
      <c r="AD19" s="85">
        <v>698996.62604487</v>
      </c>
      <c r="AE19" s="85">
        <v>34699536.488755</v>
      </c>
      <c r="AF19" s="85">
        <v>2792063.86942768</v>
      </c>
      <c r="AG19" s="85">
        <v>11281845.0911446</v>
      </c>
      <c r="AH19" s="85">
        <v>1105133.71679425</v>
      </c>
      <c r="AI19" s="85">
        <v>1435216.1186581</v>
      </c>
      <c r="AJ19" s="85">
        <v>84412.1412041188</v>
      </c>
      <c r="AK19" s="85">
        <v>381127.878140542</v>
      </c>
      <c r="AL19" s="85">
        <v>3235527.54665874</v>
      </c>
      <c r="AM19" s="85">
        <v>1079352.10028159</v>
      </c>
      <c r="AN19" s="85">
        <v>1638385.26975062</v>
      </c>
      <c r="AO19" s="85">
        <v>2721409.74699748</v>
      </c>
      <c r="AP19" s="85">
        <v>56410.5046015424</v>
      </c>
      <c r="AQ19" s="85">
        <v>542008.486108518</v>
      </c>
      <c r="AR19" s="85">
        <v>259882.127805017</v>
      </c>
      <c r="AS19" s="85">
        <v>2071130.04497971</v>
      </c>
      <c r="AT19" s="85">
        <v>313410924.313895</v>
      </c>
      <c r="AU19" s="85">
        <v>1618615.77698355</v>
      </c>
      <c r="AV19" s="85">
        <v>4802149.25930368</v>
      </c>
      <c r="AW19" s="85">
        <v>6420765.03628723</v>
      </c>
      <c r="AX19" s="85">
        <v>0</v>
      </c>
      <c r="AY19" s="85">
        <v>6420765.03628723</v>
      </c>
      <c r="AZ19" s="85">
        <v>0</v>
      </c>
      <c r="BA19" s="85">
        <v>-1905835.73546151</v>
      </c>
      <c r="BB19" s="85">
        <v>-1905835.73546151</v>
      </c>
      <c r="BC19" s="85">
        <v>57120608.6330205</v>
      </c>
      <c r="BD19" s="85">
        <v>61635537.9338462</v>
      </c>
      <c r="BE19" s="85">
        <v>16854882.8883434</v>
      </c>
      <c r="BF19" s="85">
        <v>358191579.359398</v>
      </c>
    </row>
    <row r="20" ht="22.5" spans="1:58">
      <c r="A20" s="82"/>
      <c r="B20" s="83" t="s">
        <v>71</v>
      </c>
      <c r="C20" s="84" t="s">
        <v>21</v>
      </c>
      <c r="D20" s="85">
        <v>527672.17759183</v>
      </c>
      <c r="E20" s="85">
        <v>651313.190797085</v>
      </c>
      <c r="F20" s="85">
        <v>44591.483799541</v>
      </c>
      <c r="G20" s="85">
        <v>1669898.42570184</v>
      </c>
      <c r="H20" s="85">
        <v>621832.464801636</v>
      </c>
      <c r="I20" s="85">
        <v>4888099.93514356</v>
      </c>
      <c r="J20" s="85">
        <v>571224.965780013</v>
      </c>
      <c r="K20" s="85">
        <v>1921176.13456174</v>
      </c>
      <c r="L20" s="85">
        <v>2831024.82899356</v>
      </c>
      <c r="M20" s="85">
        <v>2724987.22578919</v>
      </c>
      <c r="N20" s="85">
        <v>4189217.05651148</v>
      </c>
      <c r="O20" s="85">
        <v>2706366.34919325</v>
      </c>
      <c r="P20" s="85">
        <v>1610249.55809414</v>
      </c>
      <c r="Q20" s="85">
        <v>139143632.929287</v>
      </c>
      <c r="R20" s="85">
        <v>9435905.68320356</v>
      </c>
      <c r="S20" s="85">
        <v>5914732.9799444</v>
      </c>
      <c r="T20" s="85">
        <v>6783958.81574809</v>
      </c>
      <c r="U20" s="85">
        <v>2873744.33131565</v>
      </c>
      <c r="V20" s="85">
        <v>4066510.97931666</v>
      </c>
      <c r="W20" s="85">
        <v>9953436.82817461</v>
      </c>
      <c r="X20" s="85">
        <v>671083.253446356</v>
      </c>
      <c r="Y20" s="85">
        <v>19235014.3764924</v>
      </c>
      <c r="Z20" s="85">
        <v>18711839.3144588</v>
      </c>
      <c r="AA20" s="85">
        <v>485772.817581162</v>
      </c>
      <c r="AB20" s="85">
        <v>1991624.45078551</v>
      </c>
      <c r="AC20" s="85">
        <v>7340.51288021515</v>
      </c>
      <c r="AD20" s="85">
        <v>22846.3969048266</v>
      </c>
      <c r="AE20" s="85">
        <v>454627661.348882</v>
      </c>
      <c r="AF20" s="85">
        <v>241247.964053041</v>
      </c>
      <c r="AG20" s="85">
        <v>461491.740800674</v>
      </c>
      <c r="AH20" s="85">
        <v>358067.299574387</v>
      </c>
      <c r="AI20" s="85">
        <v>91296.3941045513</v>
      </c>
      <c r="AJ20" s="85">
        <v>23697.817957802</v>
      </c>
      <c r="AK20" s="85">
        <v>32694.0298982424</v>
      </c>
      <c r="AL20" s="85">
        <v>260519.45747035</v>
      </c>
      <c r="AM20" s="85">
        <v>2268609.79743726</v>
      </c>
      <c r="AN20" s="85">
        <v>198547.940541488</v>
      </c>
      <c r="AO20" s="85">
        <v>95799.7559726067</v>
      </c>
      <c r="AP20" s="85">
        <v>1130620.33187729</v>
      </c>
      <c r="AQ20" s="85">
        <v>325720.011349539</v>
      </c>
      <c r="AR20" s="85">
        <v>4789.98048536338</v>
      </c>
      <c r="AS20" s="85">
        <v>832366.780787269</v>
      </c>
      <c r="AT20" s="85">
        <v>703287051.982928</v>
      </c>
      <c r="AU20" s="85">
        <v>1560823.70183441</v>
      </c>
      <c r="AV20" s="85">
        <v>3925831.46539935</v>
      </c>
      <c r="AW20" s="85">
        <v>5486655.16723376</v>
      </c>
      <c r="AX20" s="85">
        <v>0</v>
      </c>
      <c r="AY20" s="85">
        <v>5486655.16723376</v>
      </c>
      <c r="AZ20" s="85">
        <v>0</v>
      </c>
      <c r="BA20" s="85">
        <v>2140696.25007459</v>
      </c>
      <c r="BB20" s="85">
        <v>2140696.25007459</v>
      </c>
      <c r="BC20" s="85">
        <v>34554204.1794678</v>
      </c>
      <c r="BD20" s="85">
        <v>42181555.5967762</v>
      </c>
      <c r="BE20" s="85">
        <v>12436721.0287978</v>
      </c>
      <c r="BF20" s="85">
        <v>733031886.550906</v>
      </c>
    </row>
    <row r="21" ht="33.75" spans="1:58">
      <c r="A21" s="82"/>
      <c r="B21" s="83" t="s">
        <v>73</v>
      </c>
      <c r="C21" s="84" t="s">
        <v>23</v>
      </c>
      <c r="D21" s="85">
        <v>231511.568215592</v>
      </c>
      <c r="E21" s="85">
        <v>5985486.08519365</v>
      </c>
      <c r="F21" s="85">
        <v>1118312.49372155</v>
      </c>
      <c r="G21" s="85">
        <v>720856.196573386</v>
      </c>
      <c r="H21" s="85">
        <v>1121508.83883353</v>
      </c>
      <c r="I21" s="85">
        <v>272337.82113822</v>
      </c>
      <c r="J21" s="85">
        <v>382742.215678737</v>
      </c>
      <c r="K21" s="85">
        <v>2368084.20433955</v>
      </c>
      <c r="L21" s="85">
        <v>4485716.34250424</v>
      </c>
      <c r="M21" s="85">
        <v>198223.339229627</v>
      </c>
      <c r="N21" s="85">
        <v>718206.532950773</v>
      </c>
      <c r="O21" s="85">
        <v>44680.393718689</v>
      </c>
      <c r="P21" s="85">
        <v>1465016.60107062</v>
      </c>
      <c r="Q21" s="85">
        <v>13933004.787727</v>
      </c>
      <c r="R21" s="85">
        <v>128395223.97116</v>
      </c>
      <c r="S21" s="85">
        <v>2760821.3172431</v>
      </c>
      <c r="T21" s="85">
        <v>109844585.756683</v>
      </c>
      <c r="U21" s="85">
        <v>45037806.5312968</v>
      </c>
      <c r="V21" s="85">
        <v>24422112.739554</v>
      </c>
      <c r="W21" s="85">
        <v>24330508.5572174</v>
      </c>
      <c r="X21" s="85">
        <v>7720732.11743162</v>
      </c>
      <c r="Y21" s="85">
        <v>18090718.1437351</v>
      </c>
      <c r="Z21" s="85">
        <v>4833386.6625495</v>
      </c>
      <c r="AA21" s="85">
        <v>1307683.86630375</v>
      </c>
      <c r="AB21" s="85">
        <v>256746.456367951</v>
      </c>
      <c r="AC21" s="85">
        <v>114830.235785861</v>
      </c>
      <c r="AD21" s="85">
        <v>71861.8906758102</v>
      </c>
      <c r="AE21" s="85">
        <v>278702659.949081</v>
      </c>
      <c r="AF21" s="85">
        <v>8351.04339150855</v>
      </c>
      <c r="AG21" s="85">
        <v>604608.957174407</v>
      </c>
      <c r="AH21" s="85">
        <v>1823.5000182725</v>
      </c>
      <c r="AI21" s="85">
        <v>6206.66179050182</v>
      </c>
      <c r="AJ21" s="85">
        <v>11.3588255360261</v>
      </c>
      <c r="AK21" s="85">
        <v>1871.32785200208</v>
      </c>
      <c r="AL21" s="85">
        <v>1198.28643644775</v>
      </c>
      <c r="AM21" s="85">
        <v>177423.315010945</v>
      </c>
      <c r="AN21" s="85">
        <v>331864.869519912</v>
      </c>
      <c r="AO21" s="85">
        <v>8411.94844866562</v>
      </c>
      <c r="AP21" s="85">
        <v>26880.8720745407</v>
      </c>
      <c r="AQ21" s="85">
        <v>329.000234934899</v>
      </c>
      <c r="AR21" s="85">
        <v>828.993014998688</v>
      </c>
      <c r="AS21" s="85">
        <v>140681.949732069</v>
      </c>
      <c r="AT21" s="85">
        <v>677877773.495165</v>
      </c>
      <c r="AU21" s="85">
        <v>0</v>
      </c>
      <c r="AV21" s="85">
        <v>0</v>
      </c>
      <c r="AW21" s="85">
        <v>0</v>
      </c>
      <c r="AX21" s="85">
        <v>0</v>
      </c>
      <c r="AY21" s="85">
        <v>0</v>
      </c>
      <c r="AZ21" s="85">
        <v>0</v>
      </c>
      <c r="BA21" s="85">
        <v>4405504.33321625</v>
      </c>
      <c r="BB21" s="85">
        <v>4405504.33321625</v>
      </c>
      <c r="BC21" s="85">
        <v>27767871.7561531</v>
      </c>
      <c r="BD21" s="85">
        <v>32173376.0893694</v>
      </c>
      <c r="BE21" s="85">
        <v>26541208.6738549</v>
      </c>
      <c r="BF21" s="85">
        <v>683509940.910679</v>
      </c>
    </row>
    <row r="22" ht="33.75" spans="1:58">
      <c r="A22" s="82"/>
      <c r="B22" s="83" t="s">
        <v>74</v>
      </c>
      <c r="C22" s="84" t="s">
        <v>24</v>
      </c>
      <c r="D22" s="85">
        <v>8900.67554865504</v>
      </c>
      <c r="E22" s="85">
        <v>15416.107396695</v>
      </c>
      <c r="F22" s="85">
        <v>227.827634013911</v>
      </c>
      <c r="G22" s="85">
        <v>443804.902913691</v>
      </c>
      <c r="H22" s="85">
        <v>166228.309011528</v>
      </c>
      <c r="I22" s="85">
        <v>109160.627027975</v>
      </c>
      <c r="J22" s="85">
        <v>220462.383442483</v>
      </c>
      <c r="K22" s="85">
        <v>906287.232176806</v>
      </c>
      <c r="L22" s="85">
        <v>19977459.015091</v>
      </c>
      <c r="M22" s="85">
        <v>15125.4224014293</v>
      </c>
      <c r="N22" s="85">
        <v>8623449.76741293</v>
      </c>
      <c r="O22" s="85">
        <v>119933.475703443</v>
      </c>
      <c r="P22" s="85">
        <v>2202103.60678586</v>
      </c>
      <c r="Q22" s="85">
        <v>7233885.01679742</v>
      </c>
      <c r="R22" s="85">
        <v>8479844.59701873</v>
      </c>
      <c r="S22" s="85">
        <v>196601311.087144</v>
      </c>
      <c r="T22" s="85">
        <v>48942799.2321454</v>
      </c>
      <c r="U22" s="85">
        <v>37701392.0286137</v>
      </c>
      <c r="V22" s="85">
        <v>12717404.9247811</v>
      </c>
      <c r="W22" s="85">
        <v>34619046.993302</v>
      </c>
      <c r="X22" s="85">
        <v>7591588.55350069</v>
      </c>
      <c r="Y22" s="85">
        <v>128393623.886509</v>
      </c>
      <c r="Z22" s="85">
        <v>31542514.3496544</v>
      </c>
      <c r="AA22" s="85">
        <v>5247794.07373487</v>
      </c>
      <c r="AB22" s="85">
        <v>82372.6373219828</v>
      </c>
      <c r="AC22" s="85">
        <v>775.805635885455</v>
      </c>
      <c r="AD22" s="85">
        <v>5801.64483655563</v>
      </c>
      <c r="AE22" s="85">
        <v>10715656.0886856</v>
      </c>
      <c r="AF22" s="85">
        <v>23345.672744347</v>
      </c>
      <c r="AG22" s="85">
        <v>69400.5413441205</v>
      </c>
      <c r="AH22" s="85">
        <v>3687.67374083509</v>
      </c>
      <c r="AI22" s="85">
        <v>0</v>
      </c>
      <c r="AJ22" s="85">
        <v>0</v>
      </c>
      <c r="AK22" s="85">
        <v>0</v>
      </c>
      <c r="AL22" s="85">
        <v>1660.03780915729</v>
      </c>
      <c r="AM22" s="85">
        <v>173035.624379098</v>
      </c>
      <c r="AN22" s="85">
        <v>92358.9187390749</v>
      </c>
      <c r="AO22" s="85">
        <v>146370.740511227</v>
      </c>
      <c r="AP22" s="85">
        <v>45405.5121285303</v>
      </c>
      <c r="AQ22" s="85">
        <v>1123.57063964577</v>
      </c>
      <c r="AR22" s="85">
        <v>334.009069277174</v>
      </c>
      <c r="AS22" s="85">
        <v>0.00532441881524498</v>
      </c>
      <c r="AT22" s="85">
        <v>562334805.346481</v>
      </c>
      <c r="AU22" s="85">
        <v>0</v>
      </c>
      <c r="AV22" s="85">
        <v>0</v>
      </c>
      <c r="AW22" s="85">
        <v>0</v>
      </c>
      <c r="AX22" s="85">
        <v>0</v>
      </c>
      <c r="AY22" s="85">
        <v>0</v>
      </c>
      <c r="AZ22" s="85">
        <v>0</v>
      </c>
      <c r="BA22" s="85">
        <v>-957892.18613738</v>
      </c>
      <c r="BB22" s="85">
        <v>-957892.18613738</v>
      </c>
      <c r="BC22" s="85">
        <v>17965733.8081997</v>
      </c>
      <c r="BD22" s="85">
        <v>17007841.6220624</v>
      </c>
      <c r="BE22" s="85">
        <v>54672624.2125607</v>
      </c>
      <c r="BF22" s="85">
        <v>524670022.755983</v>
      </c>
    </row>
    <row r="23" spans="1:58">
      <c r="A23" s="82"/>
      <c r="B23" s="83" t="s">
        <v>75</v>
      </c>
      <c r="C23" s="84" t="s">
        <v>25</v>
      </c>
      <c r="D23" s="85">
        <v>823239.119044215</v>
      </c>
      <c r="E23" s="85">
        <v>6843894.59053359</v>
      </c>
      <c r="F23" s="85">
        <v>47481.4940586859</v>
      </c>
      <c r="G23" s="85">
        <v>4175081.20725231</v>
      </c>
      <c r="H23" s="85">
        <v>587075.014773858</v>
      </c>
      <c r="I23" s="85">
        <v>3523907.10591254</v>
      </c>
      <c r="J23" s="85">
        <v>2164374.03906864</v>
      </c>
      <c r="K23" s="85">
        <v>6160907.41042858</v>
      </c>
      <c r="L23" s="85">
        <v>9762688.78290155</v>
      </c>
      <c r="M23" s="85">
        <v>367056.841011746</v>
      </c>
      <c r="N23" s="85">
        <v>3226326.02543016</v>
      </c>
      <c r="O23" s="85">
        <v>1210054.81549578</v>
      </c>
      <c r="P23" s="85">
        <v>4964060.11089454</v>
      </c>
      <c r="Q23" s="85">
        <v>16927420.3252392</v>
      </c>
      <c r="R23" s="85">
        <v>1218101.91400896</v>
      </c>
      <c r="S23" s="85">
        <v>1056789.44990559</v>
      </c>
      <c r="T23" s="85">
        <v>69726613.0196675</v>
      </c>
      <c r="U23" s="85">
        <v>27665192.2268015</v>
      </c>
      <c r="V23" s="85">
        <v>16436651.4292092</v>
      </c>
      <c r="W23" s="85">
        <v>14866905.5316828</v>
      </c>
      <c r="X23" s="85">
        <v>5355333.52508859</v>
      </c>
      <c r="Y23" s="85">
        <v>25722146.7761019</v>
      </c>
      <c r="Z23" s="85">
        <v>16994492.5820494</v>
      </c>
      <c r="AA23" s="85">
        <v>2549699.05053101</v>
      </c>
      <c r="AB23" s="85">
        <v>275728.82485354</v>
      </c>
      <c r="AC23" s="85">
        <v>36839.2092825543</v>
      </c>
      <c r="AD23" s="85">
        <v>843476.845539493</v>
      </c>
      <c r="AE23" s="85">
        <v>132161439.876163</v>
      </c>
      <c r="AF23" s="85">
        <v>290667.527981728</v>
      </c>
      <c r="AG23" s="85">
        <v>3135118.82343839</v>
      </c>
      <c r="AH23" s="85">
        <v>384818.746002096</v>
      </c>
      <c r="AI23" s="85">
        <v>599301.045059108</v>
      </c>
      <c r="AJ23" s="85">
        <v>86808.7666449741</v>
      </c>
      <c r="AK23" s="85">
        <v>1196639.37190678</v>
      </c>
      <c r="AL23" s="85">
        <v>25113883.5679907</v>
      </c>
      <c r="AM23" s="85">
        <v>5682565.08235894</v>
      </c>
      <c r="AN23" s="85">
        <v>13354998.6456774</v>
      </c>
      <c r="AO23" s="85">
        <v>3302520.29842778</v>
      </c>
      <c r="AP23" s="85">
        <v>758921.691067696</v>
      </c>
      <c r="AQ23" s="85">
        <v>53758.7009246846</v>
      </c>
      <c r="AR23" s="85">
        <v>152670.465164302</v>
      </c>
      <c r="AS23" s="85">
        <v>2122995.85967612</v>
      </c>
      <c r="AT23" s="112">
        <v>425767738.324822</v>
      </c>
      <c r="AU23" s="112">
        <v>665462.948125651</v>
      </c>
      <c r="AV23" s="112">
        <v>4215024.12649486</v>
      </c>
      <c r="AW23" s="112">
        <v>4880487.07462051</v>
      </c>
      <c r="AX23" s="112">
        <v>0</v>
      </c>
      <c r="AY23" s="112">
        <v>4880487.07462051</v>
      </c>
      <c r="AZ23" s="112">
        <v>25162931.8981722</v>
      </c>
      <c r="BA23" s="112">
        <v>9509406.91482779</v>
      </c>
      <c r="BB23" s="112">
        <v>34672338.813</v>
      </c>
      <c r="BC23" s="112">
        <v>62348551.2322764</v>
      </c>
      <c r="BD23" s="127">
        <v>101901377.119897</v>
      </c>
      <c r="BE23" s="112">
        <v>8187441.32825617</v>
      </c>
      <c r="BF23" s="113">
        <v>519481674.116463</v>
      </c>
    </row>
    <row r="24" spans="1:58">
      <c r="A24" s="82"/>
      <c r="B24" s="83" t="s">
        <v>78</v>
      </c>
      <c r="C24" s="84" t="s">
        <v>28</v>
      </c>
      <c r="D24" s="85">
        <v>806226.184270114</v>
      </c>
      <c r="E24" s="85">
        <v>2843363.00046338</v>
      </c>
      <c r="F24" s="85">
        <v>696909.963403123</v>
      </c>
      <c r="G24" s="85">
        <v>2538535.26409327</v>
      </c>
      <c r="H24" s="85">
        <v>114281.127685603</v>
      </c>
      <c r="I24" s="85">
        <v>1454621.35317593</v>
      </c>
      <c r="J24" s="85">
        <v>1829431.63016969</v>
      </c>
      <c r="K24" s="85">
        <v>1278520.9770093</v>
      </c>
      <c r="L24" s="85">
        <v>2428023.70479392</v>
      </c>
      <c r="M24" s="85">
        <v>2442105.77966656</v>
      </c>
      <c r="N24" s="85">
        <v>4521088.92408151</v>
      </c>
      <c r="O24" s="85">
        <v>549583.609396482</v>
      </c>
      <c r="P24" s="85">
        <v>1114986.9222332</v>
      </c>
      <c r="Q24" s="85">
        <v>11173708.1146356</v>
      </c>
      <c r="R24" s="85">
        <v>7711312.92107117</v>
      </c>
      <c r="S24" s="85">
        <v>949139.593652273</v>
      </c>
      <c r="T24" s="85">
        <v>13379131.6650398</v>
      </c>
      <c r="U24" s="85">
        <v>113487863.806767</v>
      </c>
      <c r="V24" s="85">
        <v>35452640.1347683</v>
      </c>
      <c r="W24" s="85">
        <v>25719680.5816952</v>
      </c>
      <c r="X24" s="85">
        <v>11260438.3801391</v>
      </c>
      <c r="Y24" s="85">
        <v>24040251.9189083</v>
      </c>
      <c r="Z24" s="85">
        <v>9038625.38526015</v>
      </c>
      <c r="AA24" s="85">
        <v>2159487.82629554</v>
      </c>
      <c r="AB24" s="85">
        <v>2748010.68795233</v>
      </c>
      <c r="AC24" s="85">
        <v>160562.279466362</v>
      </c>
      <c r="AD24" s="85">
        <v>150061.209496772</v>
      </c>
      <c r="AE24" s="85">
        <v>21074962.820469</v>
      </c>
      <c r="AF24" s="85">
        <v>243034.792397356</v>
      </c>
      <c r="AG24" s="85">
        <v>10091175.5281896</v>
      </c>
      <c r="AH24" s="85">
        <v>297627.994707292</v>
      </c>
      <c r="AI24" s="85">
        <v>403328.364740025</v>
      </c>
      <c r="AJ24" s="85">
        <v>644747.674256228</v>
      </c>
      <c r="AK24" s="85">
        <v>308267.213126746</v>
      </c>
      <c r="AL24" s="85">
        <v>296883.487869707</v>
      </c>
      <c r="AM24" s="85">
        <v>216508.4433095</v>
      </c>
      <c r="AN24" s="85">
        <v>721127.504499315</v>
      </c>
      <c r="AO24" s="85">
        <v>131078.395913098</v>
      </c>
      <c r="AP24" s="85">
        <v>649463.411069069</v>
      </c>
      <c r="AQ24" s="85">
        <v>107743.552579729</v>
      </c>
      <c r="AR24" s="85">
        <v>51761.1116605379</v>
      </c>
      <c r="AS24" s="85">
        <v>375857.549392131</v>
      </c>
      <c r="AT24" s="85">
        <v>314383639.81276</v>
      </c>
      <c r="AU24" s="85">
        <v>376403.352121902</v>
      </c>
      <c r="AV24" s="85">
        <v>1228363.59075783</v>
      </c>
      <c r="AW24" s="85">
        <v>1604766.94287974</v>
      </c>
      <c r="AX24" s="85">
        <v>0</v>
      </c>
      <c r="AY24" s="85">
        <v>1604766.94287974</v>
      </c>
      <c r="AZ24" s="85">
        <v>170362145.9457</v>
      </c>
      <c r="BA24" s="85">
        <v>9413554.55023874</v>
      </c>
      <c r="BB24" s="85">
        <v>179775700.495938</v>
      </c>
      <c r="BC24" s="85">
        <v>92569318.3625549</v>
      </c>
      <c r="BD24" s="85">
        <v>273949785.801373</v>
      </c>
      <c r="BE24" s="85">
        <v>55422439.1853585</v>
      </c>
      <c r="BF24" s="85">
        <v>532910986.428774</v>
      </c>
    </row>
    <row r="25" spans="1:58">
      <c r="A25" s="82"/>
      <c r="B25" s="83" t="s">
        <v>72</v>
      </c>
      <c r="C25" s="84" t="s">
        <v>22</v>
      </c>
      <c r="D25" s="85">
        <v>9442062.92801937</v>
      </c>
      <c r="E25" s="85">
        <v>4363149.336806</v>
      </c>
      <c r="F25" s="85">
        <v>2865981.25181855</v>
      </c>
      <c r="G25" s="85">
        <v>5453583.9108511</v>
      </c>
      <c r="H25" s="85">
        <v>1809891.30244196</v>
      </c>
      <c r="I25" s="85">
        <v>571460.14655284</v>
      </c>
      <c r="J25" s="85">
        <v>1222125.93598965</v>
      </c>
      <c r="K25" s="85">
        <v>807146.352519896</v>
      </c>
      <c r="L25" s="85">
        <v>2812881.97833965</v>
      </c>
      <c r="M25" s="85">
        <v>833887.883458399</v>
      </c>
      <c r="N25" s="85">
        <v>3285331.70570163</v>
      </c>
      <c r="O25" s="85">
        <v>235061.275415039</v>
      </c>
      <c r="P25" s="85">
        <v>1275752.54841213</v>
      </c>
      <c r="Q25" s="85">
        <v>3308438.86187986</v>
      </c>
      <c r="R25" s="85">
        <v>5251960.01500806</v>
      </c>
      <c r="S25" s="85">
        <v>3482298.16140767</v>
      </c>
      <c r="T25" s="85">
        <v>3764377.58852423</v>
      </c>
      <c r="U25" s="85">
        <v>4434748.51689896</v>
      </c>
      <c r="V25" s="85">
        <v>48823626.045814</v>
      </c>
      <c r="W25" s="85">
        <v>4354380.29182304</v>
      </c>
      <c r="X25" s="85">
        <v>1023610.76363881</v>
      </c>
      <c r="Y25" s="85">
        <v>4191944.0242041</v>
      </c>
      <c r="Z25" s="85">
        <v>21202968.5853471</v>
      </c>
      <c r="AA25" s="85">
        <v>693670.454658586</v>
      </c>
      <c r="AB25" s="85">
        <v>179779.537392399</v>
      </c>
      <c r="AC25" s="85">
        <v>8470.14890797024</v>
      </c>
      <c r="AD25" s="85">
        <v>108797.717378279</v>
      </c>
      <c r="AE25" s="85">
        <v>17847619.6761968</v>
      </c>
      <c r="AF25" s="85">
        <v>34879.9991827387</v>
      </c>
      <c r="AG25" s="85">
        <v>1382805.2328976</v>
      </c>
      <c r="AH25" s="85">
        <v>142728.162167838</v>
      </c>
      <c r="AI25" s="85">
        <v>102271.223977529</v>
      </c>
      <c r="AJ25" s="85">
        <v>923602.285353108</v>
      </c>
      <c r="AK25" s="85">
        <v>8292.93333092109</v>
      </c>
      <c r="AL25" s="85">
        <v>523390.390744323</v>
      </c>
      <c r="AM25" s="85">
        <v>39920.1783046273</v>
      </c>
      <c r="AN25" s="85">
        <v>160663.045571544</v>
      </c>
      <c r="AO25" s="85">
        <v>160146.609952256</v>
      </c>
      <c r="AP25" s="85">
        <v>133533.267090461</v>
      </c>
      <c r="AQ25" s="85">
        <v>16681231.4471724</v>
      </c>
      <c r="AR25" s="85">
        <v>11275.3032369504</v>
      </c>
      <c r="AS25" s="85">
        <v>264818.8229936</v>
      </c>
      <c r="AT25" s="85">
        <v>173417419.494862</v>
      </c>
      <c r="AU25" s="85">
        <v>595579.786708233</v>
      </c>
      <c r="AV25" s="85">
        <v>3720729.28128777</v>
      </c>
      <c r="AW25" s="85">
        <v>4316309.067996</v>
      </c>
      <c r="AX25" s="85">
        <v>0</v>
      </c>
      <c r="AY25" s="85">
        <v>4316309.067996</v>
      </c>
      <c r="AZ25" s="85">
        <v>204929596.996765</v>
      </c>
      <c r="BA25" s="85">
        <v>4556075.64797651</v>
      </c>
      <c r="BB25" s="85">
        <v>209485672.644741</v>
      </c>
      <c r="BC25" s="85">
        <v>59350299.4024356</v>
      </c>
      <c r="BD25" s="85">
        <v>273152281.115173</v>
      </c>
      <c r="BE25" s="85">
        <v>59218616.8054186</v>
      </c>
      <c r="BF25" s="85">
        <v>387351083.804617</v>
      </c>
    </row>
    <row r="26" spans="1:58">
      <c r="A26" s="82"/>
      <c r="B26" s="83" t="s">
        <v>79</v>
      </c>
      <c r="C26" s="84" t="s">
        <v>29</v>
      </c>
      <c r="D26" s="85">
        <v>1408919.47174852</v>
      </c>
      <c r="E26" s="85">
        <v>198746.703208977</v>
      </c>
      <c r="F26" s="85">
        <v>17829.4995666181</v>
      </c>
      <c r="G26" s="85">
        <v>1022626.22236667</v>
      </c>
      <c r="H26" s="85">
        <v>150879.728926784</v>
      </c>
      <c r="I26" s="85">
        <v>174622.0626038</v>
      </c>
      <c r="J26" s="85">
        <v>253639.827609616</v>
      </c>
      <c r="K26" s="85">
        <v>118989.438174631</v>
      </c>
      <c r="L26" s="85">
        <v>309975.01103407</v>
      </c>
      <c r="M26" s="85">
        <v>11160.7151198479</v>
      </c>
      <c r="N26" s="85">
        <v>366530.842197897</v>
      </c>
      <c r="O26" s="85">
        <v>35280.4114697753</v>
      </c>
      <c r="P26" s="85">
        <v>161696.960472425</v>
      </c>
      <c r="Q26" s="85">
        <v>2370746.5846731</v>
      </c>
      <c r="R26" s="85">
        <v>187208.86335535</v>
      </c>
      <c r="S26" s="85">
        <v>60658.8850420883</v>
      </c>
      <c r="T26" s="85">
        <v>593836.086899674</v>
      </c>
      <c r="U26" s="85">
        <v>7563616.93721981</v>
      </c>
      <c r="V26" s="85">
        <v>8848095.28212466</v>
      </c>
      <c r="W26" s="85">
        <v>237540166.849936</v>
      </c>
      <c r="X26" s="85">
        <v>988820.126352283</v>
      </c>
      <c r="Y26" s="85">
        <v>1344462.38255763</v>
      </c>
      <c r="Z26" s="85">
        <v>694918.872580712</v>
      </c>
      <c r="AA26" s="85">
        <v>291795.627665762</v>
      </c>
      <c r="AB26" s="85">
        <v>58968.4302529935</v>
      </c>
      <c r="AC26" s="85">
        <v>10597.3705342233</v>
      </c>
      <c r="AD26" s="85">
        <v>10282.3495962402</v>
      </c>
      <c r="AE26" s="85">
        <v>1111563.22633228</v>
      </c>
      <c r="AF26" s="85">
        <v>118840.414417673</v>
      </c>
      <c r="AG26" s="85">
        <v>70012316.4917652</v>
      </c>
      <c r="AH26" s="85">
        <v>471817.610119264</v>
      </c>
      <c r="AI26" s="85">
        <v>259987.74788361</v>
      </c>
      <c r="AJ26" s="85">
        <v>289071.471008231</v>
      </c>
      <c r="AK26" s="85">
        <v>28341.215566361</v>
      </c>
      <c r="AL26" s="85">
        <v>32334152.3130725</v>
      </c>
      <c r="AM26" s="85">
        <v>356407.834694694</v>
      </c>
      <c r="AN26" s="85">
        <v>3427487.68638643</v>
      </c>
      <c r="AO26" s="85">
        <v>8061811.89508873</v>
      </c>
      <c r="AP26" s="85">
        <v>115094.302472962</v>
      </c>
      <c r="AQ26" s="85">
        <v>44551.6552238103</v>
      </c>
      <c r="AR26" s="85">
        <v>91094.9497107393</v>
      </c>
      <c r="AS26" s="85">
        <v>4080096.68035588</v>
      </c>
      <c r="AT26" s="85">
        <v>385478717.599214</v>
      </c>
      <c r="AU26" s="85">
        <v>21454358.9824</v>
      </c>
      <c r="AV26" s="85">
        <v>126837276.971455</v>
      </c>
      <c r="AW26" s="85">
        <v>148291635.953854</v>
      </c>
      <c r="AX26" s="85">
        <v>0</v>
      </c>
      <c r="AY26" s="85">
        <v>148291635.953854</v>
      </c>
      <c r="AZ26" s="85">
        <v>176416405.60986</v>
      </c>
      <c r="BA26" s="85">
        <v>16277173.520149</v>
      </c>
      <c r="BB26" s="85">
        <v>192693579.130009</v>
      </c>
      <c r="BC26" s="85">
        <v>31524411.8740067</v>
      </c>
      <c r="BD26" s="85">
        <v>372509626.95787</v>
      </c>
      <c r="BE26" s="85">
        <v>51530883.8938301</v>
      </c>
      <c r="BF26" s="85">
        <v>706457460.663255</v>
      </c>
    </row>
    <row r="27" ht="45" spans="1:58">
      <c r="A27" s="82"/>
      <c r="B27" s="83" t="s">
        <v>80</v>
      </c>
      <c r="C27" s="84" t="s">
        <v>30</v>
      </c>
      <c r="D27" s="85">
        <v>1633653.65806691</v>
      </c>
      <c r="E27" s="85">
        <v>137377.205097078</v>
      </c>
      <c r="F27" s="85">
        <v>3299.56189290866</v>
      </c>
      <c r="G27" s="85">
        <v>67835.3459976172</v>
      </c>
      <c r="H27" s="85">
        <v>4779.07588288803</v>
      </c>
      <c r="I27" s="85">
        <v>63498.7503577343</v>
      </c>
      <c r="J27" s="85">
        <v>69505.4852935894</v>
      </c>
      <c r="K27" s="85">
        <v>69778.9410106169</v>
      </c>
      <c r="L27" s="85">
        <v>108012.372758994</v>
      </c>
      <c r="M27" s="85">
        <v>42843.2728787259</v>
      </c>
      <c r="N27" s="85">
        <v>152643.880331771</v>
      </c>
      <c r="O27" s="85">
        <v>41875.3936036717</v>
      </c>
      <c r="P27" s="85">
        <v>24313.253380856</v>
      </c>
      <c r="Q27" s="85">
        <v>62621.1042461217</v>
      </c>
      <c r="R27" s="85">
        <v>37696.937032712</v>
      </c>
      <c r="S27" s="85">
        <v>1730.54803290979</v>
      </c>
      <c r="T27" s="85">
        <v>65866.2998077061</v>
      </c>
      <c r="U27" s="85">
        <v>2010934.95369182</v>
      </c>
      <c r="V27" s="85">
        <v>1579977.05745096</v>
      </c>
      <c r="W27" s="85">
        <v>566701.38138896</v>
      </c>
      <c r="X27" s="85">
        <v>26429459.4335445</v>
      </c>
      <c r="Y27" s="85">
        <v>415016.332230818</v>
      </c>
      <c r="Z27" s="85">
        <v>293311.212366442</v>
      </c>
      <c r="AA27" s="85">
        <v>2270996.10026629</v>
      </c>
      <c r="AB27" s="85">
        <v>2147.56667994425</v>
      </c>
      <c r="AC27" s="85">
        <v>2909.14583836519</v>
      </c>
      <c r="AD27" s="85">
        <v>3349.17092722103</v>
      </c>
      <c r="AE27" s="85">
        <v>1342301.06272071</v>
      </c>
      <c r="AF27" s="85">
        <v>33836.1077160702</v>
      </c>
      <c r="AG27" s="85">
        <v>17589480.2783088</v>
      </c>
      <c r="AH27" s="85">
        <v>5954.9325288047</v>
      </c>
      <c r="AI27" s="85">
        <v>9733.57136228869</v>
      </c>
      <c r="AJ27" s="85">
        <v>37918.7506338776</v>
      </c>
      <c r="AK27" s="85">
        <v>2136.28184031191</v>
      </c>
      <c r="AL27" s="85">
        <v>30801.7023287918</v>
      </c>
      <c r="AM27" s="85">
        <v>97615.3658618262</v>
      </c>
      <c r="AN27" s="85">
        <v>159496.189974238</v>
      </c>
      <c r="AO27" s="85">
        <v>4542218.64200786</v>
      </c>
      <c r="AP27" s="85">
        <v>18162.6652493418</v>
      </c>
      <c r="AQ27" s="85">
        <v>211712.633190132</v>
      </c>
      <c r="AR27" s="85">
        <v>18823.8901585928</v>
      </c>
      <c r="AS27" s="85">
        <v>630868.856323893</v>
      </c>
      <c r="AT27" s="85">
        <v>60823415.4292531</v>
      </c>
      <c r="AU27" s="85">
        <v>5697629.10822783</v>
      </c>
      <c r="AV27" s="85">
        <v>9025381.58335605</v>
      </c>
      <c r="AW27" s="85">
        <v>14723010.6915839</v>
      </c>
      <c r="AX27" s="85">
        <v>0</v>
      </c>
      <c r="AY27" s="85">
        <v>14723010.6915839</v>
      </c>
      <c r="AZ27" s="85">
        <v>60601018.9130205</v>
      </c>
      <c r="BA27" s="85">
        <v>109528.026406031</v>
      </c>
      <c r="BB27" s="85">
        <v>60710546.9394265</v>
      </c>
      <c r="BC27" s="85">
        <v>28964418.0481885</v>
      </c>
      <c r="BD27" s="85">
        <v>104397975.679199</v>
      </c>
      <c r="BE27" s="85">
        <v>9207467.07582404</v>
      </c>
      <c r="BF27" s="85">
        <v>156013924.032628</v>
      </c>
    </row>
    <row r="28" ht="22.5" spans="1:58">
      <c r="A28" s="82"/>
      <c r="B28" s="83" t="s">
        <v>77</v>
      </c>
      <c r="C28" s="84" t="s">
        <v>27</v>
      </c>
      <c r="D28" s="85">
        <v>197717.415187688</v>
      </c>
      <c r="E28" s="85">
        <v>881627.778062507</v>
      </c>
      <c r="F28" s="85">
        <v>103121.478636574</v>
      </c>
      <c r="G28" s="85">
        <v>981292.411045522</v>
      </c>
      <c r="H28" s="85">
        <v>106644.456891027</v>
      </c>
      <c r="I28" s="85">
        <v>653308.469340626</v>
      </c>
      <c r="J28" s="85">
        <v>495172.500311499</v>
      </c>
      <c r="K28" s="85">
        <v>286554.206893218</v>
      </c>
      <c r="L28" s="85">
        <v>1752872.2545674</v>
      </c>
      <c r="M28" s="85">
        <v>180840.089195095</v>
      </c>
      <c r="N28" s="85">
        <v>822089.173907281</v>
      </c>
      <c r="O28" s="85">
        <v>125439.831913432</v>
      </c>
      <c r="P28" s="85">
        <v>1149003.59757298</v>
      </c>
      <c r="Q28" s="85">
        <v>1447646.24429034</v>
      </c>
      <c r="R28" s="85">
        <v>565778.765745936</v>
      </c>
      <c r="S28" s="85">
        <v>269475.607547603</v>
      </c>
      <c r="T28" s="85">
        <v>1218352.28813117</v>
      </c>
      <c r="U28" s="85">
        <v>30663801.7365319</v>
      </c>
      <c r="V28" s="85">
        <v>17420251.0478405</v>
      </c>
      <c r="W28" s="85">
        <v>16970910.7034714</v>
      </c>
      <c r="X28" s="85">
        <v>16325888.3708768</v>
      </c>
      <c r="Y28" s="85">
        <v>117461126.231873</v>
      </c>
      <c r="Z28" s="85">
        <v>56751423.2515013</v>
      </c>
      <c r="AA28" s="85">
        <v>2060373.1156654</v>
      </c>
      <c r="AB28" s="85">
        <v>42504095.5491839</v>
      </c>
      <c r="AC28" s="85">
        <v>79167.8845453074</v>
      </c>
      <c r="AD28" s="85">
        <v>81672.3925387506</v>
      </c>
      <c r="AE28" s="85">
        <v>93400845.8318153</v>
      </c>
      <c r="AF28" s="85">
        <v>14542910.593776</v>
      </c>
      <c r="AG28" s="85">
        <v>5206775.22295775</v>
      </c>
      <c r="AH28" s="85">
        <v>522242.572353372</v>
      </c>
      <c r="AI28" s="85">
        <v>10616440.4929461</v>
      </c>
      <c r="AJ28" s="85">
        <v>110440.953008636</v>
      </c>
      <c r="AK28" s="85">
        <v>58084.7914951291</v>
      </c>
      <c r="AL28" s="85">
        <v>12746420.9702527</v>
      </c>
      <c r="AM28" s="85">
        <v>7320572.04695897</v>
      </c>
      <c r="AN28" s="85">
        <v>9868972.94329078</v>
      </c>
      <c r="AO28" s="85">
        <v>3254772.87849032</v>
      </c>
      <c r="AP28" s="85">
        <v>94102.0244129902</v>
      </c>
      <c r="AQ28" s="85">
        <v>481029.797254609</v>
      </c>
      <c r="AR28" s="85">
        <v>104873.43936142</v>
      </c>
      <c r="AS28" s="85">
        <v>3268322.84521895</v>
      </c>
      <c r="AT28" s="85">
        <v>472865900.049969</v>
      </c>
      <c r="AU28" s="85">
        <v>10878967.9395498</v>
      </c>
      <c r="AV28" s="85">
        <v>29242602.7435627</v>
      </c>
      <c r="AW28" s="85">
        <v>40121570.6831126</v>
      </c>
      <c r="AX28" s="85">
        <v>0</v>
      </c>
      <c r="AY28" s="85">
        <v>40121570.6831126</v>
      </c>
      <c r="AZ28" s="85">
        <v>63813745.932882</v>
      </c>
      <c r="BA28" s="85">
        <v>752723.18437021</v>
      </c>
      <c r="BB28" s="85">
        <v>64566469.1172523</v>
      </c>
      <c r="BC28" s="85">
        <v>170548525.749384</v>
      </c>
      <c r="BD28" s="85">
        <v>275236565.549748</v>
      </c>
      <c r="BE28" s="85">
        <v>50436211.01256</v>
      </c>
      <c r="BF28" s="85">
        <v>697666254.587158</v>
      </c>
    </row>
    <row r="29" ht="45" spans="1:58">
      <c r="A29" s="82"/>
      <c r="B29" s="83" t="s">
        <v>76</v>
      </c>
      <c r="C29" s="84" t="s">
        <v>26</v>
      </c>
      <c r="D29" s="85">
        <v>331571.923272867</v>
      </c>
      <c r="E29" s="85">
        <v>360777.600048786</v>
      </c>
      <c r="F29" s="85">
        <v>869124.765382683</v>
      </c>
      <c r="G29" s="85">
        <v>145408.002156292</v>
      </c>
      <c r="H29" s="85">
        <v>375468.67917023</v>
      </c>
      <c r="I29" s="85">
        <v>747037.241952358</v>
      </c>
      <c r="J29" s="85">
        <v>409009.192440037</v>
      </c>
      <c r="K29" s="85">
        <v>114685.419699634</v>
      </c>
      <c r="L29" s="85">
        <v>3374013.38554036</v>
      </c>
      <c r="M29" s="85">
        <v>1119303.61774101</v>
      </c>
      <c r="N29" s="85">
        <v>1074059.68590883</v>
      </c>
      <c r="O29" s="85">
        <v>481071.441299769</v>
      </c>
      <c r="P29" s="85">
        <v>1201955.6937511</v>
      </c>
      <c r="Q29" s="85">
        <v>1208113.17557276</v>
      </c>
      <c r="R29" s="85">
        <v>932509.347513557</v>
      </c>
      <c r="S29" s="85">
        <v>157946.375160313</v>
      </c>
      <c r="T29" s="85">
        <v>965077.730843394</v>
      </c>
      <c r="U29" s="85">
        <v>25381587.3322048</v>
      </c>
      <c r="V29" s="85">
        <v>27022920.5556231</v>
      </c>
      <c r="W29" s="85">
        <v>16792407.2437838</v>
      </c>
      <c r="X29" s="85">
        <v>8374607.94999632</v>
      </c>
      <c r="Y29" s="85">
        <v>53832828.6339688</v>
      </c>
      <c r="Z29" s="85">
        <v>603819523.000826</v>
      </c>
      <c r="AA29" s="85">
        <v>2302751.13036301</v>
      </c>
      <c r="AB29" s="85">
        <v>17376246.384033</v>
      </c>
      <c r="AC29" s="85">
        <v>181125.688773073</v>
      </c>
      <c r="AD29" s="85">
        <v>131744.268506082</v>
      </c>
      <c r="AE29" s="85">
        <v>13384228.3465784</v>
      </c>
      <c r="AF29" s="85">
        <v>8333877.7981027</v>
      </c>
      <c r="AG29" s="85">
        <v>6813502.59389121</v>
      </c>
      <c r="AH29" s="85">
        <v>1176063.93985992</v>
      </c>
      <c r="AI29" s="85">
        <v>56611169.5911174</v>
      </c>
      <c r="AJ29" s="85">
        <v>1165549.52734219</v>
      </c>
      <c r="AK29" s="85">
        <v>447000.472689652</v>
      </c>
      <c r="AL29" s="85">
        <v>22296948.6364968</v>
      </c>
      <c r="AM29" s="85">
        <v>16278535.2568956</v>
      </c>
      <c r="AN29" s="85">
        <v>48000174.0522176</v>
      </c>
      <c r="AO29" s="85">
        <v>12802603.0218603</v>
      </c>
      <c r="AP29" s="85">
        <v>5849192.98747776</v>
      </c>
      <c r="AQ29" s="85">
        <v>1202627.02425139</v>
      </c>
      <c r="AR29" s="85">
        <v>1117205.07324635</v>
      </c>
      <c r="AS29" s="85">
        <v>6557094.89338628</v>
      </c>
      <c r="AT29" s="85">
        <v>971003963.261246</v>
      </c>
      <c r="AU29" s="85">
        <v>15240055.9404142</v>
      </c>
      <c r="AV29" s="85">
        <v>51826486.8887288</v>
      </c>
      <c r="AW29" s="85">
        <v>67066542.8291431</v>
      </c>
      <c r="AX29" s="85">
        <v>0</v>
      </c>
      <c r="AY29" s="85">
        <v>67066542.8291431</v>
      </c>
      <c r="AZ29" s="85">
        <v>107099836.458124</v>
      </c>
      <c r="BA29" s="85">
        <v>6140154.94557925</v>
      </c>
      <c r="BB29" s="85">
        <v>113239991.403703</v>
      </c>
      <c r="BC29" s="85">
        <v>439367334.977594</v>
      </c>
      <c r="BD29" s="85">
        <v>619673869.21044</v>
      </c>
      <c r="BE29" s="85">
        <v>402155880.989067</v>
      </c>
      <c r="BF29" s="85">
        <v>1188521951.48262</v>
      </c>
    </row>
    <row r="30" ht="67.5" spans="1:58">
      <c r="A30" s="82"/>
      <c r="B30" s="83" t="s">
        <v>81</v>
      </c>
      <c r="C30" s="84" t="s">
        <v>31</v>
      </c>
      <c r="D30" s="85">
        <v>164747.47787442</v>
      </c>
      <c r="E30" s="85">
        <v>405514.028696877</v>
      </c>
      <c r="F30" s="85">
        <v>146894.390608488</v>
      </c>
      <c r="G30" s="85">
        <v>199118.318682827</v>
      </c>
      <c r="H30" s="85">
        <v>133740.274132896</v>
      </c>
      <c r="I30" s="85">
        <v>651164.662235605</v>
      </c>
      <c r="J30" s="85">
        <v>1365889.24193162</v>
      </c>
      <c r="K30" s="85">
        <v>242435.444202603</v>
      </c>
      <c r="L30" s="85">
        <v>13403852.7991249</v>
      </c>
      <c r="M30" s="85">
        <v>563622.575493812</v>
      </c>
      <c r="N30" s="85">
        <v>2080644.80100684</v>
      </c>
      <c r="O30" s="85">
        <v>113887.729667525</v>
      </c>
      <c r="P30" s="85">
        <v>2943239.54972399</v>
      </c>
      <c r="Q30" s="85">
        <v>3630070.67910031</v>
      </c>
      <c r="R30" s="85">
        <v>53093165.5860322</v>
      </c>
      <c r="S30" s="85">
        <v>13891355.1135089</v>
      </c>
      <c r="T30" s="85">
        <v>8634157.31636042</v>
      </c>
      <c r="U30" s="85">
        <v>880502.959253846</v>
      </c>
      <c r="V30" s="85">
        <v>861292.657281462</v>
      </c>
      <c r="W30" s="85">
        <v>847818.194477255</v>
      </c>
      <c r="X30" s="85">
        <v>612599.365646073</v>
      </c>
      <c r="Y30" s="85">
        <v>953658.576235595</v>
      </c>
      <c r="Z30" s="85">
        <v>1492023.53355406</v>
      </c>
      <c r="AA30" s="85">
        <v>13185015.9538418</v>
      </c>
      <c r="AB30" s="85">
        <v>3665815.02354141</v>
      </c>
      <c r="AC30" s="85">
        <v>154857.195317682</v>
      </c>
      <c r="AD30" s="85">
        <v>89102.3531977336</v>
      </c>
      <c r="AE30" s="85">
        <v>3882686.33623541</v>
      </c>
      <c r="AF30" s="85">
        <v>133738.983320516</v>
      </c>
      <c r="AG30" s="85">
        <v>1407910.29219912</v>
      </c>
      <c r="AH30" s="85">
        <v>205188.885886443</v>
      </c>
      <c r="AI30" s="85">
        <v>462987.371957501</v>
      </c>
      <c r="AJ30" s="85">
        <v>72347.1322713563</v>
      </c>
      <c r="AK30" s="85">
        <v>1286923.14998262</v>
      </c>
      <c r="AL30" s="85">
        <v>8954361.7373353</v>
      </c>
      <c r="AM30" s="85">
        <v>1783852.69528289</v>
      </c>
      <c r="AN30" s="85">
        <v>5440678.95456614</v>
      </c>
      <c r="AO30" s="85">
        <v>2143669.90129252</v>
      </c>
      <c r="AP30" s="85">
        <v>265892.83775368</v>
      </c>
      <c r="AQ30" s="85">
        <v>216482.433895731</v>
      </c>
      <c r="AR30" s="85">
        <v>626246.263194468</v>
      </c>
      <c r="AS30" s="85">
        <v>1384717.88660363</v>
      </c>
      <c r="AT30" s="85">
        <v>152431435.218306</v>
      </c>
      <c r="AU30" s="85">
        <v>1188015.95895082</v>
      </c>
      <c r="AV30" s="85">
        <v>3366560.16355687</v>
      </c>
      <c r="AW30" s="85">
        <v>4554576.12250768</v>
      </c>
      <c r="AX30" s="85">
        <v>0</v>
      </c>
      <c r="AY30" s="85">
        <v>0</v>
      </c>
      <c r="AZ30" s="85">
        <v>1945824.44731674</v>
      </c>
      <c r="BA30" s="85">
        <v>0</v>
      </c>
      <c r="BB30" s="85">
        <v>1945824.44731674</v>
      </c>
      <c r="BC30" s="85">
        <v>5279719.01218634</v>
      </c>
      <c r="BD30" s="85">
        <v>7225543.45950308</v>
      </c>
      <c r="BE30" s="85">
        <v>2317558.09616118</v>
      </c>
      <c r="BF30" s="85">
        <v>20697060.1472694</v>
      </c>
    </row>
    <row r="31" ht="22.5" spans="1:58">
      <c r="A31" s="82"/>
      <c r="B31" s="83" t="s">
        <v>82</v>
      </c>
      <c r="C31" s="84" t="s">
        <v>32</v>
      </c>
      <c r="D31" s="85">
        <v>10632509.6859949</v>
      </c>
      <c r="E31" s="85">
        <v>8492039.32652413</v>
      </c>
      <c r="F31" s="85">
        <v>3827929.6782418</v>
      </c>
      <c r="G31" s="85">
        <v>14593431.6584963</v>
      </c>
      <c r="H31" s="85">
        <v>481039.226825574</v>
      </c>
      <c r="I31" s="85">
        <v>8337210.07376071</v>
      </c>
      <c r="J31" s="85">
        <v>9271306.16593008</v>
      </c>
      <c r="K31" s="85">
        <v>5198622.98158213</v>
      </c>
      <c r="L31" s="85">
        <v>12650200.9247383</v>
      </c>
      <c r="M31" s="85">
        <v>8918733.79000416</v>
      </c>
      <c r="N31" s="85">
        <v>41485169.0347757</v>
      </c>
      <c r="O31" s="85">
        <v>4492909.99627516</v>
      </c>
      <c r="P31" s="85">
        <v>6429846.75502072</v>
      </c>
      <c r="Q31" s="85">
        <v>36511483.2836431</v>
      </c>
      <c r="R31" s="85">
        <v>34770410.7340965</v>
      </c>
      <c r="S31" s="85">
        <v>28693763.7235758</v>
      </c>
      <c r="T31" s="85">
        <v>23642420.6271042</v>
      </c>
      <c r="U31" s="85">
        <v>9037398.27317882</v>
      </c>
      <c r="V31" s="85">
        <v>5826705.64885269</v>
      </c>
      <c r="W31" s="85">
        <v>5789468.17087698</v>
      </c>
      <c r="X31" s="85">
        <v>1608516.39673472</v>
      </c>
      <c r="Y31" s="85">
        <v>8301003.14454721</v>
      </c>
      <c r="Z31" s="85">
        <v>11503234.3090018</v>
      </c>
      <c r="AA31" s="85">
        <v>2024340.44401451</v>
      </c>
      <c r="AB31" s="85">
        <v>207763089.590819</v>
      </c>
      <c r="AC31" s="85">
        <v>1989258.6932658</v>
      </c>
      <c r="AD31" s="85">
        <v>5177395.50409593</v>
      </c>
      <c r="AE31" s="85">
        <v>41785891.4537267</v>
      </c>
      <c r="AF31" s="85">
        <v>12653101.4524859</v>
      </c>
      <c r="AG31" s="85">
        <v>16559627.4871197</v>
      </c>
      <c r="AH31" s="85">
        <v>4171232.36153599</v>
      </c>
      <c r="AI31" s="85">
        <v>9487206.29473871</v>
      </c>
      <c r="AJ31" s="85">
        <v>4342106.13355276</v>
      </c>
      <c r="AK31" s="85">
        <v>4550954.10462631</v>
      </c>
      <c r="AL31" s="85">
        <v>3785533.73970236</v>
      </c>
      <c r="AM31" s="85">
        <v>3096348.06097215</v>
      </c>
      <c r="AN31" s="85">
        <v>2489328.25511629</v>
      </c>
      <c r="AO31" s="85">
        <v>3425610.48251737</v>
      </c>
      <c r="AP31" s="85">
        <v>3442352.68143954</v>
      </c>
      <c r="AQ31" s="85">
        <v>3190635.02150708</v>
      </c>
      <c r="AR31" s="85">
        <v>1566849.48827405</v>
      </c>
      <c r="AS31" s="85">
        <v>10257739.6612089</v>
      </c>
      <c r="AT31" s="112">
        <v>637055331.538918</v>
      </c>
      <c r="AU31" s="112">
        <v>12007734.9831194</v>
      </c>
      <c r="AV31" s="112">
        <v>49517677.8737369</v>
      </c>
      <c r="AW31" s="112">
        <v>61525412.8568563</v>
      </c>
      <c r="AX31" s="112">
        <v>0</v>
      </c>
      <c r="AY31" s="112">
        <v>61525412.8568563</v>
      </c>
      <c r="AZ31" s="112">
        <v>0</v>
      </c>
      <c r="BA31" s="112">
        <v>0</v>
      </c>
      <c r="BB31" s="112">
        <v>0</v>
      </c>
      <c r="BC31" s="112">
        <v>1045039.7484</v>
      </c>
      <c r="BD31" s="127">
        <v>62570452.6052563</v>
      </c>
      <c r="BE31" s="112">
        <v>123218.4412</v>
      </c>
      <c r="BF31" s="113">
        <v>699502565.702974</v>
      </c>
    </row>
    <row r="32" ht="22.5" spans="1:58">
      <c r="A32" s="82"/>
      <c r="B32" s="83" t="s">
        <v>83</v>
      </c>
      <c r="C32" s="86" t="s">
        <v>33</v>
      </c>
      <c r="D32" s="85">
        <v>158734.702636481</v>
      </c>
      <c r="E32" s="85">
        <v>28901.4549832347</v>
      </c>
      <c r="F32" s="85">
        <v>21479.9041926036</v>
      </c>
      <c r="G32" s="85">
        <v>23210.4423339237</v>
      </c>
      <c r="H32" s="85">
        <v>66417.5399308237</v>
      </c>
      <c r="I32" s="85">
        <v>443352.994379064</v>
      </c>
      <c r="J32" s="85">
        <v>187804.342690806</v>
      </c>
      <c r="K32" s="85">
        <v>26205.230886829</v>
      </c>
      <c r="L32" s="85">
        <v>455864.76763071</v>
      </c>
      <c r="M32" s="85">
        <v>817644.248395789</v>
      </c>
      <c r="N32" s="85">
        <v>2010632.17889104</v>
      </c>
      <c r="O32" s="85">
        <v>3228.66241789865</v>
      </c>
      <c r="P32" s="85">
        <v>5038.31191844696</v>
      </c>
      <c r="Q32" s="85">
        <v>240915.818847029</v>
      </c>
      <c r="R32" s="85">
        <v>233825.705392044</v>
      </c>
      <c r="S32" s="85">
        <v>69857.9835722389</v>
      </c>
      <c r="T32" s="85">
        <v>440098.520548632</v>
      </c>
      <c r="U32" s="85">
        <v>183042.984051761</v>
      </c>
      <c r="V32" s="85">
        <v>306402.220074573</v>
      </c>
      <c r="W32" s="85">
        <v>104306.632854689</v>
      </c>
      <c r="X32" s="85">
        <v>136222.61171656</v>
      </c>
      <c r="Y32" s="85">
        <v>250330.610469275</v>
      </c>
      <c r="Z32" s="85">
        <v>139669.20555458</v>
      </c>
      <c r="AA32" s="85">
        <v>421341.498051952</v>
      </c>
      <c r="AB32" s="85">
        <v>1999455.2125125</v>
      </c>
      <c r="AC32" s="85">
        <v>9988214.61525141</v>
      </c>
      <c r="AD32" s="85">
        <v>577.109732247711</v>
      </c>
      <c r="AE32" s="85">
        <v>43646.7161920363</v>
      </c>
      <c r="AF32" s="85">
        <v>108729.406380966</v>
      </c>
      <c r="AG32" s="85">
        <v>19661653.7984179</v>
      </c>
      <c r="AH32" s="85">
        <v>2563138.31292585</v>
      </c>
      <c r="AI32" s="85">
        <v>79885.2056723576</v>
      </c>
      <c r="AJ32" s="85">
        <v>29927.4073905187</v>
      </c>
      <c r="AK32" s="85">
        <v>2003956.33127242</v>
      </c>
      <c r="AL32" s="85">
        <v>461291.884655495</v>
      </c>
      <c r="AM32" s="85">
        <v>181897.000483664</v>
      </c>
      <c r="AN32" s="85">
        <v>211884.969231725</v>
      </c>
      <c r="AO32" s="85">
        <v>1107430.78014094</v>
      </c>
      <c r="AP32" s="85">
        <v>533949.623568463</v>
      </c>
      <c r="AQ32" s="85">
        <v>253896.226234584</v>
      </c>
      <c r="AR32" s="85">
        <v>279996.556747517</v>
      </c>
      <c r="AS32" s="85">
        <v>347185.736217506</v>
      </c>
      <c r="AT32" s="112">
        <v>46605040.2345622</v>
      </c>
      <c r="AU32" s="112">
        <v>1394219.1029458</v>
      </c>
      <c r="AV32" s="112">
        <v>32378337.354393</v>
      </c>
      <c r="AW32" s="112">
        <v>33772556.4573388</v>
      </c>
      <c r="AX32" s="112">
        <v>0</v>
      </c>
      <c r="AY32" s="112">
        <v>33772556.4573388</v>
      </c>
      <c r="AZ32" s="112">
        <v>0</v>
      </c>
      <c r="BA32" s="112">
        <v>893408.640445413</v>
      </c>
      <c r="BB32" s="112">
        <v>893408.640445413</v>
      </c>
      <c r="BC32" s="112">
        <v>0</v>
      </c>
      <c r="BD32" s="127">
        <v>34665965.0977843</v>
      </c>
      <c r="BE32" s="112">
        <v>0</v>
      </c>
      <c r="BF32" s="113">
        <v>81271005.3323466</v>
      </c>
    </row>
    <row r="33" ht="22.5" spans="1:58">
      <c r="A33" s="82"/>
      <c r="B33" s="83" t="s">
        <v>84</v>
      </c>
      <c r="C33" s="86" t="s">
        <v>34</v>
      </c>
      <c r="D33" s="85">
        <v>41316.5882525332</v>
      </c>
      <c r="E33" s="85">
        <v>56861.257707943</v>
      </c>
      <c r="F33" s="85">
        <v>66724.691130288</v>
      </c>
      <c r="G33" s="85">
        <v>75500.916232385</v>
      </c>
      <c r="H33" s="85">
        <v>15289.8763037162</v>
      </c>
      <c r="I33" s="85">
        <v>1176862.55784355</v>
      </c>
      <c r="J33" s="85">
        <v>280582.666045646</v>
      </c>
      <c r="K33" s="85">
        <v>118367.573214222</v>
      </c>
      <c r="L33" s="85">
        <v>442167.917496233</v>
      </c>
      <c r="M33" s="85">
        <v>149328.755060231</v>
      </c>
      <c r="N33" s="85">
        <v>481011.190095962</v>
      </c>
      <c r="O33" s="85">
        <v>235131.246112251</v>
      </c>
      <c r="P33" s="85">
        <v>150793.202845702</v>
      </c>
      <c r="Q33" s="85">
        <v>532732.645140702</v>
      </c>
      <c r="R33" s="85">
        <v>313577.763558793</v>
      </c>
      <c r="S33" s="85">
        <v>110786.029679926</v>
      </c>
      <c r="T33" s="85">
        <v>157179.328359272</v>
      </c>
      <c r="U33" s="85">
        <v>340480.594865973</v>
      </c>
      <c r="V33" s="85">
        <v>185550.309529279</v>
      </c>
      <c r="W33" s="85">
        <v>167372.942433645</v>
      </c>
      <c r="X33" s="85">
        <v>121137.104951136</v>
      </c>
      <c r="Y33" s="85">
        <v>405654.938503351</v>
      </c>
      <c r="Z33" s="85">
        <v>532648.035831734</v>
      </c>
      <c r="AA33" s="85">
        <v>182154.691878221</v>
      </c>
      <c r="AB33" s="85">
        <v>1234128.68752964</v>
      </c>
      <c r="AC33" s="85">
        <v>36613.3440053734</v>
      </c>
      <c r="AD33" s="85">
        <v>2092918.63715616</v>
      </c>
      <c r="AE33" s="85">
        <v>2894162.04830273</v>
      </c>
      <c r="AF33" s="85">
        <v>552057.353167517</v>
      </c>
      <c r="AG33" s="85">
        <v>496240.201919855</v>
      </c>
      <c r="AH33" s="85">
        <v>1161758.09170284</v>
      </c>
      <c r="AI33" s="85">
        <v>269693.691703901</v>
      </c>
      <c r="AJ33" s="85">
        <v>367635.558611322</v>
      </c>
      <c r="AK33" s="85">
        <v>556423.346963119</v>
      </c>
      <c r="AL33" s="85">
        <v>119223.28508388</v>
      </c>
      <c r="AM33" s="85">
        <v>505701.343195469</v>
      </c>
      <c r="AN33" s="85">
        <v>125838.583104519</v>
      </c>
      <c r="AO33" s="85">
        <v>426824.191650271</v>
      </c>
      <c r="AP33" s="85">
        <v>435482.556950679</v>
      </c>
      <c r="AQ33" s="85">
        <v>316913.101361849</v>
      </c>
      <c r="AR33" s="85">
        <v>273234.611677856</v>
      </c>
      <c r="AS33" s="85">
        <v>903821.151777486</v>
      </c>
      <c r="AT33" s="112">
        <v>18989515.0357229</v>
      </c>
      <c r="AU33" s="112">
        <v>2708952.07322227</v>
      </c>
      <c r="AV33" s="112">
        <v>18088343.4027773</v>
      </c>
      <c r="AW33" s="112">
        <v>20797295.4759996</v>
      </c>
      <c r="AX33" s="112">
        <v>0</v>
      </c>
      <c r="AY33" s="112">
        <v>20797295.4759996</v>
      </c>
      <c r="AZ33" s="112">
        <v>0</v>
      </c>
      <c r="BA33" s="112">
        <v>891741.457509418</v>
      </c>
      <c r="BB33" s="112">
        <v>891741.457509418</v>
      </c>
      <c r="BC33" s="112">
        <v>0</v>
      </c>
      <c r="BD33" s="127">
        <v>21689036.933509</v>
      </c>
      <c r="BE33" s="112">
        <v>0</v>
      </c>
      <c r="BF33" s="113">
        <v>40678551.9692319</v>
      </c>
    </row>
    <row r="34" spans="1:58">
      <c r="A34" s="82"/>
      <c r="B34" s="83" t="s">
        <v>85</v>
      </c>
      <c r="C34" s="86" t="s">
        <v>35</v>
      </c>
      <c r="D34" s="85">
        <v>767866.27291259</v>
      </c>
      <c r="E34" s="85">
        <v>136712.764629601</v>
      </c>
      <c r="F34" s="85">
        <v>28483.4786058051</v>
      </c>
      <c r="G34" s="85">
        <v>39555.2327590926</v>
      </c>
      <c r="H34" s="85">
        <v>5924.79353146331</v>
      </c>
      <c r="I34" s="85">
        <v>215253.6531569</v>
      </c>
      <c r="J34" s="85">
        <v>226716.426076526</v>
      </c>
      <c r="K34" s="85">
        <v>132624.129456814</v>
      </c>
      <c r="L34" s="85">
        <v>238488.815300506</v>
      </c>
      <c r="M34" s="85">
        <v>50165.4331946383</v>
      </c>
      <c r="N34" s="85">
        <v>339457.693675222</v>
      </c>
      <c r="O34" s="85">
        <v>62322.093986348</v>
      </c>
      <c r="P34" s="85">
        <v>93738.603114203</v>
      </c>
      <c r="Q34" s="85">
        <v>162675.607305991</v>
      </c>
      <c r="R34" s="85">
        <v>95544.6147399682</v>
      </c>
      <c r="S34" s="85">
        <v>78767.8203396566</v>
      </c>
      <c r="T34" s="85">
        <v>112818.398974717</v>
      </c>
      <c r="U34" s="85">
        <v>310533.934120804</v>
      </c>
      <c r="V34" s="85">
        <v>124690.040871795</v>
      </c>
      <c r="W34" s="85">
        <v>139887.315349785</v>
      </c>
      <c r="X34" s="85">
        <v>47393.8785901501</v>
      </c>
      <c r="Y34" s="85">
        <v>180123.420648795</v>
      </c>
      <c r="Z34" s="85">
        <v>667409.939989195</v>
      </c>
      <c r="AA34" s="85">
        <v>89637.3047416334</v>
      </c>
      <c r="AB34" s="85">
        <v>2679712.79465016</v>
      </c>
      <c r="AC34" s="85">
        <v>28595.2440077961</v>
      </c>
      <c r="AD34" s="85">
        <v>75522.7335050837</v>
      </c>
      <c r="AE34" s="85">
        <v>102777626.861809</v>
      </c>
      <c r="AF34" s="85">
        <v>1487150.41455619</v>
      </c>
      <c r="AG34" s="85">
        <v>2015285.39117833</v>
      </c>
      <c r="AH34" s="85">
        <v>901665.813055647</v>
      </c>
      <c r="AI34" s="85">
        <v>954151.504612121</v>
      </c>
      <c r="AJ34" s="85">
        <v>2489999.29194621</v>
      </c>
      <c r="AK34" s="85">
        <v>14193938.3943872</v>
      </c>
      <c r="AL34" s="85">
        <v>445793.248601771</v>
      </c>
      <c r="AM34" s="85">
        <v>424334.511612386</v>
      </c>
      <c r="AN34" s="85">
        <v>514616.382483729</v>
      </c>
      <c r="AO34" s="85">
        <v>528902.690844943</v>
      </c>
      <c r="AP34" s="85">
        <v>3319541.48031619</v>
      </c>
      <c r="AQ34" s="85">
        <v>1071607.68737372</v>
      </c>
      <c r="AR34" s="85">
        <v>993565.579719691</v>
      </c>
      <c r="AS34" s="85">
        <v>10876464.6866545</v>
      </c>
      <c r="AT34" s="85">
        <v>149992642.24793</v>
      </c>
      <c r="AU34" s="85">
        <v>0</v>
      </c>
      <c r="AV34" s="85">
        <v>0</v>
      </c>
      <c r="AW34" s="85">
        <v>0</v>
      </c>
      <c r="AX34" s="85">
        <v>0</v>
      </c>
      <c r="AY34" s="85">
        <v>0</v>
      </c>
      <c r="AZ34" s="85">
        <v>2707176325.74966</v>
      </c>
      <c r="BA34" s="85">
        <v>0</v>
      </c>
      <c r="BB34" s="85">
        <v>2707176325.74966</v>
      </c>
      <c r="BC34" s="85">
        <v>8681061.2808517</v>
      </c>
      <c r="BD34" s="85">
        <v>2715857387.03052</v>
      </c>
      <c r="BE34" s="85">
        <v>5545047.863764</v>
      </c>
      <c r="BF34" s="85">
        <v>2860304981.41468</v>
      </c>
    </row>
    <row r="35" spans="1:58">
      <c r="A35" s="82"/>
      <c r="B35" s="83" t="s">
        <v>86</v>
      </c>
      <c r="C35" s="86" t="s">
        <v>36</v>
      </c>
      <c r="D35" s="85">
        <v>32445341.8210967</v>
      </c>
      <c r="E35" s="85">
        <v>6037786.73206621</v>
      </c>
      <c r="F35" s="85">
        <v>775392.274015894</v>
      </c>
      <c r="G35" s="85">
        <v>4137179.28818259</v>
      </c>
      <c r="H35" s="85">
        <v>811001.708676019</v>
      </c>
      <c r="I35" s="85">
        <v>81687886.0606435</v>
      </c>
      <c r="J35" s="85">
        <v>49418319.5265258</v>
      </c>
      <c r="K35" s="85">
        <v>23952570.4049686</v>
      </c>
      <c r="L35" s="85">
        <v>51727062.7221526</v>
      </c>
      <c r="M35" s="85">
        <v>10885899.5352103</v>
      </c>
      <c r="N35" s="85">
        <v>35967199.2637394</v>
      </c>
      <c r="O35" s="85">
        <v>19903155.9508427</v>
      </c>
      <c r="P35" s="85">
        <v>19717113.3718961</v>
      </c>
      <c r="Q35" s="85">
        <v>37090632.1279176</v>
      </c>
      <c r="R35" s="85">
        <v>18088633.4335227</v>
      </c>
      <c r="S35" s="85">
        <v>13482091.1086585</v>
      </c>
      <c r="T35" s="85">
        <v>22175914.7376172</v>
      </c>
      <c r="U35" s="85">
        <v>27687169.007829</v>
      </c>
      <c r="V35" s="85">
        <v>19596217.7656178</v>
      </c>
      <c r="W35" s="85">
        <v>54110905.513489</v>
      </c>
      <c r="X35" s="85">
        <v>10569374.970818</v>
      </c>
      <c r="Y35" s="85">
        <v>42723961.5708095</v>
      </c>
      <c r="Z35" s="85">
        <v>59473321.1161256</v>
      </c>
      <c r="AA35" s="85">
        <v>4006169.64242036</v>
      </c>
      <c r="AB35" s="85">
        <v>15451656.1570053</v>
      </c>
      <c r="AC35" s="85">
        <v>2301900.84255216</v>
      </c>
      <c r="AD35" s="85">
        <v>565625.066532062</v>
      </c>
      <c r="AE35" s="85">
        <v>143079872.338243</v>
      </c>
      <c r="AF35" s="85">
        <v>11226156.7817458</v>
      </c>
      <c r="AG35" s="85">
        <v>35456523.3080435</v>
      </c>
      <c r="AH35" s="85">
        <v>28035741.060201</v>
      </c>
      <c r="AI35" s="85">
        <v>15872913.5323215</v>
      </c>
      <c r="AJ35" s="85">
        <v>5735570.83595581</v>
      </c>
      <c r="AK35" s="85">
        <v>3311533.57596043</v>
      </c>
      <c r="AL35" s="85">
        <v>34868107.1847385</v>
      </c>
      <c r="AM35" s="85">
        <v>7310894.07936115</v>
      </c>
      <c r="AN35" s="85">
        <v>13897489.3645106</v>
      </c>
      <c r="AO35" s="85">
        <v>8483107.70316726</v>
      </c>
      <c r="AP35" s="85">
        <v>6371391.47483486</v>
      </c>
      <c r="AQ35" s="85">
        <v>34246220.1817997</v>
      </c>
      <c r="AR35" s="85">
        <v>4838226.82711748</v>
      </c>
      <c r="AS35" s="85">
        <v>15105573.5959533</v>
      </c>
      <c r="AT35" s="85">
        <v>1008676233.15992</v>
      </c>
      <c r="AU35" s="85">
        <v>51457511.0921325</v>
      </c>
      <c r="AV35" s="85">
        <v>166522713.313402</v>
      </c>
      <c r="AW35" s="85">
        <v>217980224.405534</v>
      </c>
      <c r="AX35" s="85">
        <v>0</v>
      </c>
      <c r="AY35" s="85">
        <v>217980224.405534</v>
      </c>
      <c r="AZ35" s="85">
        <v>84921149.4557623</v>
      </c>
      <c r="BA35" s="85">
        <v>8345553.66588406</v>
      </c>
      <c r="BB35" s="85">
        <v>93266703.1216465</v>
      </c>
      <c r="BC35" s="85">
        <v>178591537.872478</v>
      </c>
      <c r="BD35" s="85">
        <v>489838465.399659</v>
      </c>
      <c r="BE35" s="85">
        <v>0</v>
      </c>
      <c r="BF35" s="85">
        <v>1498514698.55958</v>
      </c>
    </row>
    <row r="36" ht="22.5" spans="1:58">
      <c r="A36" s="82"/>
      <c r="B36" s="83" t="s">
        <v>87</v>
      </c>
      <c r="C36" s="86" t="s">
        <v>37</v>
      </c>
      <c r="D36" s="85">
        <v>25502816.8995248</v>
      </c>
      <c r="E36" s="85">
        <v>5466615.46972567</v>
      </c>
      <c r="F36" s="85">
        <v>662325.931770213</v>
      </c>
      <c r="G36" s="85">
        <v>3705387.62436799</v>
      </c>
      <c r="H36" s="85">
        <v>459922.389176214</v>
      </c>
      <c r="I36" s="85">
        <v>33568250.7764825</v>
      </c>
      <c r="J36" s="85">
        <v>30654371.8358142</v>
      </c>
      <c r="K36" s="85">
        <v>8982067.35299724</v>
      </c>
      <c r="L36" s="85">
        <v>20843806.4015415</v>
      </c>
      <c r="M36" s="85">
        <v>11193285.5741792</v>
      </c>
      <c r="N36" s="85">
        <v>31172179.9123803</v>
      </c>
      <c r="O36" s="85">
        <v>11209228.5782545</v>
      </c>
      <c r="P36" s="85">
        <v>13733058.0336033</v>
      </c>
      <c r="Q36" s="85">
        <v>25345785.7534683</v>
      </c>
      <c r="R36" s="85">
        <v>19869246.5517468</v>
      </c>
      <c r="S36" s="85">
        <v>13197425.4115092</v>
      </c>
      <c r="T36" s="85">
        <v>15073279.3625574</v>
      </c>
      <c r="U36" s="85">
        <v>16500075.9244436</v>
      </c>
      <c r="V36" s="85">
        <v>14118443.3879835</v>
      </c>
      <c r="W36" s="85">
        <v>24769356.2474804</v>
      </c>
      <c r="X36" s="85">
        <v>4521511.0037381</v>
      </c>
      <c r="Y36" s="85">
        <v>22153380.4833586</v>
      </c>
      <c r="Z36" s="85">
        <v>18528288.710068</v>
      </c>
      <c r="AA36" s="85">
        <v>2444020.02754389</v>
      </c>
      <c r="AB36" s="85">
        <v>12897844.0571692</v>
      </c>
      <c r="AC36" s="85">
        <v>1690453.88206179</v>
      </c>
      <c r="AD36" s="85">
        <v>399060.123040129</v>
      </c>
      <c r="AE36" s="85">
        <v>77457881.6247078</v>
      </c>
      <c r="AF36" s="85">
        <v>90975726.6415841</v>
      </c>
      <c r="AG36" s="85">
        <v>173252511.261954</v>
      </c>
      <c r="AH36" s="85">
        <v>15280892.5786233</v>
      </c>
      <c r="AI36" s="85">
        <v>13780271.5479487</v>
      </c>
      <c r="AJ36" s="85">
        <v>13542347.8239497</v>
      </c>
      <c r="AK36" s="85">
        <v>4279025.99345872</v>
      </c>
      <c r="AL36" s="85">
        <v>57539641.4806965</v>
      </c>
      <c r="AM36" s="85">
        <v>9247844.26794925</v>
      </c>
      <c r="AN36" s="85">
        <v>18900788.57648</v>
      </c>
      <c r="AO36" s="85">
        <v>7465876.51647536</v>
      </c>
      <c r="AP36" s="85">
        <v>12170731.8832801</v>
      </c>
      <c r="AQ36" s="85">
        <v>15774297.659291</v>
      </c>
      <c r="AR36" s="85">
        <v>5216650.82885439</v>
      </c>
      <c r="AS36" s="85">
        <v>30875236.4145192</v>
      </c>
      <c r="AT36" s="85">
        <v>925439145.452762</v>
      </c>
      <c r="AU36" s="85">
        <v>30607379.1014419</v>
      </c>
      <c r="AV36" s="85">
        <v>107378578.754783</v>
      </c>
      <c r="AW36" s="85">
        <v>137985957.856225</v>
      </c>
      <c r="AX36" s="85">
        <v>42787710.9515996</v>
      </c>
      <c r="AY36" s="85">
        <v>180773668.807825</v>
      </c>
      <c r="AZ36" s="85">
        <v>34380961.708352</v>
      </c>
      <c r="BA36" s="85">
        <v>2787948.9429764</v>
      </c>
      <c r="BB36" s="85">
        <v>37168910.6513285</v>
      </c>
      <c r="BC36" s="85">
        <v>95111712.9359392</v>
      </c>
      <c r="BD36" s="85">
        <v>313054292.395092</v>
      </c>
      <c r="BE36" s="85">
        <v>39322169.2133513</v>
      </c>
      <c r="BF36" s="85">
        <v>1199171268.6345</v>
      </c>
    </row>
    <row r="37" spans="1:58">
      <c r="A37" s="82"/>
      <c r="B37" s="83" t="s">
        <v>88</v>
      </c>
      <c r="C37" s="86" t="s">
        <v>38</v>
      </c>
      <c r="D37" s="85">
        <v>2365578.98808817</v>
      </c>
      <c r="E37" s="85">
        <v>762175.496679947</v>
      </c>
      <c r="F37" s="85">
        <v>199599.926912402</v>
      </c>
      <c r="G37" s="85">
        <v>842149.986134579</v>
      </c>
      <c r="H37" s="85">
        <v>109283.546670268</v>
      </c>
      <c r="I37" s="85">
        <v>5081633.58900609</v>
      </c>
      <c r="J37" s="85">
        <v>2389261.74244902</v>
      </c>
      <c r="K37" s="85">
        <v>1133676.64022426</v>
      </c>
      <c r="L37" s="85">
        <v>3087924.97062347</v>
      </c>
      <c r="M37" s="85">
        <v>858498.177586523</v>
      </c>
      <c r="N37" s="85">
        <v>3499576.94774129</v>
      </c>
      <c r="O37" s="85">
        <v>3967101.99217498</v>
      </c>
      <c r="P37" s="85">
        <v>1394763.17711906</v>
      </c>
      <c r="Q37" s="85">
        <v>4067231.60339072</v>
      </c>
      <c r="R37" s="85">
        <v>2414344.96716937</v>
      </c>
      <c r="S37" s="85">
        <v>1033268.47012779</v>
      </c>
      <c r="T37" s="85">
        <v>2894258.57181722</v>
      </c>
      <c r="U37" s="85">
        <v>2733036.73885831</v>
      </c>
      <c r="V37" s="85">
        <v>3475131.34519183</v>
      </c>
      <c r="W37" s="85">
        <v>2884251.21431984</v>
      </c>
      <c r="X37" s="85">
        <v>837981.495214393</v>
      </c>
      <c r="Y37" s="85">
        <v>3803760.40411029</v>
      </c>
      <c r="Z37" s="85">
        <v>4571761.38176499</v>
      </c>
      <c r="AA37" s="85">
        <v>553103.529085097</v>
      </c>
      <c r="AB37" s="85">
        <v>2051215.08631479</v>
      </c>
      <c r="AC37" s="85">
        <v>224739.514706225</v>
      </c>
      <c r="AD37" s="85">
        <v>196672.810478203</v>
      </c>
      <c r="AE37" s="85">
        <v>14884407.3911327</v>
      </c>
      <c r="AF37" s="85">
        <v>7190141.59560003</v>
      </c>
      <c r="AG37" s="85">
        <v>21824752.6561766</v>
      </c>
      <c r="AH37" s="85">
        <v>939543.146375473</v>
      </c>
      <c r="AI37" s="85">
        <v>5890208.15955415</v>
      </c>
      <c r="AJ37" s="85">
        <v>28451801.880011</v>
      </c>
      <c r="AK37" s="85">
        <v>4188796.83246565</v>
      </c>
      <c r="AL37" s="85">
        <v>46050709.4546587</v>
      </c>
      <c r="AM37" s="85">
        <v>9505464.4839702</v>
      </c>
      <c r="AN37" s="85">
        <v>17842364.9084279</v>
      </c>
      <c r="AO37" s="85">
        <v>3362199.60532963</v>
      </c>
      <c r="AP37" s="85">
        <v>12682565.3168176</v>
      </c>
      <c r="AQ37" s="85">
        <v>1987214.01266115</v>
      </c>
      <c r="AR37" s="85">
        <v>5104499.06347416</v>
      </c>
      <c r="AS37" s="85">
        <v>38154941.9238457</v>
      </c>
      <c r="AT37" s="85">
        <v>274357916.104236</v>
      </c>
      <c r="AU37" s="85">
        <v>26632162.7816424</v>
      </c>
      <c r="AV37" s="85">
        <v>156061116.808666</v>
      </c>
      <c r="AW37" s="85">
        <v>182693279.590308</v>
      </c>
      <c r="AX37" s="85">
        <v>0</v>
      </c>
      <c r="AY37" s="85">
        <v>182693279.590308</v>
      </c>
      <c r="AZ37" s="85">
        <v>0</v>
      </c>
      <c r="BA37" s="85">
        <v>0</v>
      </c>
      <c r="BB37" s="85">
        <v>0</v>
      </c>
      <c r="BC37" s="85">
        <v>2705954.49598409</v>
      </c>
      <c r="BD37" s="85">
        <v>185399234.086293</v>
      </c>
      <c r="BE37" s="85">
        <v>27767390.0851026</v>
      </c>
      <c r="BF37" s="85">
        <v>431989760.105425</v>
      </c>
    </row>
    <row r="38" ht="33.75" spans="1:58">
      <c r="A38" s="82"/>
      <c r="B38" s="83" t="s">
        <v>89</v>
      </c>
      <c r="C38" s="86" t="s">
        <v>39</v>
      </c>
      <c r="D38" s="85">
        <v>2380372.78824075</v>
      </c>
      <c r="E38" s="85">
        <v>321232.861355437</v>
      </c>
      <c r="F38" s="85">
        <v>130830.941198361</v>
      </c>
      <c r="G38" s="85">
        <v>660885.164213261</v>
      </c>
      <c r="H38" s="85">
        <v>51314.843354326</v>
      </c>
      <c r="I38" s="85">
        <v>2985457.20715577</v>
      </c>
      <c r="J38" s="85">
        <v>2795304.30332306</v>
      </c>
      <c r="K38" s="85">
        <v>702160.280937225</v>
      </c>
      <c r="L38" s="85">
        <v>2870632.02376985</v>
      </c>
      <c r="M38" s="85">
        <v>297324.707152127</v>
      </c>
      <c r="N38" s="85">
        <v>2928437.61556918</v>
      </c>
      <c r="O38" s="85">
        <v>1802778.23692655</v>
      </c>
      <c r="P38" s="85">
        <v>1073247.96777688</v>
      </c>
      <c r="Q38" s="85">
        <v>1879832.34809695</v>
      </c>
      <c r="R38" s="85">
        <v>758487.520285756</v>
      </c>
      <c r="S38" s="85">
        <v>759639.704929939</v>
      </c>
      <c r="T38" s="85">
        <v>1666606.60703143</v>
      </c>
      <c r="U38" s="85">
        <v>3216940.16125764</v>
      </c>
      <c r="V38" s="85">
        <v>2097447.46644496</v>
      </c>
      <c r="W38" s="85">
        <v>2312784.18490249</v>
      </c>
      <c r="X38" s="85">
        <v>739434.714819519</v>
      </c>
      <c r="Y38" s="85">
        <v>3891181.91736712</v>
      </c>
      <c r="Z38" s="85">
        <v>26849254.1742833</v>
      </c>
      <c r="AA38" s="85">
        <v>290368.479808388</v>
      </c>
      <c r="AB38" s="85">
        <v>4714676.0832068</v>
      </c>
      <c r="AC38" s="85">
        <v>378597.820452405</v>
      </c>
      <c r="AD38" s="85">
        <v>364023.258410855</v>
      </c>
      <c r="AE38" s="85">
        <v>39431330.9860852</v>
      </c>
      <c r="AF38" s="85">
        <v>11266280.2419986</v>
      </c>
      <c r="AG38" s="85">
        <v>36361881.1529624</v>
      </c>
      <c r="AH38" s="85">
        <v>3189231.68053014</v>
      </c>
      <c r="AI38" s="85">
        <v>194104989.050703</v>
      </c>
      <c r="AJ38" s="85">
        <v>41502192.8395724</v>
      </c>
      <c r="AK38" s="85">
        <v>8707730.93182006</v>
      </c>
      <c r="AL38" s="85">
        <v>14421754.3457487</v>
      </c>
      <c r="AM38" s="85">
        <v>3120866.51659212</v>
      </c>
      <c r="AN38" s="85">
        <v>11332785.5437177</v>
      </c>
      <c r="AO38" s="85">
        <v>1805080.10132818</v>
      </c>
      <c r="AP38" s="85">
        <v>10760607.8818951</v>
      </c>
      <c r="AQ38" s="85">
        <v>10365566.128375</v>
      </c>
      <c r="AR38" s="85">
        <v>2895577.27046514</v>
      </c>
      <c r="AS38" s="85">
        <v>51257794.8407465</v>
      </c>
      <c r="AT38" s="85">
        <v>508740762.613874</v>
      </c>
      <c r="AU38" s="85">
        <v>27729871.4639141</v>
      </c>
      <c r="AV38" s="85">
        <v>96992063.3368684</v>
      </c>
      <c r="AW38" s="85">
        <v>124721934.800783</v>
      </c>
      <c r="AX38" s="85">
        <v>0</v>
      </c>
      <c r="AY38" s="85">
        <v>124721934.800783</v>
      </c>
      <c r="AZ38" s="85">
        <v>328686630.659035</v>
      </c>
      <c r="BA38" s="85">
        <v>0</v>
      </c>
      <c r="BB38" s="85">
        <v>328686630.659035</v>
      </c>
      <c r="BC38" s="85">
        <v>30745009.3330724</v>
      </c>
      <c r="BD38" s="85">
        <v>484153574.79289</v>
      </c>
      <c r="BE38" s="85">
        <v>27651547.5807223</v>
      </c>
      <c r="BF38" s="85">
        <v>965242789.826041</v>
      </c>
    </row>
    <row r="39" spans="1:58">
      <c r="A39" s="82"/>
      <c r="B39" s="83" t="s">
        <v>92</v>
      </c>
      <c r="C39" s="86" t="s">
        <v>42</v>
      </c>
      <c r="D39" s="85">
        <v>15766818.180193</v>
      </c>
      <c r="E39" s="85">
        <v>11355297.9950202</v>
      </c>
      <c r="F39" s="85">
        <v>3523955.05461349</v>
      </c>
      <c r="G39" s="85">
        <v>5093818.78463889</v>
      </c>
      <c r="H39" s="85">
        <v>364840.569674193</v>
      </c>
      <c r="I39" s="85">
        <v>6436987.40793739</v>
      </c>
      <c r="J39" s="85">
        <v>6249925.80135454</v>
      </c>
      <c r="K39" s="85">
        <v>2488537.45839071</v>
      </c>
      <c r="L39" s="85">
        <v>8811327.12666311</v>
      </c>
      <c r="M39" s="85">
        <v>5416578.43596224</v>
      </c>
      <c r="N39" s="85">
        <v>13092551.2328758</v>
      </c>
      <c r="O39" s="85">
        <v>6602747.37566865</v>
      </c>
      <c r="P39" s="85">
        <v>4242624.04434707</v>
      </c>
      <c r="Q39" s="85">
        <v>14297153.9563694</v>
      </c>
      <c r="R39" s="85">
        <v>20570210.4352994</v>
      </c>
      <c r="S39" s="85">
        <v>12597606.3127206</v>
      </c>
      <c r="T39" s="85">
        <v>9590467.50565698</v>
      </c>
      <c r="U39" s="85">
        <v>7295027.1000641</v>
      </c>
      <c r="V39" s="85">
        <v>7663645.76447083</v>
      </c>
      <c r="W39" s="85">
        <v>5381052.84156674</v>
      </c>
      <c r="X39" s="85">
        <v>1960594.08092552</v>
      </c>
      <c r="Y39" s="85">
        <v>9787171.45932322</v>
      </c>
      <c r="Z39" s="85">
        <v>19032060.7874239</v>
      </c>
      <c r="AA39" s="85">
        <v>1872017.33465317</v>
      </c>
      <c r="AB39" s="85">
        <v>30701715.8805196</v>
      </c>
      <c r="AC39" s="85">
        <v>2949098.61340047</v>
      </c>
      <c r="AD39" s="85">
        <v>2337898.07293351</v>
      </c>
      <c r="AE39" s="85">
        <v>104688408.690953</v>
      </c>
      <c r="AF39" s="85">
        <v>66615980.037015</v>
      </c>
      <c r="AG39" s="85">
        <v>112449320.143672</v>
      </c>
      <c r="AH39" s="85">
        <v>4074223.41121468</v>
      </c>
      <c r="AI39" s="85">
        <v>19132082.7698179</v>
      </c>
      <c r="AJ39" s="85">
        <v>88119497.3196389</v>
      </c>
      <c r="AK39" s="85">
        <v>120667640.234183</v>
      </c>
      <c r="AL39" s="85">
        <v>66178193.6972037</v>
      </c>
      <c r="AM39" s="85">
        <v>2215790.53287924</v>
      </c>
      <c r="AN39" s="85">
        <v>20409284.7257853</v>
      </c>
      <c r="AO39" s="85">
        <v>3820089.78940172</v>
      </c>
      <c r="AP39" s="85">
        <v>14202032.2973217</v>
      </c>
      <c r="AQ39" s="85">
        <v>3588207.51262978</v>
      </c>
      <c r="AR39" s="85">
        <v>3870128.16015354</v>
      </c>
      <c r="AS39" s="85">
        <v>24922671.9796097</v>
      </c>
      <c r="AT39" s="85">
        <v>887946743.455756</v>
      </c>
      <c r="AU39" s="85">
        <v>42322847.9455212</v>
      </c>
      <c r="AV39" s="85">
        <v>257666069.660639</v>
      </c>
      <c r="AW39" s="85">
        <v>299988917.606161</v>
      </c>
      <c r="AX39" s="85">
        <v>45102452.9918957</v>
      </c>
      <c r="AY39" s="85">
        <v>345091370.598057</v>
      </c>
      <c r="AZ39" s="85">
        <v>0</v>
      </c>
      <c r="BA39" s="85">
        <v>0</v>
      </c>
      <c r="BB39" s="85">
        <v>0</v>
      </c>
      <c r="BC39" s="85">
        <v>6895161.34376995</v>
      </c>
      <c r="BD39" s="85">
        <v>351986531.941826</v>
      </c>
      <c r="BE39" s="85">
        <v>10563119.925339</v>
      </c>
      <c r="BF39" s="85">
        <v>1229370155.47224</v>
      </c>
    </row>
    <row r="40" spans="1:58">
      <c r="A40" s="82"/>
      <c r="B40" s="83" t="s">
        <v>93</v>
      </c>
      <c r="C40" s="86" t="s">
        <v>43</v>
      </c>
      <c r="D40" s="85">
        <v>20082.659692497</v>
      </c>
      <c r="E40" s="85">
        <v>154368.02123161</v>
      </c>
      <c r="F40" s="85">
        <v>30567.8260411511</v>
      </c>
      <c r="G40" s="85">
        <v>19898.1266009709</v>
      </c>
      <c r="H40" s="85">
        <v>23226.7155544534</v>
      </c>
      <c r="I40" s="85">
        <v>368861.657403463</v>
      </c>
      <c r="J40" s="85">
        <v>288885.354680974</v>
      </c>
      <c r="K40" s="85">
        <v>231530.118779109</v>
      </c>
      <c r="L40" s="85">
        <v>416231.790993955</v>
      </c>
      <c r="M40" s="85">
        <v>11998.50796184</v>
      </c>
      <c r="N40" s="85">
        <v>162231.238773794</v>
      </c>
      <c r="O40" s="85">
        <v>83152.3391850951</v>
      </c>
      <c r="P40" s="85">
        <v>382335.981937265</v>
      </c>
      <c r="Q40" s="85">
        <v>308749.0308285</v>
      </c>
      <c r="R40" s="85">
        <v>13759.6026913174</v>
      </c>
      <c r="S40" s="85">
        <v>26366.7817749392</v>
      </c>
      <c r="T40" s="85">
        <v>274687.647521756</v>
      </c>
      <c r="U40" s="85">
        <v>363253.370293211</v>
      </c>
      <c r="V40" s="85">
        <v>219130.966656677</v>
      </c>
      <c r="W40" s="85">
        <v>250810.524869642</v>
      </c>
      <c r="X40" s="85">
        <v>146868.164765758</v>
      </c>
      <c r="Y40" s="85">
        <v>470907.961317089</v>
      </c>
      <c r="Z40" s="85">
        <v>699524.373059791</v>
      </c>
      <c r="AA40" s="85">
        <v>307943.653537464</v>
      </c>
      <c r="AB40" s="85">
        <v>142396.255764799</v>
      </c>
      <c r="AC40" s="85">
        <v>67003.9951446136</v>
      </c>
      <c r="AD40" s="85">
        <v>57196.021567538</v>
      </c>
      <c r="AE40" s="85">
        <v>529996.065528174</v>
      </c>
      <c r="AF40" s="85">
        <v>109562548.179287</v>
      </c>
      <c r="AG40" s="85">
        <v>15294260.5489939</v>
      </c>
      <c r="AH40" s="85">
        <v>18203225.337623</v>
      </c>
      <c r="AI40" s="85">
        <v>63369467.4121711</v>
      </c>
      <c r="AJ40" s="85">
        <v>74704849.5411753</v>
      </c>
      <c r="AK40" s="85">
        <v>44133548.9181023</v>
      </c>
      <c r="AL40" s="85">
        <v>58013520.6167283</v>
      </c>
      <c r="AM40" s="85">
        <v>3738744.58005519</v>
      </c>
      <c r="AN40" s="85">
        <v>8758746.69435653</v>
      </c>
      <c r="AO40" s="85">
        <v>30523399.633695</v>
      </c>
      <c r="AP40" s="85">
        <v>21605085.831632</v>
      </c>
      <c r="AQ40" s="85">
        <v>7425864.63189016</v>
      </c>
      <c r="AR40" s="85">
        <v>6106378.24334243</v>
      </c>
      <c r="AS40" s="85">
        <v>16933128.687312</v>
      </c>
      <c r="AT40" s="112">
        <v>484213203.491743</v>
      </c>
      <c r="AU40" s="112">
        <v>106799901.48438</v>
      </c>
      <c r="AV40" s="112">
        <v>442660375.357664</v>
      </c>
      <c r="AW40" s="112">
        <v>549460276.842044</v>
      </c>
      <c r="AX40" s="112">
        <v>0</v>
      </c>
      <c r="AY40" s="112">
        <v>549460276.842044</v>
      </c>
      <c r="AZ40" s="112">
        <v>32960000</v>
      </c>
      <c r="BA40" s="112">
        <v>0</v>
      </c>
      <c r="BB40" s="112">
        <v>32960000</v>
      </c>
      <c r="BC40" s="112">
        <v>0</v>
      </c>
      <c r="BD40" s="127">
        <v>582420276.842044</v>
      </c>
      <c r="BE40" s="112">
        <v>0</v>
      </c>
      <c r="BF40" s="113">
        <v>1066633480.33379</v>
      </c>
    </row>
    <row r="41" ht="22.5" spans="1:58">
      <c r="A41" s="82"/>
      <c r="B41" s="83" t="s">
        <v>90</v>
      </c>
      <c r="C41" s="86" t="s">
        <v>40</v>
      </c>
      <c r="D41" s="85">
        <v>3129882.2488734</v>
      </c>
      <c r="E41" s="85">
        <v>7849725.13837399</v>
      </c>
      <c r="F41" s="85">
        <v>1555028.21445079</v>
      </c>
      <c r="G41" s="85">
        <v>4119545.57378903</v>
      </c>
      <c r="H41" s="85">
        <v>372693.72858293</v>
      </c>
      <c r="I41" s="85">
        <v>29453725.8321323</v>
      </c>
      <c r="J41" s="85">
        <v>13137051.9205012</v>
      </c>
      <c r="K41" s="85">
        <v>3192072.91138333</v>
      </c>
      <c r="L41" s="85">
        <v>13280152.6862859</v>
      </c>
      <c r="M41" s="85">
        <v>5462401.45642533</v>
      </c>
      <c r="N41" s="85">
        <v>12564972.5615984</v>
      </c>
      <c r="O41" s="85">
        <v>17577354.9369664</v>
      </c>
      <c r="P41" s="85">
        <v>7884997.01042983</v>
      </c>
      <c r="Q41" s="85">
        <v>12561166.3217849</v>
      </c>
      <c r="R41" s="85">
        <v>4776147.59893781</v>
      </c>
      <c r="S41" s="85">
        <v>2689490.49953187</v>
      </c>
      <c r="T41" s="85">
        <v>8356979.553703</v>
      </c>
      <c r="U41" s="85">
        <v>11688945.1215288</v>
      </c>
      <c r="V41" s="85">
        <v>10242614.5158324</v>
      </c>
      <c r="W41" s="85">
        <v>17330624.9111703</v>
      </c>
      <c r="X41" s="85">
        <v>2164350.08201198</v>
      </c>
      <c r="Y41" s="85">
        <v>13481919.1678082</v>
      </c>
      <c r="Z41" s="85">
        <v>20098279.2868665</v>
      </c>
      <c r="AA41" s="85">
        <v>1727034.30580732</v>
      </c>
      <c r="AB41" s="85">
        <v>4572205.40784744</v>
      </c>
      <c r="AC41" s="85">
        <v>1778231.98856279</v>
      </c>
      <c r="AD41" s="85">
        <v>496311.834059323</v>
      </c>
      <c r="AE41" s="85">
        <v>52549966.3463711</v>
      </c>
      <c r="AF41" s="85">
        <v>159935089.747533</v>
      </c>
      <c r="AG41" s="85">
        <v>36186483.1966158</v>
      </c>
      <c r="AH41" s="85">
        <v>8687960.08398026</v>
      </c>
      <c r="AI41" s="85">
        <v>74215811.3334131</v>
      </c>
      <c r="AJ41" s="85">
        <v>77042668.512262</v>
      </c>
      <c r="AK41" s="85">
        <v>65627876.7691359</v>
      </c>
      <c r="AL41" s="85">
        <v>104609027.148879</v>
      </c>
      <c r="AM41" s="85">
        <v>8846749.56988398</v>
      </c>
      <c r="AN41" s="85">
        <v>27453542.0884154</v>
      </c>
      <c r="AO41" s="85">
        <v>7215213.4638894</v>
      </c>
      <c r="AP41" s="85">
        <v>5708290.12593557</v>
      </c>
      <c r="AQ41" s="85">
        <v>2729915.7078018</v>
      </c>
      <c r="AR41" s="85">
        <v>7213133.87372458</v>
      </c>
      <c r="AS41" s="85">
        <v>28124552.0348992</v>
      </c>
      <c r="AT41" s="85">
        <v>894498111.906603</v>
      </c>
      <c r="AU41" s="85">
        <v>1757638.98538596</v>
      </c>
      <c r="AV41" s="85">
        <v>34063051.8751361</v>
      </c>
      <c r="AW41" s="85">
        <v>35820690.8605221</v>
      </c>
      <c r="AX41" s="85">
        <v>22155634.737713</v>
      </c>
      <c r="AY41" s="85">
        <v>57976325.5982351</v>
      </c>
      <c r="AZ41" s="85">
        <v>0</v>
      </c>
      <c r="BA41" s="85">
        <v>0</v>
      </c>
      <c r="BB41" s="85">
        <v>0</v>
      </c>
      <c r="BC41" s="85">
        <v>40525349.1646139</v>
      </c>
      <c r="BD41" s="85">
        <v>98501674.762849</v>
      </c>
      <c r="BE41" s="85">
        <v>30437186.0607545</v>
      </c>
      <c r="BF41" s="85">
        <v>962562600.608697</v>
      </c>
    </row>
    <row r="42" ht="22.5" spans="1:58">
      <c r="A42" s="82"/>
      <c r="B42" s="83" t="s">
        <v>91</v>
      </c>
      <c r="C42" s="86" t="s">
        <v>42</v>
      </c>
      <c r="D42" s="85">
        <v>0</v>
      </c>
      <c r="E42" s="85">
        <v>0</v>
      </c>
      <c r="F42" s="85">
        <v>0</v>
      </c>
      <c r="G42" s="85">
        <v>0</v>
      </c>
      <c r="H42" s="85">
        <v>0</v>
      </c>
      <c r="I42" s="85">
        <v>0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>
        <v>0</v>
      </c>
      <c r="P42" s="85">
        <v>0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5">
        <v>0</v>
      </c>
      <c r="Y42" s="85">
        <v>0</v>
      </c>
      <c r="Z42" s="85">
        <v>0</v>
      </c>
      <c r="AA42" s="85">
        <v>0</v>
      </c>
      <c r="AB42" s="85">
        <v>0</v>
      </c>
      <c r="AC42" s="85">
        <v>0</v>
      </c>
      <c r="AD42" s="85">
        <v>0</v>
      </c>
      <c r="AE42" s="85">
        <v>0</v>
      </c>
      <c r="AF42" s="85">
        <v>0</v>
      </c>
      <c r="AG42" s="85">
        <v>0</v>
      </c>
      <c r="AH42" s="85">
        <v>0</v>
      </c>
      <c r="AI42" s="85">
        <v>0</v>
      </c>
      <c r="AJ42" s="85">
        <v>0</v>
      </c>
      <c r="AK42" s="85">
        <v>0</v>
      </c>
      <c r="AL42" s="85">
        <v>0</v>
      </c>
      <c r="AM42" s="85">
        <v>860250.388241398</v>
      </c>
      <c r="AN42" s="85">
        <v>0</v>
      </c>
      <c r="AO42" s="85">
        <v>0</v>
      </c>
      <c r="AP42" s="85">
        <v>0</v>
      </c>
      <c r="AQ42" s="85">
        <v>0</v>
      </c>
      <c r="AR42" s="85">
        <v>0</v>
      </c>
      <c r="AS42" s="85">
        <v>0</v>
      </c>
      <c r="AT42" s="112">
        <v>860250.388241398</v>
      </c>
      <c r="AU42" s="112">
        <v>0</v>
      </c>
      <c r="AV42" s="112">
        <v>0</v>
      </c>
      <c r="AW42" s="112">
        <v>0</v>
      </c>
      <c r="AX42" s="112">
        <v>60926779.1036859</v>
      </c>
      <c r="AY42" s="112">
        <v>60926779.1036859</v>
      </c>
      <c r="AZ42" s="112">
        <v>187839985.899051</v>
      </c>
      <c r="BA42" s="112">
        <v>0</v>
      </c>
      <c r="BB42" s="112">
        <v>187839985.899051</v>
      </c>
      <c r="BC42" s="112">
        <v>9676778.94604033</v>
      </c>
      <c r="BD42" s="127">
        <v>258443543.948777</v>
      </c>
      <c r="BE42" s="112">
        <v>27747226.1777905</v>
      </c>
      <c r="BF42" s="113">
        <v>231556568.159228</v>
      </c>
    </row>
    <row r="43" ht="22.5" spans="1:58">
      <c r="A43" s="82"/>
      <c r="B43" s="83" t="s">
        <v>94</v>
      </c>
      <c r="C43" s="86" t="s">
        <v>44</v>
      </c>
      <c r="D43" s="85">
        <v>8183686.4984879</v>
      </c>
      <c r="E43" s="85">
        <v>2051462.54138618</v>
      </c>
      <c r="F43" s="85">
        <v>439977.225223194</v>
      </c>
      <c r="G43" s="85">
        <v>2152967.39999736</v>
      </c>
      <c r="H43" s="85">
        <v>231921.082526133</v>
      </c>
      <c r="I43" s="85">
        <v>1676472.63767719</v>
      </c>
      <c r="J43" s="85">
        <v>1471681.37075828</v>
      </c>
      <c r="K43" s="85">
        <v>953469.343936431</v>
      </c>
      <c r="L43" s="85">
        <v>2297490.74468189</v>
      </c>
      <c r="M43" s="85">
        <v>231164.630889436</v>
      </c>
      <c r="N43" s="85">
        <v>7275667.28743772</v>
      </c>
      <c r="O43" s="85">
        <v>1930217.26939713</v>
      </c>
      <c r="P43" s="85">
        <v>1274308.34043299</v>
      </c>
      <c r="Q43" s="85">
        <v>2805612.47685748</v>
      </c>
      <c r="R43" s="85">
        <v>2192418.97039587</v>
      </c>
      <c r="S43" s="85">
        <v>1092155.93932901</v>
      </c>
      <c r="T43" s="85">
        <v>2353821.56698802</v>
      </c>
      <c r="U43" s="85">
        <v>2501260.76717408</v>
      </c>
      <c r="V43" s="85">
        <v>3941338.7136013</v>
      </c>
      <c r="W43" s="85">
        <v>7517546.71555347</v>
      </c>
      <c r="X43" s="85">
        <v>1917876.88571047</v>
      </c>
      <c r="Y43" s="85">
        <v>3565826.69500278</v>
      </c>
      <c r="Z43" s="85">
        <v>10154751.0050959</v>
      </c>
      <c r="AA43" s="85">
        <v>228523.154110395</v>
      </c>
      <c r="AB43" s="85">
        <v>3652469.70564289</v>
      </c>
      <c r="AC43" s="85">
        <v>10048.6627904476</v>
      </c>
      <c r="AD43" s="85">
        <v>43760.7381524557</v>
      </c>
      <c r="AE43" s="85">
        <v>240915312.738259</v>
      </c>
      <c r="AF43" s="85">
        <v>11282048.0261098</v>
      </c>
      <c r="AG43" s="85">
        <v>3801996.45327027</v>
      </c>
      <c r="AH43" s="85">
        <v>167826.700410252</v>
      </c>
      <c r="AI43" s="85">
        <v>3281325.00353324</v>
      </c>
      <c r="AJ43" s="85">
        <v>841145.413044023</v>
      </c>
      <c r="AK43" s="85">
        <v>886848.717321866</v>
      </c>
      <c r="AL43" s="85">
        <v>123358.933337507</v>
      </c>
      <c r="AM43" s="85">
        <v>13591265.8409639</v>
      </c>
      <c r="AN43" s="85">
        <v>72827591.4946328</v>
      </c>
      <c r="AO43" s="85">
        <v>14101.0968310876</v>
      </c>
      <c r="AP43" s="85">
        <v>1373597.44737479</v>
      </c>
      <c r="AQ43" s="85">
        <v>250745.104060527</v>
      </c>
      <c r="AR43" s="85">
        <v>31778.2614969229</v>
      </c>
      <c r="AS43" s="85">
        <v>690117.103671646</v>
      </c>
      <c r="AT43" s="85">
        <v>421273487.359617</v>
      </c>
      <c r="AU43" s="85">
        <v>845712.726253918</v>
      </c>
      <c r="AV43" s="85">
        <v>3554225.22710685</v>
      </c>
      <c r="AW43" s="85">
        <v>4399937.95336077</v>
      </c>
      <c r="AX43" s="85">
        <v>85393018.0481749</v>
      </c>
      <c r="AY43" s="85">
        <v>89792956.0015357</v>
      </c>
      <c r="AZ43" s="85">
        <v>8718585.05</v>
      </c>
      <c r="BA43" s="85">
        <v>0</v>
      </c>
      <c r="BB43" s="85">
        <v>8718585.05</v>
      </c>
      <c r="BC43" s="85">
        <v>1387.71592662749</v>
      </c>
      <c r="BD43" s="85">
        <v>98512928.7674623</v>
      </c>
      <c r="BE43" s="85">
        <v>546.598662121702</v>
      </c>
      <c r="BF43" s="85">
        <v>519785869.528417</v>
      </c>
    </row>
    <row r="44" ht="33.75" spans="1:58">
      <c r="A44" s="82"/>
      <c r="B44" s="83" t="s">
        <v>99</v>
      </c>
      <c r="C44" s="84" t="s">
        <v>49</v>
      </c>
      <c r="D44" s="85">
        <v>1162397.39834427</v>
      </c>
      <c r="E44" s="85">
        <v>1569830.502662</v>
      </c>
      <c r="F44" s="85">
        <v>159386.410420715</v>
      </c>
      <c r="G44" s="85">
        <v>318946.296479189</v>
      </c>
      <c r="H44" s="85">
        <v>31443.2389671735</v>
      </c>
      <c r="I44" s="85">
        <v>1801970.03318312</v>
      </c>
      <c r="J44" s="85">
        <v>1266265.8232641</v>
      </c>
      <c r="K44" s="85">
        <v>748904.04015807</v>
      </c>
      <c r="L44" s="85">
        <v>1959896.55437019</v>
      </c>
      <c r="M44" s="85">
        <v>696299.771721184</v>
      </c>
      <c r="N44" s="85">
        <v>1882933.61136211</v>
      </c>
      <c r="O44" s="85">
        <v>1374331.99067982</v>
      </c>
      <c r="P44" s="85">
        <v>1144520.54790092</v>
      </c>
      <c r="Q44" s="85">
        <v>2152188.08375026</v>
      </c>
      <c r="R44" s="85">
        <v>1142727.12728802</v>
      </c>
      <c r="S44" s="85">
        <v>369600.17646542</v>
      </c>
      <c r="T44" s="85">
        <v>1871053.20942117</v>
      </c>
      <c r="U44" s="85">
        <v>2177435.0947761</v>
      </c>
      <c r="V44" s="85">
        <v>1440596.56517176</v>
      </c>
      <c r="W44" s="85">
        <v>3661165.38872185</v>
      </c>
      <c r="X44" s="85">
        <v>475779.723185139</v>
      </c>
      <c r="Y44" s="85">
        <v>2650589.95304707</v>
      </c>
      <c r="Z44" s="85">
        <v>3183056.16099253</v>
      </c>
      <c r="AA44" s="85">
        <v>353088.741081888</v>
      </c>
      <c r="AB44" s="85">
        <v>2395782.91856207</v>
      </c>
      <c r="AC44" s="85">
        <v>247361.965403633</v>
      </c>
      <c r="AD44" s="85">
        <v>377392.453834334</v>
      </c>
      <c r="AE44" s="85">
        <v>18589278.3485172</v>
      </c>
      <c r="AF44" s="85">
        <v>10936817.2482683</v>
      </c>
      <c r="AG44" s="85">
        <v>17956064.9267489</v>
      </c>
      <c r="AH44" s="85">
        <v>2370048.75002588</v>
      </c>
      <c r="AI44" s="85">
        <v>2165345.51653952</v>
      </c>
      <c r="AJ44" s="85">
        <v>3686570.70586811</v>
      </c>
      <c r="AK44" s="85">
        <v>1817217.87257167</v>
      </c>
      <c r="AL44" s="85">
        <v>7553140.62261423</v>
      </c>
      <c r="AM44" s="85">
        <v>3501305.22514383</v>
      </c>
      <c r="AN44" s="85">
        <v>6088183.53004556</v>
      </c>
      <c r="AO44" s="85">
        <v>5478387.87829708</v>
      </c>
      <c r="AP44" s="85">
        <v>6387727.03453322</v>
      </c>
      <c r="AQ44" s="85">
        <v>3728248.68452788</v>
      </c>
      <c r="AR44" s="85">
        <v>2160584.8214632</v>
      </c>
      <c r="AS44" s="85">
        <v>21334218.2023641</v>
      </c>
      <c r="AT44" s="85">
        <v>149619179.108585</v>
      </c>
      <c r="AU44" s="85">
        <v>25532574.6362359</v>
      </c>
      <c r="AV44" s="85">
        <v>126223906.314163</v>
      </c>
      <c r="AW44" s="85">
        <v>151756480.950399</v>
      </c>
      <c r="AX44" s="85">
        <v>0</v>
      </c>
      <c r="AY44" s="85">
        <v>151756480.950399</v>
      </c>
      <c r="AZ44" s="85">
        <v>0</v>
      </c>
      <c r="BA44" s="85">
        <v>0</v>
      </c>
      <c r="BB44" s="85">
        <v>0</v>
      </c>
      <c r="BC44" s="85">
        <v>97675.72023538</v>
      </c>
      <c r="BD44" s="85">
        <v>151854156.670634</v>
      </c>
      <c r="BE44" s="85">
        <v>1135747.05678996</v>
      </c>
      <c r="BF44" s="85">
        <v>300337588.722429</v>
      </c>
    </row>
    <row r="45" spans="1:58">
      <c r="A45" s="82"/>
      <c r="B45" s="83" t="s">
        <v>96</v>
      </c>
      <c r="C45" s="84" t="s">
        <v>46</v>
      </c>
      <c r="D45" s="85">
        <v>167081.063319981</v>
      </c>
      <c r="E45" s="85">
        <v>84289.854237093</v>
      </c>
      <c r="F45" s="85">
        <v>10224.6414010659</v>
      </c>
      <c r="G45" s="85">
        <v>24879.3677417055</v>
      </c>
      <c r="H45" s="85">
        <v>2741.16377290043</v>
      </c>
      <c r="I45" s="85">
        <v>142405.141809283</v>
      </c>
      <c r="J45" s="85">
        <v>107412.081915253</v>
      </c>
      <c r="K45" s="85">
        <v>64124.2563566548</v>
      </c>
      <c r="L45" s="85">
        <v>108319.73984558</v>
      </c>
      <c r="M45" s="85">
        <v>38711.8431072445</v>
      </c>
      <c r="N45" s="85">
        <v>101524.864179033</v>
      </c>
      <c r="O45" s="85">
        <v>107005.794391859</v>
      </c>
      <c r="P45" s="85">
        <v>53348.1953983236</v>
      </c>
      <c r="Q45" s="85">
        <v>126924.069557151</v>
      </c>
      <c r="R45" s="85">
        <v>33654.3085816125</v>
      </c>
      <c r="S45" s="85">
        <v>28190.0282411897</v>
      </c>
      <c r="T45" s="85">
        <v>113665.885247161</v>
      </c>
      <c r="U45" s="85">
        <v>153989.560783365</v>
      </c>
      <c r="V45" s="85">
        <v>99155.7207475335</v>
      </c>
      <c r="W45" s="85">
        <v>104298.948935405</v>
      </c>
      <c r="X45" s="85">
        <v>28793.4304086373</v>
      </c>
      <c r="Y45" s="85">
        <v>91487.3998867381</v>
      </c>
      <c r="Z45" s="85">
        <v>136697.887802376</v>
      </c>
      <c r="AA45" s="85">
        <v>37989.4885036761</v>
      </c>
      <c r="AB45" s="85">
        <v>21622.4443010024</v>
      </c>
      <c r="AC45" s="85">
        <v>20627.1888158163</v>
      </c>
      <c r="AD45" s="85">
        <v>25220.1084597461</v>
      </c>
      <c r="AE45" s="85">
        <v>864553.128343884</v>
      </c>
      <c r="AF45" s="85">
        <v>1556026.82121632</v>
      </c>
      <c r="AG45" s="85">
        <v>1314848.27798285</v>
      </c>
      <c r="AH45" s="85">
        <v>298521.326528865</v>
      </c>
      <c r="AI45" s="85">
        <v>578304.519396349</v>
      </c>
      <c r="AJ45" s="85">
        <v>3102120.94272495</v>
      </c>
      <c r="AK45" s="85">
        <v>274596.44974074</v>
      </c>
      <c r="AL45" s="85">
        <v>576898.767881597</v>
      </c>
      <c r="AM45" s="85">
        <v>142839.265608974</v>
      </c>
      <c r="AN45" s="85">
        <v>492632.156668667</v>
      </c>
      <c r="AO45" s="85">
        <v>189130.321780453</v>
      </c>
      <c r="AP45" s="85">
        <v>7696008.6095651</v>
      </c>
      <c r="AQ45" s="85">
        <v>792734.636069641</v>
      </c>
      <c r="AR45" s="85">
        <v>245179.807579042</v>
      </c>
      <c r="AS45" s="85">
        <v>7577069.98525504</v>
      </c>
      <c r="AT45" s="112">
        <v>27671725.2377332</v>
      </c>
      <c r="AU45" s="112">
        <v>51147978.3054616</v>
      </c>
      <c r="AV45" s="112">
        <v>183950274.182512</v>
      </c>
      <c r="AW45" s="112">
        <v>235098252.487974</v>
      </c>
      <c r="AX45" s="112">
        <v>269717581.409089</v>
      </c>
      <c r="AY45" s="112">
        <v>504815833.897063</v>
      </c>
      <c r="AZ45" s="112">
        <v>0</v>
      </c>
      <c r="BA45" s="112">
        <v>0</v>
      </c>
      <c r="BB45" s="112">
        <v>0</v>
      </c>
      <c r="BC45" s="112">
        <v>0</v>
      </c>
      <c r="BD45" s="127">
        <v>504815833.897063</v>
      </c>
      <c r="BE45" s="112">
        <v>0</v>
      </c>
      <c r="BF45" s="113">
        <v>532487559.134796</v>
      </c>
    </row>
    <row r="46" ht="22.5" spans="1:58">
      <c r="A46" s="82"/>
      <c r="B46" s="83" t="s">
        <v>97</v>
      </c>
      <c r="C46" s="84" t="s">
        <v>47</v>
      </c>
      <c r="D46" s="85">
        <v>106215.237680217</v>
      </c>
      <c r="E46" s="85">
        <v>145358.069941137</v>
      </c>
      <c r="F46" s="85">
        <v>13148.4182333425</v>
      </c>
      <c r="G46" s="85">
        <v>97022.2327950756</v>
      </c>
      <c r="H46" s="85">
        <v>0</v>
      </c>
      <c r="I46" s="85">
        <v>74031.8008563569</v>
      </c>
      <c r="J46" s="85">
        <v>124131.532760006</v>
      </c>
      <c r="K46" s="85">
        <v>48373.4414229953</v>
      </c>
      <c r="L46" s="85">
        <v>136284.374270547</v>
      </c>
      <c r="M46" s="85">
        <v>838032.644461601</v>
      </c>
      <c r="N46" s="85">
        <v>95879.7545340868</v>
      </c>
      <c r="O46" s="85">
        <v>62106.3589390581</v>
      </c>
      <c r="P46" s="85">
        <v>11596.2393642904</v>
      </c>
      <c r="Q46" s="85">
        <v>239737.571582594</v>
      </c>
      <c r="R46" s="85">
        <v>295395.381698738</v>
      </c>
      <c r="S46" s="85">
        <v>97498.2997660504</v>
      </c>
      <c r="T46" s="85">
        <v>270233.491610175</v>
      </c>
      <c r="U46" s="85">
        <v>412737.913212253</v>
      </c>
      <c r="V46" s="85">
        <v>261703.144700056</v>
      </c>
      <c r="W46" s="85">
        <v>235573.381728295</v>
      </c>
      <c r="X46" s="85">
        <v>109811.424117341</v>
      </c>
      <c r="Y46" s="85">
        <v>307450.819624611</v>
      </c>
      <c r="Z46" s="85">
        <v>179407.085349043</v>
      </c>
      <c r="AA46" s="85">
        <v>18328.0467978609</v>
      </c>
      <c r="AB46" s="85">
        <v>352667.835607818</v>
      </c>
      <c r="AC46" s="85">
        <v>37394.6835848899</v>
      </c>
      <c r="AD46" s="85">
        <v>1848.09228504862</v>
      </c>
      <c r="AE46" s="85">
        <v>1215493.85543785</v>
      </c>
      <c r="AF46" s="85">
        <v>406174.546783614</v>
      </c>
      <c r="AG46" s="85">
        <v>587224.055501807</v>
      </c>
      <c r="AH46" s="85">
        <v>11028.5522628691</v>
      </c>
      <c r="AI46" s="85">
        <v>25143.2503734001</v>
      </c>
      <c r="AJ46" s="85">
        <v>276897.048051173</v>
      </c>
      <c r="AK46" s="85">
        <v>2491.92508066418</v>
      </c>
      <c r="AL46" s="85">
        <v>6425.49009466373</v>
      </c>
      <c r="AM46" s="85">
        <v>19498.6720649739</v>
      </c>
      <c r="AN46" s="85">
        <v>42542.0712860256</v>
      </c>
      <c r="AO46" s="85">
        <v>73930.9620604574</v>
      </c>
      <c r="AP46" s="85">
        <v>205486.835689886</v>
      </c>
      <c r="AQ46" s="85">
        <v>2877366.52646087</v>
      </c>
      <c r="AR46" s="85">
        <v>50119.2848172912</v>
      </c>
      <c r="AS46" s="85">
        <v>2428769.29722126</v>
      </c>
      <c r="AT46" s="85">
        <v>12752186.2086873</v>
      </c>
      <c r="AU46" s="85">
        <v>42485967.9835079</v>
      </c>
      <c r="AV46" s="85">
        <v>129168822.756931</v>
      </c>
      <c r="AW46" s="85">
        <v>171654790.740439</v>
      </c>
      <c r="AX46" s="85">
        <v>316703292.126735</v>
      </c>
      <c r="AY46" s="85">
        <v>488358082.867175</v>
      </c>
      <c r="AZ46" s="85">
        <v>0</v>
      </c>
      <c r="BA46" s="85">
        <v>0</v>
      </c>
      <c r="BB46" s="85">
        <v>0</v>
      </c>
      <c r="BC46" s="85">
        <v>156974.417010226</v>
      </c>
      <c r="BD46" s="85">
        <v>488515057.284185</v>
      </c>
      <c r="BE46" s="85">
        <v>1195045.7535648</v>
      </c>
      <c r="BF46" s="85">
        <v>500072197.739307</v>
      </c>
    </row>
    <row r="47" ht="22.5" spans="1:58">
      <c r="A47" s="87"/>
      <c r="B47" s="83" t="s">
        <v>98</v>
      </c>
      <c r="C47" s="84" t="s">
        <v>48</v>
      </c>
      <c r="D47" s="85">
        <v>101045.025148105</v>
      </c>
      <c r="E47" s="85">
        <v>272786.245746533</v>
      </c>
      <c r="F47" s="85">
        <v>124921.036063118</v>
      </c>
      <c r="G47" s="85">
        <v>173463.23050387</v>
      </c>
      <c r="H47" s="85">
        <v>14812.9162275039</v>
      </c>
      <c r="I47" s="85">
        <v>892690.765976482</v>
      </c>
      <c r="J47" s="85">
        <v>884858.032980677</v>
      </c>
      <c r="K47" s="85">
        <v>293822.585719705</v>
      </c>
      <c r="L47" s="85">
        <v>602336.951721003</v>
      </c>
      <c r="M47" s="85">
        <v>314077.591861205</v>
      </c>
      <c r="N47" s="85">
        <v>651094.05702456</v>
      </c>
      <c r="O47" s="85">
        <v>589693.416263557</v>
      </c>
      <c r="P47" s="85">
        <v>512136.738891985</v>
      </c>
      <c r="Q47" s="85">
        <v>908100.804652584</v>
      </c>
      <c r="R47" s="85">
        <v>616659.727715123</v>
      </c>
      <c r="S47" s="85">
        <v>354148.930160567</v>
      </c>
      <c r="T47" s="85">
        <v>453650.456731865</v>
      </c>
      <c r="U47" s="85">
        <v>1050252.89346804</v>
      </c>
      <c r="V47" s="85">
        <v>537971.468671074</v>
      </c>
      <c r="W47" s="85">
        <v>1486140.93494385</v>
      </c>
      <c r="X47" s="85">
        <v>118962.458864416</v>
      </c>
      <c r="Y47" s="85">
        <v>840454.187094723</v>
      </c>
      <c r="Z47" s="85">
        <v>1170344.74019568</v>
      </c>
      <c r="AA47" s="85">
        <v>133269.637445689</v>
      </c>
      <c r="AB47" s="85">
        <v>1003080.19417144</v>
      </c>
      <c r="AC47" s="85">
        <v>100502.293601321</v>
      </c>
      <c r="AD47" s="85">
        <v>133827.511142723</v>
      </c>
      <c r="AE47" s="85">
        <v>2820755.1566284</v>
      </c>
      <c r="AF47" s="85">
        <v>1726967.78773693</v>
      </c>
      <c r="AG47" s="85">
        <v>2556352.19575943</v>
      </c>
      <c r="AH47" s="85">
        <v>673854.671373082</v>
      </c>
      <c r="AI47" s="85">
        <v>3618427.7880633</v>
      </c>
      <c r="AJ47" s="85">
        <v>10689187.5636944</v>
      </c>
      <c r="AK47" s="85">
        <v>1317653.55264137</v>
      </c>
      <c r="AL47" s="85">
        <v>3954591.75091724</v>
      </c>
      <c r="AM47" s="85">
        <v>1136981.26714152</v>
      </c>
      <c r="AN47" s="85">
        <v>1310351.54310928</v>
      </c>
      <c r="AO47" s="85">
        <v>1135591.42365731</v>
      </c>
      <c r="AP47" s="85">
        <v>2393374.79484084</v>
      </c>
      <c r="AQ47" s="85">
        <v>320154.618769819</v>
      </c>
      <c r="AR47" s="85">
        <v>9232824.9229271</v>
      </c>
      <c r="AS47" s="85">
        <v>7009132.01954374</v>
      </c>
      <c r="AT47" s="85">
        <v>63937483.3040715</v>
      </c>
      <c r="AU47" s="85">
        <v>6949619.469718</v>
      </c>
      <c r="AV47" s="85">
        <v>46077777.7307332</v>
      </c>
      <c r="AW47" s="85">
        <v>53027397.2004513</v>
      </c>
      <c r="AX47" s="85">
        <v>42038587.7775484</v>
      </c>
      <c r="AY47" s="85">
        <v>95065984.9779997</v>
      </c>
      <c r="AZ47" s="85">
        <v>5234595.238605</v>
      </c>
      <c r="BA47" s="85">
        <v>0</v>
      </c>
      <c r="BB47" s="85">
        <v>5234595.238605</v>
      </c>
      <c r="BC47" s="85">
        <v>2845384.05103865</v>
      </c>
      <c r="BD47" s="85">
        <v>103145964.267643</v>
      </c>
      <c r="BE47" s="85">
        <v>11240037.806423</v>
      </c>
      <c r="BF47" s="85">
        <v>155843409.765292</v>
      </c>
    </row>
    <row r="48" ht="67.5" spans="1:58">
      <c r="A48" s="87"/>
      <c r="B48" s="88" t="s">
        <v>95</v>
      </c>
      <c r="C48" s="89" t="s">
        <v>45</v>
      </c>
      <c r="D48" s="85">
        <v>2218338.16994897</v>
      </c>
      <c r="E48" s="85">
        <v>170589.800633999</v>
      </c>
      <c r="F48" s="85">
        <v>68564.3462946525</v>
      </c>
      <c r="G48" s="85">
        <v>381286.092953121</v>
      </c>
      <c r="H48" s="85">
        <v>6404.45782702217</v>
      </c>
      <c r="I48" s="85">
        <v>744385.286160533</v>
      </c>
      <c r="J48" s="85">
        <v>1061636.42096733</v>
      </c>
      <c r="K48" s="85">
        <v>206439.772357999</v>
      </c>
      <c r="L48" s="85">
        <v>1142978.60926435</v>
      </c>
      <c r="M48" s="85">
        <v>311356.105239404</v>
      </c>
      <c r="N48" s="85">
        <v>791949.191993016</v>
      </c>
      <c r="O48" s="85">
        <v>435720.768768947</v>
      </c>
      <c r="P48" s="85">
        <v>309871.618286687</v>
      </c>
      <c r="Q48" s="85">
        <v>856417.185605913</v>
      </c>
      <c r="R48" s="85">
        <v>784447.278194612</v>
      </c>
      <c r="S48" s="85">
        <v>306087.662476427</v>
      </c>
      <c r="T48" s="85">
        <v>464907.684785737</v>
      </c>
      <c r="U48" s="85">
        <v>572919.988146294</v>
      </c>
      <c r="V48" s="85">
        <v>527225.180521682</v>
      </c>
      <c r="W48" s="85">
        <v>475969.027199615</v>
      </c>
      <c r="X48" s="85">
        <v>150409.71021636</v>
      </c>
      <c r="Y48" s="85">
        <v>491132.189280943</v>
      </c>
      <c r="Z48" s="85">
        <v>693755.09776255</v>
      </c>
      <c r="AA48" s="85">
        <v>255387.07343102</v>
      </c>
      <c r="AB48" s="85">
        <v>2290386.23121077</v>
      </c>
      <c r="AC48" s="85">
        <v>42898.6825709694</v>
      </c>
      <c r="AD48" s="85">
        <v>2249050.71523877</v>
      </c>
      <c r="AE48" s="85">
        <v>1559132.32609455</v>
      </c>
      <c r="AF48" s="85">
        <v>2371629.78793353</v>
      </c>
      <c r="AG48" s="85">
        <v>2600955.76114045</v>
      </c>
      <c r="AH48" s="85">
        <v>438174.500920176</v>
      </c>
      <c r="AI48" s="85">
        <v>1620394.81041714</v>
      </c>
      <c r="AJ48" s="85">
        <v>2570161.04926948</v>
      </c>
      <c r="AK48" s="85">
        <v>1739467.04572028</v>
      </c>
      <c r="AL48" s="85">
        <v>5069918.3359143</v>
      </c>
      <c r="AM48" s="85">
        <v>882539.290159881</v>
      </c>
      <c r="AN48" s="85">
        <v>1181929.41206843</v>
      </c>
      <c r="AO48" s="85">
        <v>698723.423187314</v>
      </c>
      <c r="AP48" s="85">
        <v>1484594.00087425</v>
      </c>
      <c r="AQ48" s="85">
        <v>564644.299173505</v>
      </c>
      <c r="AR48" s="85">
        <v>505031.573381659</v>
      </c>
      <c r="AS48" s="85">
        <v>26343336.5723926</v>
      </c>
      <c r="AT48" s="85">
        <v>67434706.7636272</v>
      </c>
      <c r="AU48" s="85">
        <v>1372114.9414002</v>
      </c>
      <c r="AV48" s="85">
        <v>10228084.0427323</v>
      </c>
      <c r="AW48" s="85">
        <v>11600198.9841325</v>
      </c>
      <c r="AX48" s="85">
        <v>831789109.69229</v>
      </c>
      <c r="AY48" s="85">
        <v>843389308.676423</v>
      </c>
      <c r="AZ48" s="85">
        <v>0</v>
      </c>
      <c r="BA48" s="85">
        <v>0</v>
      </c>
      <c r="BB48" s="85">
        <v>0</v>
      </c>
      <c r="BC48" s="85">
        <v>2027457.97120951</v>
      </c>
      <c r="BD48" s="85">
        <v>845416766.647632</v>
      </c>
      <c r="BE48" s="85">
        <v>5145286.05467146</v>
      </c>
      <c r="BF48" s="85">
        <v>907706187.356589</v>
      </c>
    </row>
    <row r="49" ht="22.5" spans="1:58">
      <c r="A49" s="90"/>
      <c r="B49" s="83" t="s">
        <v>134</v>
      </c>
      <c r="C49" s="91" t="s">
        <v>135</v>
      </c>
      <c r="D49" s="85">
        <v>509936007.832905</v>
      </c>
      <c r="E49" s="92">
        <v>115074114.182427</v>
      </c>
      <c r="F49" s="92">
        <v>39965777.4058217</v>
      </c>
      <c r="G49" s="85">
        <v>89225006.090692</v>
      </c>
      <c r="H49" s="92">
        <v>11697851.3445873</v>
      </c>
      <c r="I49" s="85">
        <v>944349112.048559</v>
      </c>
      <c r="J49" s="85">
        <v>612910570.176058</v>
      </c>
      <c r="K49" s="85">
        <v>209811561.586646</v>
      </c>
      <c r="L49" s="85">
        <v>532655360.114312</v>
      </c>
      <c r="M49" s="85">
        <v>308742520.010747</v>
      </c>
      <c r="N49" s="85">
        <v>657082874.069896</v>
      </c>
      <c r="O49" s="92">
        <v>214220106.743116</v>
      </c>
      <c r="P49" s="85">
        <v>271752322.209465</v>
      </c>
      <c r="Q49" s="85">
        <v>502451885.341108</v>
      </c>
      <c r="R49" s="85">
        <v>527215627.052451</v>
      </c>
      <c r="S49" s="85">
        <v>405092577.333424</v>
      </c>
      <c r="T49" s="92">
        <v>392283911.709284</v>
      </c>
      <c r="U49" s="85">
        <v>408823033.829274</v>
      </c>
      <c r="V49" s="85">
        <v>289399787.580346</v>
      </c>
      <c r="W49" s="85">
        <v>560981019.69477</v>
      </c>
      <c r="X49" s="85">
        <v>123772340.761386</v>
      </c>
      <c r="Y49" s="85">
        <v>576339416.358052</v>
      </c>
      <c r="Z49" s="85">
        <v>997209171.282199</v>
      </c>
      <c r="AA49" s="85">
        <v>67374684.1739558</v>
      </c>
      <c r="AB49" s="92">
        <v>481153559.472091</v>
      </c>
      <c r="AC49" s="92">
        <v>61699158.6761411</v>
      </c>
      <c r="AD49" s="92">
        <v>20179486.0771177</v>
      </c>
      <c r="AE49" s="85">
        <v>2140212041.66986</v>
      </c>
      <c r="AF49" s="85">
        <v>544911283.670569</v>
      </c>
      <c r="AG49" s="85">
        <v>742396331.709502</v>
      </c>
      <c r="AH49" s="85">
        <v>286469176.517495</v>
      </c>
      <c r="AI49" s="85">
        <v>517228345.932208</v>
      </c>
      <c r="AJ49" s="85">
        <v>393198764.343139</v>
      </c>
      <c r="AK49" s="92">
        <v>296965938.19793</v>
      </c>
      <c r="AL49" s="85">
        <v>644035496.54548</v>
      </c>
      <c r="AM49" s="92">
        <v>135629401.966561</v>
      </c>
      <c r="AN49" s="85">
        <v>334643313.502596</v>
      </c>
      <c r="AO49" s="85">
        <v>143060914.191484</v>
      </c>
      <c r="AP49" s="92">
        <v>159195396.710307</v>
      </c>
      <c r="AQ49" s="85">
        <v>291866517.474991</v>
      </c>
      <c r="AR49" s="85">
        <v>77833015.0354039</v>
      </c>
      <c r="AS49" s="85">
        <v>396824813.745969</v>
      </c>
      <c r="AT49" s="92">
        <v>16826058032.7837</v>
      </c>
      <c r="AU49" s="92">
        <v>816642871.617193</v>
      </c>
      <c r="AV49" s="92">
        <v>3023440277.96893</v>
      </c>
      <c r="AW49" s="92">
        <v>3840083149.58612</v>
      </c>
      <c r="AX49" s="92">
        <v>1736253794.41957</v>
      </c>
      <c r="AY49" s="92">
        <v>5576336944.00569</v>
      </c>
      <c r="AZ49" s="92">
        <v>4243704003.37183</v>
      </c>
      <c r="BA49" s="92">
        <v>91509937.6772216</v>
      </c>
      <c r="BB49" s="92">
        <v>4335213941.04906</v>
      </c>
      <c r="BC49" s="92">
        <v>1879260657.23314</v>
      </c>
      <c r="BD49" s="92">
        <v>11790811542.2879</v>
      </c>
      <c r="BE49" s="92">
        <v>1626591529.6393</v>
      </c>
      <c r="BF49" s="137">
        <v>26990278045.4323</v>
      </c>
    </row>
    <row r="50" spans="1:58">
      <c r="A50" s="93" t="s">
        <v>136</v>
      </c>
      <c r="B50" s="94" t="s">
        <v>137</v>
      </c>
      <c r="C50" s="95" t="s">
        <v>138</v>
      </c>
      <c r="D50" s="85">
        <v>821109376.632051</v>
      </c>
      <c r="E50" s="85">
        <v>49156975.9562107</v>
      </c>
      <c r="F50" s="85">
        <v>10684586.8078278</v>
      </c>
      <c r="G50" s="85">
        <v>34146732.2608017</v>
      </c>
      <c r="H50" s="85">
        <v>9070894.78577535</v>
      </c>
      <c r="I50" s="85">
        <v>92288059.9056758</v>
      </c>
      <c r="J50" s="85">
        <v>78070178.6100447</v>
      </c>
      <c r="K50" s="85">
        <v>25339700.6887769</v>
      </c>
      <c r="L50" s="85">
        <v>70607744.9636081</v>
      </c>
      <c r="M50" s="85">
        <v>12815275.3213411</v>
      </c>
      <c r="N50" s="85">
        <v>47509590.2427704</v>
      </c>
      <c r="O50" s="85">
        <v>30588660.7146926</v>
      </c>
      <c r="P50" s="85">
        <v>35944267.4865012</v>
      </c>
      <c r="Q50" s="85">
        <v>74959951.9783755</v>
      </c>
      <c r="R50" s="85">
        <v>39116758.5176721</v>
      </c>
      <c r="S50" s="85">
        <v>35418933.9930419</v>
      </c>
      <c r="T50" s="85">
        <v>57488356.1501572</v>
      </c>
      <c r="U50" s="85">
        <v>46988959.7259126</v>
      </c>
      <c r="V50" s="85">
        <v>51031136.4146658</v>
      </c>
      <c r="W50" s="85">
        <v>36758514.0184566</v>
      </c>
      <c r="X50" s="85">
        <v>17700419.3798486</v>
      </c>
      <c r="Y50" s="85">
        <v>47111753.5845014</v>
      </c>
      <c r="Z50" s="85">
        <v>100330129.042527</v>
      </c>
      <c r="AA50" s="85">
        <v>25541967.5256686</v>
      </c>
      <c r="AB50" s="85">
        <v>61395231.1624101</v>
      </c>
      <c r="AC50" s="85">
        <v>7256304.22228311</v>
      </c>
      <c r="AD50" s="85">
        <v>8632889.79187755</v>
      </c>
      <c r="AE50" s="85">
        <v>469645429.010662</v>
      </c>
      <c r="AF50" s="85">
        <v>519792503.263792</v>
      </c>
      <c r="AG50" s="85">
        <v>230523925.740211</v>
      </c>
      <c r="AH50" s="85">
        <v>85067117.1008988</v>
      </c>
      <c r="AI50" s="85">
        <v>206973736.679317</v>
      </c>
      <c r="AJ50" s="85">
        <v>215281976.520711</v>
      </c>
      <c r="AK50" s="85">
        <v>192733122.55735</v>
      </c>
      <c r="AL50" s="85">
        <v>252757212.793925</v>
      </c>
      <c r="AM50" s="85">
        <v>65841576.822612</v>
      </c>
      <c r="AN50" s="85">
        <v>115418456.212316</v>
      </c>
      <c r="AO50" s="85">
        <v>127689767.858012</v>
      </c>
      <c r="AP50" s="85">
        <v>281650493.11452</v>
      </c>
      <c r="AQ50" s="85">
        <v>171783188.525367</v>
      </c>
      <c r="AR50" s="85">
        <v>51172539.734951</v>
      </c>
      <c r="AS50" s="85">
        <v>407600705.014876</v>
      </c>
      <c r="AT50" s="113">
        <v>5295655400.14422</v>
      </c>
      <c r="AU50" s="114"/>
      <c r="AV50" s="114"/>
      <c r="AW50" s="114"/>
      <c r="AX50" s="114"/>
      <c r="AY50" s="114"/>
      <c r="AZ50" s="114"/>
      <c r="BA50" s="114"/>
      <c r="BB50" s="114"/>
      <c r="BC50" s="114"/>
      <c r="BD50" s="128"/>
      <c r="BE50" s="114"/>
      <c r="BF50" s="114"/>
    </row>
    <row r="51" spans="1:58">
      <c r="A51" s="96"/>
      <c r="B51" s="94" t="s">
        <v>139</v>
      </c>
      <c r="C51" s="97" t="s">
        <v>140</v>
      </c>
      <c r="D51" s="85">
        <v>-45528240.6524828</v>
      </c>
      <c r="E51" s="85">
        <v>23728883.970035</v>
      </c>
      <c r="F51" s="85">
        <v>26393586.367127</v>
      </c>
      <c r="G51" s="85">
        <v>29203561.314</v>
      </c>
      <c r="H51" s="85">
        <v>1127941.29772883</v>
      </c>
      <c r="I51" s="85">
        <v>82927929.5671502</v>
      </c>
      <c r="J51" s="85">
        <v>1055456.5261335</v>
      </c>
      <c r="K51" s="85">
        <v>5439494.60237603</v>
      </c>
      <c r="L51" s="85">
        <v>11735859.5567258</v>
      </c>
      <c r="M51" s="85">
        <v>49155195.5214141</v>
      </c>
      <c r="N51" s="85">
        <v>37768625.1294872</v>
      </c>
      <c r="O51" s="85">
        <v>11543781.6746586</v>
      </c>
      <c r="P51" s="85">
        <v>9432919.72683331</v>
      </c>
      <c r="Q51" s="85">
        <v>23472866.7779206</v>
      </c>
      <c r="R51" s="85">
        <v>16809803.9852195</v>
      </c>
      <c r="S51" s="85">
        <v>20103752.8548938</v>
      </c>
      <c r="T51" s="85">
        <v>11219546.9861507</v>
      </c>
      <c r="U51" s="85">
        <v>16723537.9683136</v>
      </c>
      <c r="V51" s="85">
        <v>14548976.722464</v>
      </c>
      <c r="W51" s="85">
        <v>41488605.881303</v>
      </c>
      <c r="X51" s="85">
        <v>2028721.97909231</v>
      </c>
      <c r="Y51" s="85">
        <v>4541468.4707146</v>
      </c>
      <c r="Z51" s="85">
        <v>-3678836.27294552</v>
      </c>
      <c r="AA51" s="85">
        <v>13432368.4743476</v>
      </c>
      <c r="AB51" s="85">
        <v>20698377.6315251</v>
      </c>
      <c r="AC51" s="85">
        <v>1010550.45236413</v>
      </c>
      <c r="AD51" s="85">
        <v>1860447.18374642</v>
      </c>
      <c r="AE51" s="85">
        <v>98116385.5968287</v>
      </c>
      <c r="AF51" s="85">
        <v>95383190.2804768</v>
      </c>
      <c r="AG51" s="85">
        <v>8513567.44219846</v>
      </c>
      <c r="AH51" s="85">
        <v>1360038.66259777</v>
      </c>
      <c r="AI51" s="85">
        <v>13092894.4785477</v>
      </c>
      <c r="AJ51" s="85">
        <v>82718115.8873387</v>
      </c>
      <c r="AK51" s="85">
        <v>123442718.311865</v>
      </c>
      <c r="AL51" s="85">
        <v>27690530.6917165</v>
      </c>
      <c r="AM51" s="85">
        <v>1588413.56834034</v>
      </c>
      <c r="AN51" s="85">
        <v>11715874.6086849</v>
      </c>
      <c r="AO51" s="85">
        <v>5023484.24607627</v>
      </c>
      <c r="AP51" s="85">
        <v>625840.589067589</v>
      </c>
      <c r="AQ51" s="85">
        <v>119102.009382813</v>
      </c>
      <c r="AR51" s="85">
        <v>1590021.04931616</v>
      </c>
      <c r="AS51" s="85">
        <v>2016363.5215086</v>
      </c>
      <c r="AT51" s="113">
        <v>895802230.037866</v>
      </c>
      <c r="AU51" s="115"/>
      <c r="AV51" s="115"/>
      <c r="AW51" s="115"/>
      <c r="AX51" s="115"/>
      <c r="AY51" s="115"/>
      <c r="AZ51" s="115"/>
      <c r="BA51" s="115"/>
      <c r="BB51" s="115"/>
      <c r="BC51" s="115"/>
      <c r="BD51" s="129"/>
      <c r="BE51" s="115"/>
      <c r="BF51" s="115"/>
    </row>
    <row r="52" ht="22.5" spans="1:58">
      <c r="A52" s="96"/>
      <c r="B52" s="94" t="s">
        <v>141</v>
      </c>
      <c r="C52" s="97" t="s">
        <v>142</v>
      </c>
      <c r="D52" s="85">
        <v>23048579.7015093</v>
      </c>
      <c r="E52" s="85">
        <v>11857466.9359743</v>
      </c>
      <c r="F52" s="85">
        <v>23934531.6640675</v>
      </c>
      <c r="G52" s="85">
        <v>14045534.8444722</v>
      </c>
      <c r="H52" s="85">
        <v>881427.489091594</v>
      </c>
      <c r="I52" s="85">
        <v>30616039.4796629</v>
      </c>
      <c r="J52" s="85">
        <v>17159912.3984095</v>
      </c>
      <c r="K52" s="85">
        <v>7115541.18523375</v>
      </c>
      <c r="L52" s="85">
        <v>23476685.1205348</v>
      </c>
      <c r="M52" s="85">
        <v>11540322.9497796</v>
      </c>
      <c r="N52" s="85">
        <v>37261752.7842075</v>
      </c>
      <c r="O52" s="85">
        <v>7442373.45766556</v>
      </c>
      <c r="P52" s="85">
        <v>13681348.1598697</v>
      </c>
      <c r="Q52" s="85">
        <v>36252424.8424867</v>
      </c>
      <c r="R52" s="85">
        <v>31732255.9204724</v>
      </c>
      <c r="S52" s="85">
        <v>20256127.1648298</v>
      </c>
      <c r="T52" s="85">
        <v>17451919.7586117</v>
      </c>
      <c r="U52" s="85">
        <v>16689439.146307</v>
      </c>
      <c r="V52" s="85">
        <v>12133972.5831076</v>
      </c>
      <c r="W52" s="85">
        <v>15404029.9075229</v>
      </c>
      <c r="X52" s="85">
        <v>3816835.02801987</v>
      </c>
      <c r="Y52" s="85">
        <v>15983410.4130126</v>
      </c>
      <c r="Z52" s="85">
        <v>35286959.999098</v>
      </c>
      <c r="AA52" s="85">
        <v>6722131.42762518</v>
      </c>
      <c r="AB52" s="85">
        <v>97784316.3482651</v>
      </c>
      <c r="AC52" s="85">
        <v>5463403.96630397</v>
      </c>
      <c r="AD52" s="85">
        <v>6900167.08475439</v>
      </c>
      <c r="AE52" s="85">
        <v>27714363.6799584</v>
      </c>
      <c r="AF52" s="85">
        <v>118467134.625324</v>
      </c>
      <c r="AG52" s="85">
        <v>200221941.685502</v>
      </c>
      <c r="AH52" s="85">
        <v>46183808.0137878</v>
      </c>
      <c r="AI52" s="85">
        <v>126694176.647774</v>
      </c>
      <c r="AJ52" s="85">
        <v>36197643.6232485</v>
      </c>
      <c r="AK52" s="85">
        <v>70284261.2451192</v>
      </c>
      <c r="AL52" s="85">
        <v>35220354.3225643</v>
      </c>
      <c r="AM52" s="85">
        <v>20894697.1076679</v>
      </c>
      <c r="AN52" s="85">
        <v>47257245.8232094</v>
      </c>
      <c r="AO52" s="85">
        <v>18811000.5847299</v>
      </c>
      <c r="AP52" s="85">
        <v>77784703.2094327</v>
      </c>
      <c r="AQ52" s="85">
        <v>31476065.1203941</v>
      </c>
      <c r="AR52" s="85">
        <v>19443051.9030816</v>
      </c>
      <c r="AS52" s="85">
        <v>92345943.1037209</v>
      </c>
      <c r="AT52" s="113">
        <v>1505819759.27118</v>
      </c>
      <c r="AU52" s="115"/>
      <c r="AV52" s="115"/>
      <c r="AW52" s="115"/>
      <c r="AX52" s="115"/>
      <c r="AY52" s="115"/>
      <c r="AZ52" s="115"/>
      <c r="BA52" s="115"/>
      <c r="BB52" s="115"/>
      <c r="BC52" s="115"/>
      <c r="BD52" s="130"/>
      <c r="BE52" s="115"/>
      <c r="BF52" s="115"/>
    </row>
    <row r="53" spans="1:58">
      <c r="A53" s="96"/>
      <c r="B53" s="94" t="s">
        <v>143</v>
      </c>
      <c r="C53" s="97" t="s">
        <v>144</v>
      </c>
      <c r="D53" s="85">
        <v>23117526.7569887</v>
      </c>
      <c r="E53" s="85">
        <v>35255170.9583124</v>
      </c>
      <c r="F53" s="85">
        <v>6711085.03132599</v>
      </c>
      <c r="G53" s="85">
        <v>26913764.7283137</v>
      </c>
      <c r="H53" s="85">
        <v>-2541340.49459825</v>
      </c>
      <c r="I53" s="85">
        <v>101181657.170058</v>
      </c>
      <c r="J53" s="85">
        <v>48190809.1034635</v>
      </c>
      <c r="K53" s="85">
        <v>17706881.846518</v>
      </c>
      <c r="L53" s="85">
        <v>55330296.5377042</v>
      </c>
      <c r="M53" s="85">
        <v>27079970.6715743</v>
      </c>
      <c r="N53" s="85">
        <v>75473750.7006667</v>
      </c>
      <c r="O53" s="85">
        <v>36261214.2131177</v>
      </c>
      <c r="P53" s="85">
        <v>27380721.776729</v>
      </c>
      <c r="Q53" s="85">
        <v>95894757.611015</v>
      </c>
      <c r="R53" s="85">
        <v>68635495.4348648</v>
      </c>
      <c r="S53" s="85">
        <v>43798631.4097935</v>
      </c>
      <c r="T53" s="85">
        <v>41037939.5122591</v>
      </c>
      <c r="U53" s="85">
        <v>43686015.7589667</v>
      </c>
      <c r="V53" s="85">
        <v>20237210.5040328</v>
      </c>
      <c r="W53" s="85">
        <v>51825291.1612023</v>
      </c>
      <c r="X53" s="85">
        <v>8695606.88428179</v>
      </c>
      <c r="Y53" s="85">
        <v>53690205.7608763</v>
      </c>
      <c r="Z53" s="85">
        <v>59374527.4317411</v>
      </c>
      <c r="AA53" s="85">
        <v>51110402.0784249</v>
      </c>
      <c r="AB53" s="85">
        <v>38471081.0886827</v>
      </c>
      <c r="AC53" s="85">
        <v>5841588.01525428</v>
      </c>
      <c r="AD53" s="85">
        <v>3105561.83173584</v>
      </c>
      <c r="AE53" s="85">
        <v>124616761.457381</v>
      </c>
      <c r="AF53" s="85">
        <v>219960586.719413</v>
      </c>
      <c r="AG53" s="85">
        <v>17515502.0570903</v>
      </c>
      <c r="AH53" s="85">
        <v>12909619.8106462</v>
      </c>
      <c r="AI53" s="85">
        <v>101253636.088194</v>
      </c>
      <c r="AJ53" s="85">
        <v>501973655.097806</v>
      </c>
      <c r="AK53" s="85">
        <v>383207440.021522</v>
      </c>
      <c r="AL53" s="85">
        <v>2859006.25501044</v>
      </c>
      <c r="AM53" s="85">
        <v>7602478.69404698</v>
      </c>
      <c r="AN53" s="85">
        <v>10750979.3816108</v>
      </c>
      <c r="AO53" s="85">
        <v>5752421.84212641</v>
      </c>
      <c r="AP53" s="85">
        <v>13231125.5114678</v>
      </c>
      <c r="AQ53" s="85">
        <v>4827324.60917299</v>
      </c>
      <c r="AR53" s="85">
        <v>5804782.04253919</v>
      </c>
      <c r="AS53" s="85">
        <v>8918361.97051482</v>
      </c>
      <c r="AT53" s="113">
        <v>2466942623.19533</v>
      </c>
      <c r="AU53" s="115"/>
      <c r="AV53" s="115"/>
      <c r="AW53" s="115"/>
      <c r="AX53" s="115"/>
      <c r="AY53" s="115"/>
      <c r="AZ53" s="115"/>
      <c r="BA53" s="115"/>
      <c r="BB53" s="115"/>
      <c r="BC53" s="115"/>
      <c r="BD53" s="130"/>
      <c r="BE53" s="115"/>
      <c r="BF53" s="115"/>
    </row>
    <row r="54" spans="1:58">
      <c r="A54" s="96"/>
      <c r="B54" s="94" t="s">
        <v>145</v>
      </c>
      <c r="C54" s="97" t="s">
        <v>146</v>
      </c>
      <c r="D54" s="85">
        <v>821747242.438066</v>
      </c>
      <c r="E54" s="85">
        <v>119998497.820532</v>
      </c>
      <c r="F54" s="85">
        <v>67723789.8703483</v>
      </c>
      <c r="G54" s="85">
        <v>104309593.147588</v>
      </c>
      <c r="H54" s="85">
        <v>8538923.07799753</v>
      </c>
      <c r="I54" s="85">
        <v>307013686.122547</v>
      </c>
      <c r="J54" s="85">
        <v>144476356.638051</v>
      </c>
      <c r="K54" s="85">
        <v>55601618.3229046</v>
      </c>
      <c r="L54" s="85">
        <v>161150586.178573</v>
      </c>
      <c r="M54" s="85">
        <v>100590764.464109</v>
      </c>
      <c r="N54" s="85">
        <v>198013718.857132</v>
      </c>
      <c r="O54" s="85">
        <v>85836030.0601345</v>
      </c>
      <c r="P54" s="85">
        <v>86439257.1499332</v>
      </c>
      <c r="Q54" s="85">
        <v>230580001.209798</v>
      </c>
      <c r="R54" s="85">
        <v>156294313.858229</v>
      </c>
      <c r="S54" s="85">
        <v>119577445.422559</v>
      </c>
      <c r="T54" s="85">
        <v>127197762.407179</v>
      </c>
      <c r="U54" s="85">
        <v>124087952.5995</v>
      </c>
      <c r="V54" s="85">
        <v>97951296.2242703</v>
      </c>
      <c r="W54" s="85">
        <v>145476440.968485</v>
      </c>
      <c r="X54" s="85">
        <v>32241583.2712426</v>
      </c>
      <c r="Y54" s="85">
        <v>121326838.229105</v>
      </c>
      <c r="Z54" s="85">
        <v>191312780.20042</v>
      </c>
      <c r="AA54" s="85">
        <v>96806869.5060662</v>
      </c>
      <c r="AB54" s="85">
        <v>218349006.230883</v>
      </c>
      <c r="AC54" s="85">
        <v>19571846.6562055</v>
      </c>
      <c r="AD54" s="85">
        <v>20499065.8921142</v>
      </c>
      <c r="AE54" s="85">
        <v>720092939.74483</v>
      </c>
      <c r="AF54" s="85">
        <v>953603414.889006</v>
      </c>
      <c r="AG54" s="85">
        <v>456774936.925002</v>
      </c>
      <c r="AH54" s="85">
        <v>145520583.587931</v>
      </c>
      <c r="AI54" s="85">
        <v>448014443.893833</v>
      </c>
      <c r="AJ54" s="85">
        <v>836171391.129104</v>
      </c>
      <c r="AK54" s="85">
        <v>769667542.135856</v>
      </c>
      <c r="AL54" s="85">
        <v>318527104.063217</v>
      </c>
      <c r="AM54" s="85">
        <v>95927166.1926672</v>
      </c>
      <c r="AN54" s="85">
        <v>185142556.025821</v>
      </c>
      <c r="AO54" s="85">
        <v>157276674.530945</v>
      </c>
      <c r="AP54" s="85">
        <v>373292162.424488</v>
      </c>
      <c r="AQ54" s="85">
        <v>208205680.264317</v>
      </c>
      <c r="AR54" s="85">
        <v>78010394.729888</v>
      </c>
      <c r="AS54" s="85">
        <v>510881373.61062</v>
      </c>
      <c r="AT54" s="113">
        <v>10164220012.6486</v>
      </c>
      <c r="AU54" s="116"/>
      <c r="AV54" s="115"/>
      <c r="AW54" s="115"/>
      <c r="AX54" s="115"/>
      <c r="AY54" s="115"/>
      <c r="AZ54" s="115"/>
      <c r="BA54" s="115"/>
      <c r="BB54" s="115"/>
      <c r="BC54" s="115"/>
      <c r="BD54" s="130"/>
      <c r="BE54" s="115"/>
      <c r="BF54" s="115"/>
    </row>
    <row r="55" ht="14.25" spans="1:58">
      <c r="A55" s="98" t="s">
        <v>147</v>
      </c>
      <c r="B55" s="99"/>
      <c r="C55" s="100" t="s">
        <v>148</v>
      </c>
      <c r="D55" s="85">
        <v>1331683250.27097</v>
      </c>
      <c r="E55" s="101">
        <v>235072612.002959</v>
      </c>
      <c r="F55" s="101">
        <v>107689567.27617</v>
      </c>
      <c r="G55" s="85">
        <v>193534599.238279</v>
      </c>
      <c r="H55" s="101">
        <v>20236774.4225848</v>
      </c>
      <c r="I55" s="85">
        <v>1251362798.17111</v>
      </c>
      <c r="J55" s="85">
        <v>757386926.814109</v>
      </c>
      <c r="K55" s="85">
        <v>265413179.90955</v>
      </c>
      <c r="L55" s="85">
        <v>693805946.292885</v>
      </c>
      <c r="M55" s="85">
        <v>409333284.474856</v>
      </c>
      <c r="N55" s="85">
        <v>855096592.927028</v>
      </c>
      <c r="O55" s="101">
        <v>300056136.80325</v>
      </c>
      <c r="P55" s="85">
        <v>358191579.359398</v>
      </c>
      <c r="Q55" s="85">
        <v>733031886.550906</v>
      </c>
      <c r="R55" s="85">
        <v>683509940.910679</v>
      </c>
      <c r="S55" s="85">
        <v>524670022.755983</v>
      </c>
      <c r="T55" s="101">
        <v>519481674.116463</v>
      </c>
      <c r="U55" s="85">
        <v>532910986.428774</v>
      </c>
      <c r="V55" s="85">
        <v>387351083.804617</v>
      </c>
      <c r="W55" s="85">
        <v>706457460.663255</v>
      </c>
      <c r="X55" s="85">
        <v>156013924.032628</v>
      </c>
      <c r="Y55" s="85">
        <v>697666254.587157</v>
      </c>
      <c r="Z55" s="85">
        <v>1188521951.48262</v>
      </c>
      <c r="AA55" s="85">
        <v>164181553.680022</v>
      </c>
      <c r="AB55" s="101">
        <v>699502565.702974</v>
      </c>
      <c r="AC55" s="101">
        <v>81271005.3323466</v>
      </c>
      <c r="AD55" s="101">
        <v>40678551.9692319</v>
      </c>
      <c r="AE55" s="85">
        <v>2860304981.41469</v>
      </c>
      <c r="AF55" s="85">
        <v>1498514698.55958</v>
      </c>
      <c r="AG55" s="85">
        <v>1199171268.6345</v>
      </c>
      <c r="AH55" s="85">
        <v>431989760.105425</v>
      </c>
      <c r="AI55" s="85">
        <v>965242789.826041</v>
      </c>
      <c r="AJ55" s="85">
        <v>1229370155.47224</v>
      </c>
      <c r="AK55" s="101">
        <v>1066633480.33379</v>
      </c>
      <c r="AL55" s="85">
        <v>962562600.608697</v>
      </c>
      <c r="AM55" s="101">
        <v>231556568.159228</v>
      </c>
      <c r="AN55" s="85">
        <v>519785869.528417</v>
      </c>
      <c r="AO55" s="85">
        <v>300337588.722428</v>
      </c>
      <c r="AP55" s="101">
        <v>532487559.134796</v>
      </c>
      <c r="AQ55" s="85">
        <v>500072197.739307</v>
      </c>
      <c r="AR55" s="85">
        <v>155843409.765292</v>
      </c>
      <c r="AS55" s="85">
        <v>907706187.356589</v>
      </c>
      <c r="AT55" s="117">
        <v>26990278045.4323</v>
      </c>
      <c r="AU55" s="118"/>
      <c r="AV55" s="118"/>
      <c r="AW55" s="118"/>
      <c r="AX55" s="118"/>
      <c r="AY55" s="118"/>
      <c r="AZ55" s="118"/>
      <c r="BA55" s="118"/>
      <c r="BB55" s="118"/>
      <c r="BC55" s="118"/>
      <c r="BD55" s="131"/>
      <c r="BE55" s="118"/>
      <c r="BF55" s="118"/>
    </row>
  </sheetData>
  <mergeCells count="10">
    <mergeCell ref="AU3:BC3"/>
    <mergeCell ref="D4:AT4"/>
    <mergeCell ref="AU4:BD4"/>
    <mergeCell ref="A55:B55"/>
    <mergeCell ref="A7:A49"/>
    <mergeCell ref="A50:A54"/>
    <mergeCell ref="C4:C5"/>
    <mergeCell ref="BE4:BE5"/>
    <mergeCell ref="BF4:BF5"/>
    <mergeCell ref="A4:B5"/>
  </mergeCells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96"/>
  <sheetViews>
    <sheetView workbookViewId="0">
      <pane xSplit="4" ySplit="5" topLeftCell="AV27" activePane="bottomRight" state="frozen"/>
      <selection/>
      <selection pane="topRight"/>
      <selection pane="bottomLeft"/>
      <selection pane="bottomRight" activeCell="AY31" sqref="AY31"/>
    </sheetView>
  </sheetViews>
  <sheetFormatPr defaultColWidth="9" defaultRowHeight="13.5"/>
  <cols>
    <col min="1" max="2" width="9" style="1"/>
    <col min="3" max="3" width="25.5" style="1" customWidth="1"/>
    <col min="4" max="4" width="9" style="1"/>
    <col min="5" max="5" width="10.625" style="1" customWidth="1"/>
    <col min="6" max="9" width="9.75" style="1" customWidth="1"/>
    <col min="10" max="10" width="10.625" style="1" customWidth="1"/>
    <col min="11" max="15" width="9.75" style="1" customWidth="1"/>
    <col min="16" max="16" width="10.625" style="1" customWidth="1"/>
    <col min="17" max="17" width="9.75" style="1" customWidth="1"/>
    <col min="18" max="18" width="10.625" style="1" customWidth="1"/>
    <col min="19" max="23" width="9.75" style="1" customWidth="1"/>
    <col min="24" max="24" width="10.625" style="1" customWidth="1"/>
    <col min="25" max="25" width="8.875" style="1" customWidth="1"/>
    <col min="26" max="26" width="9.75" style="1" customWidth="1"/>
    <col min="27" max="27" width="9" style="1"/>
    <col min="28" max="28" width="9.75" style="1" customWidth="1"/>
    <col min="29" max="30" width="9" style="1"/>
    <col min="31" max="33" width="10.625" style="1" customWidth="1"/>
    <col min="34" max="35" width="9.75" style="1" customWidth="1"/>
    <col min="36" max="37" width="10.625" style="1" customWidth="1"/>
    <col min="38" max="46" width="9.75" style="1" customWidth="1"/>
    <col min="47" max="47" width="11.625" style="1" customWidth="1"/>
    <col min="48" max="49" width="10.625" style="1" customWidth="1"/>
    <col min="50" max="50" width="9.375" style="1" customWidth="1"/>
    <col min="51" max="51" width="10.625" style="1" customWidth="1"/>
    <col min="52" max="52" width="11.625" style="1" customWidth="1"/>
    <col min="53" max="53" width="10.625" style="1" customWidth="1"/>
    <col min="54" max="54" width="11.625" style="1" customWidth="1"/>
    <col min="55" max="16384" width="9" style="1"/>
  </cols>
  <sheetData>
    <row r="1" ht="14.25" spans="1:5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32"/>
      <c r="AV1" s="4"/>
      <c r="AW1" s="4"/>
      <c r="AX1" s="4"/>
      <c r="AY1" s="4"/>
      <c r="AZ1" s="32"/>
    </row>
    <row r="2" ht="15" spans="1:52">
      <c r="A2" s="5" t="s">
        <v>103</v>
      </c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32"/>
      <c r="AV2" s="6"/>
      <c r="AW2" s="6"/>
      <c r="AX2" s="6"/>
      <c r="AY2" s="6"/>
      <c r="AZ2" s="37"/>
    </row>
    <row r="3" ht="14.25" spans="1:54">
      <c r="A3" s="8" t="s">
        <v>104</v>
      </c>
      <c r="B3" s="8"/>
      <c r="C3" s="9"/>
      <c r="D3" s="10" t="s">
        <v>105</v>
      </c>
      <c r="E3" s="11" t="s">
        <v>149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33"/>
      <c r="AV3" s="11" t="s">
        <v>106</v>
      </c>
      <c r="AW3" s="12"/>
      <c r="AX3" s="12"/>
      <c r="AY3" s="12"/>
      <c r="AZ3" s="33"/>
      <c r="BA3" s="38" t="s">
        <v>107</v>
      </c>
      <c r="BB3" s="38" t="s">
        <v>108</v>
      </c>
    </row>
    <row r="4" ht="33.75" spans="1:54">
      <c r="A4" s="13"/>
      <c r="B4" s="13"/>
      <c r="C4" s="14"/>
      <c r="D4" s="15"/>
      <c r="E4" s="16" t="s">
        <v>58</v>
      </c>
      <c r="F4" s="16" t="s">
        <v>150</v>
      </c>
      <c r="G4" s="16" t="s">
        <v>60</v>
      </c>
      <c r="H4" s="16" t="s">
        <v>151</v>
      </c>
      <c r="I4" s="16" t="s">
        <v>152</v>
      </c>
      <c r="J4" s="31" t="s">
        <v>63</v>
      </c>
      <c r="K4" s="31" t="s">
        <v>153</v>
      </c>
      <c r="L4" s="31" t="s">
        <v>154</v>
      </c>
      <c r="M4" s="31" t="s">
        <v>65</v>
      </c>
      <c r="N4" s="31" t="s">
        <v>66</v>
      </c>
      <c r="O4" s="31" t="s">
        <v>67</v>
      </c>
      <c r="P4" s="31" t="s">
        <v>155</v>
      </c>
      <c r="Q4" s="31" t="s">
        <v>71</v>
      </c>
      <c r="R4" s="31" t="s">
        <v>156</v>
      </c>
      <c r="S4" s="31" t="s">
        <v>75</v>
      </c>
      <c r="T4" s="31" t="s">
        <v>78</v>
      </c>
      <c r="U4" s="31" t="s">
        <v>72</v>
      </c>
      <c r="V4" s="31" t="s">
        <v>157</v>
      </c>
      <c r="W4" s="31" t="s">
        <v>77</v>
      </c>
      <c r="X4" s="31" t="s">
        <v>158</v>
      </c>
      <c r="Y4" s="31" t="s">
        <v>159</v>
      </c>
      <c r="Z4" s="31" t="s">
        <v>160</v>
      </c>
      <c r="AA4" s="31" t="s">
        <v>161</v>
      </c>
      <c r="AB4" s="31" t="s">
        <v>162</v>
      </c>
      <c r="AC4" s="31" t="s">
        <v>83</v>
      </c>
      <c r="AD4" s="31" t="s">
        <v>84</v>
      </c>
      <c r="AE4" s="31" t="s">
        <v>85</v>
      </c>
      <c r="AF4" s="31" t="s">
        <v>86</v>
      </c>
      <c r="AG4" s="31" t="s">
        <v>87</v>
      </c>
      <c r="AH4" s="31" t="s">
        <v>88</v>
      </c>
      <c r="AI4" s="31" t="s">
        <v>89</v>
      </c>
      <c r="AJ4" s="31" t="s">
        <v>92</v>
      </c>
      <c r="AK4" s="31" t="s">
        <v>93</v>
      </c>
      <c r="AL4" s="31" t="s">
        <v>90</v>
      </c>
      <c r="AM4" s="31" t="s">
        <v>91</v>
      </c>
      <c r="AN4" s="31" t="s">
        <v>94</v>
      </c>
      <c r="AO4" s="31" t="s">
        <v>163</v>
      </c>
      <c r="AP4" s="31" t="s">
        <v>99</v>
      </c>
      <c r="AQ4" s="31" t="s">
        <v>96</v>
      </c>
      <c r="AR4" s="31" t="s">
        <v>97</v>
      </c>
      <c r="AS4" s="31" t="s">
        <v>98</v>
      </c>
      <c r="AT4" s="31" t="s">
        <v>164</v>
      </c>
      <c r="AU4" s="34" t="s">
        <v>109</v>
      </c>
      <c r="AV4" s="31" t="s">
        <v>114</v>
      </c>
      <c r="AW4" s="31" t="s">
        <v>115</v>
      </c>
      <c r="AX4" s="31" t="s">
        <v>116</v>
      </c>
      <c r="AY4" s="16" t="s">
        <v>118</v>
      </c>
      <c r="AZ4" s="34" t="s">
        <v>119</v>
      </c>
      <c r="BA4" s="39"/>
      <c r="BB4" s="39"/>
    </row>
    <row r="5" spans="1:54">
      <c r="A5" s="17" t="s">
        <v>105</v>
      </c>
      <c r="B5" s="17"/>
      <c r="C5" s="18"/>
      <c r="D5" s="19" t="s">
        <v>120</v>
      </c>
      <c r="E5" s="20" t="s">
        <v>165</v>
      </c>
      <c r="F5" s="20" t="s">
        <v>166</v>
      </c>
      <c r="G5" s="20" t="s">
        <v>167</v>
      </c>
      <c r="H5" s="20" t="s">
        <v>168</v>
      </c>
      <c r="I5" s="20" t="s">
        <v>169</v>
      </c>
      <c r="J5" s="20" t="s">
        <v>170</v>
      </c>
      <c r="K5" s="20" t="s">
        <v>171</v>
      </c>
      <c r="L5" s="20" t="s">
        <v>172</v>
      </c>
      <c r="M5" s="20" t="s">
        <v>173</v>
      </c>
      <c r="N5" s="20" t="s">
        <v>174</v>
      </c>
      <c r="O5" s="20" t="s">
        <v>175</v>
      </c>
      <c r="P5" s="20" t="s">
        <v>176</v>
      </c>
      <c r="Q5" s="20" t="s">
        <v>177</v>
      </c>
      <c r="R5" s="20" t="s">
        <v>178</v>
      </c>
      <c r="S5" s="20" t="s">
        <v>179</v>
      </c>
      <c r="T5" s="20" t="s">
        <v>180</v>
      </c>
      <c r="U5" s="20" t="s">
        <v>181</v>
      </c>
      <c r="V5" s="20" t="s">
        <v>182</v>
      </c>
      <c r="W5" s="20" t="s">
        <v>183</v>
      </c>
      <c r="X5" s="20" t="s">
        <v>184</v>
      </c>
      <c r="Y5" s="20" t="s">
        <v>185</v>
      </c>
      <c r="Z5" s="20" t="s">
        <v>186</v>
      </c>
      <c r="AA5" s="20" t="s">
        <v>187</v>
      </c>
      <c r="AB5" s="20" t="s">
        <v>188</v>
      </c>
      <c r="AC5" s="20" t="s">
        <v>189</v>
      </c>
      <c r="AD5" s="20" t="s">
        <v>190</v>
      </c>
      <c r="AE5" s="20" t="s">
        <v>191</v>
      </c>
      <c r="AF5" s="20" t="s">
        <v>192</v>
      </c>
      <c r="AG5" s="20" t="s">
        <v>193</v>
      </c>
      <c r="AH5" s="20" t="s">
        <v>194</v>
      </c>
      <c r="AI5" s="20" t="s">
        <v>195</v>
      </c>
      <c r="AJ5" s="20" t="s">
        <v>196</v>
      </c>
      <c r="AK5" s="20" t="s">
        <v>197</v>
      </c>
      <c r="AL5" s="20" t="s">
        <v>198</v>
      </c>
      <c r="AM5" s="20" t="s">
        <v>199</v>
      </c>
      <c r="AN5" s="20" t="s">
        <v>200</v>
      </c>
      <c r="AO5" s="20" t="s">
        <v>201</v>
      </c>
      <c r="AP5" s="20" t="s">
        <v>202</v>
      </c>
      <c r="AQ5" s="20" t="s">
        <v>203</v>
      </c>
      <c r="AR5" s="20" t="s">
        <v>204</v>
      </c>
      <c r="AS5" s="20" t="s">
        <v>205</v>
      </c>
      <c r="AT5" s="20" t="s">
        <v>206</v>
      </c>
      <c r="AU5" s="35" t="s">
        <v>121</v>
      </c>
      <c r="AV5" s="20" t="s">
        <v>126</v>
      </c>
      <c r="AW5" s="20" t="s">
        <v>127</v>
      </c>
      <c r="AX5" s="20" t="s">
        <v>128</v>
      </c>
      <c r="AY5" s="19" t="s">
        <v>130</v>
      </c>
      <c r="AZ5" s="40" t="s">
        <v>131</v>
      </c>
      <c r="BA5" s="41" t="s">
        <v>207</v>
      </c>
      <c r="BB5" s="42" t="s">
        <v>133</v>
      </c>
    </row>
    <row r="6" spans="1:54">
      <c r="A6" s="21" t="s">
        <v>208</v>
      </c>
      <c r="B6" s="22" t="s">
        <v>209</v>
      </c>
      <c r="C6" s="23" t="s">
        <v>58</v>
      </c>
      <c r="D6" s="19" t="s">
        <v>165</v>
      </c>
      <c r="E6" s="24">
        <v>179170246.202905</v>
      </c>
      <c r="F6" s="24">
        <v>203217.620559347</v>
      </c>
      <c r="G6" s="24">
        <v>2228.1415195502</v>
      </c>
      <c r="H6" s="24">
        <v>16034.3485240024</v>
      </c>
      <c r="I6" s="24">
        <v>14407.081297523</v>
      </c>
      <c r="J6" s="24">
        <v>435065090.317956</v>
      </c>
      <c r="K6" s="24">
        <v>71798943.8340729</v>
      </c>
      <c r="L6" s="24">
        <v>6572301.98796786</v>
      </c>
      <c r="M6" s="24">
        <v>26540751.2741672</v>
      </c>
      <c r="N6" s="24">
        <v>21627436.6855359</v>
      </c>
      <c r="O6" s="24">
        <v>15784.7239614428</v>
      </c>
      <c r="P6" s="24">
        <v>62113372.2097253</v>
      </c>
      <c r="Q6" s="24">
        <v>218511.120312287</v>
      </c>
      <c r="R6" s="24">
        <v>36576.5888237872</v>
      </c>
      <c r="S6" s="24">
        <v>97183.2003700624</v>
      </c>
      <c r="T6" s="24">
        <v>26410.0467710351</v>
      </c>
      <c r="U6" s="24">
        <v>76667.300611543</v>
      </c>
      <c r="V6" s="24">
        <v>37652.0808480596</v>
      </c>
      <c r="W6" s="24">
        <v>67986.2032369222</v>
      </c>
      <c r="X6" s="24">
        <v>2169.07625067036</v>
      </c>
      <c r="Y6" s="24">
        <v>0</v>
      </c>
      <c r="Z6" s="24">
        <v>3448438.23715453</v>
      </c>
      <c r="AA6" s="24">
        <v>0</v>
      </c>
      <c r="AB6" s="24">
        <v>101651.917138258</v>
      </c>
      <c r="AC6" s="24">
        <v>1309.37118454107</v>
      </c>
      <c r="AD6" s="24">
        <v>0</v>
      </c>
      <c r="AE6" s="24">
        <v>18534883.1364596</v>
      </c>
      <c r="AF6" s="24">
        <v>13750.4020205314</v>
      </c>
      <c r="AG6" s="24">
        <v>154246.348875876</v>
      </c>
      <c r="AH6" s="24">
        <v>53819717.6093666</v>
      </c>
      <c r="AI6" s="24">
        <v>509184.055979695</v>
      </c>
      <c r="AJ6" s="24">
        <v>67181.7156951404</v>
      </c>
      <c r="AK6" s="24">
        <v>336728.555759199</v>
      </c>
      <c r="AL6" s="24">
        <v>7358379.02819427</v>
      </c>
      <c r="AM6" s="24">
        <v>4228332.00443212</v>
      </c>
      <c r="AN6" s="24">
        <v>1149055.18814486</v>
      </c>
      <c r="AO6" s="24">
        <v>9513266.82859714</v>
      </c>
      <c r="AP6" s="24">
        <v>2266920.53872363</v>
      </c>
      <c r="AQ6" s="24">
        <v>611871.813143391</v>
      </c>
      <c r="AR6" s="24">
        <v>605248.453166369</v>
      </c>
      <c r="AS6" s="24">
        <v>477452.894605857</v>
      </c>
      <c r="AT6" s="24">
        <v>0</v>
      </c>
      <c r="AU6" s="36">
        <v>906900588.144058</v>
      </c>
      <c r="AV6" s="24">
        <v>337552514.669837</v>
      </c>
      <c r="AW6" s="24">
        <v>17159643.3352713</v>
      </c>
      <c r="AX6" s="24">
        <v>51905816.4911048</v>
      </c>
      <c r="AY6" s="24">
        <v>18164687.6306992</v>
      </c>
      <c r="AZ6" s="36">
        <v>424782662.126913</v>
      </c>
      <c r="BA6" s="36">
        <v>0</v>
      </c>
      <c r="BB6" s="43">
        <v>1331683250.27097</v>
      </c>
    </row>
    <row r="7" spans="1:54">
      <c r="A7" s="21"/>
      <c r="B7" s="22"/>
      <c r="C7" s="23" t="s">
        <v>150</v>
      </c>
      <c r="D7" s="19" t="s">
        <v>166</v>
      </c>
      <c r="E7" s="24">
        <v>601617.897676504</v>
      </c>
      <c r="F7" s="24">
        <v>35226641.2700029</v>
      </c>
      <c r="G7" s="24">
        <v>63780.0391914697</v>
      </c>
      <c r="H7" s="24">
        <v>391026.444567307</v>
      </c>
      <c r="I7" s="24">
        <v>1221705.32269795</v>
      </c>
      <c r="J7" s="24">
        <v>2167278.53074792</v>
      </c>
      <c r="K7" s="24">
        <v>1388906.35079863</v>
      </c>
      <c r="L7" s="24">
        <v>420436.102354289</v>
      </c>
      <c r="M7" s="24">
        <v>280063.95701122</v>
      </c>
      <c r="N7" s="24">
        <v>3244712.01866598</v>
      </c>
      <c r="O7" s="24">
        <v>18942514.7746401</v>
      </c>
      <c r="P7" s="24">
        <v>22750106.6431081</v>
      </c>
      <c r="Q7" s="24">
        <v>33972638.6175499</v>
      </c>
      <c r="R7" s="24">
        <v>23357619.2549864</v>
      </c>
      <c r="S7" s="24">
        <v>494688.331844991</v>
      </c>
      <c r="T7" s="24">
        <v>360679.222837257</v>
      </c>
      <c r="U7" s="24">
        <v>252487.680755582</v>
      </c>
      <c r="V7" s="24">
        <v>98080.4086681136</v>
      </c>
      <c r="W7" s="24">
        <v>214213.246863092</v>
      </c>
      <c r="X7" s="24">
        <v>567.314852253291</v>
      </c>
      <c r="Y7" s="24">
        <v>19501.7151760681</v>
      </c>
      <c r="Z7" s="24">
        <v>118118.651857717</v>
      </c>
      <c r="AA7" s="24">
        <v>59952.382460066</v>
      </c>
      <c r="AB7" s="24">
        <v>84805045.4647528</v>
      </c>
      <c r="AC7" s="24">
        <v>2360328.57813677</v>
      </c>
      <c r="AD7" s="24">
        <v>0</v>
      </c>
      <c r="AE7" s="24">
        <v>843176.455041318</v>
      </c>
      <c r="AF7" s="24">
        <v>10157.0894466493</v>
      </c>
      <c r="AG7" s="24">
        <v>128080.376447201</v>
      </c>
      <c r="AH7" s="24">
        <v>50425.8173421348</v>
      </c>
      <c r="AI7" s="24">
        <v>0</v>
      </c>
      <c r="AJ7" s="24">
        <v>17216.8662806353</v>
      </c>
      <c r="AK7" s="24">
        <v>63302.6768841211</v>
      </c>
      <c r="AL7" s="24">
        <v>64.2968359214898</v>
      </c>
      <c r="AM7" s="24">
        <v>234530.696247021</v>
      </c>
      <c r="AN7" s="24">
        <v>170068.470193574</v>
      </c>
      <c r="AO7" s="24">
        <v>81789.6751137594</v>
      </c>
      <c r="AP7" s="24">
        <v>326731.854976336</v>
      </c>
      <c r="AQ7" s="24">
        <v>607737.690525747</v>
      </c>
      <c r="AR7" s="24">
        <v>360731.827149288</v>
      </c>
      <c r="AS7" s="24">
        <v>41609.3901952679</v>
      </c>
      <c r="AT7" s="24">
        <v>521844.669804401</v>
      </c>
      <c r="AU7" s="36">
        <v>236270178.074687</v>
      </c>
      <c r="AV7" s="24">
        <v>1222279.57958158</v>
      </c>
      <c r="AW7" s="24">
        <v>0</v>
      </c>
      <c r="AX7" s="24">
        <v>-2652681.980557</v>
      </c>
      <c r="AY7" s="24">
        <v>232836.329247649</v>
      </c>
      <c r="AZ7" s="36">
        <v>-1197566.07172777</v>
      </c>
      <c r="BA7" s="36">
        <v>0</v>
      </c>
      <c r="BB7" s="43">
        <v>235072612.002959</v>
      </c>
    </row>
    <row r="8" spans="1:54">
      <c r="A8" s="21"/>
      <c r="B8" s="22"/>
      <c r="C8" s="23" t="s">
        <v>60</v>
      </c>
      <c r="D8" s="19" t="s">
        <v>167</v>
      </c>
      <c r="E8" s="24">
        <v>0</v>
      </c>
      <c r="F8" s="24">
        <v>33782.5040270018</v>
      </c>
      <c r="G8" s="24">
        <v>153030.200846642</v>
      </c>
      <c r="H8" s="24">
        <v>16517.4392838667</v>
      </c>
      <c r="I8" s="24">
        <v>19405.5894879751</v>
      </c>
      <c r="J8" s="24">
        <v>0</v>
      </c>
      <c r="K8" s="24">
        <v>0</v>
      </c>
      <c r="L8" s="24">
        <v>0</v>
      </c>
      <c r="M8" s="24">
        <v>0</v>
      </c>
      <c r="N8" s="24">
        <v>45113.4227585406</v>
      </c>
      <c r="O8" s="24">
        <v>80149567.6559442</v>
      </c>
      <c r="P8" s="24">
        <v>13266312.60902</v>
      </c>
      <c r="Q8" s="24">
        <v>1000297.90301492</v>
      </c>
      <c r="R8" s="24">
        <v>856198.233609754</v>
      </c>
      <c r="S8" s="24">
        <v>446827.257652087</v>
      </c>
      <c r="T8" s="24">
        <v>429708.388650013</v>
      </c>
      <c r="U8" s="24">
        <v>283543.162800998</v>
      </c>
      <c r="V8" s="24">
        <v>433248.700647712</v>
      </c>
      <c r="W8" s="24">
        <v>51816.6205350235</v>
      </c>
      <c r="X8" s="24">
        <v>0</v>
      </c>
      <c r="Y8" s="24">
        <v>0</v>
      </c>
      <c r="Z8" s="24">
        <v>0</v>
      </c>
      <c r="AA8" s="24">
        <v>0</v>
      </c>
      <c r="AB8" s="24">
        <v>983410.188459278</v>
      </c>
      <c r="AC8" s="24">
        <v>14728548.7394992</v>
      </c>
      <c r="AD8" s="24">
        <v>0</v>
      </c>
      <c r="AE8" s="24">
        <v>0</v>
      </c>
      <c r="AF8" s="24">
        <v>0</v>
      </c>
      <c r="AG8" s="24">
        <v>371.430953871128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1908.5847706553</v>
      </c>
      <c r="AN8" s="24">
        <v>0</v>
      </c>
      <c r="AO8" s="24">
        <v>0</v>
      </c>
      <c r="AP8" s="24">
        <v>0</v>
      </c>
      <c r="AQ8" s="24">
        <v>0</v>
      </c>
      <c r="AR8" s="24">
        <v>26324.0983864966</v>
      </c>
      <c r="AS8" s="24">
        <v>1336.78254939175</v>
      </c>
      <c r="AT8" s="24">
        <v>36774.6020215235</v>
      </c>
      <c r="AU8" s="36">
        <v>112964044.114919</v>
      </c>
      <c r="AV8" s="24">
        <v>0</v>
      </c>
      <c r="AW8" s="24">
        <v>0</v>
      </c>
      <c r="AX8" s="24">
        <v>-5545806.19707349</v>
      </c>
      <c r="AY8" s="24">
        <v>271329.35832491</v>
      </c>
      <c r="AZ8" s="36">
        <v>-5274476.83874858</v>
      </c>
      <c r="BA8" s="36">
        <v>0</v>
      </c>
      <c r="BB8" s="43">
        <v>107689567.276171</v>
      </c>
    </row>
    <row r="9" spans="1:54">
      <c r="A9" s="21"/>
      <c r="B9" s="22"/>
      <c r="C9" s="23" t="s">
        <v>151</v>
      </c>
      <c r="D9" s="20" t="s">
        <v>168</v>
      </c>
      <c r="E9" s="24">
        <v>0</v>
      </c>
      <c r="F9" s="24">
        <v>0</v>
      </c>
      <c r="G9" s="24">
        <v>0</v>
      </c>
      <c r="H9" s="24">
        <v>1202119.50080776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277126.046106378</v>
      </c>
      <c r="P9" s="24">
        <v>3552837.35441604</v>
      </c>
      <c r="Q9" s="24">
        <v>1409391.84032595</v>
      </c>
      <c r="R9" s="24">
        <v>99316334.3527199</v>
      </c>
      <c r="S9" s="24">
        <v>2812170.41742608</v>
      </c>
      <c r="T9" s="24">
        <v>0</v>
      </c>
      <c r="U9" s="24">
        <v>0</v>
      </c>
      <c r="V9" s="24">
        <v>0</v>
      </c>
      <c r="W9" s="24">
        <v>0</v>
      </c>
      <c r="X9" s="24">
        <v>0.38662645551279</v>
      </c>
      <c r="Y9" s="24">
        <v>0</v>
      </c>
      <c r="Z9" s="24">
        <v>10351.3153307286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234561.948254562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36">
        <v>108814893.162014</v>
      </c>
      <c r="AV9" s="24">
        <v>0</v>
      </c>
      <c r="AW9" s="24">
        <v>0</v>
      </c>
      <c r="AX9" s="24">
        <v>967878.649776135</v>
      </c>
      <c r="AY9" s="24">
        <v>394270.089915558</v>
      </c>
      <c r="AZ9" s="36">
        <v>1362148.73969169</v>
      </c>
      <c r="BA9" s="36">
        <v>0</v>
      </c>
      <c r="BB9" s="43">
        <v>110177041.901706</v>
      </c>
    </row>
    <row r="10" spans="1:54">
      <c r="A10" s="21"/>
      <c r="B10" s="22"/>
      <c r="C10" s="23" t="s">
        <v>152</v>
      </c>
      <c r="D10" s="20" t="s">
        <v>169</v>
      </c>
      <c r="E10" s="24">
        <v>1787.23447503047</v>
      </c>
      <c r="F10" s="24">
        <v>1416291.94259354</v>
      </c>
      <c r="G10" s="24">
        <v>16962449.8608772</v>
      </c>
      <c r="H10" s="24">
        <v>368077.901797467</v>
      </c>
      <c r="I10" s="24">
        <v>1528725.24530837</v>
      </c>
      <c r="J10" s="24">
        <v>526803.284433857</v>
      </c>
      <c r="K10" s="24">
        <v>11014.510161121</v>
      </c>
      <c r="L10" s="24">
        <v>6510.11999266564</v>
      </c>
      <c r="M10" s="24">
        <v>12579.3859408218</v>
      </c>
      <c r="N10" s="24">
        <v>353125.331931774</v>
      </c>
      <c r="O10" s="24">
        <v>31032.3972063817</v>
      </c>
      <c r="P10" s="24">
        <v>7876240.21526184</v>
      </c>
      <c r="Q10" s="24">
        <v>46411463.1644849</v>
      </c>
      <c r="R10" s="24">
        <v>495334.581503612</v>
      </c>
      <c r="S10" s="24">
        <v>148139.266958359</v>
      </c>
      <c r="T10" s="24">
        <v>62466.0906379256</v>
      </c>
      <c r="U10" s="24">
        <v>118747.369343627</v>
      </c>
      <c r="V10" s="24">
        <v>201417.274093926</v>
      </c>
      <c r="W10" s="24">
        <v>365564.08892205</v>
      </c>
      <c r="X10" s="24">
        <v>81910.4666767232</v>
      </c>
      <c r="Y10" s="24">
        <v>1447.86501208098</v>
      </c>
      <c r="Z10" s="24">
        <v>7699.07040183369</v>
      </c>
      <c r="AA10" s="24">
        <v>22348.8998797341</v>
      </c>
      <c r="AB10" s="24">
        <v>334659.359221205</v>
      </c>
      <c r="AC10" s="24">
        <v>0</v>
      </c>
      <c r="AD10" s="24">
        <v>0</v>
      </c>
      <c r="AE10" s="24">
        <v>22596602.082064</v>
      </c>
      <c r="AF10" s="24">
        <v>58148.7642867363</v>
      </c>
      <c r="AG10" s="24">
        <v>174360.594290783</v>
      </c>
      <c r="AH10" s="24">
        <v>3905.12984563225</v>
      </c>
      <c r="AI10" s="24">
        <v>84.7290240941356</v>
      </c>
      <c r="AJ10" s="24">
        <v>726.333551826935</v>
      </c>
      <c r="AK10" s="24">
        <v>366.497977932031</v>
      </c>
      <c r="AL10" s="24">
        <v>1632.6414977526</v>
      </c>
      <c r="AM10" s="24">
        <v>20300.3441080272</v>
      </c>
      <c r="AN10" s="24">
        <v>3773.89704308137</v>
      </c>
      <c r="AO10" s="24">
        <v>7106.2968361144</v>
      </c>
      <c r="AP10" s="24">
        <v>3624.70757843421</v>
      </c>
      <c r="AQ10" s="24">
        <v>2883.43107384227</v>
      </c>
      <c r="AR10" s="24">
        <v>994.843267501469</v>
      </c>
      <c r="AS10" s="24">
        <v>5285.13684189989</v>
      </c>
      <c r="AT10" s="24">
        <v>20894.0534911836</v>
      </c>
      <c r="AU10" s="36">
        <v>100246524.409895</v>
      </c>
      <c r="AV10" s="24">
        <v>0</v>
      </c>
      <c r="AW10" s="24">
        <v>0</v>
      </c>
      <c r="AX10" s="24">
        <v>1556447.91234938</v>
      </c>
      <c r="AY10" s="24">
        <v>1791359.43691485</v>
      </c>
      <c r="AZ10" s="36">
        <v>3347807.34926423</v>
      </c>
      <c r="BA10" s="36">
        <v>0</v>
      </c>
      <c r="BB10" s="43">
        <v>103594331.759159</v>
      </c>
    </row>
    <row r="11" spans="1:54">
      <c r="A11" s="21"/>
      <c r="B11" s="22"/>
      <c r="C11" s="23" t="s">
        <v>63</v>
      </c>
      <c r="D11" s="19" t="s">
        <v>170</v>
      </c>
      <c r="E11" s="24">
        <v>107762674.595338</v>
      </c>
      <c r="F11" s="24">
        <v>412630.201737992</v>
      </c>
      <c r="G11" s="24">
        <v>79284.8939886291</v>
      </c>
      <c r="H11" s="24">
        <v>536210.753140448</v>
      </c>
      <c r="I11" s="24">
        <v>420250.885792457</v>
      </c>
      <c r="J11" s="24">
        <v>226904219.216718</v>
      </c>
      <c r="K11" s="24">
        <v>915942.450413716</v>
      </c>
      <c r="L11" s="24">
        <v>12571512.9777143</v>
      </c>
      <c r="M11" s="24">
        <v>1245988.60529658</v>
      </c>
      <c r="N11" s="24">
        <v>1765754.47375834</v>
      </c>
      <c r="O11" s="24">
        <v>3255066.1371466</v>
      </c>
      <c r="P11" s="24">
        <v>32599559.3432138</v>
      </c>
      <c r="Q11" s="24">
        <v>1763518.88461524</v>
      </c>
      <c r="R11" s="24">
        <v>7992400.99992744</v>
      </c>
      <c r="S11" s="24">
        <v>2844635.33198581</v>
      </c>
      <c r="T11" s="24">
        <v>4400876.30020453</v>
      </c>
      <c r="U11" s="24">
        <v>2449313.44801657</v>
      </c>
      <c r="V11" s="24">
        <v>3400368.08020527</v>
      </c>
      <c r="W11" s="24">
        <v>4521641.78636861</v>
      </c>
      <c r="X11" s="24">
        <v>6650685.77837124</v>
      </c>
      <c r="Y11" s="24">
        <v>650020.301861057</v>
      </c>
      <c r="Z11" s="24">
        <v>586883.373691172</v>
      </c>
      <c r="AA11" s="24">
        <v>29779.6770118305</v>
      </c>
      <c r="AB11" s="24">
        <v>5004110.97100875</v>
      </c>
      <c r="AC11" s="24">
        <v>538052.465429916</v>
      </c>
      <c r="AD11" s="24">
        <v>431836.344488052</v>
      </c>
      <c r="AE11" s="24">
        <v>5733044.92684513</v>
      </c>
      <c r="AF11" s="24">
        <v>2299913.48690952</v>
      </c>
      <c r="AG11" s="24">
        <v>7642261.50936289</v>
      </c>
      <c r="AH11" s="24">
        <v>127019204.589152</v>
      </c>
      <c r="AI11" s="24">
        <v>5591128.67454432</v>
      </c>
      <c r="AJ11" s="24">
        <v>2852744.516963</v>
      </c>
      <c r="AK11" s="24">
        <v>4668503.46305104</v>
      </c>
      <c r="AL11" s="24">
        <v>16504732.9460908</v>
      </c>
      <c r="AM11" s="24">
        <v>4771848.70985022</v>
      </c>
      <c r="AN11" s="24">
        <v>3285314.5807399</v>
      </c>
      <c r="AO11" s="24">
        <v>2334103.18067473</v>
      </c>
      <c r="AP11" s="24">
        <v>7499178.41973506</v>
      </c>
      <c r="AQ11" s="24">
        <v>12475782.5180351</v>
      </c>
      <c r="AR11" s="24">
        <v>6998524.92621862</v>
      </c>
      <c r="AS11" s="24">
        <v>9657326.47365116</v>
      </c>
      <c r="AT11" s="24">
        <v>5305069.00654417</v>
      </c>
      <c r="AU11" s="36">
        <v>654371900.205813</v>
      </c>
      <c r="AV11" s="24">
        <v>555608964.745599</v>
      </c>
      <c r="AW11" s="24">
        <v>0</v>
      </c>
      <c r="AX11" s="24">
        <v>5627711.12365221</v>
      </c>
      <c r="AY11" s="24">
        <v>35754222.0960425</v>
      </c>
      <c r="AZ11" s="36">
        <v>596990897.965293</v>
      </c>
      <c r="BA11" s="36">
        <v>0</v>
      </c>
      <c r="BB11" s="43">
        <v>1251362798.17111</v>
      </c>
    </row>
    <row r="12" spans="1:54">
      <c r="A12" s="21"/>
      <c r="B12" s="22"/>
      <c r="C12" s="23" t="s">
        <v>153</v>
      </c>
      <c r="D12" s="19" t="s">
        <v>171</v>
      </c>
      <c r="E12" s="24">
        <v>43488.0870967333</v>
      </c>
      <c r="F12" s="24">
        <v>87424.206506111</v>
      </c>
      <c r="G12" s="24">
        <v>14575.170933396</v>
      </c>
      <c r="H12" s="24">
        <v>27494.5638419298</v>
      </c>
      <c r="I12" s="24">
        <v>196961.071458611</v>
      </c>
      <c r="J12" s="24">
        <v>559172.82834169</v>
      </c>
      <c r="K12" s="24">
        <v>132312864.108199</v>
      </c>
      <c r="L12" s="24">
        <v>120678892.281641</v>
      </c>
      <c r="M12" s="24">
        <v>3178377.94988355</v>
      </c>
      <c r="N12" s="24">
        <v>10030261.0187726</v>
      </c>
      <c r="O12" s="24">
        <v>78510.4123236895</v>
      </c>
      <c r="P12" s="24">
        <v>6447199.03407156</v>
      </c>
      <c r="Q12" s="24">
        <v>206449.05298107</v>
      </c>
      <c r="R12" s="24">
        <v>169682.430284025</v>
      </c>
      <c r="S12" s="24">
        <v>977033.025050466</v>
      </c>
      <c r="T12" s="24">
        <v>306926.582266375</v>
      </c>
      <c r="U12" s="24">
        <v>310475.837179826</v>
      </c>
      <c r="V12" s="24">
        <v>974387.138721562</v>
      </c>
      <c r="W12" s="24">
        <v>770012.310358789</v>
      </c>
      <c r="X12" s="24">
        <v>453207.638915752</v>
      </c>
      <c r="Y12" s="24">
        <v>183476.749947887</v>
      </c>
      <c r="Z12" s="24">
        <v>3249332.16545723</v>
      </c>
      <c r="AA12" s="24">
        <v>55299.1880737544</v>
      </c>
      <c r="AB12" s="24">
        <v>7118.20656221127</v>
      </c>
      <c r="AC12" s="24">
        <v>3052.15572447739</v>
      </c>
      <c r="AD12" s="24">
        <v>10030.4196094855</v>
      </c>
      <c r="AE12" s="24">
        <v>99853.8761976257</v>
      </c>
      <c r="AF12" s="24">
        <v>388343.623997194</v>
      </c>
      <c r="AG12" s="24">
        <v>1753307.82486331</v>
      </c>
      <c r="AH12" s="24">
        <v>1422872.17656315</v>
      </c>
      <c r="AI12" s="24">
        <v>104287.319729253</v>
      </c>
      <c r="AJ12" s="24">
        <v>9621.67072610342</v>
      </c>
      <c r="AK12" s="24">
        <v>3644.32197698393</v>
      </c>
      <c r="AL12" s="24">
        <v>1003000.81347277</v>
      </c>
      <c r="AM12" s="24">
        <v>1487777.02531133</v>
      </c>
      <c r="AN12" s="24">
        <v>145816.906095325</v>
      </c>
      <c r="AO12" s="24">
        <v>525050.848565335</v>
      </c>
      <c r="AP12" s="24">
        <v>1059328.88529199</v>
      </c>
      <c r="AQ12" s="24">
        <v>989513.122430384</v>
      </c>
      <c r="AR12" s="24">
        <v>5931787.51107204</v>
      </c>
      <c r="AS12" s="24">
        <v>180096.116839849</v>
      </c>
      <c r="AT12" s="24">
        <v>2377857.05912238</v>
      </c>
      <c r="AU12" s="36">
        <v>298813862.736459</v>
      </c>
      <c r="AV12" s="24">
        <v>7886762.70280638</v>
      </c>
      <c r="AW12" s="24">
        <v>0</v>
      </c>
      <c r="AX12" s="24">
        <v>-3937756.34147578</v>
      </c>
      <c r="AY12" s="24">
        <v>84065465.377448</v>
      </c>
      <c r="AZ12" s="36">
        <v>88014471.7387786</v>
      </c>
      <c r="BA12" s="36">
        <v>0</v>
      </c>
      <c r="BB12" s="43">
        <v>386828334.475237</v>
      </c>
    </row>
    <row r="13" spans="1:54">
      <c r="A13" s="21"/>
      <c r="B13" s="22"/>
      <c r="C13" s="23" t="s">
        <v>154</v>
      </c>
      <c r="D13" s="19" t="s">
        <v>172</v>
      </c>
      <c r="E13" s="24">
        <v>210633.466693327</v>
      </c>
      <c r="F13" s="24">
        <v>1448307.52382035</v>
      </c>
      <c r="G13" s="24">
        <v>158164.766797815</v>
      </c>
      <c r="H13" s="24">
        <v>184684.317032151</v>
      </c>
      <c r="I13" s="24">
        <v>319292.952189144</v>
      </c>
      <c r="J13" s="24">
        <v>3133192.34744968</v>
      </c>
      <c r="K13" s="24">
        <v>2267846.12624762</v>
      </c>
      <c r="L13" s="24">
        <v>51891198.7710061</v>
      </c>
      <c r="M13" s="24">
        <v>4497521.02061375</v>
      </c>
      <c r="N13" s="24">
        <v>2861528.17610017</v>
      </c>
      <c r="O13" s="24">
        <v>813538.185819044</v>
      </c>
      <c r="P13" s="24">
        <v>4580011.34978434</v>
      </c>
      <c r="Q13" s="24">
        <v>3841310.27541289</v>
      </c>
      <c r="R13" s="24">
        <v>924068.228194652</v>
      </c>
      <c r="S13" s="24">
        <v>1041386.27271097</v>
      </c>
      <c r="T13" s="24">
        <v>1575858.35066951</v>
      </c>
      <c r="U13" s="24">
        <v>1566622.14015286</v>
      </c>
      <c r="V13" s="24">
        <v>5887523.41863043</v>
      </c>
      <c r="W13" s="24">
        <v>2217390.14598079</v>
      </c>
      <c r="X13" s="24">
        <v>1933974.2938552</v>
      </c>
      <c r="Y13" s="24">
        <v>403676.602924739</v>
      </c>
      <c r="Z13" s="24">
        <v>661879.454140625</v>
      </c>
      <c r="AA13" s="24">
        <v>173353.44390431</v>
      </c>
      <c r="AB13" s="24">
        <v>857468.919380407</v>
      </c>
      <c r="AC13" s="24">
        <v>340524.526798347</v>
      </c>
      <c r="AD13" s="24">
        <v>381727.245731673</v>
      </c>
      <c r="AE13" s="24">
        <v>4440887.53733248</v>
      </c>
      <c r="AF13" s="24">
        <v>2829126.46768674</v>
      </c>
      <c r="AG13" s="24">
        <v>3342867.30009754</v>
      </c>
      <c r="AH13" s="24">
        <v>2070923.93910439</v>
      </c>
      <c r="AI13" s="24">
        <v>894034.855825124</v>
      </c>
      <c r="AJ13" s="24">
        <v>4698326.09301287</v>
      </c>
      <c r="AK13" s="24">
        <v>2102069.91757094</v>
      </c>
      <c r="AL13" s="24">
        <v>15666105.4001952</v>
      </c>
      <c r="AM13" s="24">
        <v>1109490.2606053</v>
      </c>
      <c r="AN13" s="24">
        <v>1377059.62241041</v>
      </c>
      <c r="AO13" s="24">
        <v>917893.810207042</v>
      </c>
      <c r="AP13" s="24">
        <v>1436099.67101483</v>
      </c>
      <c r="AQ13" s="24">
        <v>558356.135444176</v>
      </c>
      <c r="AR13" s="24">
        <v>3573065.3025101</v>
      </c>
      <c r="AS13" s="24">
        <v>4548449.53101657</v>
      </c>
      <c r="AT13" s="24">
        <v>21465210.1520692</v>
      </c>
      <c r="AU13" s="36">
        <v>165202648.318144</v>
      </c>
      <c r="AV13" s="24">
        <v>102290086.728282</v>
      </c>
      <c r="AW13" s="24">
        <v>0</v>
      </c>
      <c r="AX13" s="24">
        <v>330182.302839371</v>
      </c>
      <c r="AY13" s="24">
        <v>102735674.989607</v>
      </c>
      <c r="AZ13" s="36">
        <v>205355944.020728</v>
      </c>
      <c r="BA13" s="36">
        <v>0</v>
      </c>
      <c r="BB13" s="43">
        <v>370558592.338872</v>
      </c>
    </row>
    <row r="14" spans="1:54">
      <c r="A14" s="21"/>
      <c r="B14" s="22"/>
      <c r="C14" s="23" t="s">
        <v>65</v>
      </c>
      <c r="D14" s="19" t="s">
        <v>173</v>
      </c>
      <c r="E14" s="24">
        <v>332130.941994067</v>
      </c>
      <c r="F14" s="24">
        <v>3550330.8513526</v>
      </c>
      <c r="G14" s="24">
        <v>156719.312837601</v>
      </c>
      <c r="H14" s="24">
        <v>198051.275955568</v>
      </c>
      <c r="I14" s="24">
        <v>62167.2042336459</v>
      </c>
      <c r="J14" s="24">
        <v>843310.181270682</v>
      </c>
      <c r="K14" s="24">
        <v>467472.32425939</v>
      </c>
      <c r="L14" s="24">
        <v>448837.701676378</v>
      </c>
      <c r="M14" s="24">
        <v>76271555.8448865</v>
      </c>
      <c r="N14" s="24">
        <v>7247944.92642016</v>
      </c>
      <c r="O14" s="24">
        <v>186390.627722283</v>
      </c>
      <c r="P14" s="24">
        <v>2120037.48973443</v>
      </c>
      <c r="Q14" s="24">
        <v>1952322.48660807</v>
      </c>
      <c r="R14" s="24">
        <v>233763.181633976</v>
      </c>
      <c r="S14" s="24">
        <v>4780108.73149383</v>
      </c>
      <c r="T14" s="24">
        <v>926925.343763646</v>
      </c>
      <c r="U14" s="24">
        <v>634753.782100189</v>
      </c>
      <c r="V14" s="24">
        <v>6342214.86683174</v>
      </c>
      <c r="W14" s="24">
        <v>1042253.91139207</v>
      </c>
      <c r="X14" s="24">
        <v>836533.276153671</v>
      </c>
      <c r="Y14" s="24">
        <v>179508.299272133</v>
      </c>
      <c r="Z14" s="24">
        <v>1226495.54499967</v>
      </c>
      <c r="AA14" s="24">
        <v>61080.5588152107</v>
      </c>
      <c r="AB14" s="24">
        <v>201342.024185946</v>
      </c>
      <c r="AC14" s="24">
        <v>4006.01813021801</v>
      </c>
      <c r="AD14" s="24">
        <v>3311.28225488063</v>
      </c>
      <c r="AE14" s="24">
        <v>56675496.2100329</v>
      </c>
      <c r="AF14" s="24">
        <v>423015.441566755</v>
      </c>
      <c r="AG14" s="24">
        <v>933685.93344286</v>
      </c>
      <c r="AH14" s="24">
        <v>195764.865173849</v>
      </c>
      <c r="AI14" s="24">
        <v>921453.451733627</v>
      </c>
      <c r="AJ14" s="24">
        <v>474218.709274342</v>
      </c>
      <c r="AK14" s="24">
        <v>545892.770633408</v>
      </c>
      <c r="AL14" s="24">
        <v>599129.685959121</v>
      </c>
      <c r="AM14" s="24">
        <v>50502.9589447223</v>
      </c>
      <c r="AN14" s="24">
        <v>400653.750254287</v>
      </c>
      <c r="AO14" s="24">
        <v>277773.491744308</v>
      </c>
      <c r="AP14" s="24">
        <v>614957.758639535</v>
      </c>
      <c r="AQ14" s="24">
        <v>342369.873989086</v>
      </c>
      <c r="AR14" s="24">
        <v>75000.5663555922</v>
      </c>
      <c r="AS14" s="24">
        <v>319061.640868774</v>
      </c>
      <c r="AT14" s="24">
        <v>3700725.23423877</v>
      </c>
      <c r="AU14" s="36">
        <v>176859270.332831</v>
      </c>
      <c r="AV14" s="24">
        <v>20775877.1968778</v>
      </c>
      <c r="AW14" s="24">
        <v>21433220.0949524</v>
      </c>
      <c r="AX14" s="24">
        <v>1628055.00457533</v>
      </c>
      <c r="AY14" s="24">
        <v>44716757.2803144</v>
      </c>
      <c r="AZ14" s="36">
        <v>88553909.5767199</v>
      </c>
      <c r="BA14" s="36">
        <v>0</v>
      </c>
      <c r="BB14" s="43">
        <v>265413179.90955</v>
      </c>
    </row>
    <row r="15" spans="1:54">
      <c r="A15" s="21"/>
      <c r="B15" s="22"/>
      <c r="C15" s="23" t="s">
        <v>66</v>
      </c>
      <c r="D15" s="19" t="s">
        <v>174</v>
      </c>
      <c r="E15" s="24">
        <v>1022496.54795518</v>
      </c>
      <c r="F15" s="24">
        <v>30868.9850854955</v>
      </c>
      <c r="G15" s="24">
        <v>9609.92495387341</v>
      </c>
      <c r="H15" s="24">
        <v>125389.014063805</v>
      </c>
      <c r="I15" s="24">
        <v>203568.731889481</v>
      </c>
      <c r="J15" s="24">
        <v>12906419.0933996</v>
      </c>
      <c r="K15" s="24">
        <v>1361001.47197193</v>
      </c>
      <c r="L15" s="24">
        <v>2063602.86509523</v>
      </c>
      <c r="M15" s="24">
        <v>2464017.91999436</v>
      </c>
      <c r="N15" s="24">
        <v>88553261.3852096</v>
      </c>
      <c r="O15" s="24">
        <v>355036.628508555</v>
      </c>
      <c r="P15" s="24">
        <v>10161959.1328711</v>
      </c>
      <c r="Q15" s="24">
        <v>8734267.05299685</v>
      </c>
      <c r="R15" s="24">
        <v>417716.707122363</v>
      </c>
      <c r="S15" s="24">
        <v>1889707.12889282</v>
      </c>
      <c r="T15" s="24">
        <v>1884090.19679022</v>
      </c>
      <c r="U15" s="24">
        <v>1781517.07409383</v>
      </c>
      <c r="V15" s="24">
        <v>1890921.88453568</v>
      </c>
      <c r="W15" s="24">
        <v>5344053.91560283</v>
      </c>
      <c r="X15" s="24">
        <v>4608187.39294986</v>
      </c>
      <c r="Y15" s="24">
        <v>421461.907871993</v>
      </c>
      <c r="Z15" s="24">
        <v>771772.275993714</v>
      </c>
      <c r="AA15" s="24">
        <v>13315.011220139</v>
      </c>
      <c r="AB15" s="24">
        <v>457287.872423554</v>
      </c>
      <c r="AC15" s="24">
        <v>12994.9500639142</v>
      </c>
      <c r="AD15" s="24">
        <v>21056.9997618865</v>
      </c>
      <c r="AE15" s="24">
        <v>5227867.06523524</v>
      </c>
      <c r="AF15" s="24">
        <v>8764359.49357002</v>
      </c>
      <c r="AG15" s="24">
        <v>4300950.83197425</v>
      </c>
      <c r="AH15" s="24">
        <v>1708148.2368875</v>
      </c>
      <c r="AI15" s="24">
        <v>27363936.4253714</v>
      </c>
      <c r="AJ15" s="24">
        <v>19939323.8290391</v>
      </c>
      <c r="AK15" s="24">
        <v>5315785.63663133</v>
      </c>
      <c r="AL15" s="24">
        <v>68827943.9627684</v>
      </c>
      <c r="AM15" s="24">
        <v>2588639.5531612</v>
      </c>
      <c r="AN15" s="24">
        <v>5439646.43865508</v>
      </c>
      <c r="AO15" s="24">
        <v>1042583.06663861</v>
      </c>
      <c r="AP15" s="24">
        <v>1726186.52470652</v>
      </c>
      <c r="AQ15" s="24">
        <v>12542494.8599386</v>
      </c>
      <c r="AR15" s="24">
        <v>286946.118144515</v>
      </c>
      <c r="AS15" s="24">
        <v>7224086.08856936</v>
      </c>
      <c r="AT15" s="24">
        <v>18858988.5147626</v>
      </c>
      <c r="AU15" s="36">
        <v>338663468.717371</v>
      </c>
      <c r="AV15" s="24">
        <v>28657312.7947433</v>
      </c>
      <c r="AW15" s="24">
        <v>3814474.58531562</v>
      </c>
      <c r="AX15" s="24">
        <v>-8388396.34920286</v>
      </c>
      <c r="AY15" s="24">
        <v>65645906.6351067</v>
      </c>
      <c r="AZ15" s="36">
        <v>89729297.6659627</v>
      </c>
      <c r="BA15" s="36">
        <v>0</v>
      </c>
      <c r="BB15" s="43">
        <v>428392766.383334</v>
      </c>
    </row>
    <row r="16" spans="1:54">
      <c r="A16" s="21"/>
      <c r="B16" s="22"/>
      <c r="C16" s="23" t="s">
        <v>67</v>
      </c>
      <c r="D16" s="19" t="s">
        <v>175</v>
      </c>
      <c r="E16" s="24">
        <v>4960667.83957817</v>
      </c>
      <c r="F16" s="24">
        <v>699976.67527333</v>
      </c>
      <c r="G16" s="24">
        <v>108440.97980356</v>
      </c>
      <c r="H16" s="24">
        <v>3644928.4592552</v>
      </c>
      <c r="I16" s="24">
        <v>4925874.25621878</v>
      </c>
      <c r="J16" s="24">
        <v>1014363.14503297</v>
      </c>
      <c r="K16" s="24">
        <v>514658.905509544</v>
      </c>
      <c r="L16" s="24">
        <v>591987.099388644</v>
      </c>
      <c r="M16" s="24">
        <v>1003761.87735367</v>
      </c>
      <c r="N16" s="24">
        <v>691591.527061944</v>
      </c>
      <c r="O16" s="24">
        <v>19043682.4436779</v>
      </c>
      <c r="P16" s="24">
        <v>59323182.659615</v>
      </c>
      <c r="Q16" s="24">
        <v>19288552.7848137</v>
      </c>
      <c r="R16" s="24">
        <v>46663768.6303683</v>
      </c>
      <c r="S16" s="24">
        <v>3073329.48735369</v>
      </c>
      <c r="T16" s="24">
        <v>1912452.77588573</v>
      </c>
      <c r="U16" s="24">
        <v>924059.066860057</v>
      </c>
      <c r="V16" s="24">
        <v>1239212.5563159</v>
      </c>
      <c r="W16" s="24">
        <v>1119900.11222382</v>
      </c>
      <c r="X16" s="24">
        <v>732962.716350559</v>
      </c>
      <c r="Y16" s="24">
        <v>264213.980175874</v>
      </c>
      <c r="Z16" s="24">
        <v>551859.199703782</v>
      </c>
      <c r="AA16" s="24">
        <v>254526.577508668</v>
      </c>
      <c r="AB16" s="24">
        <v>10106707.3673887</v>
      </c>
      <c r="AC16" s="24">
        <v>1260421.33703691</v>
      </c>
      <c r="AD16" s="24">
        <v>38446.0117425374</v>
      </c>
      <c r="AE16" s="24">
        <v>36611750.9451891</v>
      </c>
      <c r="AF16" s="24">
        <v>3294124.37695388</v>
      </c>
      <c r="AG16" s="24">
        <v>96255239.8863578</v>
      </c>
      <c r="AH16" s="24">
        <v>1028558.01889026</v>
      </c>
      <c r="AI16" s="24">
        <v>1115623.32772243</v>
      </c>
      <c r="AJ16" s="24">
        <v>3727565.82939503</v>
      </c>
      <c r="AK16" s="24">
        <v>1527462.87331388</v>
      </c>
      <c r="AL16" s="24">
        <v>19247081.0299048</v>
      </c>
      <c r="AM16" s="24">
        <v>1474687.18748983</v>
      </c>
      <c r="AN16" s="24">
        <v>12369335.3093623</v>
      </c>
      <c r="AO16" s="24">
        <v>1244053.81447558</v>
      </c>
      <c r="AP16" s="24">
        <v>1110772.20325558</v>
      </c>
      <c r="AQ16" s="24">
        <v>2784873.9149244</v>
      </c>
      <c r="AR16" s="24">
        <v>239595.588733972</v>
      </c>
      <c r="AS16" s="24">
        <v>468840.742621129</v>
      </c>
      <c r="AT16" s="24">
        <v>4520617.88433666</v>
      </c>
      <c r="AU16" s="36">
        <v>370973711.404424</v>
      </c>
      <c r="AV16" s="24">
        <v>31195286.1982485</v>
      </c>
      <c r="AW16" s="24">
        <v>0</v>
      </c>
      <c r="AX16" s="24">
        <v>-6679552.99153453</v>
      </c>
      <c r="AY16" s="24">
        <v>13843839.863718</v>
      </c>
      <c r="AZ16" s="36">
        <v>38359573.070432</v>
      </c>
      <c r="BA16" s="36">
        <v>0</v>
      </c>
      <c r="BB16" s="43">
        <v>409333284.474856</v>
      </c>
    </row>
    <row r="17" spans="1:54">
      <c r="A17" s="21"/>
      <c r="B17" s="22"/>
      <c r="C17" s="23" t="s">
        <v>155</v>
      </c>
      <c r="D17" s="19" t="s">
        <v>176</v>
      </c>
      <c r="E17" s="24">
        <v>89670082.8307805</v>
      </c>
      <c r="F17" s="24">
        <v>3259253.26387722</v>
      </c>
      <c r="G17" s="24">
        <v>3451485.89631346</v>
      </c>
      <c r="H17" s="24">
        <v>4140765.94032284</v>
      </c>
      <c r="I17" s="24">
        <v>8012296.9637088</v>
      </c>
      <c r="J17" s="24">
        <v>16509361.205845</v>
      </c>
      <c r="K17" s="24">
        <v>40278014.4652683</v>
      </c>
      <c r="L17" s="24">
        <v>21654400.1635059</v>
      </c>
      <c r="M17" s="24">
        <v>19015340.503869</v>
      </c>
      <c r="N17" s="24">
        <v>48400073.8063303</v>
      </c>
      <c r="O17" s="24">
        <v>13647639.2736884</v>
      </c>
      <c r="P17" s="24">
        <v>469154603.647372</v>
      </c>
      <c r="Q17" s="24">
        <v>37002604.9567745</v>
      </c>
      <c r="R17" s="24">
        <v>13476319.2853863</v>
      </c>
      <c r="S17" s="24">
        <v>15681412.0950939</v>
      </c>
      <c r="T17" s="24">
        <v>11722314.3153424</v>
      </c>
      <c r="U17" s="24">
        <v>11204181.8792008</v>
      </c>
      <c r="V17" s="24">
        <v>34388009.3392291</v>
      </c>
      <c r="W17" s="24">
        <v>47326113.8346467</v>
      </c>
      <c r="X17" s="24">
        <v>25815771.2508459</v>
      </c>
      <c r="Y17" s="24">
        <v>1716763.29057478</v>
      </c>
      <c r="Z17" s="24">
        <v>7285541.89998978</v>
      </c>
      <c r="AA17" s="24">
        <v>363727.095139673</v>
      </c>
      <c r="AB17" s="24">
        <v>263731.215095642</v>
      </c>
      <c r="AC17" s="24">
        <v>80180.8825371085</v>
      </c>
      <c r="AD17" s="24">
        <v>3071514.89242856</v>
      </c>
      <c r="AE17" s="24">
        <v>110545355.439298</v>
      </c>
      <c r="AF17" s="24">
        <v>2761408.25685448</v>
      </c>
      <c r="AG17" s="24">
        <v>12358589.7610247</v>
      </c>
      <c r="AH17" s="24">
        <v>3597338.20867085</v>
      </c>
      <c r="AI17" s="24">
        <v>2929183.79554122</v>
      </c>
      <c r="AJ17" s="24">
        <v>448289.861408754</v>
      </c>
      <c r="AK17" s="24">
        <v>728858.813445977</v>
      </c>
      <c r="AL17" s="24">
        <v>7607179.87185249</v>
      </c>
      <c r="AM17" s="24">
        <v>15479755.2959538</v>
      </c>
      <c r="AN17" s="24">
        <v>23738608.4011117</v>
      </c>
      <c r="AO17" s="24">
        <v>7991999.86789563</v>
      </c>
      <c r="AP17" s="24">
        <v>16180214.4015181</v>
      </c>
      <c r="AQ17" s="24">
        <v>8190649.00302617</v>
      </c>
      <c r="AR17" s="24">
        <v>161950670.413594</v>
      </c>
      <c r="AS17" s="24">
        <v>1755663.87606937</v>
      </c>
      <c r="AT17" s="24">
        <v>2790590.08525622</v>
      </c>
      <c r="AU17" s="36">
        <v>1325645859.54569</v>
      </c>
      <c r="AV17" s="24">
        <v>62694982.7102402</v>
      </c>
      <c r="AW17" s="24">
        <v>0</v>
      </c>
      <c r="AX17" s="24">
        <v>-20698405.6748368</v>
      </c>
      <c r="AY17" s="24">
        <v>145701872.508584</v>
      </c>
      <c r="AZ17" s="36">
        <v>187698449.543987</v>
      </c>
      <c r="BA17" s="36">
        <v>0</v>
      </c>
      <c r="BB17" s="43">
        <v>1513344309.08968</v>
      </c>
    </row>
    <row r="18" spans="1:54">
      <c r="A18" s="21"/>
      <c r="B18" s="22"/>
      <c r="C18" s="23" t="s">
        <v>71</v>
      </c>
      <c r="D18" s="19" t="s">
        <v>177</v>
      </c>
      <c r="E18" s="24">
        <v>526987.914624819</v>
      </c>
      <c r="F18" s="24">
        <v>635523.528265549</v>
      </c>
      <c r="G18" s="24">
        <v>37755.3294361043</v>
      </c>
      <c r="H18" s="24">
        <v>292329.41191924</v>
      </c>
      <c r="I18" s="24">
        <v>1918421.07593629</v>
      </c>
      <c r="J18" s="24">
        <v>4860795.31013033</v>
      </c>
      <c r="K18" s="24">
        <v>389193.275313375</v>
      </c>
      <c r="L18" s="24">
        <v>169652.311731281</v>
      </c>
      <c r="M18" s="24">
        <v>1826943.86024327</v>
      </c>
      <c r="N18" s="24">
        <v>718768.884246948</v>
      </c>
      <c r="O18" s="24">
        <v>2701727.610222</v>
      </c>
      <c r="P18" s="24">
        <v>8005893.99306205</v>
      </c>
      <c r="Q18" s="24">
        <v>134978313.027763</v>
      </c>
      <c r="R18" s="24">
        <v>15032339.2262532</v>
      </c>
      <c r="S18" s="24">
        <v>6656897.70388867</v>
      </c>
      <c r="T18" s="24">
        <v>2734823.34279608</v>
      </c>
      <c r="U18" s="24">
        <v>3800896.93527902</v>
      </c>
      <c r="V18" s="24">
        <v>10053978.4971275</v>
      </c>
      <c r="W18" s="24">
        <v>18641450.2636746</v>
      </c>
      <c r="X18" s="24">
        <v>13269342.6067785</v>
      </c>
      <c r="Y18" s="24">
        <v>2556673.79785182</v>
      </c>
      <c r="Z18" s="24">
        <v>350345.103436305</v>
      </c>
      <c r="AA18" s="24">
        <v>100343.305453597</v>
      </c>
      <c r="AB18" s="24">
        <v>1957304.52982455</v>
      </c>
      <c r="AC18" s="24">
        <v>7322.50895265355</v>
      </c>
      <c r="AD18" s="24">
        <v>22818.423283494</v>
      </c>
      <c r="AE18" s="24">
        <v>453311323.819565</v>
      </c>
      <c r="AF18" s="24">
        <v>178172.303354351</v>
      </c>
      <c r="AG18" s="24">
        <v>460559.447719531</v>
      </c>
      <c r="AH18" s="24">
        <v>357391.984365572</v>
      </c>
      <c r="AI18" s="24">
        <v>90804.4521049253</v>
      </c>
      <c r="AJ18" s="24">
        <v>23646.8269902508</v>
      </c>
      <c r="AK18" s="24">
        <v>32569.8898328887</v>
      </c>
      <c r="AL18" s="24">
        <v>258306.189897495</v>
      </c>
      <c r="AM18" s="24">
        <v>2224772.81724654</v>
      </c>
      <c r="AN18" s="24">
        <v>198112.827442865</v>
      </c>
      <c r="AO18" s="24">
        <v>808793.482822498</v>
      </c>
      <c r="AP18" s="24">
        <v>95123.6525115265</v>
      </c>
      <c r="AQ18" s="24">
        <v>1123412.44506298</v>
      </c>
      <c r="AR18" s="24">
        <v>318440.431547528</v>
      </c>
      <c r="AS18" s="24">
        <v>4786.03713651532</v>
      </c>
      <c r="AT18" s="24">
        <v>12841.0511251525</v>
      </c>
      <c r="AU18" s="36">
        <v>691745899.43622</v>
      </c>
      <c r="AV18" s="24">
        <v>4940391.86334679</v>
      </c>
      <c r="AW18" s="24">
        <v>0</v>
      </c>
      <c r="AX18" s="24">
        <v>2132017.25826757</v>
      </c>
      <c r="AY18" s="24">
        <v>34213577.9930726</v>
      </c>
      <c r="AZ18" s="36">
        <v>41285987.114687</v>
      </c>
      <c r="BA18" s="36">
        <v>0</v>
      </c>
      <c r="BB18" s="43">
        <v>733031886.550907</v>
      </c>
    </row>
    <row r="19" spans="1:54">
      <c r="A19" s="21"/>
      <c r="B19" s="22"/>
      <c r="C19" s="23" t="s">
        <v>156</v>
      </c>
      <c r="D19" s="19" t="s">
        <v>178</v>
      </c>
      <c r="E19" s="24">
        <v>238949.912368985</v>
      </c>
      <c r="F19" s="24">
        <v>5969829.15577778</v>
      </c>
      <c r="G19" s="24">
        <v>1019747.33900893</v>
      </c>
      <c r="H19" s="24">
        <v>511109.787445353</v>
      </c>
      <c r="I19" s="24">
        <v>1520124.88214349</v>
      </c>
      <c r="J19" s="24">
        <v>370198.613829497</v>
      </c>
      <c r="K19" s="24">
        <v>385267.874933353</v>
      </c>
      <c r="L19" s="24">
        <v>212993.279329782</v>
      </c>
      <c r="M19" s="24">
        <v>3119187.20725332</v>
      </c>
      <c r="N19" s="24">
        <v>18368240.9817424</v>
      </c>
      <c r="O19" s="24">
        <v>144063.53925921</v>
      </c>
      <c r="P19" s="24">
        <v>11899075.6814302</v>
      </c>
      <c r="Q19" s="24">
        <v>20620676.3553992</v>
      </c>
      <c r="R19" s="24">
        <v>298508186.201561</v>
      </c>
      <c r="S19" s="24">
        <v>154356537.946072</v>
      </c>
      <c r="T19" s="24">
        <v>80716490.4637738</v>
      </c>
      <c r="U19" s="24">
        <v>35484158.6075262</v>
      </c>
      <c r="V19" s="24">
        <v>65901025.7330453</v>
      </c>
      <c r="W19" s="24">
        <v>137892988.505946</v>
      </c>
      <c r="X19" s="24">
        <v>29584610.3364971</v>
      </c>
      <c r="Y19" s="24">
        <v>4337084.90214498</v>
      </c>
      <c r="Z19" s="24">
        <v>4051108.62904526</v>
      </c>
      <c r="AA19" s="24">
        <v>2086485.2628873</v>
      </c>
      <c r="AB19" s="24">
        <v>273936.15503248</v>
      </c>
      <c r="AC19" s="24">
        <v>115228.848965784</v>
      </c>
      <c r="AD19" s="24">
        <v>77339.1211567642</v>
      </c>
      <c r="AE19" s="24">
        <v>287735550.223415</v>
      </c>
      <c r="AF19" s="24">
        <v>28748.5670429141</v>
      </c>
      <c r="AG19" s="24">
        <v>669931.146620685</v>
      </c>
      <c r="AH19" s="24">
        <v>5490.04409318888</v>
      </c>
      <c r="AI19" s="24">
        <v>6177.89100395603</v>
      </c>
      <c r="AJ19" s="24">
        <v>11.2671481767521</v>
      </c>
      <c r="AK19" s="24">
        <v>1863.42379877804</v>
      </c>
      <c r="AL19" s="24">
        <v>2850.39130619793</v>
      </c>
      <c r="AM19" s="24">
        <v>346676.91005308</v>
      </c>
      <c r="AN19" s="24">
        <v>422997.741555701</v>
      </c>
      <c r="AO19" s="24">
        <v>139999.064390751</v>
      </c>
      <c r="AP19" s="24">
        <v>151837.368052335</v>
      </c>
      <c r="AQ19" s="24">
        <v>72140.9778596452</v>
      </c>
      <c r="AR19" s="24">
        <v>1448.4310403226</v>
      </c>
      <c r="AS19" s="24">
        <v>1159.3173473999</v>
      </c>
      <c r="AT19" s="24">
        <v>202.874495560975</v>
      </c>
      <c r="AU19" s="36">
        <v>1167351730.9628</v>
      </c>
      <c r="AV19" s="24">
        <v>0</v>
      </c>
      <c r="AW19" s="24">
        <v>0</v>
      </c>
      <c r="AX19" s="24">
        <v>-3340242.16995835</v>
      </c>
      <c r="AY19" s="24">
        <v>44168474.8738208</v>
      </c>
      <c r="AZ19" s="36">
        <v>40828232.7038625</v>
      </c>
      <c r="BA19" s="36">
        <v>0</v>
      </c>
      <c r="BB19" s="43">
        <v>1208179963.66666</v>
      </c>
    </row>
    <row r="20" spans="1:54">
      <c r="A20" s="21"/>
      <c r="B20" s="22"/>
      <c r="C20" s="23" t="s">
        <v>75</v>
      </c>
      <c r="D20" s="19" t="s">
        <v>179</v>
      </c>
      <c r="E20" s="24">
        <v>821835.171757484</v>
      </c>
      <c r="F20" s="24">
        <v>6804873.21464912</v>
      </c>
      <c r="G20" s="24">
        <v>43184.2709487247</v>
      </c>
      <c r="H20" s="24">
        <v>2174856.30768095</v>
      </c>
      <c r="I20" s="24">
        <v>2564786.04692418</v>
      </c>
      <c r="J20" s="24">
        <v>3512565.20694399</v>
      </c>
      <c r="K20" s="24">
        <v>975423.821288847</v>
      </c>
      <c r="L20" s="24">
        <v>1126429.27034545</v>
      </c>
      <c r="M20" s="24">
        <v>5840167.81522248</v>
      </c>
      <c r="N20" s="24">
        <v>3535223.27546339</v>
      </c>
      <c r="O20" s="24">
        <v>353032.964678606</v>
      </c>
      <c r="P20" s="24">
        <v>9340314.12528182</v>
      </c>
      <c r="Q20" s="24">
        <v>16885201.7128191</v>
      </c>
      <c r="R20" s="24">
        <v>2074016.03191455</v>
      </c>
      <c r="S20" s="24">
        <v>68828689.9727201</v>
      </c>
      <c r="T20" s="24">
        <v>26819665.0386776</v>
      </c>
      <c r="U20" s="24">
        <v>15795982.6586169</v>
      </c>
      <c r="V20" s="24">
        <v>18746028.1556566</v>
      </c>
      <c r="W20" s="24">
        <v>25054695.4899973</v>
      </c>
      <c r="X20" s="24">
        <v>13566853.4686363</v>
      </c>
      <c r="Y20" s="24">
        <v>3037417.47237417</v>
      </c>
      <c r="Z20" s="24">
        <v>1309750.27488563</v>
      </c>
      <c r="AA20" s="24">
        <v>1203333.12643395</v>
      </c>
      <c r="AB20" s="24">
        <v>255138.55689643</v>
      </c>
      <c r="AC20" s="24">
        <v>36777.7474507433</v>
      </c>
      <c r="AD20" s="24">
        <v>841924.535023068</v>
      </c>
      <c r="AE20" s="24">
        <v>131793777.347618</v>
      </c>
      <c r="AF20" s="24">
        <v>236965.799950633</v>
      </c>
      <c r="AG20" s="24">
        <v>3122904.14362918</v>
      </c>
      <c r="AH20" s="24">
        <v>378261.253559805</v>
      </c>
      <c r="AI20" s="24">
        <v>598378.371923422</v>
      </c>
      <c r="AJ20" s="24">
        <v>86635.973527461</v>
      </c>
      <c r="AK20" s="24">
        <v>1194691.56881682</v>
      </c>
      <c r="AL20" s="24">
        <v>25068274.0859519</v>
      </c>
      <c r="AM20" s="24">
        <v>5673772.900828</v>
      </c>
      <c r="AN20" s="24">
        <v>13333871.9849106</v>
      </c>
      <c r="AO20" s="24">
        <v>1101674.58127656</v>
      </c>
      <c r="AP20" s="24">
        <v>3290957.77284458</v>
      </c>
      <c r="AQ20" s="24">
        <v>757682.153307628</v>
      </c>
      <c r="AR20" s="24">
        <v>53670.5471834132</v>
      </c>
      <c r="AS20" s="24">
        <v>141245.813988197</v>
      </c>
      <c r="AT20" s="24">
        <v>1009987.6852565</v>
      </c>
      <c r="AU20" s="36">
        <v>419390917.71786</v>
      </c>
      <c r="AV20" s="24">
        <v>4359947.02914543</v>
      </c>
      <c r="AW20" s="24">
        <v>24003935.0615803</v>
      </c>
      <c r="AX20" s="24">
        <v>9482441.64612744</v>
      </c>
      <c r="AY20" s="24">
        <v>62244432.6617497</v>
      </c>
      <c r="AZ20" s="36">
        <v>100090756.398603</v>
      </c>
      <c r="BA20" s="36">
        <v>0</v>
      </c>
      <c r="BB20" s="43">
        <v>519481674.116463</v>
      </c>
    </row>
    <row r="21" spans="1:54">
      <c r="A21" s="21"/>
      <c r="B21" s="22"/>
      <c r="C21" s="23" t="s">
        <v>78</v>
      </c>
      <c r="D21" s="19" t="s">
        <v>180</v>
      </c>
      <c r="E21" s="24">
        <v>765685.727096764</v>
      </c>
      <c r="F21" s="24">
        <v>2787837.24375539</v>
      </c>
      <c r="G21" s="24">
        <v>684356.017943193</v>
      </c>
      <c r="H21" s="24">
        <v>1510046.24099298</v>
      </c>
      <c r="I21" s="24">
        <v>1103870.66265419</v>
      </c>
      <c r="J21" s="24">
        <v>1401144.06576524</v>
      </c>
      <c r="K21" s="24">
        <v>1270120.92189984</v>
      </c>
      <c r="L21" s="24">
        <v>527290.054626125</v>
      </c>
      <c r="M21" s="24">
        <v>1255666.70665221</v>
      </c>
      <c r="N21" s="24">
        <v>1107750.28040138</v>
      </c>
      <c r="O21" s="24">
        <v>2417295.1097289</v>
      </c>
      <c r="P21" s="24">
        <v>5902827.69398924</v>
      </c>
      <c r="Q21" s="24">
        <v>11054751.2677917</v>
      </c>
      <c r="R21" s="24">
        <v>8410424.32085534</v>
      </c>
      <c r="S21" s="24">
        <v>12903756.5146635</v>
      </c>
      <c r="T21" s="24">
        <v>103068053.87789</v>
      </c>
      <c r="U21" s="24">
        <v>31018541.63818</v>
      </c>
      <c r="V21" s="24">
        <v>26804930.8855492</v>
      </c>
      <c r="W21" s="24">
        <v>22599427.7366059</v>
      </c>
      <c r="X21" s="24">
        <v>5658859.85818953</v>
      </c>
      <c r="Y21" s="24">
        <v>2415968.72437059</v>
      </c>
      <c r="Z21" s="24">
        <v>663358.697763925</v>
      </c>
      <c r="AA21" s="24">
        <v>1182209.2913895</v>
      </c>
      <c r="AB21" s="24">
        <v>2511743.41952731</v>
      </c>
      <c r="AC21" s="24">
        <v>146411.470285993</v>
      </c>
      <c r="AD21" s="24">
        <v>103720.348069366</v>
      </c>
      <c r="AE21" s="24">
        <v>20300975.8452307</v>
      </c>
      <c r="AF21" s="24">
        <v>225009.675145288</v>
      </c>
      <c r="AG21" s="24">
        <v>10011098.6250058</v>
      </c>
      <c r="AH21" s="24">
        <v>288492.786963573</v>
      </c>
      <c r="AI21" s="24">
        <v>375965.115103573</v>
      </c>
      <c r="AJ21" s="24">
        <v>532313.404568355</v>
      </c>
      <c r="AK21" s="24">
        <v>252084.090141224</v>
      </c>
      <c r="AL21" s="24">
        <v>268026.367640002</v>
      </c>
      <c r="AM21" s="24">
        <v>207713.065986139</v>
      </c>
      <c r="AN21" s="24">
        <v>710556.657164743</v>
      </c>
      <c r="AO21" s="24">
        <v>235014.52282643</v>
      </c>
      <c r="AP21" s="24">
        <v>112174.010237936</v>
      </c>
      <c r="AQ21" s="24">
        <v>629542.163458266</v>
      </c>
      <c r="AR21" s="24">
        <v>106063.225832624</v>
      </c>
      <c r="AS21" s="24">
        <v>44744.0225129629</v>
      </c>
      <c r="AT21" s="24">
        <v>101659.890111333</v>
      </c>
      <c r="AU21" s="36">
        <v>283677482.244567</v>
      </c>
      <c r="AV21" s="24">
        <v>1275196.88573934</v>
      </c>
      <c r="AW21" s="24">
        <v>147262953.851482</v>
      </c>
      <c r="AX21" s="24">
        <v>9210788.73877835</v>
      </c>
      <c r="AY21" s="24">
        <v>91484564.7082078</v>
      </c>
      <c r="AZ21" s="36">
        <v>249233504.184207</v>
      </c>
      <c r="BA21" s="36">
        <v>0</v>
      </c>
      <c r="BB21" s="43">
        <v>532910986.428774</v>
      </c>
    </row>
    <row r="22" spans="1:54">
      <c r="A22" s="21"/>
      <c r="B22" s="22"/>
      <c r="C22" s="23" t="s">
        <v>72</v>
      </c>
      <c r="D22" s="19" t="s">
        <v>181</v>
      </c>
      <c r="E22" s="24">
        <v>9391955.98525212</v>
      </c>
      <c r="F22" s="24">
        <v>4355719.69627584</v>
      </c>
      <c r="G22" s="24">
        <v>2837644.30531297</v>
      </c>
      <c r="H22" s="24">
        <v>2506937.52874287</v>
      </c>
      <c r="I22" s="24">
        <v>4721870.74271007</v>
      </c>
      <c r="J22" s="24">
        <v>533638.350848897</v>
      </c>
      <c r="K22" s="24">
        <v>622012.239219954</v>
      </c>
      <c r="L22" s="24">
        <v>519227.920649848</v>
      </c>
      <c r="M22" s="24">
        <v>801783.080549778</v>
      </c>
      <c r="N22" s="24">
        <v>1892033.9589286</v>
      </c>
      <c r="O22" s="24">
        <v>829366.843182908</v>
      </c>
      <c r="P22" s="24">
        <v>4680003.61946124</v>
      </c>
      <c r="Q22" s="24">
        <v>3229860.34449618</v>
      </c>
      <c r="R22" s="24">
        <v>8703720.27810879</v>
      </c>
      <c r="S22" s="24">
        <v>3707128.84587555</v>
      </c>
      <c r="T22" s="24">
        <v>3589935.23449795</v>
      </c>
      <c r="U22" s="24">
        <v>42027155.7479841</v>
      </c>
      <c r="V22" s="24">
        <v>4838577.79715009</v>
      </c>
      <c r="W22" s="24">
        <v>3927199.26957773</v>
      </c>
      <c r="X22" s="24">
        <v>17362301.7090326</v>
      </c>
      <c r="Y22" s="24">
        <v>1100463.96036989</v>
      </c>
      <c r="Z22" s="24">
        <v>119174.977504717</v>
      </c>
      <c r="AA22" s="24">
        <v>539156.248312561</v>
      </c>
      <c r="AB22" s="24">
        <v>168044.920541464</v>
      </c>
      <c r="AC22" s="24">
        <v>8461.65546768523</v>
      </c>
      <c r="AD22" s="24">
        <v>101596.996445142</v>
      </c>
      <c r="AE22" s="24">
        <v>17232686.3013505</v>
      </c>
      <c r="AF22" s="24">
        <v>17736.6286911402</v>
      </c>
      <c r="AG22" s="24">
        <v>1292121.17942977</v>
      </c>
      <c r="AH22" s="24">
        <v>133281.772208233</v>
      </c>
      <c r="AI22" s="24">
        <v>95507.6869280775</v>
      </c>
      <c r="AJ22" s="24">
        <v>862474.143418734</v>
      </c>
      <c r="AK22" s="24">
        <v>7744.06980628068</v>
      </c>
      <c r="AL22" s="24">
        <v>520342.630446486</v>
      </c>
      <c r="AM22" s="24">
        <v>39547.812666474</v>
      </c>
      <c r="AN22" s="24">
        <v>150029.644583855</v>
      </c>
      <c r="AO22" s="24">
        <v>234303.94142737</v>
      </c>
      <c r="AP22" s="24">
        <v>149547.388990251</v>
      </c>
      <c r="AQ22" s="24">
        <v>124430.075709213</v>
      </c>
      <c r="AR22" s="24">
        <v>13904045.3893191</v>
      </c>
      <c r="AS22" s="24">
        <v>10549.1226279231</v>
      </c>
      <c r="AT22" s="24">
        <v>21527.1764430238</v>
      </c>
      <c r="AU22" s="36">
        <v>157910847.220546</v>
      </c>
      <c r="AV22" s="24">
        <v>2830656.65567484</v>
      </c>
      <c r="AW22" s="24">
        <v>163259808.895945</v>
      </c>
      <c r="AX22" s="24">
        <v>4471706.39978592</v>
      </c>
      <c r="AY22" s="24">
        <v>58878064.6326647</v>
      </c>
      <c r="AZ22" s="36">
        <v>229440236.584071</v>
      </c>
      <c r="BA22" s="36">
        <v>0</v>
      </c>
      <c r="BB22" s="43">
        <v>387351083.804616</v>
      </c>
    </row>
    <row r="23" spans="1:54">
      <c r="A23" s="21"/>
      <c r="B23" s="22"/>
      <c r="C23" s="23" t="s">
        <v>157</v>
      </c>
      <c r="D23" s="19" t="s">
        <v>182</v>
      </c>
      <c r="E23" s="24">
        <v>3035582.59883415</v>
      </c>
      <c r="F23" s="24">
        <v>329258.252725049</v>
      </c>
      <c r="G23" s="24">
        <v>20930.4697042886</v>
      </c>
      <c r="H23" s="24">
        <v>485334.38679023</v>
      </c>
      <c r="I23" s="24">
        <v>738975.156527842</v>
      </c>
      <c r="J23" s="24">
        <v>237505.522013621</v>
      </c>
      <c r="K23" s="24">
        <v>127195.935358167</v>
      </c>
      <c r="L23" s="24">
        <v>195148.314294515</v>
      </c>
      <c r="M23" s="24">
        <v>187809.637252819</v>
      </c>
      <c r="N23" s="24">
        <v>228540.016756501</v>
      </c>
      <c r="O23" s="24">
        <v>53823.7668545246</v>
      </c>
      <c r="P23" s="24">
        <v>780270.432117602</v>
      </c>
      <c r="Q23" s="24">
        <v>2425513.48463941</v>
      </c>
      <c r="R23" s="24">
        <v>286651.285783855</v>
      </c>
      <c r="S23" s="24">
        <v>658128.366861798</v>
      </c>
      <c r="T23" s="24">
        <v>9488139.64890825</v>
      </c>
      <c r="U23" s="24">
        <v>10151650.8447352</v>
      </c>
      <c r="V23" s="24">
        <v>242303547.722092</v>
      </c>
      <c r="W23" s="24">
        <v>1735058.8157671</v>
      </c>
      <c r="X23" s="24">
        <v>563364.342387466</v>
      </c>
      <c r="Y23" s="24">
        <v>407546.510941463</v>
      </c>
      <c r="Z23" s="24">
        <v>64357.5603155827</v>
      </c>
      <c r="AA23" s="24">
        <v>2399470.99253357</v>
      </c>
      <c r="AB23" s="24">
        <v>60984.1302126635</v>
      </c>
      <c r="AC23" s="24">
        <v>13473.7378110499</v>
      </c>
      <c r="AD23" s="24">
        <v>13597.5861302561</v>
      </c>
      <c r="AE23" s="24">
        <v>2448126.14377014</v>
      </c>
      <c r="AF23" s="24">
        <v>152297.400676197</v>
      </c>
      <c r="AG23" s="24">
        <v>86553402.8557652</v>
      </c>
      <c r="AH23" s="24">
        <v>476733.87691365</v>
      </c>
      <c r="AI23" s="24">
        <v>269138.662308588</v>
      </c>
      <c r="AJ23" s="24">
        <v>326214.517048318</v>
      </c>
      <c r="AK23" s="24">
        <v>30409.6690324753</v>
      </c>
      <c r="AL23" s="24">
        <v>32296429.6905171</v>
      </c>
      <c r="AM23" s="24">
        <v>435051.105830896</v>
      </c>
      <c r="AN23" s="24">
        <v>3579197.04936177</v>
      </c>
      <c r="AO23" s="24">
        <v>1899082.79892691</v>
      </c>
      <c r="AP23" s="24">
        <v>12236889.423135</v>
      </c>
      <c r="AQ23" s="24">
        <v>132962.989261153</v>
      </c>
      <c r="AR23" s="24">
        <v>255379.441007197</v>
      </c>
      <c r="AS23" s="24">
        <v>109654.221282134</v>
      </c>
      <c r="AT23" s="24">
        <v>2801196.37735121</v>
      </c>
      <c r="AU23" s="36">
        <v>420994025.740536</v>
      </c>
      <c r="AV23" s="24">
        <v>147257726.865392</v>
      </c>
      <c r="AW23" s="24">
        <v>217884404.231637</v>
      </c>
      <c r="AX23" s="24">
        <v>16274764.2381804</v>
      </c>
      <c r="AY23" s="24">
        <v>60060463.620136</v>
      </c>
      <c r="AZ23" s="36">
        <v>441477358.955346</v>
      </c>
      <c r="BA23" s="36">
        <v>0</v>
      </c>
      <c r="BB23" s="43">
        <v>862471384.695882</v>
      </c>
    </row>
    <row r="24" spans="1:54">
      <c r="A24" s="21"/>
      <c r="B24" s="22"/>
      <c r="C24" s="23" t="s">
        <v>77</v>
      </c>
      <c r="D24" s="19" t="s">
        <v>183</v>
      </c>
      <c r="E24" s="24">
        <v>194915.33928713</v>
      </c>
      <c r="F24" s="24">
        <v>871028.268826066</v>
      </c>
      <c r="G24" s="24">
        <v>96096.1997899396</v>
      </c>
      <c r="H24" s="24">
        <v>386694.833770526</v>
      </c>
      <c r="I24" s="24">
        <v>687082.976344504</v>
      </c>
      <c r="J24" s="24">
        <v>637854.039985088</v>
      </c>
      <c r="K24" s="24">
        <v>313623.646495427</v>
      </c>
      <c r="L24" s="24">
        <v>164548.223918378</v>
      </c>
      <c r="M24" s="24">
        <v>267393.587608146</v>
      </c>
      <c r="N24" s="24">
        <v>1337859.56235842</v>
      </c>
      <c r="O24" s="24">
        <v>178249.808640916</v>
      </c>
      <c r="P24" s="24">
        <v>2035752.66423571</v>
      </c>
      <c r="Q24" s="24">
        <v>1416775.2070137</v>
      </c>
      <c r="R24" s="24">
        <v>822781.284386331</v>
      </c>
      <c r="S24" s="24">
        <v>1156375.72754449</v>
      </c>
      <c r="T24" s="24">
        <v>28479041.1032397</v>
      </c>
      <c r="U24" s="24">
        <v>15386644.7997308</v>
      </c>
      <c r="V24" s="24">
        <v>24915707.9462595</v>
      </c>
      <c r="W24" s="24">
        <v>104036303.276025</v>
      </c>
      <c r="X24" s="24">
        <v>42907870.6565484</v>
      </c>
      <c r="Y24" s="24">
        <v>4479912.0900013</v>
      </c>
      <c r="Z24" s="24">
        <v>513403.146991915</v>
      </c>
      <c r="AA24" s="24">
        <v>1450947.28839157</v>
      </c>
      <c r="AB24" s="24">
        <v>41724608.1800672</v>
      </c>
      <c r="AC24" s="24">
        <v>77587.8022549143</v>
      </c>
      <c r="AD24" s="24">
        <v>79123.3022868942</v>
      </c>
      <c r="AE24" s="24">
        <v>92348818.9928288</v>
      </c>
      <c r="AF24" s="24">
        <v>14187159.2403563</v>
      </c>
      <c r="AG24" s="24">
        <v>5153138.29643288</v>
      </c>
      <c r="AH24" s="24">
        <v>505557.795750925</v>
      </c>
      <c r="AI24" s="24">
        <v>10493849.5924184</v>
      </c>
      <c r="AJ24" s="24">
        <v>106389.966022785</v>
      </c>
      <c r="AK24" s="24">
        <v>57669.4843994953</v>
      </c>
      <c r="AL24" s="24">
        <v>12737631.8008939</v>
      </c>
      <c r="AM24" s="24">
        <v>7298436.19027101</v>
      </c>
      <c r="AN24" s="24">
        <v>9856260.34507694</v>
      </c>
      <c r="AO24" s="24">
        <v>1434496.52587289</v>
      </c>
      <c r="AP24" s="24">
        <v>3229465.15484005</v>
      </c>
      <c r="AQ24" s="24">
        <v>93143.5641907827</v>
      </c>
      <c r="AR24" s="24">
        <v>479793.647401558</v>
      </c>
      <c r="AS24" s="24">
        <v>101301.13428847</v>
      </c>
      <c r="AT24" s="24">
        <v>1801309.15751795</v>
      </c>
      <c r="AU24" s="36">
        <v>434502601.850565</v>
      </c>
      <c r="AV24" s="24">
        <v>36576959.9710022</v>
      </c>
      <c r="AW24" s="24">
        <v>56830909.263847</v>
      </c>
      <c r="AX24" s="24">
        <v>632923.158000038</v>
      </c>
      <c r="AY24" s="24">
        <v>169122860.343743</v>
      </c>
      <c r="AZ24" s="36">
        <v>263163652.736592</v>
      </c>
      <c r="BA24" s="36">
        <v>0</v>
      </c>
      <c r="BB24" s="43">
        <v>697666254.587157</v>
      </c>
    </row>
    <row r="25" spans="1:54">
      <c r="A25" s="21"/>
      <c r="B25" s="22"/>
      <c r="C25" s="23" t="s">
        <v>158</v>
      </c>
      <c r="D25" s="19" t="s">
        <v>184</v>
      </c>
      <c r="E25" s="24">
        <v>280685.690337883</v>
      </c>
      <c r="F25" s="24">
        <v>297761.422681332</v>
      </c>
      <c r="G25" s="24">
        <v>15221.0417301827</v>
      </c>
      <c r="H25" s="24">
        <v>12637.8918361426</v>
      </c>
      <c r="I25" s="24">
        <v>54190.797813863</v>
      </c>
      <c r="J25" s="24">
        <v>560215.122741257</v>
      </c>
      <c r="K25" s="24">
        <v>108108.136316514</v>
      </c>
      <c r="L25" s="24">
        <v>98277.50825735</v>
      </c>
      <c r="M25" s="24">
        <v>84368.0967243727</v>
      </c>
      <c r="N25" s="24">
        <v>1110974.52779357</v>
      </c>
      <c r="O25" s="24">
        <v>121527.578410587</v>
      </c>
      <c r="P25" s="24">
        <v>2008316.13916615</v>
      </c>
      <c r="Q25" s="24">
        <v>567949.300037904</v>
      </c>
      <c r="R25" s="24">
        <v>719900.838957187</v>
      </c>
      <c r="S25" s="24">
        <v>759885.392170588</v>
      </c>
      <c r="T25" s="24">
        <v>17760579.2824266</v>
      </c>
      <c r="U25" s="24">
        <v>20176493.4628776</v>
      </c>
      <c r="V25" s="24">
        <v>16743071.6614582</v>
      </c>
      <c r="W25" s="24">
        <v>31753974.8494032</v>
      </c>
      <c r="X25" s="24">
        <v>293442908.645466</v>
      </c>
      <c r="Y25" s="24">
        <v>13732423.1147306</v>
      </c>
      <c r="Z25" s="24">
        <v>848198.407093846</v>
      </c>
      <c r="AA25" s="24">
        <v>924097.150313747</v>
      </c>
      <c r="AB25" s="24">
        <v>1532784.37431972</v>
      </c>
      <c r="AC25" s="24">
        <v>48669.4535419884</v>
      </c>
      <c r="AD25" s="24">
        <v>44021.2547682097</v>
      </c>
      <c r="AE25" s="24">
        <v>10085469.6471273</v>
      </c>
      <c r="AF25" s="24">
        <v>8055932.01569248</v>
      </c>
      <c r="AG25" s="24">
        <v>6589334.70633472</v>
      </c>
      <c r="AH25" s="24">
        <v>1153233.49647901</v>
      </c>
      <c r="AI25" s="24">
        <v>53896837.7026081</v>
      </c>
      <c r="AJ25" s="24">
        <v>1037338.85421241</v>
      </c>
      <c r="AK25" s="24">
        <v>404619.351384695</v>
      </c>
      <c r="AL25" s="24">
        <v>20547919.2773205</v>
      </c>
      <c r="AM25" s="24">
        <v>6993152.73144059</v>
      </c>
      <c r="AN25" s="24">
        <v>23904316.9769073</v>
      </c>
      <c r="AO25" s="24">
        <v>1396177.15497131</v>
      </c>
      <c r="AP25" s="24">
        <v>11472584.8874737</v>
      </c>
      <c r="AQ25" s="24">
        <v>827063.069711923</v>
      </c>
      <c r="AR25" s="24">
        <v>829632.312717624</v>
      </c>
      <c r="AS25" s="24">
        <v>750004.232941208</v>
      </c>
      <c r="AT25" s="24">
        <v>4092526.90947068</v>
      </c>
      <c r="AU25" s="36">
        <v>555843384.468168</v>
      </c>
      <c r="AV25" s="24">
        <v>59743043.8356998</v>
      </c>
      <c r="AW25" s="24">
        <v>77828192.5297394</v>
      </c>
      <c r="AX25" s="24">
        <v>7078359.24093538</v>
      </c>
      <c r="AY25" s="24">
        <v>390866311.572945</v>
      </c>
      <c r="AZ25" s="36">
        <v>535515907.17932</v>
      </c>
      <c r="BA25" s="36">
        <v>0</v>
      </c>
      <c r="BB25" s="43">
        <v>1091359291.64749</v>
      </c>
    </row>
    <row r="26" spans="1:54">
      <c r="A26" s="21"/>
      <c r="B26" s="22"/>
      <c r="C26" s="23" t="s">
        <v>159</v>
      </c>
      <c r="D26" s="19" t="s">
        <v>185</v>
      </c>
      <c r="E26" s="24">
        <v>31772.1562646777</v>
      </c>
      <c r="F26" s="24">
        <v>50309.4453427163</v>
      </c>
      <c r="G26" s="24">
        <v>661263.81526727</v>
      </c>
      <c r="H26" s="24">
        <v>69335.8614718471</v>
      </c>
      <c r="I26" s="24">
        <v>297577.808137405</v>
      </c>
      <c r="J26" s="24">
        <v>143919.04370277</v>
      </c>
      <c r="K26" s="24">
        <v>19262.3099623967</v>
      </c>
      <c r="L26" s="24">
        <v>138123.33444723</v>
      </c>
      <c r="M26" s="24">
        <v>10264.4694686987</v>
      </c>
      <c r="N26" s="24">
        <v>50033.9926734661</v>
      </c>
      <c r="O26" s="24">
        <v>822824.336439612</v>
      </c>
      <c r="P26" s="24">
        <v>470127.829618656</v>
      </c>
      <c r="Q26" s="24">
        <v>475050.035466797</v>
      </c>
      <c r="R26" s="24">
        <v>297112.429780238</v>
      </c>
      <c r="S26" s="24">
        <v>98761.6373341048</v>
      </c>
      <c r="T26" s="24">
        <v>1838415.42986749</v>
      </c>
      <c r="U26" s="24">
        <v>2382471.93861645</v>
      </c>
      <c r="V26" s="24">
        <v>2914585.77344265</v>
      </c>
      <c r="W26" s="24">
        <v>3766459.68482621</v>
      </c>
      <c r="X26" s="24">
        <v>2410483.17108698</v>
      </c>
      <c r="Y26" s="24">
        <v>8200709.4662136</v>
      </c>
      <c r="Z26" s="24">
        <v>147519.580926516</v>
      </c>
      <c r="AA26" s="24">
        <v>49050.2233899524</v>
      </c>
      <c r="AB26" s="24">
        <v>13071002.3797184</v>
      </c>
      <c r="AC26" s="24">
        <v>108083.564496049</v>
      </c>
      <c r="AD26" s="24">
        <v>64925.3165085114</v>
      </c>
      <c r="AE26" s="24">
        <v>2620840.31791863</v>
      </c>
      <c r="AF26" s="24">
        <v>7979.70721190802</v>
      </c>
      <c r="AG26" s="24">
        <v>135895.740150238</v>
      </c>
      <c r="AH26" s="24">
        <v>5865.76514934359</v>
      </c>
      <c r="AI26" s="24">
        <v>892394.894138237</v>
      </c>
      <c r="AJ26" s="24">
        <v>10415.7006807668</v>
      </c>
      <c r="AK26" s="24">
        <v>11974.0918121051</v>
      </c>
      <c r="AL26" s="24">
        <v>147807.717701396</v>
      </c>
      <c r="AM26" s="24">
        <v>6928826.18234655</v>
      </c>
      <c r="AN26" s="24">
        <v>18481934.0985976</v>
      </c>
      <c r="AO26" s="24">
        <v>475861.254110371</v>
      </c>
      <c r="AP26" s="24">
        <v>878133.201685142</v>
      </c>
      <c r="AQ26" s="24">
        <v>4110220.94247305</v>
      </c>
      <c r="AR26" s="24">
        <v>117828.570960033</v>
      </c>
      <c r="AS26" s="24">
        <v>258916.994536824</v>
      </c>
      <c r="AT26" s="24">
        <v>193930.835630285</v>
      </c>
      <c r="AU26" s="36">
        <v>73868271.0495732</v>
      </c>
      <c r="AV26" s="24">
        <v>675931.558735622</v>
      </c>
      <c r="AW26" s="24">
        <v>3226838.12007408</v>
      </c>
      <c r="AX26" s="24">
        <v>-3553221.66507621</v>
      </c>
      <c r="AY26" s="24">
        <v>22944840.7718254</v>
      </c>
      <c r="AZ26" s="36">
        <v>23294388.7855588</v>
      </c>
      <c r="BA26" s="36">
        <v>0</v>
      </c>
      <c r="BB26" s="43">
        <v>97162659.835132</v>
      </c>
    </row>
    <row r="27" spans="1:54">
      <c r="A27" s="21"/>
      <c r="B27" s="22"/>
      <c r="C27" s="23" t="s">
        <v>160</v>
      </c>
      <c r="D27" s="19" t="s">
        <v>186</v>
      </c>
      <c r="E27" s="24">
        <v>57185.6993401947</v>
      </c>
      <c r="F27" s="24">
        <v>283030.310852373</v>
      </c>
      <c r="G27" s="24">
        <v>72001.9949787954</v>
      </c>
      <c r="H27" s="24">
        <v>61185.1671698855</v>
      </c>
      <c r="I27" s="24">
        <v>117946.625471758</v>
      </c>
      <c r="J27" s="24">
        <v>448841.948817816</v>
      </c>
      <c r="K27" s="24">
        <v>160147.873531587</v>
      </c>
      <c r="L27" s="24">
        <v>994472.501841325</v>
      </c>
      <c r="M27" s="24">
        <v>164852.207787262</v>
      </c>
      <c r="N27" s="24">
        <v>11581860.7155888</v>
      </c>
      <c r="O27" s="24">
        <v>323681.083655393</v>
      </c>
      <c r="P27" s="24">
        <v>4234574.17410142</v>
      </c>
      <c r="Q27" s="24">
        <v>2085495.65253953</v>
      </c>
      <c r="R27" s="24">
        <v>63061314.6720202</v>
      </c>
      <c r="S27" s="24">
        <v>8181930.58582401</v>
      </c>
      <c r="T27" s="24">
        <v>377062.12527122</v>
      </c>
      <c r="U27" s="24">
        <v>155581.366006481</v>
      </c>
      <c r="V27" s="24">
        <v>874973.944206026</v>
      </c>
      <c r="W27" s="24">
        <v>638924.532271799</v>
      </c>
      <c r="X27" s="24">
        <v>955885.709226773</v>
      </c>
      <c r="Y27" s="24">
        <v>39787.5135003039</v>
      </c>
      <c r="Z27" s="24">
        <v>12260698.0058848</v>
      </c>
      <c r="AA27" s="24">
        <v>55581.7641079169</v>
      </c>
      <c r="AB27" s="24">
        <v>672745.599571436</v>
      </c>
      <c r="AC27" s="24">
        <v>38815.5111225656</v>
      </c>
      <c r="AD27" s="24">
        <v>17191.1165304084</v>
      </c>
      <c r="AE27" s="24">
        <v>1585952.28583549</v>
      </c>
      <c r="AF27" s="24">
        <v>72097.8218487124</v>
      </c>
      <c r="AG27" s="24">
        <v>339314.865538215</v>
      </c>
      <c r="AH27" s="24">
        <v>185226.503026634</v>
      </c>
      <c r="AI27" s="24">
        <v>192768.586346805</v>
      </c>
      <c r="AJ27" s="24">
        <v>47175.9495570126</v>
      </c>
      <c r="AK27" s="24">
        <v>1184879.22014647</v>
      </c>
      <c r="AL27" s="24">
        <v>7902010.31553295</v>
      </c>
      <c r="AM27" s="24">
        <v>1601264.68360347</v>
      </c>
      <c r="AN27" s="24">
        <v>5262280.88347006</v>
      </c>
      <c r="AO27" s="24">
        <v>685107.053062828</v>
      </c>
      <c r="AP27" s="24">
        <v>2113129.29749943</v>
      </c>
      <c r="AQ27" s="24">
        <v>209050.290819001</v>
      </c>
      <c r="AR27" s="24">
        <v>181825.584170522</v>
      </c>
      <c r="AS27" s="24">
        <v>580530.916338955</v>
      </c>
      <c r="AT27" s="24">
        <v>160320.777260407</v>
      </c>
      <c r="AU27" s="36">
        <v>130218703.435277</v>
      </c>
      <c r="AV27" s="24">
        <v>4175858.49665936</v>
      </c>
      <c r="AW27" s="24">
        <v>0</v>
      </c>
      <c r="AX27" s="24">
        <v>-2257677.23480769</v>
      </c>
      <c r="AY27" s="24">
        <v>11347608.8356238</v>
      </c>
      <c r="AZ27" s="36">
        <v>13265790.0974755</v>
      </c>
      <c r="BA27" s="36">
        <v>0</v>
      </c>
      <c r="BB27" s="43">
        <v>143484493.532753</v>
      </c>
    </row>
    <row r="28" spans="1:54">
      <c r="A28" s="21"/>
      <c r="B28" s="22"/>
      <c r="C28" s="23" t="s">
        <v>161</v>
      </c>
      <c r="D28" s="19" t="s">
        <v>187</v>
      </c>
      <c r="E28" s="24">
        <v>97091.1926807973</v>
      </c>
      <c r="F28" s="24">
        <v>120869.740893973</v>
      </c>
      <c r="G28" s="24">
        <v>74403.790442859</v>
      </c>
      <c r="H28" s="24">
        <v>90872.713959047</v>
      </c>
      <c r="I28" s="24">
        <v>61628.0242106917</v>
      </c>
      <c r="J28" s="24">
        <v>188360.720633126</v>
      </c>
      <c r="K28" s="24">
        <v>56378.1964390626</v>
      </c>
      <c r="L28" s="24">
        <v>77873.6787885466</v>
      </c>
      <c r="M28" s="24">
        <v>68204.6602410629</v>
      </c>
      <c r="N28" s="24">
        <v>155123.447340459</v>
      </c>
      <c r="O28" s="24">
        <v>222850.62117169</v>
      </c>
      <c r="P28" s="24">
        <v>696689.37395354</v>
      </c>
      <c r="Q28" s="24">
        <v>1357799.33937831</v>
      </c>
      <c r="R28" s="24">
        <v>540629.445880911</v>
      </c>
      <c r="S28" s="24">
        <v>162320.267219313</v>
      </c>
      <c r="T28" s="24">
        <v>464180.395373756</v>
      </c>
      <c r="U28" s="24">
        <v>659380.048829779</v>
      </c>
      <c r="V28" s="24">
        <v>547510.600447053</v>
      </c>
      <c r="W28" s="24">
        <v>276692.699921839</v>
      </c>
      <c r="X28" s="24">
        <v>365316.368249092</v>
      </c>
      <c r="Y28" s="24">
        <v>26222.5877995712</v>
      </c>
      <c r="Z28" s="24">
        <v>36338.3271290107</v>
      </c>
      <c r="AA28" s="24">
        <v>16787.5662882485</v>
      </c>
      <c r="AB28" s="24">
        <v>2983860.27745889</v>
      </c>
      <c r="AC28" s="24">
        <v>115669.414419146</v>
      </c>
      <c r="AD28" s="24">
        <v>71695.9699782136</v>
      </c>
      <c r="AE28" s="24">
        <v>2288366.44150654</v>
      </c>
      <c r="AF28" s="24">
        <v>32302.2345375429</v>
      </c>
      <c r="AG28" s="24">
        <v>519773.205273446</v>
      </c>
      <c r="AH28" s="24">
        <v>18774.0991933375</v>
      </c>
      <c r="AI28" s="24">
        <v>236889.944468447</v>
      </c>
      <c r="AJ28" s="24">
        <v>24550.9777792853</v>
      </c>
      <c r="AK28" s="24">
        <v>95469.1724716236</v>
      </c>
      <c r="AL28" s="24">
        <v>1005899.42780595</v>
      </c>
      <c r="AM28" s="24">
        <v>162462.194885839</v>
      </c>
      <c r="AN28" s="24">
        <v>144995.729373912</v>
      </c>
      <c r="AO28" s="24">
        <v>98286.0629221729</v>
      </c>
      <c r="AP28" s="24">
        <v>18524.9084136616</v>
      </c>
      <c r="AQ28" s="24">
        <v>55837.7409671156</v>
      </c>
      <c r="AR28" s="24">
        <v>33203.5464537536</v>
      </c>
      <c r="AS28" s="24">
        <v>42397.9268311494</v>
      </c>
      <c r="AT28" s="24">
        <v>436609.984349959</v>
      </c>
      <c r="AU28" s="36">
        <v>14749093.0663617</v>
      </c>
      <c r="AV28" s="24">
        <v>0</v>
      </c>
      <c r="AW28" s="24">
        <v>668248.06872131</v>
      </c>
      <c r="AX28" s="24">
        <v>0</v>
      </c>
      <c r="AY28" s="24">
        <v>5279719.01218634</v>
      </c>
      <c r="AZ28" s="36">
        <v>5947967.08090765</v>
      </c>
      <c r="BA28" s="36">
        <v>0</v>
      </c>
      <c r="BB28" s="43">
        <v>20697060.1472694</v>
      </c>
    </row>
    <row r="29" spans="1:54">
      <c r="A29" s="21"/>
      <c r="B29" s="22"/>
      <c r="C29" s="23" t="s">
        <v>162</v>
      </c>
      <c r="D29" s="19" t="s">
        <v>188</v>
      </c>
      <c r="E29" s="24">
        <v>10632509.6859949</v>
      </c>
      <c r="F29" s="24">
        <v>8492039.32652413</v>
      </c>
      <c r="G29" s="24">
        <v>3827929.6782418</v>
      </c>
      <c r="H29" s="24">
        <v>8067969.63784603</v>
      </c>
      <c r="I29" s="24">
        <v>7006501.24747587</v>
      </c>
      <c r="J29" s="24">
        <v>8337210.07376071</v>
      </c>
      <c r="K29" s="24">
        <v>6391995.72662153</v>
      </c>
      <c r="L29" s="24">
        <v>2879310.43930855</v>
      </c>
      <c r="M29" s="24">
        <v>5198622.98158213</v>
      </c>
      <c r="N29" s="24">
        <v>7451577.94315617</v>
      </c>
      <c r="O29" s="24">
        <v>8918733.79000416</v>
      </c>
      <c r="P29" s="24">
        <v>52407925.7860715</v>
      </c>
      <c r="Q29" s="24">
        <v>36511483.2836431</v>
      </c>
      <c r="R29" s="24">
        <v>63464174.4576723</v>
      </c>
      <c r="S29" s="24">
        <v>23642420.6271042</v>
      </c>
      <c r="T29" s="24">
        <v>9037398.27317883</v>
      </c>
      <c r="U29" s="24">
        <v>5826705.64885269</v>
      </c>
      <c r="V29" s="24">
        <v>7397984.5676117</v>
      </c>
      <c r="W29" s="24">
        <v>8301003.14454721</v>
      </c>
      <c r="X29" s="24">
        <v>10268411.774078</v>
      </c>
      <c r="Y29" s="24">
        <v>1234822.53492378</v>
      </c>
      <c r="Z29" s="24">
        <v>1487574.0645422</v>
      </c>
      <c r="AA29" s="24">
        <v>536766.379472309</v>
      </c>
      <c r="AB29" s="24">
        <v>207700782.739473</v>
      </c>
      <c r="AC29" s="24">
        <v>1989258.6932658</v>
      </c>
      <c r="AD29" s="24">
        <v>5177395.50409593</v>
      </c>
      <c r="AE29" s="24">
        <v>41785891.4537266</v>
      </c>
      <c r="AF29" s="24">
        <v>12653101.4524859</v>
      </c>
      <c r="AG29" s="24">
        <v>16559627.4871197</v>
      </c>
      <c r="AH29" s="24">
        <v>4171232.36153599</v>
      </c>
      <c r="AI29" s="24">
        <v>9487206.29473872</v>
      </c>
      <c r="AJ29" s="24">
        <v>4342106.13355276</v>
      </c>
      <c r="AK29" s="24">
        <v>4550954.10462631</v>
      </c>
      <c r="AL29" s="24">
        <v>3785533.73970236</v>
      </c>
      <c r="AM29" s="24">
        <v>3096348.06097215</v>
      </c>
      <c r="AN29" s="24">
        <v>2489328.25511629</v>
      </c>
      <c r="AO29" s="24">
        <v>3039421.59748963</v>
      </c>
      <c r="AP29" s="24">
        <v>3425610.48251737</v>
      </c>
      <c r="AQ29" s="24">
        <v>3442352.68143954</v>
      </c>
      <c r="AR29" s="24">
        <v>3190635.02150708</v>
      </c>
      <c r="AS29" s="24">
        <v>1566849.48827405</v>
      </c>
      <c r="AT29" s="24">
        <v>7218318.06371929</v>
      </c>
      <c r="AU29" s="36">
        <v>636993024.687573</v>
      </c>
      <c r="AV29" s="24">
        <v>61464501.2670023</v>
      </c>
      <c r="AW29" s="24">
        <v>0</v>
      </c>
      <c r="AX29" s="24">
        <v>0</v>
      </c>
      <c r="AY29" s="24">
        <v>1045039.7484</v>
      </c>
      <c r="AZ29" s="36">
        <v>62509541.0154023</v>
      </c>
      <c r="BA29" s="36">
        <v>0</v>
      </c>
      <c r="BB29" s="43">
        <v>699502565.702975</v>
      </c>
    </row>
    <row r="30" spans="1:54">
      <c r="A30" s="21"/>
      <c r="B30" s="22"/>
      <c r="C30" s="23" t="s">
        <v>83</v>
      </c>
      <c r="D30" s="19" t="s">
        <v>189</v>
      </c>
      <c r="E30" s="24">
        <v>158734.702636481</v>
      </c>
      <c r="F30" s="24">
        <v>28901.4549832347</v>
      </c>
      <c r="G30" s="24">
        <v>21479.9041926036</v>
      </c>
      <c r="H30" s="24">
        <v>3944.28689499394</v>
      </c>
      <c r="I30" s="24">
        <v>85683.6953697535</v>
      </c>
      <c r="J30" s="24">
        <v>443352.994379064</v>
      </c>
      <c r="K30" s="24">
        <v>87132.8931254723</v>
      </c>
      <c r="L30" s="24">
        <v>100671.449565334</v>
      </c>
      <c r="M30" s="24">
        <v>26205.230886829</v>
      </c>
      <c r="N30" s="24">
        <v>429659.536743881</v>
      </c>
      <c r="O30" s="24">
        <v>817644.248395789</v>
      </c>
      <c r="P30" s="24">
        <v>2018899.15322738</v>
      </c>
      <c r="Q30" s="24">
        <v>240915.818847029</v>
      </c>
      <c r="R30" s="24">
        <v>303683.688964283</v>
      </c>
      <c r="S30" s="24">
        <v>440098.520548632</v>
      </c>
      <c r="T30" s="24">
        <v>183042.984051761</v>
      </c>
      <c r="U30" s="24">
        <v>306402.220074573</v>
      </c>
      <c r="V30" s="24">
        <v>240529.244571249</v>
      </c>
      <c r="W30" s="24">
        <v>250330.610469275</v>
      </c>
      <c r="X30" s="24">
        <v>127836.966398901</v>
      </c>
      <c r="Y30" s="24">
        <v>11832.239155679</v>
      </c>
      <c r="Z30" s="24">
        <v>267809.258488945</v>
      </c>
      <c r="AA30" s="24">
        <v>153532.239563007</v>
      </c>
      <c r="AB30" s="24">
        <v>1999455.2125125</v>
      </c>
      <c r="AC30" s="24">
        <v>9988214.61525141</v>
      </c>
      <c r="AD30" s="24">
        <v>577.109732247711</v>
      </c>
      <c r="AE30" s="24">
        <v>43646.7161920363</v>
      </c>
      <c r="AF30" s="24">
        <v>108729.406380966</v>
      </c>
      <c r="AG30" s="24">
        <v>19661653.7984179</v>
      </c>
      <c r="AH30" s="24">
        <v>2563138.31292585</v>
      </c>
      <c r="AI30" s="24">
        <v>79885.2056723576</v>
      </c>
      <c r="AJ30" s="24">
        <v>29927.4073905187</v>
      </c>
      <c r="AK30" s="24">
        <v>2003956.33127242</v>
      </c>
      <c r="AL30" s="24">
        <v>461291.884655495</v>
      </c>
      <c r="AM30" s="24">
        <v>181897.000483664</v>
      </c>
      <c r="AN30" s="24">
        <v>211884.969231725</v>
      </c>
      <c r="AO30" s="24">
        <v>132626.748199303</v>
      </c>
      <c r="AP30" s="24">
        <v>1107430.78014094</v>
      </c>
      <c r="AQ30" s="24">
        <v>533949.623568463</v>
      </c>
      <c r="AR30" s="24">
        <v>253896.226234584</v>
      </c>
      <c r="AS30" s="24">
        <v>279996.556747517</v>
      </c>
      <c r="AT30" s="24">
        <v>214558.988018203</v>
      </c>
      <c r="AU30" s="36">
        <v>46605040.2345622</v>
      </c>
      <c r="AV30" s="24">
        <v>33772556.4573388</v>
      </c>
      <c r="AW30" s="24">
        <v>0</v>
      </c>
      <c r="AX30" s="24">
        <v>893408.640445413</v>
      </c>
      <c r="AY30" s="24">
        <v>0</v>
      </c>
      <c r="AZ30" s="36">
        <v>34665965.0977843</v>
      </c>
      <c r="BA30" s="36">
        <v>0</v>
      </c>
      <c r="BB30" s="43">
        <v>81271005.3323465</v>
      </c>
    </row>
    <row r="31" spans="1:54">
      <c r="A31" s="21"/>
      <c r="B31" s="22"/>
      <c r="C31" s="23" t="s">
        <v>84</v>
      </c>
      <c r="D31" s="19" t="s">
        <v>190</v>
      </c>
      <c r="E31" s="24">
        <v>41316.5882525332</v>
      </c>
      <c r="F31" s="24">
        <v>56861.257707943</v>
      </c>
      <c r="G31" s="24">
        <v>66724.691130288</v>
      </c>
      <c r="H31" s="24">
        <v>27322.3857027079</v>
      </c>
      <c r="I31" s="24">
        <v>63468.4068333933</v>
      </c>
      <c r="J31" s="24">
        <v>1176862.55784355</v>
      </c>
      <c r="K31" s="24">
        <v>119225.336361185</v>
      </c>
      <c r="L31" s="24">
        <v>161357.329684461</v>
      </c>
      <c r="M31" s="24">
        <v>118367.573214222</v>
      </c>
      <c r="N31" s="24">
        <v>323800.344282011</v>
      </c>
      <c r="O31" s="24">
        <v>149328.755060231</v>
      </c>
      <c r="P31" s="24">
        <v>866935.639053914</v>
      </c>
      <c r="Q31" s="24">
        <v>532732.645140702</v>
      </c>
      <c r="R31" s="24">
        <v>424363.793238719</v>
      </c>
      <c r="S31" s="24">
        <v>157179.328359272</v>
      </c>
      <c r="T31" s="24">
        <v>340480.594865973</v>
      </c>
      <c r="U31" s="24">
        <v>185550.309529279</v>
      </c>
      <c r="V31" s="24">
        <v>288510.04738478</v>
      </c>
      <c r="W31" s="24">
        <v>405654.938503351</v>
      </c>
      <c r="X31" s="24">
        <v>465653.488517167</v>
      </c>
      <c r="Y31" s="24">
        <v>66994.5473145669</v>
      </c>
      <c r="Z31" s="24">
        <v>158571.523824406</v>
      </c>
      <c r="AA31" s="24">
        <v>23583.1680538148</v>
      </c>
      <c r="AB31" s="24">
        <v>1234128.68752964</v>
      </c>
      <c r="AC31" s="24">
        <v>36613.3440053734</v>
      </c>
      <c r="AD31" s="24">
        <v>2092918.63715616</v>
      </c>
      <c r="AE31" s="24">
        <v>2894162.04830273</v>
      </c>
      <c r="AF31" s="24">
        <v>552057.353167517</v>
      </c>
      <c r="AG31" s="24">
        <v>496240.201919855</v>
      </c>
      <c r="AH31" s="24">
        <v>1161758.09170284</v>
      </c>
      <c r="AI31" s="24">
        <v>269693.691703901</v>
      </c>
      <c r="AJ31" s="24">
        <v>367635.558611322</v>
      </c>
      <c r="AK31" s="24">
        <v>556423.346963119</v>
      </c>
      <c r="AL31" s="24">
        <v>119223.28508388</v>
      </c>
      <c r="AM31" s="24">
        <v>505701.343195469</v>
      </c>
      <c r="AN31" s="24">
        <v>125838.583104519</v>
      </c>
      <c r="AO31" s="24">
        <v>309231.435698743</v>
      </c>
      <c r="AP31" s="24">
        <v>426824.191650271</v>
      </c>
      <c r="AQ31" s="24">
        <v>435482.556950679</v>
      </c>
      <c r="AR31" s="24">
        <v>316913.101361849</v>
      </c>
      <c r="AS31" s="24">
        <v>273234.611677856</v>
      </c>
      <c r="AT31" s="24">
        <v>594589.716078743</v>
      </c>
      <c r="AU31" s="36">
        <v>18989515.0357229</v>
      </c>
      <c r="AV31" s="24">
        <v>20797295.4759996</v>
      </c>
      <c r="AW31" s="24">
        <v>0</v>
      </c>
      <c r="AX31" s="24">
        <v>891741.457509418</v>
      </c>
      <c r="AY31" s="24">
        <v>0</v>
      </c>
      <c r="AZ31" s="36">
        <v>21689036.933509</v>
      </c>
      <c r="BA31" s="36">
        <v>0</v>
      </c>
      <c r="BB31" s="43">
        <v>40678551.9692319</v>
      </c>
    </row>
    <row r="32" spans="1:54">
      <c r="A32" s="21"/>
      <c r="B32" s="22"/>
      <c r="C32" s="23" t="s">
        <v>85</v>
      </c>
      <c r="D32" s="19" t="s">
        <v>191</v>
      </c>
      <c r="E32" s="24">
        <v>767866.27291259</v>
      </c>
      <c r="F32" s="24">
        <v>136712.764629601</v>
      </c>
      <c r="G32" s="24">
        <v>28483.4786058051</v>
      </c>
      <c r="H32" s="24">
        <v>20018.209541896</v>
      </c>
      <c r="I32" s="24">
        <v>25461.8167486599</v>
      </c>
      <c r="J32" s="24">
        <v>215253.6531569</v>
      </c>
      <c r="K32" s="24">
        <v>123367.434465288</v>
      </c>
      <c r="L32" s="24">
        <v>103348.991611238</v>
      </c>
      <c r="M32" s="24">
        <v>132624.129456814</v>
      </c>
      <c r="N32" s="24">
        <v>105864.685843691</v>
      </c>
      <c r="O32" s="24">
        <v>50165.4331946383</v>
      </c>
      <c r="P32" s="24">
        <v>495518.390775773</v>
      </c>
      <c r="Q32" s="24">
        <v>162675.607305991</v>
      </c>
      <c r="R32" s="24">
        <v>174312.435079625</v>
      </c>
      <c r="S32" s="24">
        <v>112818.398974717</v>
      </c>
      <c r="T32" s="24">
        <v>310533.934120804</v>
      </c>
      <c r="U32" s="24">
        <v>124690.040871795</v>
      </c>
      <c r="V32" s="24">
        <v>187281.193939935</v>
      </c>
      <c r="W32" s="24">
        <v>180123.420648796</v>
      </c>
      <c r="X32" s="24">
        <v>638082.050496703</v>
      </c>
      <c r="Y32" s="24">
        <v>29327.889492492</v>
      </c>
      <c r="Z32" s="24">
        <v>66899.2493167166</v>
      </c>
      <c r="AA32" s="24">
        <v>22738.0554249168</v>
      </c>
      <c r="AB32" s="24">
        <v>2679712.79465016</v>
      </c>
      <c r="AC32" s="24">
        <v>28595.2440077961</v>
      </c>
      <c r="AD32" s="24">
        <v>75522.7335050837</v>
      </c>
      <c r="AE32" s="24">
        <v>102777626.861809</v>
      </c>
      <c r="AF32" s="24">
        <v>1487150.41455619</v>
      </c>
      <c r="AG32" s="24">
        <v>2015285.39117833</v>
      </c>
      <c r="AH32" s="24">
        <v>901665.813055647</v>
      </c>
      <c r="AI32" s="24">
        <v>954151.504612121</v>
      </c>
      <c r="AJ32" s="24">
        <v>2489999.29194621</v>
      </c>
      <c r="AK32" s="24">
        <v>14193938.3943872</v>
      </c>
      <c r="AL32" s="24">
        <v>445793.248601771</v>
      </c>
      <c r="AM32" s="24">
        <v>424334.511612386</v>
      </c>
      <c r="AN32" s="24">
        <v>514616.382483729</v>
      </c>
      <c r="AO32" s="24">
        <v>1053219.23666961</v>
      </c>
      <c r="AP32" s="24">
        <v>528902.690844943</v>
      </c>
      <c r="AQ32" s="24">
        <v>3319541.48031619</v>
      </c>
      <c r="AR32" s="24">
        <v>1071607.68737372</v>
      </c>
      <c r="AS32" s="24">
        <v>993565.579719691</v>
      </c>
      <c r="AT32" s="24">
        <v>9823245.44998489</v>
      </c>
      <c r="AU32" s="36">
        <v>149992642.24793</v>
      </c>
      <c r="AV32" s="24">
        <v>0</v>
      </c>
      <c r="AW32" s="24">
        <v>2701631277.88591</v>
      </c>
      <c r="AX32" s="24">
        <v>0</v>
      </c>
      <c r="AY32" s="24">
        <v>8681061.2808517</v>
      </c>
      <c r="AZ32" s="36">
        <v>2710312339.16676</v>
      </c>
      <c r="BA32" s="36">
        <v>0</v>
      </c>
      <c r="BB32" s="43">
        <v>2860304981.41469</v>
      </c>
    </row>
    <row r="33" spans="1:54">
      <c r="A33" s="21"/>
      <c r="B33" s="22"/>
      <c r="C33" s="23" t="s">
        <v>86</v>
      </c>
      <c r="D33" s="19" t="s">
        <v>192</v>
      </c>
      <c r="E33" s="24">
        <v>32445341.8210967</v>
      </c>
      <c r="F33" s="24">
        <v>6037786.73206621</v>
      </c>
      <c r="G33" s="24">
        <v>775392.274015894</v>
      </c>
      <c r="H33" s="24">
        <v>2076263.91341929</v>
      </c>
      <c r="I33" s="24">
        <v>2871917.08343932</v>
      </c>
      <c r="J33" s="24">
        <v>81687886.0606435</v>
      </c>
      <c r="K33" s="24">
        <v>18767501.0375885</v>
      </c>
      <c r="L33" s="24">
        <v>30650818.4889373</v>
      </c>
      <c r="M33" s="24">
        <v>23952570.4049687</v>
      </c>
      <c r="N33" s="24">
        <v>27774492.3171839</v>
      </c>
      <c r="O33" s="24">
        <v>10885899.5352103</v>
      </c>
      <c r="P33" s="24">
        <v>75587468.5864782</v>
      </c>
      <c r="Q33" s="24">
        <v>37090632.1279176</v>
      </c>
      <c r="R33" s="24">
        <v>31570724.5421813</v>
      </c>
      <c r="S33" s="24">
        <v>22175914.7376172</v>
      </c>
      <c r="T33" s="24">
        <v>27687169.0078291</v>
      </c>
      <c r="U33" s="24">
        <v>19596217.7656178</v>
      </c>
      <c r="V33" s="24">
        <v>64680280.4843069</v>
      </c>
      <c r="W33" s="24">
        <v>42723961.5708095</v>
      </c>
      <c r="X33" s="24">
        <v>54704533.3229108</v>
      </c>
      <c r="Y33" s="24">
        <v>4768787.79321469</v>
      </c>
      <c r="Z33" s="24">
        <v>2841536.6296926</v>
      </c>
      <c r="AA33" s="24">
        <v>1164633.01272776</v>
      </c>
      <c r="AB33" s="24">
        <v>15451656.1570052</v>
      </c>
      <c r="AC33" s="24">
        <v>2301900.84255216</v>
      </c>
      <c r="AD33" s="24">
        <v>565625.066532062</v>
      </c>
      <c r="AE33" s="24">
        <v>143079872.338244</v>
      </c>
      <c r="AF33" s="24">
        <v>11226156.7817458</v>
      </c>
      <c r="AG33" s="24">
        <v>35456523.3080434</v>
      </c>
      <c r="AH33" s="24">
        <v>28035741.060201</v>
      </c>
      <c r="AI33" s="24">
        <v>15872913.5323215</v>
      </c>
      <c r="AJ33" s="24">
        <v>5735570.83595581</v>
      </c>
      <c r="AK33" s="24">
        <v>3311533.57596043</v>
      </c>
      <c r="AL33" s="24">
        <v>34868107.1847386</v>
      </c>
      <c r="AM33" s="24">
        <v>7310894.07936115</v>
      </c>
      <c r="AN33" s="24">
        <v>13897489.3645106</v>
      </c>
      <c r="AO33" s="24">
        <v>3485095.94956621</v>
      </c>
      <c r="AP33" s="24">
        <v>8483107.70316726</v>
      </c>
      <c r="AQ33" s="24">
        <v>6371391.47483486</v>
      </c>
      <c r="AR33" s="24">
        <v>34246220.1817997</v>
      </c>
      <c r="AS33" s="24">
        <v>4838226.82711748</v>
      </c>
      <c r="AT33" s="24">
        <v>11620477.6463871</v>
      </c>
      <c r="AU33" s="36">
        <v>1008676233.15992</v>
      </c>
      <c r="AV33" s="24">
        <v>217980224.405535</v>
      </c>
      <c r="AW33" s="24">
        <v>84921149.4557624</v>
      </c>
      <c r="AX33" s="24">
        <v>8345553.66588406</v>
      </c>
      <c r="AY33" s="24">
        <v>178591537.872478</v>
      </c>
      <c r="AZ33" s="36">
        <v>489838465.399659</v>
      </c>
      <c r="BA33" s="36">
        <v>0</v>
      </c>
      <c r="BB33" s="43">
        <v>1498514698.55958</v>
      </c>
    </row>
    <row r="34" spans="1:54">
      <c r="A34" s="21"/>
      <c r="B34" s="22"/>
      <c r="C34" s="23" t="s">
        <v>87</v>
      </c>
      <c r="D34" s="19" t="s">
        <v>193</v>
      </c>
      <c r="E34" s="24">
        <v>25123824.4238712</v>
      </c>
      <c r="F34" s="24">
        <v>5455225.15556935</v>
      </c>
      <c r="G34" s="24">
        <v>653013.284810873</v>
      </c>
      <c r="H34" s="24">
        <v>1765585.28934801</v>
      </c>
      <c r="I34" s="24">
        <v>2363709.32702581</v>
      </c>
      <c r="J34" s="24">
        <v>33384301.8311625</v>
      </c>
      <c r="K34" s="24">
        <v>13492270.6462559</v>
      </c>
      <c r="L34" s="24">
        <v>16909853.3383097</v>
      </c>
      <c r="M34" s="24">
        <v>8901566.25384652</v>
      </c>
      <c r="N34" s="24">
        <v>11779316.7996124</v>
      </c>
      <c r="O34" s="24">
        <v>11178574.5415315</v>
      </c>
      <c r="P34" s="24">
        <v>55535296.7063092</v>
      </c>
      <c r="Q34" s="24">
        <v>25176585.6747869</v>
      </c>
      <c r="R34" s="24">
        <v>33009290.1061605</v>
      </c>
      <c r="S34" s="24">
        <v>14908347.7729595</v>
      </c>
      <c r="T34" s="24">
        <v>16334382.0073181</v>
      </c>
      <c r="U34" s="24">
        <v>13849701.7069765</v>
      </c>
      <c r="V34" s="24">
        <v>28994271.6957746</v>
      </c>
      <c r="W34" s="24">
        <v>21913899.8465917</v>
      </c>
      <c r="X34" s="24">
        <v>15739004.7272854</v>
      </c>
      <c r="Y34" s="24">
        <v>2426736.93970588</v>
      </c>
      <c r="Z34" s="24">
        <v>1867138.07545509</v>
      </c>
      <c r="AA34" s="24">
        <v>549100.779407913</v>
      </c>
      <c r="AB34" s="24">
        <v>12694081.0836141</v>
      </c>
      <c r="AC34" s="24">
        <v>1682236.53955492</v>
      </c>
      <c r="AD34" s="24">
        <v>393289.180938507</v>
      </c>
      <c r="AE34" s="24">
        <v>76442473.2600783</v>
      </c>
      <c r="AF34" s="24">
        <v>89871625.0189332</v>
      </c>
      <c r="AG34" s="24">
        <v>169809119.517781</v>
      </c>
      <c r="AH34" s="24">
        <v>15002776.9135719</v>
      </c>
      <c r="AI34" s="24">
        <v>11936810.6325674</v>
      </c>
      <c r="AJ34" s="24">
        <v>12728208.3327439</v>
      </c>
      <c r="AK34" s="24">
        <v>3848157.78949782</v>
      </c>
      <c r="AL34" s="24">
        <v>48571211.8240497</v>
      </c>
      <c r="AM34" s="24">
        <v>8381453.42449683</v>
      </c>
      <c r="AN34" s="24">
        <v>17298564.8373133</v>
      </c>
      <c r="AO34" s="24">
        <v>4290832.21450235</v>
      </c>
      <c r="AP34" s="24">
        <v>7071678.58817103</v>
      </c>
      <c r="AQ34" s="24">
        <v>9945132.46121921</v>
      </c>
      <c r="AR34" s="24">
        <v>15547472.227899</v>
      </c>
      <c r="AS34" s="24">
        <v>4815397.9549156</v>
      </c>
      <c r="AT34" s="24">
        <v>21807990.3584864</v>
      </c>
      <c r="AU34" s="36">
        <v>893449509.09041</v>
      </c>
      <c r="AV34" s="24">
        <v>173441135.956826</v>
      </c>
      <c r="AW34" s="24">
        <v>34380961.708352</v>
      </c>
      <c r="AX34" s="24">
        <v>2787948.94297641</v>
      </c>
      <c r="AY34" s="24">
        <v>95111712.9359392</v>
      </c>
      <c r="AZ34" s="36">
        <v>305721759.544093</v>
      </c>
      <c r="BA34" s="36">
        <v>0</v>
      </c>
      <c r="BB34" s="43">
        <v>1199171268.6345</v>
      </c>
    </row>
    <row r="35" spans="1:54">
      <c r="A35" s="21"/>
      <c r="B35" s="22"/>
      <c r="C35" s="23" t="s">
        <v>88</v>
      </c>
      <c r="D35" s="20" t="s">
        <v>194</v>
      </c>
      <c r="E35" s="24">
        <v>2192069.58055172</v>
      </c>
      <c r="F35" s="24">
        <v>717298.335066403</v>
      </c>
      <c r="G35" s="24">
        <v>175745.146747849</v>
      </c>
      <c r="H35" s="24">
        <v>447105.634787667</v>
      </c>
      <c r="I35" s="24">
        <v>435270.972054123</v>
      </c>
      <c r="J35" s="24">
        <v>4728123.63907566</v>
      </c>
      <c r="K35" s="24">
        <v>1005621.73539828</v>
      </c>
      <c r="L35" s="24">
        <v>1199356.18257301</v>
      </c>
      <c r="M35" s="24">
        <v>1068753.35895676</v>
      </c>
      <c r="N35" s="24">
        <v>1812054.78834419</v>
      </c>
      <c r="O35" s="24">
        <v>770703.40691954</v>
      </c>
      <c r="P35" s="24">
        <v>8295344.8103042</v>
      </c>
      <c r="Q35" s="24">
        <v>3825187.88747423</v>
      </c>
      <c r="R35" s="24">
        <v>3081714.49512235</v>
      </c>
      <c r="S35" s="24">
        <v>2729306.74628945</v>
      </c>
      <c r="T35" s="24">
        <v>2551069.21153673</v>
      </c>
      <c r="U35" s="24">
        <v>3236950.04569084</v>
      </c>
      <c r="V35" s="24">
        <v>3458508.615929</v>
      </c>
      <c r="W35" s="24">
        <v>3579986.79767792</v>
      </c>
      <c r="X35" s="24">
        <v>3512385.5421504</v>
      </c>
      <c r="Y35" s="24">
        <v>795075.415847332</v>
      </c>
      <c r="Z35" s="24">
        <v>303260.528030193</v>
      </c>
      <c r="AA35" s="24">
        <v>219603.185625981</v>
      </c>
      <c r="AB35" s="24">
        <v>1865193.88579761</v>
      </c>
      <c r="AC35" s="24">
        <v>213935.072103504</v>
      </c>
      <c r="AD35" s="24">
        <v>186913.839442826</v>
      </c>
      <c r="AE35" s="24">
        <v>14043735.4123825</v>
      </c>
      <c r="AF35" s="24">
        <v>6621433.06045031</v>
      </c>
      <c r="AG35" s="24">
        <v>20676368.9841038</v>
      </c>
      <c r="AH35" s="24">
        <v>876364.934230862</v>
      </c>
      <c r="AI35" s="24">
        <v>5385375.39102926</v>
      </c>
      <c r="AJ35" s="24">
        <v>26183133.4928129</v>
      </c>
      <c r="AK35" s="24">
        <v>3889360.43525827</v>
      </c>
      <c r="AL35" s="24">
        <v>42598819.2155433</v>
      </c>
      <c r="AM35" s="24">
        <v>8795142.37469905</v>
      </c>
      <c r="AN35" s="24">
        <v>16630347.9654868</v>
      </c>
      <c r="AO35" s="24">
        <v>1289326.04839013</v>
      </c>
      <c r="AP35" s="24">
        <v>3158365.53771906</v>
      </c>
      <c r="AQ35" s="24">
        <v>11738374.488811</v>
      </c>
      <c r="AR35" s="24">
        <v>1857559.51948901</v>
      </c>
      <c r="AS35" s="24">
        <v>4686185.35868774</v>
      </c>
      <c r="AT35" s="24">
        <v>32654008.2986319</v>
      </c>
      <c r="AU35" s="36">
        <v>253490439.377224</v>
      </c>
      <c r="AV35" s="24">
        <v>175793366.232218</v>
      </c>
      <c r="AW35" s="24">
        <v>0</v>
      </c>
      <c r="AX35" s="24">
        <v>0</v>
      </c>
      <c r="AY35" s="24">
        <v>2705954.49598409</v>
      </c>
      <c r="AZ35" s="36">
        <v>178499320.728202</v>
      </c>
      <c r="BA35" s="36">
        <v>0</v>
      </c>
      <c r="BB35" s="43">
        <v>431989760.105426</v>
      </c>
    </row>
    <row r="36" spans="1:54">
      <c r="A36" s="21"/>
      <c r="B36" s="22"/>
      <c r="C36" s="23" t="s">
        <v>89</v>
      </c>
      <c r="D36" s="20" t="s">
        <v>195</v>
      </c>
      <c r="E36" s="24">
        <v>2379309.12560928</v>
      </c>
      <c r="F36" s="24">
        <v>320855.965520903</v>
      </c>
      <c r="G36" s="24">
        <v>130708.437986314</v>
      </c>
      <c r="H36" s="24">
        <v>386680.162077867</v>
      </c>
      <c r="I36" s="24">
        <v>324557.292432018</v>
      </c>
      <c r="J36" s="24">
        <v>2969049.42272641</v>
      </c>
      <c r="K36" s="24">
        <v>1041243.1022097</v>
      </c>
      <c r="L36" s="24">
        <v>1737945.96372209</v>
      </c>
      <c r="M36" s="24">
        <v>699529.160389708</v>
      </c>
      <c r="N36" s="24">
        <v>2154992.83176301</v>
      </c>
      <c r="O36" s="24">
        <v>295991.167040891</v>
      </c>
      <c r="P36" s="24">
        <v>5773508.95402771</v>
      </c>
      <c r="Q36" s="24">
        <v>1875441.0703633</v>
      </c>
      <c r="R36" s="24">
        <v>1510025.63894721</v>
      </c>
      <c r="S36" s="24">
        <v>1661430.28895805</v>
      </c>
      <c r="T36" s="24">
        <v>3196507.66185602</v>
      </c>
      <c r="U36" s="24">
        <v>2088953.19210808</v>
      </c>
      <c r="V36" s="24">
        <v>3033404.33125639</v>
      </c>
      <c r="W36" s="24">
        <v>3869429.28582315</v>
      </c>
      <c r="X36" s="24">
        <v>25948542.1057828</v>
      </c>
      <c r="Y36" s="24">
        <v>688905.296319201</v>
      </c>
      <c r="Z36" s="24">
        <v>159311.863431947</v>
      </c>
      <c r="AA36" s="24">
        <v>130337.15639138</v>
      </c>
      <c r="AB36" s="24">
        <v>4713795.51606322</v>
      </c>
      <c r="AC36" s="24">
        <v>378464.948873649</v>
      </c>
      <c r="AD36" s="24">
        <v>363897.233832979</v>
      </c>
      <c r="AE36" s="24">
        <v>39429878.3044869</v>
      </c>
      <c r="AF36" s="24">
        <v>11147979.0024991</v>
      </c>
      <c r="AG36" s="24">
        <v>36252449.9674425</v>
      </c>
      <c r="AH36" s="24">
        <v>3183975.1514905</v>
      </c>
      <c r="AI36" s="24">
        <v>191026777.577399</v>
      </c>
      <c r="AJ36" s="24">
        <v>41395430.2145049</v>
      </c>
      <c r="AK36" s="24">
        <v>8705827.11821486</v>
      </c>
      <c r="AL36" s="24">
        <v>14215990.1579683</v>
      </c>
      <c r="AM36" s="24">
        <v>3106717.85996645</v>
      </c>
      <c r="AN36" s="24">
        <v>11273708.3500193</v>
      </c>
      <c r="AO36" s="24">
        <v>1864095.0007976</v>
      </c>
      <c r="AP36" s="24">
        <v>1797019.88337812</v>
      </c>
      <c r="AQ36" s="24">
        <v>10752555.267615</v>
      </c>
      <c r="AR36" s="24">
        <v>10365032.7633809</v>
      </c>
      <c r="AS36" s="24">
        <v>2861412.57560785</v>
      </c>
      <c r="AT36" s="24">
        <v>49313847.2162446</v>
      </c>
      <c r="AU36" s="36">
        <v>504525513.586529</v>
      </c>
      <c r="AV36" s="24">
        <v>124209293.060866</v>
      </c>
      <c r="AW36" s="24">
        <v>305762973.845573</v>
      </c>
      <c r="AX36" s="24">
        <v>0</v>
      </c>
      <c r="AY36" s="24">
        <v>30745009.3330724</v>
      </c>
      <c r="AZ36" s="36">
        <v>460717276.239512</v>
      </c>
      <c r="BA36" s="36">
        <v>0</v>
      </c>
      <c r="BB36" s="43">
        <v>965242789.826041</v>
      </c>
    </row>
    <row r="37" spans="1:54">
      <c r="A37" s="21"/>
      <c r="B37" s="22"/>
      <c r="C37" s="23" t="s">
        <v>92</v>
      </c>
      <c r="D37" s="20" t="s">
        <v>196</v>
      </c>
      <c r="E37" s="24">
        <v>15705548.4079751</v>
      </c>
      <c r="F37" s="24">
        <v>11313884.6352449</v>
      </c>
      <c r="G37" s="24">
        <v>3511730.0742701</v>
      </c>
      <c r="H37" s="24">
        <v>2619393.87080506</v>
      </c>
      <c r="I37" s="24">
        <v>2820191.60941397</v>
      </c>
      <c r="J37" s="24">
        <v>6398945.82130054</v>
      </c>
      <c r="K37" s="24">
        <v>4026326.3809309</v>
      </c>
      <c r="L37" s="24">
        <v>2185766.69292379</v>
      </c>
      <c r="M37" s="24">
        <v>2474140.40574816</v>
      </c>
      <c r="N37" s="24">
        <v>6283243.53586346</v>
      </c>
      <c r="O37" s="24">
        <v>5382924.73669658</v>
      </c>
      <c r="P37" s="24">
        <v>23788437.4340666</v>
      </c>
      <c r="Q37" s="24">
        <v>14208427.7739389</v>
      </c>
      <c r="R37" s="24">
        <v>32953021.055473</v>
      </c>
      <c r="S37" s="24">
        <v>9530442.62309498</v>
      </c>
      <c r="T37" s="24">
        <v>7250673.43075751</v>
      </c>
      <c r="U37" s="24">
        <v>7615375.57064042</v>
      </c>
      <c r="V37" s="24">
        <v>7297379.87724152</v>
      </c>
      <c r="W37" s="24">
        <v>9726032.35651339</v>
      </c>
      <c r="X37" s="24">
        <v>17365176.2032923</v>
      </c>
      <c r="Y37" s="24">
        <v>1546278.73473804</v>
      </c>
      <c r="Z37" s="24">
        <v>1578359.69219133</v>
      </c>
      <c r="AA37" s="24">
        <v>282331.604994361</v>
      </c>
      <c r="AB37" s="24">
        <v>30604571.1719409</v>
      </c>
      <c r="AC37" s="24">
        <v>2939429.44531527</v>
      </c>
      <c r="AD37" s="24">
        <v>2330199.74063934</v>
      </c>
      <c r="AE37" s="24">
        <v>104174712.075721</v>
      </c>
      <c r="AF37" s="24">
        <v>66311456.9066286</v>
      </c>
      <c r="AG37" s="24">
        <v>112106945.934878</v>
      </c>
      <c r="AH37" s="24">
        <v>4062902.51368709</v>
      </c>
      <c r="AI37" s="24">
        <v>19062233.1988224</v>
      </c>
      <c r="AJ37" s="24">
        <v>83595197.7254967</v>
      </c>
      <c r="AK37" s="24">
        <v>120180471.737371</v>
      </c>
      <c r="AL37" s="24">
        <v>65773378.4793735</v>
      </c>
      <c r="AM37" s="24">
        <v>2207710.75066093</v>
      </c>
      <c r="AN37" s="24">
        <v>20323735.3695843</v>
      </c>
      <c r="AO37" s="24">
        <v>4891766.96683236</v>
      </c>
      <c r="AP37" s="24">
        <v>3791001.31686692</v>
      </c>
      <c r="AQ37" s="24">
        <v>14161181.4607964</v>
      </c>
      <c r="AR37" s="24">
        <v>3575014.46633917</v>
      </c>
      <c r="AS37" s="24">
        <v>3860896.18172094</v>
      </c>
      <c r="AT37" s="24">
        <v>19859586.4471717</v>
      </c>
      <c r="AU37" s="36">
        <v>879676424.417962</v>
      </c>
      <c r="AV37" s="24">
        <v>342798569.71051</v>
      </c>
      <c r="AW37" s="24">
        <v>0</v>
      </c>
      <c r="AX37" s="24">
        <v>0</v>
      </c>
      <c r="AY37" s="24">
        <v>6895161.34376995</v>
      </c>
      <c r="AZ37" s="36">
        <v>349693731.05428</v>
      </c>
      <c r="BA37" s="36">
        <v>0</v>
      </c>
      <c r="BB37" s="43">
        <v>1229370155.47224</v>
      </c>
    </row>
    <row r="38" spans="1:54">
      <c r="A38" s="21"/>
      <c r="B38" s="22"/>
      <c r="C38" s="23" t="s">
        <v>93</v>
      </c>
      <c r="D38" s="20" t="s">
        <v>197</v>
      </c>
      <c r="E38" s="24">
        <v>20082.659692497</v>
      </c>
      <c r="F38" s="24">
        <v>154368.02123161</v>
      </c>
      <c r="G38" s="24">
        <v>30567.8260411511</v>
      </c>
      <c r="H38" s="24">
        <v>739.604050533483</v>
      </c>
      <c r="I38" s="24">
        <v>42385.2381048908</v>
      </c>
      <c r="J38" s="24">
        <v>368861.657403463</v>
      </c>
      <c r="K38" s="24">
        <v>115144.423476833</v>
      </c>
      <c r="L38" s="24">
        <v>173740.931204141</v>
      </c>
      <c r="M38" s="24">
        <v>231530.118779109</v>
      </c>
      <c r="N38" s="24">
        <v>184701.672214847</v>
      </c>
      <c r="O38" s="24">
        <v>11998.50796184</v>
      </c>
      <c r="P38" s="24">
        <v>627719.559896155</v>
      </c>
      <c r="Q38" s="24">
        <v>308749.030828499</v>
      </c>
      <c r="R38" s="24">
        <v>40126.3844662566</v>
      </c>
      <c r="S38" s="24">
        <v>274687.647521756</v>
      </c>
      <c r="T38" s="24">
        <v>363253.370293211</v>
      </c>
      <c r="U38" s="24">
        <v>219130.966656677</v>
      </c>
      <c r="V38" s="24">
        <v>397678.689635401</v>
      </c>
      <c r="W38" s="24">
        <v>470907.961317089</v>
      </c>
      <c r="X38" s="24">
        <v>582046.954014448</v>
      </c>
      <c r="Y38" s="24">
        <v>117477.419045343</v>
      </c>
      <c r="Z38" s="24">
        <v>36983.0332392083</v>
      </c>
      <c r="AA38" s="24">
        <v>270960.620298256</v>
      </c>
      <c r="AB38" s="24">
        <v>142396.255764799</v>
      </c>
      <c r="AC38" s="24">
        <v>67003.9951446136</v>
      </c>
      <c r="AD38" s="24">
        <v>57196.021567538</v>
      </c>
      <c r="AE38" s="24">
        <v>529996.065528174</v>
      </c>
      <c r="AF38" s="24">
        <v>109562548.179287</v>
      </c>
      <c r="AG38" s="24">
        <v>15294260.5489939</v>
      </c>
      <c r="AH38" s="24">
        <v>18203225.337623</v>
      </c>
      <c r="AI38" s="24">
        <v>63369467.4121711</v>
      </c>
      <c r="AJ38" s="24">
        <v>74704849.5411754</v>
      </c>
      <c r="AK38" s="24">
        <v>44133548.9181023</v>
      </c>
      <c r="AL38" s="24">
        <v>58013520.6167283</v>
      </c>
      <c r="AM38" s="24">
        <v>3738744.58005519</v>
      </c>
      <c r="AN38" s="24">
        <v>8758746.69435653</v>
      </c>
      <c r="AO38" s="24">
        <v>1332312.20653033</v>
      </c>
      <c r="AP38" s="24">
        <v>30523399.633695</v>
      </c>
      <c r="AQ38" s="24">
        <v>21605085.831632</v>
      </c>
      <c r="AR38" s="24">
        <v>7425864.63189016</v>
      </c>
      <c r="AS38" s="24">
        <v>6106378.24334243</v>
      </c>
      <c r="AT38" s="24">
        <v>15600816.4807817</v>
      </c>
      <c r="AU38" s="36">
        <v>484213203.491743</v>
      </c>
      <c r="AV38" s="24">
        <v>549460276.842044</v>
      </c>
      <c r="AW38" s="24">
        <v>32960000</v>
      </c>
      <c r="AX38" s="24">
        <v>0</v>
      </c>
      <c r="AY38" s="24">
        <v>0</v>
      </c>
      <c r="AZ38" s="36">
        <v>582420276.842044</v>
      </c>
      <c r="BA38" s="36">
        <v>0</v>
      </c>
      <c r="BB38" s="43">
        <v>1066633480.33379</v>
      </c>
    </row>
    <row r="39" spans="1:54">
      <c r="A39" s="21"/>
      <c r="B39" s="22"/>
      <c r="C39" s="23" t="s">
        <v>90</v>
      </c>
      <c r="D39" s="19" t="s">
        <v>198</v>
      </c>
      <c r="E39" s="24">
        <v>3103242.66485008</v>
      </c>
      <c r="F39" s="24">
        <v>7808156.2603411</v>
      </c>
      <c r="G39" s="24">
        <v>1547786.48331892</v>
      </c>
      <c r="H39" s="24">
        <v>2166829.22369049</v>
      </c>
      <c r="I39" s="24">
        <v>2302285.60507608</v>
      </c>
      <c r="J39" s="24">
        <v>27575811.8573214</v>
      </c>
      <c r="K39" s="24">
        <v>3099030.54645473</v>
      </c>
      <c r="L39" s="24">
        <v>9220337.34842024</v>
      </c>
      <c r="M39" s="24">
        <v>2993379.56076759</v>
      </c>
      <c r="N39" s="24">
        <v>9452055.42800678</v>
      </c>
      <c r="O39" s="24">
        <v>5118520.45850193</v>
      </c>
      <c r="P39" s="24">
        <v>35584026.4730674</v>
      </c>
      <c r="Q39" s="24">
        <v>11794135.3365531</v>
      </c>
      <c r="R39" s="24">
        <v>6998034.92563989</v>
      </c>
      <c r="S39" s="24">
        <v>7834972.36013537</v>
      </c>
      <c r="T39" s="24">
        <v>10976996.5913364</v>
      </c>
      <c r="U39" s="24">
        <v>9600923.00168992</v>
      </c>
      <c r="V39" s="24">
        <v>18261820.0480957</v>
      </c>
      <c r="W39" s="24">
        <v>12659225.3805403</v>
      </c>
      <c r="X39" s="24">
        <v>17530856.8209826</v>
      </c>
      <c r="Y39" s="24">
        <v>1317326.45413434</v>
      </c>
      <c r="Z39" s="24">
        <v>1175486.69873236</v>
      </c>
      <c r="AA39" s="24">
        <v>460979.262379285</v>
      </c>
      <c r="AB39" s="24">
        <v>4496305.04715001</v>
      </c>
      <c r="AC39" s="24">
        <v>1748921.89503841</v>
      </c>
      <c r="AD39" s="24">
        <v>489487.305208622</v>
      </c>
      <c r="AE39" s="24">
        <v>52292679.0944361</v>
      </c>
      <c r="AF39" s="24">
        <v>155473925.078916</v>
      </c>
      <c r="AG39" s="24">
        <v>35123659.6758883</v>
      </c>
      <c r="AH39" s="24">
        <v>8362200.7613156</v>
      </c>
      <c r="AI39" s="24">
        <v>72407108.6651317</v>
      </c>
      <c r="AJ39" s="24">
        <v>76439002.6023619</v>
      </c>
      <c r="AK39" s="24">
        <v>65237186.454602</v>
      </c>
      <c r="AL39" s="24">
        <v>100151536.97956</v>
      </c>
      <c r="AM39" s="24">
        <v>8635049.38688377</v>
      </c>
      <c r="AN39" s="24">
        <v>26753571.6576244</v>
      </c>
      <c r="AO39" s="24">
        <v>3701737.34216295</v>
      </c>
      <c r="AP39" s="24">
        <v>7005180.26729841</v>
      </c>
      <c r="AQ39" s="24">
        <v>5540214.29052545</v>
      </c>
      <c r="AR39" s="24">
        <v>2657450.29410909</v>
      </c>
      <c r="AS39" s="24">
        <v>6727967.28208984</v>
      </c>
      <c r="AT39" s="24">
        <v>23328140.3751844</v>
      </c>
      <c r="AU39" s="36">
        <v>865153543.245523</v>
      </c>
      <c r="AV39" s="24">
        <v>56883708.198561</v>
      </c>
      <c r="AW39" s="24">
        <v>0</v>
      </c>
      <c r="AX39" s="24">
        <v>0</v>
      </c>
      <c r="AY39" s="24">
        <v>40525349.1646139</v>
      </c>
      <c r="AZ39" s="36">
        <v>97409057.3631749</v>
      </c>
      <c r="BA39" s="36">
        <v>0</v>
      </c>
      <c r="BB39" s="43">
        <v>962562600.608697</v>
      </c>
    </row>
    <row r="40" spans="1:54">
      <c r="A40" s="21"/>
      <c r="B40" s="22"/>
      <c r="C40" s="23" t="s">
        <v>91</v>
      </c>
      <c r="D40" s="19" t="s">
        <v>199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860250.388241398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36">
        <v>860250.388241398</v>
      </c>
      <c r="AV40" s="24">
        <v>60926779.1036859</v>
      </c>
      <c r="AW40" s="24">
        <v>160092759.721261</v>
      </c>
      <c r="AX40" s="24">
        <v>0</v>
      </c>
      <c r="AY40" s="24">
        <v>9676778.94604033</v>
      </c>
      <c r="AZ40" s="36">
        <v>230696317.770987</v>
      </c>
      <c r="BA40" s="36">
        <v>0</v>
      </c>
      <c r="BB40" s="43">
        <v>231556568.159228</v>
      </c>
    </row>
    <row r="41" spans="1:54">
      <c r="A41" s="21"/>
      <c r="B41" s="22"/>
      <c r="C41" s="23" t="s">
        <v>94</v>
      </c>
      <c r="D41" s="19" t="s">
        <v>200</v>
      </c>
      <c r="E41" s="24">
        <v>8183686.4753515</v>
      </c>
      <c r="F41" s="24">
        <v>2051462.52983747</v>
      </c>
      <c r="G41" s="24">
        <v>439977.222789407</v>
      </c>
      <c r="H41" s="24">
        <v>1040033.01440777</v>
      </c>
      <c r="I41" s="24">
        <v>1344855.45824304</v>
      </c>
      <c r="J41" s="24">
        <v>1676472.63539109</v>
      </c>
      <c r="K41" s="24">
        <v>369115.524261005</v>
      </c>
      <c r="L41" s="24">
        <v>1102565.38936739</v>
      </c>
      <c r="M41" s="24">
        <v>953469.33963108</v>
      </c>
      <c r="N41" s="24">
        <v>1344021.39502401</v>
      </c>
      <c r="O41" s="24">
        <v>231164.630408414</v>
      </c>
      <c r="P41" s="24">
        <v>10480192.892597</v>
      </c>
      <c r="Q41" s="24">
        <v>2805612.46961487</v>
      </c>
      <c r="R41" s="24">
        <v>3284574.90222616</v>
      </c>
      <c r="S41" s="24">
        <v>2353821.55627387</v>
      </c>
      <c r="T41" s="24">
        <v>2501260.76386193</v>
      </c>
      <c r="U41" s="24">
        <v>3941338.70858884</v>
      </c>
      <c r="V41" s="24">
        <v>9435421.62714428</v>
      </c>
      <c r="W41" s="24">
        <v>3565826.68818058</v>
      </c>
      <c r="X41" s="24">
        <v>9339696.40323746</v>
      </c>
      <c r="Y41" s="24">
        <v>815054.579618223</v>
      </c>
      <c r="Z41" s="24">
        <v>138277.384175464</v>
      </c>
      <c r="AA41" s="24">
        <v>90245.7695693257</v>
      </c>
      <c r="AB41" s="24">
        <v>3652469.69495684</v>
      </c>
      <c r="AC41" s="24">
        <v>10048.6627331872</v>
      </c>
      <c r="AD41" s="24">
        <v>43760.7379030933</v>
      </c>
      <c r="AE41" s="24">
        <v>240915311.389049</v>
      </c>
      <c r="AF41" s="24">
        <v>11282047.9799783</v>
      </c>
      <c r="AG41" s="24">
        <v>3801996.43936455</v>
      </c>
      <c r="AH41" s="24">
        <v>167826.699453922</v>
      </c>
      <c r="AI41" s="24">
        <v>3281324.99969135</v>
      </c>
      <c r="AJ41" s="24">
        <v>841145.409195152</v>
      </c>
      <c r="AK41" s="24">
        <v>886848.712798229</v>
      </c>
      <c r="AL41" s="24">
        <v>123358.933278369</v>
      </c>
      <c r="AM41" s="24">
        <v>13591265.8038731</v>
      </c>
      <c r="AN41" s="24">
        <v>72827591.1024143</v>
      </c>
      <c r="AO41" s="24">
        <v>330590.593122234</v>
      </c>
      <c r="AP41" s="24">
        <v>14101.0968110642</v>
      </c>
      <c r="AQ41" s="24">
        <v>1373597.44734327</v>
      </c>
      <c r="AR41" s="24">
        <v>250745.103421687</v>
      </c>
      <c r="AS41" s="24">
        <v>31778.261398341</v>
      </c>
      <c r="AT41" s="24">
        <v>359526.506768852</v>
      </c>
      <c r="AU41" s="36">
        <v>421273482.933355</v>
      </c>
      <c r="AV41" s="24">
        <v>89792956.0015357</v>
      </c>
      <c r="AW41" s="24">
        <v>8718042.8776</v>
      </c>
      <c r="AX41" s="24">
        <v>0</v>
      </c>
      <c r="AY41" s="24">
        <v>1387.71592662749</v>
      </c>
      <c r="AZ41" s="36">
        <v>98512386.5950623</v>
      </c>
      <c r="BA41" s="36">
        <v>0</v>
      </c>
      <c r="BB41" s="43">
        <v>519785869.528417</v>
      </c>
    </row>
    <row r="42" spans="1:54">
      <c r="A42" s="21"/>
      <c r="B42" s="22"/>
      <c r="C42" s="23" t="s">
        <v>163</v>
      </c>
      <c r="D42" s="19" t="s">
        <v>201</v>
      </c>
      <c r="E42" s="24">
        <v>1804720.42731411</v>
      </c>
      <c r="F42" s="24">
        <v>104835.095841473</v>
      </c>
      <c r="G42" s="24">
        <v>46216.5394731929</v>
      </c>
      <c r="H42" s="24">
        <v>120233.050455365</v>
      </c>
      <c r="I42" s="24">
        <v>202999.527349165</v>
      </c>
      <c r="J42" s="24">
        <v>486591.512726656</v>
      </c>
      <c r="K42" s="24">
        <v>647942.023884789</v>
      </c>
      <c r="L42" s="24">
        <v>133623.454678053</v>
      </c>
      <c r="M42" s="24">
        <v>129229.021100692</v>
      </c>
      <c r="N42" s="24">
        <v>810323.672916359</v>
      </c>
      <c r="O42" s="24">
        <v>248577.477839115</v>
      </c>
      <c r="P42" s="24">
        <v>945183.493926046</v>
      </c>
      <c r="Q42" s="24">
        <v>432033.128747232</v>
      </c>
      <c r="R42" s="24">
        <v>880733.610685228</v>
      </c>
      <c r="S42" s="24">
        <v>228949.64826211</v>
      </c>
      <c r="T42" s="24">
        <v>346354.539984804</v>
      </c>
      <c r="U42" s="24">
        <v>339637.176345445</v>
      </c>
      <c r="V42" s="24">
        <v>405660.709479405</v>
      </c>
      <c r="W42" s="24">
        <v>339894.211007959</v>
      </c>
      <c r="X42" s="24">
        <v>362711.194002659</v>
      </c>
      <c r="Y42" s="24">
        <v>59066.613571687</v>
      </c>
      <c r="Z42" s="24">
        <v>83086.4205181331</v>
      </c>
      <c r="AA42" s="24">
        <v>37890.6909738607</v>
      </c>
      <c r="AB42" s="24">
        <v>2064770.98537225</v>
      </c>
      <c r="AC42" s="24">
        <v>20418.7553679725</v>
      </c>
      <c r="AD42" s="24">
        <v>2213869.06972517</v>
      </c>
      <c r="AE42" s="24">
        <v>1128697.84733123</v>
      </c>
      <c r="AF42" s="24">
        <v>2092562.40191657</v>
      </c>
      <c r="AG42" s="24">
        <v>1996027.54194567</v>
      </c>
      <c r="AH42" s="24">
        <v>308947.225433731</v>
      </c>
      <c r="AI42" s="24">
        <v>1046321.2564034</v>
      </c>
      <c r="AJ42" s="24">
        <v>1901971.79820498</v>
      </c>
      <c r="AK42" s="24">
        <v>429532.120602969</v>
      </c>
      <c r="AL42" s="24">
        <v>3740750.917331</v>
      </c>
      <c r="AM42" s="24">
        <v>697437.240516347</v>
      </c>
      <c r="AN42" s="24">
        <v>644089.883920504</v>
      </c>
      <c r="AO42" s="24">
        <v>3562655.50642079</v>
      </c>
      <c r="AP42" s="24">
        <v>531212.884793772</v>
      </c>
      <c r="AQ42" s="24">
        <v>573175.864998625</v>
      </c>
      <c r="AR42" s="24">
        <v>421600.360716582</v>
      </c>
      <c r="AS42" s="24">
        <v>345057.501997916</v>
      </c>
      <c r="AT42" s="24">
        <v>1693874.2495</v>
      </c>
      <c r="AU42" s="36">
        <v>34609466.653583</v>
      </c>
      <c r="AV42" s="24">
        <v>78261301.7546299</v>
      </c>
      <c r="AW42" s="24">
        <v>0</v>
      </c>
      <c r="AX42" s="24">
        <v>0</v>
      </c>
      <c r="AY42" s="24">
        <v>293213.8001929</v>
      </c>
      <c r="AZ42" s="36">
        <v>78554515.5548228</v>
      </c>
      <c r="BA42" s="36">
        <v>0</v>
      </c>
      <c r="BB42" s="43">
        <v>113163982.208406</v>
      </c>
    </row>
    <row r="43" spans="1:54">
      <c r="A43" s="21"/>
      <c r="B43" s="22"/>
      <c r="C43" s="23" t="s">
        <v>99</v>
      </c>
      <c r="D43" s="19" t="s">
        <v>202</v>
      </c>
      <c r="E43" s="24">
        <v>1162397.39834427</v>
      </c>
      <c r="F43" s="24">
        <v>1569830.502662</v>
      </c>
      <c r="G43" s="24">
        <v>159386.410420715</v>
      </c>
      <c r="H43" s="24">
        <v>94113.663384316</v>
      </c>
      <c r="I43" s="24">
        <v>256275.872062047</v>
      </c>
      <c r="J43" s="24">
        <v>1801970.03318312</v>
      </c>
      <c r="K43" s="24">
        <v>672458.244951717</v>
      </c>
      <c r="L43" s="24">
        <v>593807.578312387</v>
      </c>
      <c r="M43" s="24">
        <v>748904.04015807</v>
      </c>
      <c r="N43" s="24">
        <v>1210992.51421212</v>
      </c>
      <c r="O43" s="24">
        <v>696299.771721184</v>
      </c>
      <c r="P43" s="24">
        <v>4401786.14994285</v>
      </c>
      <c r="Q43" s="24">
        <v>2152188.08375026</v>
      </c>
      <c r="R43" s="24">
        <v>1512327.30375344</v>
      </c>
      <c r="S43" s="24">
        <v>1871053.20942117</v>
      </c>
      <c r="T43" s="24">
        <v>2177435.0947761</v>
      </c>
      <c r="U43" s="24">
        <v>1440596.56517176</v>
      </c>
      <c r="V43" s="24">
        <v>4136945.11190699</v>
      </c>
      <c r="W43" s="24">
        <v>2650589.95304707</v>
      </c>
      <c r="X43" s="24">
        <v>2854633.24280293</v>
      </c>
      <c r="Y43" s="24">
        <v>328422.918189591</v>
      </c>
      <c r="Z43" s="24">
        <v>253839.289963719</v>
      </c>
      <c r="AA43" s="24">
        <v>99249.4511181689</v>
      </c>
      <c r="AB43" s="24">
        <v>2395782.91856207</v>
      </c>
      <c r="AC43" s="24">
        <v>247361.965403633</v>
      </c>
      <c r="AD43" s="24">
        <v>377392.453834334</v>
      </c>
      <c r="AE43" s="24">
        <v>18589278.3485171</v>
      </c>
      <c r="AF43" s="24">
        <v>10936817.2482683</v>
      </c>
      <c r="AG43" s="24">
        <v>17956064.926749</v>
      </c>
      <c r="AH43" s="24">
        <v>2370048.75002588</v>
      </c>
      <c r="AI43" s="24">
        <v>2165345.51653952</v>
      </c>
      <c r="AJ43" s="24">
        <v>3686570.70586811</v>
      </c>
      <c r="AK43" s="24">
        <v>1817217.87257167</v>
      </c>
      <c r="AL43" s="24">
        <v>7553140.62261423</v>
      </c>
      <c r="AM43" s="24">
        <v>3501305.22514383</v>
      </c>
      <c r="AN43" s="24">
        <v>6088183.53004556</v>
      </c>
      <c r="AO43" s="24">
        <v>4397041.84784083</v>
      </c>
      <c r="AP43" s="24">
        <v>5478387.87829708</v>
      </c>
      <c r="AQ43" s="24">
        <v>6387727.03453322</v>
      </c>
      <c r="AR43" s="24">
        <v>3728248.68452788</v>
      </c>
      <c r="AS43" s="24">
        <v>2160584.8214632</v>
      </c>
      <c r="AT43" s="24">
        <v>16937176.3545233</v>
      </c>
      <c r="AU43" s="36">
        <v>149619179.108585</v>
      </c>
      <c r="AV43" s="24">
        <v>150620733.893608</v>
      </c>
      <c r="AW43" s="24">
        <v>0</v>
      </c>
      <c r="AX43" s="24">
        <v>0</v>
      </c>
      <c r="AY43" s="24">
        <v>97675.72023538</v>
      </c>
      <c r="AZ43" s="36">
        <v>150718409.613844</v>
      </c>
      <c r="BA43" s="36">
        <v>0</v>
      </c>
      <c r="BB43" s="43">
        <v>300337588.722429</v>
      </c>
    </row>
    <row r="44" spans="1:54">
      <c r="A44" s="21"/>
      <c r="B44" s="22"/>
      <c r="C44" s="23" t="s">
        <v>96</v>
      </c>
      <c r="D44" s="19" t="s">
        <v>203</v>
      </c>
      <c r="E44" s="24">
        <v>167081.063319981</v>
      </c>
      <c r="F44" s="24">
        <v>84289.854237093</v>
      </c>
      <c r="G44" s="24">
        <v>10224.6414010659</v>
      </c>
      <c r="H44" s="24">
        <v>12130.5338738886</v>
      </c>
      <c r="I44" s="24">
        <v>15489.9976407173</v>
      </c>
      <c r="J44" s="24">
        <v>142405.141809283</v>
      </c>
      <c r="K44" s="24">
        <v>46922.1186653606</v>
      </c>
      <c r="L44" s="24">
        <v>60489.9632498929</v>
      </c>
      <c r="M44" s="24">
        <v>64124.2563566548</v>
      </c>
      <c r="N44" s="24">
        <v>44195.4834889253</v>
      </c>
      <c r="O44" s="24">
        <v>38711.8431072445</v>
      </c>
      <c r="P44" s="24">
        <v>261878.853969216</v>
      </c>
      <c r="Q44" s="24">
        <v>126924.069557151</v>
      </c>
      <c r="R44" s="24">
        <v>61844.3368228022</v>
      </c>
      <c r="S44" s="24">
        <v>113665.885247161</v>
      </c>
      <c r="T44" s="24">
        <v>153989.560783365</v>
      </c>
      <c r="U44" s="24">
        <v>99155.7207475335</v>
      </c>
      <c r="V44" s="24">
        <v>133092.379344042</v>
      </c>
      <c r="W44" s="24">
        <v>91487.3998867381</v>
      </c>
      <c r="X44" s="24">
        <v>111090.708838592</v>
      </c>
      <c r="Y44" s="24">
        <v>25607.178963784</v>
      </c>
      <c r="Z44" s="24">
        <v>16701.8185599538</v>
      </c>
      <c r="AA44" s="24">
        <v>21287.6699437223</v>
      </c>
      <c r="AB44" s="24">
        <v>21622.4443010024</v>
      </c>
      <c r="AC44" s="24">
        <v>20627.1888158163</v>
      </c>
      <c r="AD44" s="24">
        <v>25220.1084597461</v>
      </c>
      <c r="AE44" s="24">
        <v>864553.128343884</v>
      </c>
      <c r="AF44" s="24">
        <v>1556026.82121632</v>
      </c>
      <c r="AG44" s="24">
        <v>1314848.27798285</v>
      </c>
      <c r="AH44" s="24">
        <v>298521.326528865</v>
      </c>
      <c r="AI44" s="24">
        <v>578304.519396349</v>
      </c>
      <c r="AJ44" s="24">
        <v>3102120.94272495</v>
      </c>
      <c r="AK44" s="24">
        <v>274596.44974074</v>
      </c>
      <c r="AL44" s="24">
        <v>576898.767881597</v>
      </c>
      <c r="AM44" s="24">
        <v>142839.265608974</v>
      </c>
      <c r="AN44" s="24">
        <v>492632.156668667</v>
      </c>
      <c r="AO44" s="24">
        <v>85348.5537487972</v>
      </c>
      <c r="AP44" s="24">
        <v>189130.321780453</v>
      </c>
      <c r="AQ44" s="24">
        <v>7696008.6095651</v>
      </c>
      <c r="AR44" s="24">
        <v>792734.636069641</v>
      </c>
      <c r="AS44" s="24">
        <v>245179.807579042</v>
      </c>
      <c r="AT44" s="24">
        <v>7491721.43150624</v>
      </c>
      <c r="AU44" s="36">
        <v>27671725.2377332</v>
      </c>
      <c r="AV44" s="24">
        <v>504815833.897063</v>
      </c>
      <c r="AW44" s="24">
        <v>0</v>
      </c>
      <c r="AX44" s="24">
        <v>0</v>
      </c>
      <c r="AY44" s="24">
        <v>0</v>
      </c>
      <c r="AZ44" s="36">
        <v>504815833.897063</v>
      </c>
      <c r="BA44" s="36">
        <v>0</v>
      </c>
      <c r="BB44" s="43">
        <v>532487559.134796</v>
      </c>
    </row>
    <row r="45" spans="1:54">
      <c r="A45" s="21"/>
      <c r="B45" s="22"/>
      <c r="C45" s="23" t="s">
        <v>97</v>
      </c>
      <c r="D45" s="19" t="s">
        <v>204</v>
      </c>
      <c r="E45" s="24">
        <v>105942.681287745</v>
      </c>
      <c r="F45" s="24">
        <v>144985.070058774</v>
      </c>
      <c r="G45" s="24">
        <v>13114.6783903721</v>
      </c>
      <c r="H45" s="24">
        <v>49092.497412144</v>
      </c>
      <c r="I45" s="24">
        <v>47680.7689414135</v>
      </c>
      <c r="J45" s="24">
        <v>73841.8296148446</v>
      </c>
      <c r="K45" s="24">
        <v>46509.7854682134</v>
      </c>
      <c r="L45" s="24">
        <v>77303.2163210951</v>
      </c>
      <c r="M45" s="24">
        <v>48249.3114867104</v>
      </c>
      <c r="N45" s="24">
        <v>87685.3466958931</v>
      </c>
      <c r="O45" s="24">
        <v>835882.188845842</v>
      </c>
      <c r="P45" s="24">
        <v>169147.191599502</v>
      </c>
      <c r="Q45" s="24">
        <v>239122.386708203</v>
      </c>
      <c r="R45" s="24">
        <v>391885.48634341</v>
      </c>
      <c r="S45" s="24">
        <v>269540.051881497</v>
      </c>
      <c r="T45" s="24">
        <v>411678.796280271</v>
      </c>
      <c r="U45" s="24">
        <v>261031.59449148</v>
      </c>
      <c r="V45" s="24">
        <v>344498.522118818</v>
      </c>
      <c r="W45" s="24">
        <v>306661.877396643</v>
      </c>
      <c r="X45" s="24">
        <v>140815.632207289</v>
      </c>
      <c r="Y45" s="24">
        <v>38131.0808916447</v>
      </c>
      <c r="Z45" s="24">
        <v>11704.9530922022</v>
      </c>
      <c r="AA45" s="24">
        <v>6576.06254115358</v>
      </c>
      <c r="AB45" s="24">
        <v>351762.863071733</v>
      </c>
      <c r="AC45" s="24">
        <v>37298.7259776939</v>
      </c>
      <c r="AD45" s="24">
        <v>1843.34993943823</v>
      </c>
      <c r="AE45" s="24">
        <v>1212374.80559579</v>
      </c>
      <c r="AF45" s="24">
        <v>405132.271949953</v>
      </c>
      <c r="AG45" s="24">
        <v>585717.193834534</v>
      </c>
      <c r="AH45" s="24">
        <v>11000.2521574924</v>
      </c>
      <c r="AI45" s="24">
        <v>25078.7308772668</v>
      </c>
      <c r="AJ45" s="24">
        <v>276186.509128968</v>
      </c>
      <c r="AK45" s="24">
        <v>2485.53061104635</v>
      </c>
      <c r="AL45" s="24">
        <v>6409.00179751995</v>
      </c>
      <c r="AM45" s="24">
        <v>19448.6369868429</v>
      </c>
      <c r="AN45" s="24">
        <v>42432.9050898068</v>
      </c>
      <c r="AO45" s="24">
        <v>28021.4224071854</v>
      </c>
      <c r="AP45" s="24">
        <v>73741.2495789783</v>
      </c>
      <c r="AQ45" s="24">
        <v>204959.540813375</v>
      </c>
      <c r="AR45" s="24">
        <v>2869982.98472617</v>
      </c>
      <c r="AS45" s="24">
        <v>49990.67491384</v>
      </c>
      <c r="AT45" s="24">
        <v>2394515.46774842</v>
      </c>
      <c r="AU45" s="36">
        <v>12719463.1272812</v>
      </c>
      <c r="AV45" s="24">
        <v>487195760.195016</v>
      </c>
      <c r="AW45" s="24">
        <v>0</v>
      </c>
      <c r="AX45" s="24">
        <v>0</v>
      </c>
      <c r="AY45" s="24">
        <v>156974.417010226</v>
      </c>
      <c r="AZ45" s="36">
        <v>487352734.612026</v>
      </c>
      <c r="BA45" s="36">
        <v>0</v>
      </c>
      <c r="BB45" s="43">
        <v>500072197.739307</v>
      </c>
    </row>
    <row r="46" spans="1:54">
      <c r="A46" s="21"/>
      <c r="B46" s="22"/>
      <c r="C46" s="23" t="s">
        <v>98</v>
      </c>
      <c r="D46" s="19" t="s">
        <v>205</v>
      </c>
      <c r="E46" s="24">
        <v>98700.7662597285</v>
      </c>
      <c r="F46" s="24">
        <v>262860.669765145</v>
      </c>
      <c r="G46" s="24">
        <v>120201.949045971</v>
      </c>
      <c r="H46" s="24">
        <v>113972.632765076</v>
      </c>
      <c r="I46" s="24">
        <v>67742.6837079672</v>
      </c>
      <c r="J46" s="24">
        <v>857428.800681272</v>
      </c>
      <c r="K46" s="24">
        <v>419740.960082654</v>
      </c>
      <c r="L46" s="24">
        <v>410484.995435592</v>
      </c>
      <c r="M46" s="24">
        <v>276981.433294429</v>
      </c>
      <c r="N46" s="24">
        <v>289048.588531252</v>
      </c>
      <c r="O46" s="24">
        <v>297921.984115428</v>
      </c>
      <c r="P46" s="24">
        <v>1652642.706538</v>
      </c>
      <c r="Q46" s="24">
        <v>850982.419684048</v>
      </c>
      <c r="R46" s="24">
        <v>903046.305922365</v>
      </c>
      <c r="S46" s="24">
        <v>428783.933841188</v>
      </c>
      <c r="T46" s="24">
        <v>976780.311505479</v>
      </c>
      <c r="U46" s="24">
        <v>502087.849152211</v>
      </c>
      <c r="V46" s="24">
        <v>1571647.05748046</v>
      </c>
      <c r="W46" s="24">
        <v>775066.484312474</v>
      </c>
      <c r="X46" s="24">
        <v>989894.995905518</v>
      </c>
      <c r="Y46" s="24">
        <v>81714.4678039833</v>
      </c>
      <c r="Z46" s="24">
        <v>91615.748375489</v>
      </c>
      <c r="AA46" s="24">
        <v>33491.9550420212</v>
      </c>
      <c r="AB46" s="24">
        <v>958573.766897236</v>
      </c>
      <c r="AC46" s="24">
        <v>92755.8903854978</v>
      </c>
      <c r="AD46" s="24">
        <v>123424.030229252</v>
      </c>
      <c r="AE46" s="24">
        <v>2763485.87894638</v>
      </c>
      <c r="AF46" s="24">
        <v>1674835.54056041</v>
      </c>
      <c r="AG46" s="24">
        <v>2490358.02570513</v>
      </c>
      <c r="AH46" s="24">
        <v>637490.53270558</v>
      </c>
      <c r="AI46" s="24">
        <v>3499170.07655211</v>
      </c>
      <c r="AJ46" s="24">
        <v>10457951.3978078</v>
      </c>
      <c r="AK46" s="24">
        <v>1268639.42272128</v>
      </c>
      <c r="AL46" s="24">
        <v>3884785.22302939</v>
      </c>
      <c r="AM46" s="24">
        <v>1059899.84998647</v>
      </c>
      <c r="AN46" s="24">
        <v>1251022.35195853</v>
      </c>
      <c r="AO46" s="24">
        <v>398984.542884149</v>
      </c>
      <c r="AP46" s="24">
        <v>1118329.30445223</v>
      </c>
      <c r="AQ46" s="24">
        <v>2079357.32290485</v>
      </c>
      <c r="AR46" s="24">
        <v>303134.188313986</v>
      </c>
      <c r="AS46" s="24">
        <v>7882986.42988339</v>
      </c>
      <c r="AT46" s="24">
        <v>6199300.16819127</v>
      </c>
      <c r="AU46" s="36">
        <v>60217323.6433627</v>
      </c>
      <c r="AV46" s="24">
        <v>87876147.9673371</v>
      </c>
      <c r="AW46" s="24">
        <v>4904554.10355334</v>
      </c>
      <c r="AX46" s="24">
        <v>0</v>
      </c>
      <c r="AY46" s="24">
        <v>2845384.05103864</v>
      </c>
      <c r="AZ46" s="36">
        <v>95626086.121929</v>
      </c>
      <c r="BA46" s="36">
        <v>0</v>
      </c>
      <c r="BB46" s="43">
        <v>155843409.765292</v>
      </c>
    </row>
    <row r="47" ht="14.25" spans="1:54">
      <c r="A47" s="21"/>
      <c r="B47" s="25"/>
      <c r="C47" s="26" t="s">
        <v>164</v>
      </c>
      <c r="D47" s="27" t="s">
        <v>206</v>
      </c>
      <c r="E47" s="24">
        <v>412974.89772691</v>
      </c>
      <c r="F47" s="24">
        <v>65743.8627732289</v>
      </c>
      <c r="G47" s="24">
        <v>22347.2172025377</v>
      </c>
      <c r="H47" s="24">
        <v>28375.5321514064</v>
      </c>
      <c r="I47" s="24">
        <v>36069.1778879268</v>
      </c>
      <c r="J47" s="24">
        <v>254121.495587192</v>
      </c>
      <c r="K47" s="24">
        <v>152277.223335947</v>
      </c>
      <c r="L47" s="24">
        <v>124060.397313254</v>
      </c>
      <c r="M47" s="24">
        <v>76383.1510595478</v>
      </c>
      <c r="N47" s="24">
        <v>124585.275978865</v>
      </c>
      <c r="O47" s="24">
        <v>62260.6645847105</v>
      </c>
      <c r="P47" s="24">
        <v>583445.557463257</v>
      </c>
      <c r="Q47" s="24">
        <v>417731.789168683</v>
      </c>
      <c r="R47" s="24">
        <v>207787.184866647</v>
      </c>
      <c r="S47" s="24">
        <v>232464.640854943</v>
      </c>
      <c r="T47" s="24">
        <v>223677.463309768</v>
      </c>
      <c r="U47" s="24">
        <v>184715.293125698</v>
      </c>
      <c r="V47" s="24">
        <v>218431.05520487</v>
      </c>
      <c r="W47" s="24">
        <v>149584.817913996</v>
      </c>
      <c r="X47" s="24">
        <v>248419.192055517</v>
      </c>
      <c r="Y47" s="24">
        <v>21026.1993896735</v>
      </c>
      <c r="Z47" s="24">
        <v>114116.380592806</v>
      </c>
      <c r="AA47" s="24">
        <v>19669.2879349629</v>
      </c>
      <c r="AB47" s="24">
        <v>225574.627591031</v>
      </c>
      <c r="AC47" s="24">
        <v>22478.4565115606</v>
      </c>
      <c r="AD47" s="24">
        <v>35179.2894156128</v>
      </c>
      <c r="AE47" s="24">
        <v>429940.976820156</v>
      </c>
      <c r="AF47" s="24">
        <v>269257.793441903</v>
      </c>
      <c r="AG47" s="24">
        <v>582867.278687774</v>
      </c>
      <c r="AH47" s="24">
        <v>129226.204186949</v>
      </c>
      <c r="AI47" s="24">
        <v>475134.930118307</v>
      </c>
      <c r="AJ47" s="24">
        <v>668175.12457681</v>
      </c>
      <c r="AK47" s="24">
        <v>1309921.98935095</v>
      </c>
      <c r="AL47" s="24">
        <v>1300375.97782443</v>
      </c>
      <c r="AM47" s="24">
        <v>184314.685133946</v>
      </c>
      <c r="AN47" s="24">
        <v>535713.246912051</v>
      </c>
      <c r="AO47" s="24">
        <v>125873.884738805</v>
      </c>
      <c r="AP47" s="24">
        <v>165905.709159658</v>
      </c>
      <c r="AQ47" s="24">
        <v>910963.872142596</v>
      </c>
      <c r="AR47" s="24">
        <v>142966.220597986</v>
      </c>
      <c r="AS47" s="24">
        <v>159954.506527639</v>
      </c>
      <c r="AT47" s="24">
        <v>18709624.5284787</v>
      </c>
      <c r="AU47" s="36">
        <v>30363717.0596993</v>
      </c>
      <c r="AV47" s="24">
        <v>762444243.917467</v>
      </c>
      <c r="AW47" s="24">
        <v>0</v>
      </c>
      <c r="AX47" s="24">
        <v>0</v>
      </c>
      <c r="AY47" s="24">
        <v>1734244.17101661</v>
      </c>
      <c r="AZ47" s="36">
        <v>764178488.088483</v>
      </c>
      <c r="BA47" s="36">
        <v>0</v>
      </c>
      <c r="BB47" s="43">
        <v>794542205.148183</v>
      </c>
    </row>
    <row r="48" ht="14.25" spans="1:54">
      <c r="A48" s="21"/>
      <c r="B48" s="28" t="s">
        <v>210</v>
      </c>
      <c r="C48" s="29" t="s">
        <v>58</v>
      </c>
      <c r="D48" s="30" t="s">
        <v>165</v>
      </c>
      <c r="E48" s="24">
        <v>3963522.80567721</v>
      </c>
      <c r="F48" s="24">
        <v>273.063525086074</v>
      </c>
      <c r="G48" s="24">
        <v>2.98510042590074</v>
      </c>
      <c r="H48" s="24">
        <v>23.0106789843511</v>
      </c>
      <c r="I48" s="24">
        <v>20.2263814880557</v>
      </c>
      <c r="J48" s="24">
        <v>32521629.9685065</v>
      </c>
      <c r="K48" s="24">
        <v>3574299.61759751</v>
      </c>
      <c r="L48" s="24">
        <v>60624.0467293745</v>
      </c>
      <c r="M48" s="24">
        <v>5432711.57383877</v>
      </c>
      <c r="N48" s="24">
        <v>135167.144277847</v>
      </c>
      <c r="O48" s="24">
        <v>19.636456728296</v>
      </c>
      <c r="P48" s="24">
        <v>1903059.69738538</v>
      </c>
      <c r="Q48" s="24">
        <v>370.067386214175</v>
      </c>
      <c r="R48" s="24">
        <v>48.6989731135803</v>
      </c>
      <c r="S48" s="24">
        <v>128.561665741526</v>
      </c>
      <c r="T48" s="24">
        <v>1001.83428008308</v>
      </c>
      <c r="U48" s="24">
        <v>2872.38446488207</v>
      </c>
      <c r="V48" s="24">
        <v>1543.35105249122</v>
      </c>
      <c r="W48" s="24">
        <v>87.5575913793154</v>
      </c>
      <c r="X48" s="24">
        <v>6.49733782820447</v>
      </c>
      <c r="Y48" s="24">
        <v>0</v>
      </c>
      <c r="Z48" s="24">
        <v>2596.94497175253</v>
      </c>
      <c r="AA48" s="24">
        <v>0</v>
      </c>
      <c r="AB48" s="24">
        <v>69.3147981838753</v>
      </c>
      <c r="AC48" s="24">
        <v>1.41574503662932</v>
      </c>
      <c r="AD48" s="24">
        <v>0</v>
      </c>
      <c r="AE48" s="24">
        <v>299288.82008615</v>
      </c>
      <c r="AF48" s="24">
        <v>18.1912263008913</v>
      </c>
      <c r="AG48" s="24">
        <v>143.616767490939</v>
      </c>
      <c r="AH48" s="24">
        <v>37360.9762600904</v>
      </c>
      <c r="AI48" s="24">
        <v>350.85922142587</v>
      </c>
      <c r="AJ48" s="24">
        <v>98.0234656797313</v>
      </c>
      <c r="AK48" s="24">
        <v>212.573058111097</v>
      </c>
      <c r="AL48" s="24">
        <v>4804.35086101011</v>
      </c>
      <c r="AM48" s="24">
        <v>2059.82176761579</v>
      </c>
      <c r="AN48" s="24">
        <v>704.380898710829</v>
      </c>
      <c r="AO48" s="24">
        <v>6348.84069614688</v>
      </c>
      <c r="AP48" s="24">
        <v>1570.57058358264</v>
      </c>
      <c r="AQ48" s="24">
        <v>397.574304731301</v>
      </c>
      <c r="AR48" s="24">
        <v>361.151585759847</v>
      </c>
      <c r="AS48" s="24">
        <v>302.97623764814</v>
      </c>
      <c r="AT48" s="24">
        <v>0</v>
      </c>
      <c r="AU48" s="36">
        <v>47954103.1314425</v>
      </c>
      <c r="AV48" s="24">
        <v>12887568.736739</v>
      </c>
      <c r="AW48" s="24">
        <v>417696.231287724</v>
      </c>
      <c r="AX48" s="24">
        <v>2995685.13062021</v>
      </c>
      <c r="AY48" s="24">
        <v>6984.39989585644</v>
      </c>
      <c r="AZ48" s="36">
        <v>16307934.4985428</v>
      </c>
      <c r="BA48" s="36">
        <v>64262037.6299852</v>
      </c>
      <c r="BB48" s="43">
        <v>0</v>
      </c>
    </row>
    <row r="49" spans="1:54">
      <c r="A49" s="21"/>
      <c r="B49" s="22"/>
      <c r="C49" s="23" t="s">
        <v>150</v>
      </c>
      <c r="D49" s="19" t="s">
        <v>166</v>
      </c>
      <c r="E49" s="24">
        <v>47.6407245206634</v>
      </c>
      <c r="F49" s="24">
        <v>978152.412436814</v>
      </c>
      <c r="G49" s="24">
        <v>5.05059322332822</v>
      </c>
      <c r="H49" s="24">
        <v>173138.137908681</v>
      </c>
      <c r="I49" s="24">
        <v>96.7440080304554</v>
      </c>
      <c r="J49" s="24">
        <v>171.621755007077</v>
      </c>
      <c r="K49" s="24">
        <v>109.984269249544</v>
      </c>
      <c r="L49" s="24">
        <v>33.2933588049145</v>
      </c>
      <c r="M49" s="24">
        <v>22.1776145218884</v>
      </c>
      <c r="N49" s="24">
        <v>174047.738787144</v>
      </c>
      <c r="O49" s="24">
        <v>3058605.05410605</v>
      </c>
      <c r="P49" s="24">
        <v>42685.7333699487</v>
      </c>
      <c r="Q49" s="24">
        <v>195245.639583843</v>
      </c>
      <c r="R49" s="24">
        <v>1226225.01116353</v>
      </c>
      <c r="S49" s="24">
        <v>39.1732204644053</v>
      </c>
      <c r="T49" s="24">
        <v>28.5613502555009</v>
      </c>
      <c r="U49" s="24">
        <v>19.9939132299648</v>
      </c>
      <c r="V49" s="24">
        <v>141.771908386738</v>
      </c>
      <c r="W49" s="24">
        <v>16.9630496730483</v>
      </c>
      <c r="X49" s="24">
        <v>0.0449243459961238</v>
      </c>
      <c r="Y49" s="24">
        <v>1.54429554701026</v>
      </c>
      <c r="Z49" s="24">
        <v>9.35354180059891</v>
      </c>
      <c r="AA49" s="24">
        <v>4.74748997356666</v>
      </c>
      <c r="AB49" s="24">
        <v>8995276.88164581</v>
      </c>
      <c r="AC49" s="24">
        <v>186.908940049066</v>
      </c>
      <c r="AD49" s="24">
        <v>0</v>
      </c>
      <c r="AE49" s="24">
        <v>66.7691858438236</v>
      </c>
      <c r="AF49" s="24">
        <v>35406.7717184808</v>
      </c>
      <c r="AG49" s="24">
        <v>10.142387642372</v>
      </c>
      <c r="AH49" s="24">
        <v>3.99310340002166</v>
      </c>
      <c r="AI49" s="24">
        <v>0</v>
      </c>
      <c r="AJ49" s="24">
        <v>1.36336366779083</v>
      </c>
      <c r="AK49" s="24">
        <v>5.01279201051727</v>
      </c>
      <c r="AL49" s="24">
        <v>0.00509151715651431</v>
      </c>
      <c r="AM49" s="24">
        <v>18.5719413180618</v>
      </c>
      <c r="AN49" s="24">
        <v>13.4673273009895</v>
      </c>
      <c r="AO49" s="24">
        <v>6.47673447844194</v>
      </c>
      <c r="AP49" s="24">
        <v>25.8731370113307</v>
      </c>
      <c r="AQ49" s="24">
        <v>48.1253367078677</v>
      </c>
      <c r="AR49" s="24">
        <v>28.5655158688374</v>
      </c>
      <c r="AS49" s="24">
        <v>3.29495100365424</v>
      </c>
      <c r="AT49" s="24">
        <v>41.3236678176355</v>
      </c>
      <c r="AU49" s="36">
        <v>14879991.940213</v>
      </c>
      <c r="AV49" s="24">
        <v>0</v>
      </c>
      <c r="AW49" s="24">
        <v>0</v>
      </c>
      <c r="AX49" s="24">
        <v>25067.3390101088</v>
      </c>
      <c r="AY49" s="24">
        <v>27959.2063769198</v>
      </c>
      <c r="AZ49" s="36">
        <v>53026.5453870286</v>
      </c>
      <c r="BA49" s="36">
        <v>14933018.4856</v>
      </c>
      <c r="BB49" s="43">
        <v>0</v>
      </c>
    </row>
    <row r="50" spans="1:54">
      <c r="A50" s="21"/>
      <c r="B50" s="22"/>
      <c r="C50" s="23" t="s">
        <v>60</v>
      </c>
      <c r="D50" s="20" t="s">
        <v>167</v>
      </c>
      <c r="E50" s="24">
        <v>0</v>
      </c>
      <c r="F50" s="24">
        <v>10594.9051737507</v>
      </c>
      <c r="G50" s="24">
        <v>382424.187606504</v>
      </c>
      <c r="H50" s="24">
        <v>5180.21703737171</v>
      </c>
      <c r="I50" s="24">
        <v>6086.00180441027</v>
      </c>
      <c r="J50" s="24">
        <v>0</v>
      </c>
      <c r="K50" s="24">
        <v>0</v>
      </c>
      <c r="L50" s="24">
        <v>0</v>
      </c>
      <c r="M50" s="24">
        <v>0</v>
      </c>
      <c r="N50" s="24">
        <v>14148.5200684955</v>
      </c>
      <c r="O50" s="24">
        <v>107736726.0961</v>
      </c>
      <c r="P50" s="24">
        <v>4472628.89253347</v>
      </c>
      <c r="Q50" s="24">
        <v>363427.281855986</v>
      </c>
      <c r="R50" s="24">
        <v>268521.809033979</v>
      </c>
      <c r="S50" s="24">
        <v>140134.444151537</v>
      </c>
      <c r="T50" s="24">
        <v>134765.60608039</v>
      </c>
      <c r="U50" s="24">
        <v>88925.1110616551</v>
      </c>
      <c r="V50" s="24">
        <v>135875.922529139</v>
      </c>
      <c r="W50" s="24">
        <v>16250.7841501032</v>
      </c>
      <c r="X50" s="24">
        <v>0</v>
      </c>
      <c r="Y50" s="24">
        <v>0</v>
      </c>
      <c r="Z50" s="24">
        <v>0</v>
      </c>
      <c r="AA50" s="24">
        <v>0</v>
      </c>
      <c r="AB50" s="24">
        <v>5751875.95870363</v>
      </c>
      <c r="AC50" s="24">
        <v>19097015.0719652</v>
      </c>
      <c r="AD50" s="24">
        <v>0</v>
      </c>
      <c r="AE50" s="24">
        <v>0</v>
      </c>
      <c r="AF50" s="24">
        <v>0</v>
      </c>
      <c r="AG50" s="24">
        <v>116.488574432345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598.572404372252</v>
      </c>
      <c r="AN50" s="24">
        <v>0</v>
      </c>
      <c r="AO50" s="24">
        <v>0</v>
      </c>
      <c r="AP50" s="24">
        <v>0</v>
      </c>
      <c r="AQ50" s="24">
        <v>0</v>
      </c>
      <c r="AR50" s="24">
        <v>8255.79199121815</v>
      </c>
      <c r="AS50" s="24">
        <v>419.243177989708</v>
      </c>
      <c r="AT50" s="24">
        <v>11533.2901583922</v>
      </c>
      <c r="AU50" s="36">
        <v>138645504.196162</v>
      </c>
      <c r="AV50" s="24">
        <v>0</v>
      </c>
      <c r="AW50" s="24">
        <v>0</v>
      </c>
      <c r="AX50" s="24">
        <v>5834447.10533929</v>
      </c>
      <c r="AY50" s="24">
        <v>813988.074974731</v>
      </c>
      <c r="AZ50" s="36">
        <v>6648435.18031402</v>
      </c>
      <c r="BA50" s="36">
        <v>145293939.376476</v>
      </c>
      <c r="BB50" s="43">
        <v>0</v>
      </c>
    </row>
    <row r="51" spans="1:54">
      <c r="A51" s="21"/>
      <c r="B51" s="22"/>
      <c r="C51" s="23" t="s">
        <v>151</v>
      </c>
      <c r="D51" s="20" t="s">
        <v>168</v>
      </c>
      <c r="E51" s="24">
        <v>0</v>
      </c>
      <c r="F51" s="24">
        <v>0</v>
      </c>
      <c r="G51" s="24">
        <v>0</v>
      </c>
      <c r="H51" s="24">
        <v>9770150.6102376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42630.6922203902</v>
      </c>
      <c r="P51" s="24">
        <v>1339759.53849952</v>
      </c>
      <c r="Q51" s="24">
        <v>450173.089976231</v>
      </c>
      <c r="R51" s="24">
        <v>111100907.446887</v>
      </c>
      <c r="S51" s="24">
        <v>3538835.27878572</v>
      </c>
      <c r="T51" s="24">
        <v>0</v>
      </c>
      <c r="U51" s="24">
        <v>0</v>
      </c>
      <c r="V51" s="24">
        <v>0</v>
      </c>
      <c r="W51" s="24">
        <v>0</v>
      </c>
      <c r="X51" s="24">
        <v>0.0595669525241711</v>
      </c>
      <c r="Y51" s="24">
        <v>0</v>
      </c>
      <c r="Z51" s="24">
        <v>1594.71750385168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78114.0082974283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36">
        <v>126322165.441974</v>
      </c>
      <c r="AV51" s="24">
        <v>0</v>
      </c>
      <c r="AW51" s="24">
        <v>0</v>
      </c>
      <c r="AX51" s="24">
        <v>276865.749910527</v>
      </c>
      <c r="AY51" s="24">
        <v>1108905.52043298</v>
      </c>
      <c r="AZ51" s="36">
        <v>1385771.27034351</v>
      </c>
      <c r="BA51" s="36">
        <v>127707936.712318</v>
      </c>
      <c r="BB51" s="43">
        <v>0</v>
      </c>
    </row>
    <row r="52" spans="1:54">
      <c r="A52" s="21"/>
      <c r="B52" s="22"/>
      <c r="C52" s="23" t="s">
        <v>152</v>
      </c>
      <c r="D52" s="20" t="s">
        <v>169</v>
      </c>
      <c r="E52" s="24">
        <v>520.577043544276</v>
      </c>
      <c r="F52" s="24">
        <v>1250.69909954419</v>
      </c>
      <c r="G52" s="24">
        <v>567.563304051105</v>
      </c>
      <c r="H52" s="24">
        <v>1828.98504413409</v>
      </c>
      <c r="I52" s="24">
        <v>488101.27584224</v>
      </c>
      <c r="J52" s="24">
        <v>1729.60794120499</v>
      </c>
      <c r="K52" s="24">
        <v>3131.99810152258</v>
      </c>
      <c r="L52" s="24">
        <v>259.294144410586</v>
      </c>
      <c r="M52" s="24">
        <v>1551.21499876927</v>
      </c>
      <c r="N52" s="24">
        <v>550560.955261289</v>
      </c>
      <c r="O52" s="24">
        <v>876.936578584105</v>
      </c>
      <c r="P52" s="24">
        <v>1171426.45369403</v>
      </c>
      <c r="Q52" s="24">
        <v>2820520.4790393</v>
      </c>
      <c r="R52" s="24">
        <v>29205.4100628715</v>
      </c>
      <c r="S52" s="24">
        <v>4627.55233337133</v>
      </c>
      <c r="T52" s="24">
        <v>2373.32184450887</v>
      </c>
      <c r="U52" s="24">
        <v>3765.63106709681</v>
      </c>
      <c r="V52" s="24">
        <v>15455.4140022645</v>
      </c>
      <c r="W52" s="24">
        <v>249313.762602019</v>
      </c>
      <c r="X52" s="24">
        <v>2718.84547132827</v>
      </c>
      <c r="Y52" s="24">
        <v>4455.29830593075</v>
      </c>
      <c r="Z52" s="24">
        <v>14124.3405489515</v>
      </c>
      <c r="AA52" s="24">
        <v>629.635320340398</v>
      </c>
      <c r="AB52" s="24">
        <v>2934.36597765922</v>
      </c>
      <c r="AC52" s="24">
        <v>0</v>
      </c>
      <c r="AD52" s="24">
        <v>0</v>
      </c>
      <c r="AE52" s="24">
        <v>1517216.41914288</v>
      </c>
      <c r="AF52" s="24">
        <v>2406.69317829938</v>
      </c>
      <c r="AG52" s="24">
        <v>4907.55406255839</v>
      </c>
      <c r="AH52" s="24">
        <v>111.722981120187</v>
      </c>
      <c r="AI52" s="24">
        <v>2.38464784621824</v>
      </c>
      <c r="AJ52" s="24">
        <v>20.9052767361865</v>
      </c>
      <c r="AK52" s="24">
        <v>10.3772606071028</v>
      </c>
      <c r="AL52" s="24">
        <v>46.2098882077454</v>
      </c>
      <c r="AM52" s="24">
        <v>574.254802003256</v>
      </c>
      <c r="AN52" s="24">
        <v>106.695274299643</v>
      </c>
      <c r="AO52" s="24">
        <v>2948.11145523029</v>
      </c>
      <c r="AP52" s="24">
        <v>102.936148481158</v>
      </c>
      <c r="AQ52" s="24">
        <v>81.6866589253017</v>
      </c>
      <c r="AR52" s="24">
        <v>28.2121753134445</v>
      </c>
      <c r="AS52" s="24">
        <v>149.891215693812</v>
      </c>
      <c r="AT52" s="24">
        <v>593.092457676576</v>
      </c>
      <c r="AU52" s="36">
        <v>6901236.76425484</v>
      </c>
      <c r="AV52" s="24">
        <v>0</v>
      </c>
      <c r="AW52" s="24">
        <v>0</v>
      </c>
      <c r="AX52" s="24">
        <v>0</v>
      </c>
      <c r="AY52" s="24">
        <v>38568.8512740356</v>
      </c>
      <c r="AZ52" s="36">
        <v>38568.8512740356</v>
      </c>
      <c r="BA52" s="36">
        <v>6939805.61552888</v>
      </c>
      <c r="BB52" s="43">
        <v>0</v>
      </c>
    </row>
    <row r="53" spans="1:54">
      <c r="A53" s="21"/>
      <c r="B53" s="22"/>
      <c r="C53" s="23" t="s">
        <v>63</v>
      </c>
      <c r="D53" s="20" t="s">
        <v>170</v>
      </c>
      <c r="E53" s="24">
        <v>422192.927074757</v>
      </c>
      <c r="F53" s="24">
        <v>641.45670537563</v>
      </c>
      <c r="G53" s="24">
        <v>43.233300281324</v>
      </c>
      <c r="H53" s="24">
        <v>661.905518693762</v>
      </c>
      <c r="I53" s="24">
        <v>358.144481721005</v>
      </c>
      <c r="J53" s="24">
        <v>22468274.4803124</v>
      </c>
      <c r="K53" s="24">
        <v>1619.45208282446</v>
      </c>
      <c r="L53" s="24">
        <v>639616.693621528</v>
      </c>
      <c r="M53" s="24">
        <v>1449.03356728945</v>
      </c>
      <c r="N53" s="24">
        <v>2898.05823688098</v>
      </c>
      <c r="O53" s="24">
        <v>936.41668751573</v>
      </c>
      <c r="P53" s="24">
        <v>826216.075382137</v>
      </c>
      <c r="Q53" s="24">
        <v>2514.19792866494</v>
      </c>
      <c r="R53" s="24">
        <v>1843.85392037127</v>
      </c>
      <c r="S53" s="24">
        <v>2192.3601705009</v>
      </c>
      <c r="T53" s="24">
        <v>1980.58382462147</v>
      </c>
      <c r="U53" s="24">
        <v>1828.12050266204</v>
      </c>
      <c r="V53" s="24">
        <v>2243.47063021917</v>
      </c>
      <c r="W53" s="24">
        <v>2450.85293046294</v>
      </c>
      <c r="X53" s="24">
        <v>2651.0748995491</v>
      </c>
      <c r="Y53" s="24">
        <v>327.141979312049</v>
      </c>
      <c r="Z53" s="24">
        <v>1494.46552149291</v>
      </c>
      <c r="AA53" s="24">
        <v>112.385848296059</v>
      </c>
      <c r="AB53" s="24">
        <v>2348.12085793608</v>
      </c>
      <c r="AC53" s="24">
        <v>217.043196151258</v>
      </c>
      <c r="AD53" s="24">
        <v>618.202999206606</v>
      </c>
      <c r="AE53" s="24">
        <v>10062.4997149791</v>
      </c>
      <c r="AF53" s="24">
        <v>1750.55707458668</v>
      </c>
      <c r="AG53" s="24">
        <v>8851.28856414781</v>
      </c>
      <c r="AH53" s="24">
        <v>724548.114972805</v>
      </c>
      <c r="AI53" s="24">
        <v>4284.06475714742</v>
      </c>
      <c r="AJ53" s="24">
        <v>3495.33338315003</v>
      </c>
      <c r="AK53" s="24">
        <v>5085.26571653978</v>
      </c>
      <c r="AL53" s="24">
        <v>64208.054730403</v>
      </c>
      <c r="AM53" s="24">
        <v>11022.89782183</v>
      </c>
      <c r="AN53" s="24">
        <v>4536.78290215399</v>
      </c>
      <c r="AO53" s="24">
        <v>5394.55177385709</v>
      </c>
      <c r="AP53" s="24">
        <v>14019.2891038628</v>
      </c>
      <c r="AQ53" s="24">
        <v>27388.3372311518</v>
      </c>
      <c r="AR53" s="24">
        <v>7632.7437027125</v>
      </c>
      <c r="AS53" s="24">
        <v>14241.1262335886</v>
      </c>
      <c r="AT53" s="24">
        <v>2986.77409154235</v>
      </c>
      <c r="AU53" s="36">
        <v>25297237.4339553</v>
      </c>
      <c r="AV53" s="24">
        <v>52906201.0093495</v>
      </c>
      <c r="AW53" s="24">
        <v>0</v>
      </c>
      <c r="AX53" s="24">
        <v>2897929.10909416</v>
      </c>
      <c r="AY53" s="24">
        <v>79272.377675821</v>
      </c>
      <c r="AZ53" s="36">
        <v>55883402.4961194</v>
      </c>
      <c r="BA53" s="36">
        <v>81180639.9300747</v>
      </c>
      <c r="BB53" s="43">
        <v>0</v>
      </c>
    </row>
    <row r="54" spans="1:54">
      <c r="A54" s="21"/>
      <c r="B54" s="22"/>
      <c r="C54" s="23" t="s">
        <v>153</v>
      </c>
      <c r="D54" s="20" t="s">
        <v>171</v>
      </c>
      <c r="E54" s="24">
        <v>301.048360833647</v>
      </c>
      <c r="F54" s="24">
        <v>840.686224550512</v>
      </c>
      <c r="G54" s="24">
        <v>138.243617392762</v>
      </c>
      <c r="H54" s="24">
        <v>254.467844861995</v>
      </c>
      <c r="I54" s="24">
        <v>1728.76941847344</v>
      </c>
      <c r="J54" s="24">
        <v>4053.39978672237</v>
      </c>
      <c r="K54" s="24">
        <v>4502513.37320919</v>
      </c>
      <c r="L54" s="24">
        <v>1948489.07059527</v>
      </c>
      <c r="M54" s="24">
        <v>271326.16897493</v>
      </c>
      <c r="N54" s="24">
        <v>121570.769207838</v>
      </c>
      <c r="O54" s="24">
        <v>452.935491632472</v>
      </c>
      <c r="P54" s="24">
        <v>94786.2221527302</v>
      </c>
      <c r="Q54" s="24">
        <v>2357.83120852996</v>
      </c>
      <c r="R54" s="24">
        <v>1092.55363175717</v>
      </c>
      <c r="S54" s="24">
        <v>3318.3196580837</v>
      </c>
      <c r="T54" s="24">
        <v>68631.136051807</v>
      </c>
      <c r="U54" s="24">
        <v>82292.3060354215</v>
      </c>
      <c r="V54" s="24">
        <v>97195.2628669654</v>
      </c>
      <c r="W54" s="24">
        <v>50164.1287804466</v>
      </c>
      <c r="X54" s="24">
        <v>29887.1497602075</v>
      </c>
      <c r="Y54" s="24">
        <v>10085.1705484781</v>
      </c>
      <c r="Z54" s="24">
        <v>44964.4128916369</v>
      </c>
      <c r="AA54" s="24">
        <v>595.243866092648</v>
      </c>
      <c r="AB54" s="24">
        <v>76.3520617373431</v>
      </c>
      <c r="AC54" s="24">
        <v>30.3316224962856</v>
      </c>
      <c r="AD54" s="24">
        <v>102.926017743835</v>
      </c>
      <c r="AE54" s="24">
        <v>189.755821573683</v>
      </c>
      <c r="AF54" s="24">
        <v>1661.19905272306</v>
      </c>
      <c r="AG54" s="24">
        <v>18174.6219932593</v>
      </c>
      <c r="AH54" s="24">
        <v>15657.7115997277</v>
      </c>
      <c r="AI54" s="24">
        <v>1043.69604782663</v>
      </c>
      <c r="AJ54" s="24">
        <v>93.6712136444425</v>
      </c>
      <c r="AK54" s="24">
        <v>28.055075569471</v>
      </c>
      <c r="AL54" s="24">
        <v>10793.6792097325</v>
      </c>
      <c r="AM54" s="24">
        <v>9423.09853899139</v>
      </c>
      <c r="AN54" s="24">
        <v>1561.53518486579</v>
      </c>
      <c r="AO54" s="24">
        <v>1781.17325210603</v>
      </c>
      <c r="AP54" s="24">
        <v>7569.54820487746</v>
      </c>
      <c r="AQ54" s="24">
        <v>1893.42479193735</v>
      </c>
      <c r="AR54" s="24">
        <v>28783.8030745625</v>
      </c>
      <c r="AS54" s="24">
        <v>5017.46476578892</v>
      </c>
      <c r="AT54" s="24">
        <v>20847.3995449566</v>
      </c>
      <c r="AU54" s="36">
        <v>7461768.11725798</v>
      </c>
      <c r="AV54" s="24">
        <v>2902030.19817301</v>
      </c>
      <c r="AW54" s="24">
        <v>0</v>
      </c>
      <c r="AX54" s="24">
        <v>28840.8964411688</v>
      </c>
      <c r="AY54" s="24">
        <v>0</v>
      </c>
      <c r="AZ54" s="36">
        <v>2930871.09461418</v>
      </c>
      <c r="BA54" s="36">
        <v>10392639.2118722</v>
      </c>
      <c r="BB54" s="43">
        <v>0</v>
      </c>
    </row>
    <row r="55" spans="1:54">
      <c r="A55" s="21"/>
      <c r="B55" s="22"/>
      <c r="C55" s="23" t="s">
        <v>154</v>
      </c>
      <c r="D55" s="19" t="s">
        <v>172</v>
      </c>
      <c r="E55" s="24">
        <v>599.941288395099</v>
      </c>
      <c r="F55" s="24">
        <v>144.045018433966</v>
      </c>
      <c r="G55" s="24">
        <v>12.9658509381203</v>
      </c>
      <c r="H55" s="24">
        <v>8.8228692815957</v>
      </c>
      <c r="I55" s="24">
        <v>12.9142668344417</v>
      </c>
      <c r="J55" s="24">
        <v>145.599662816411</v>
      </c>
      <c r="K55" s="24">
        <v>1030.52034195863</v>
      </c>
      <c r="L55" s="24">
        <v>1243338.0665868</v>
      </c>
      <c r="M55" s="24">
        <v>162350.767368452</v>
      </c>
      <c r="N55" s="24">
        <v>18474.4941728995</v>
      </c>
      <c r="O55" s="24">
        <v>66.7630648352435</v>
      </c>
      <c r="P55" s="24">
        <v>3353.49749446062</v>
      </c>
      <c r="Q55" s="24">
        <v>181.738422564125</v>
      </c>
      <c r="R55" s="24">
        <v>75.9968873517197</v>
      </c>
      <c r="S55" s="24">
        <v>3795.33060365017</v>
      </c>
      <c r="T55" s="24">
        <v>492.546911012466</v>
      </c>
      <c r="U55" s="24">
        <v>1102.94860768417</v>
      </c>
      <c r="V55" s="24">
        <v>55134.1064486953</v>
      </c>
      <c r="W55" s="24">
        <v>2086.45513952242</v>
      </c>
      <c r="X55" s="24">
        <v>861.002644578174</v>
      </c>
      <c r="Y55" s="24">
        <v>20796.9224042483</v>
      </c>
      <c r="Z55" s="24">
        <v>1942.50246015961</v>
      </c>
      <c r="AA55" s="24">
        <v>15.3961419075146</v>
      </c>
      <c r="AB55" s="24">
        <v>97.6910770762549</v>
      </c>
      <c r="AC55" s="24">
        <v>15.0719291421536</v>
      </c>
      <c r="AD55" s="24">
        <v>10.6910608837331</v>
      </c>
      <c r="AE55" s="24">
        <v>146.330820855361</v>
      </c>
      <c r="AF55" s="24">
        <v>363.982371028894</v>
      </c>
      <c r="AG55" s="24">
        <v>378.866838687319</v>
      </c>
      <c r="AH55" s="24">
        <v>251.406369828834</v>
      </c>
      <c r="AI55" s="24">
        <v>129.116387866023</v>
      </c>
      <c r="AJ55" s="24">
        <v>168.936090466808</v>
      </c>
      <c r="AK55" s="24">
        <v>323.543321750125</v>
      </c>
      <c r="AL55" s="24">
        <v>734.784842811105</v>
      </c>
      <c r="AM55" s="24">
        <v>102.745307795522</v>
      </c>
      <c r="AN55" s="24">
        <v>160.237953162396</v>
      </c>
      <c r="AO55" s="24">
        <v>145.043432980841</v>
      </c>
      <c r="AP55" s="24">
        <v>392.498868472293</v>
      </c>
      <c r="AQ55" s="24">
        <v>47.6845615244886</v>
      </c>
      <c r="AR55" s="24">
        <v>182.227452410805</v>
      </c>
      <c r="AS55" s="24">
        <v>616.158148103436</v>
      </c>
      <c r="AT55" s="24">
        <v>6298.87788404322</v>
      </c>
      <c r="AU55" s="36">
        <v>1526589.23937637</v>
      </c>
      <c r="AV55" s="24">
        <v>18128647.1666196</v>
      </c>
      <c r="AW55" s="24">
        <v>0</v>
      </c>
      <c r="AX55" s="24">
        <v>7621.9600592049</v>
      </c>
      <c r="AY55" s="24">
        <v>0</v>
      </c>
      <c r="AZ55" s="36">
        <v>18136269.1266788</v>
      </c>
      <c r="BA55" s="36">
        <v>19662858.3660552</v>
      </c>
      <c r="BB55" s="43">
        <v>0</v>
      </c>
    </row>
    <row r="56" spans="1:54">
      <c r="A56" s="21"/>
      <c r="B56" s="22"/>
      <c r="C56" s="23" t="s">
        <v>65</v>
      </c>
      <c r="D56" s="19" t="s">
        <v>173</v>
      </c>
      <c r="E56" s="24">
        <v>4058.00652111326</v>
      </c>
      <c r="F56" s="24">
        <v>8706.61415738479</v>
      </c>
      <c r="G56" s="24">
        <v>171.982171683205</v>
      </c>
      <c r="H56" s="24">
        <v>570.692769011443</v>
      </c>
      <c r="I56" s="24">
        <v>162.913002934028</v>
      </c>
      <c r="J56" s="24">
        <v>1929.85691088365</v>
      </c>
      <c r="K56" s="24">
        <v>1047.15467031351</v>
      </c>
      <c r="L56" s="24">
        <v>1123.84047054984</v>
      </c>
      <c r="M56" s="24">
        <v>5509110.94152029</v>
      </c>
      <c r="N56" s="24">
        <v>1056358.3398037</v>
      </c>
      <c r="O56" s="24">
        <v>299.575040046933</v>
      </c>
      <c r="P56" s="24">
        <v>5405.53030973347</v>
      </c>
      <c r="Q56" s="24">
        <v>4904.72622509612</v>
      </c>
      <c r="R56" s="24">
        <v>567.337902503668</v>
      </c>
      <c r="S56" s="24">
        <v>12369.1043893474</v>
      </c>
      <c r="T56" s="24">
        <v>4591.88664310482</v>
      </c>
      <c r="U56" s="24">
        <v>2403.03177376733</v>
      </c>
      <c r="V56" s="24">
        <v>237201.041870927</v>
      </c>
      <c r="W56" s="24">
        <v>135494.928031326</v>
      </c>
      <c r="X56" s="24">
        <v>2873.46583917504</v>
      </c>
      <c r="Y56" s="24">
        <v>734.965671287073</v>
      </c>
      <c r="Z56" s="24">
        <v>7842.11217922421</v>
      </c>
      <c r="AA56" s="24">
        <v>106.032553441909</v>
      </c>
      <c r="AB56" s="24">
        <v>375.776225590135</v>
      </c>
      <c r="AC56" s="24">
        <v>5.84170502514209</v>
      </c>
      <c r="AD56" s="24">
        <v>5.22620739659235</v>
      </c>
      <c r="AE56" s="24">
        <v>571112.976134451</v>
      </c>
      <c r="AF56" s="24">
        <v>636.041463298737</v>
      </c>
      <c r="AG56" s="24">
        <v>1233.93848302096</v>
      </c>
      <c r="AH56" s="24">
        <v>267.561760099771</v>
      </c>
      <c r="AI56" s="24">
        <v>1002.29324207158</v>
      </c>
      <c r="AJ56" s="24">
        <v>525.329504949392</v>
      </c>
      <c r="AK56" s="24">
        <v>593.590448927689</v>
      </c>
      <c r="AL56" s="24">
        <v>652.264726534518</v>
      </c>
      <c r="AM56" s="24">
        <v>59.244626849059</v>
      </c>
      <c r="AN56" s="24">
        <v>448.395075111935</v>
      </c>
      <c r="AO56" s="24">
        <v>490.955193973925</v>
      </c>
      <c r="AP56" s="24">
        <v>20937.8356456161</v>
      </c>
      <c r="AQ56" s="24">
        <v>509.845664252815</v>
      </c>
      <c r="AR56" s="24">
        <v>135.459905213163</v>
      </c>
      <c r="AS56" s="24">
        <v>685.743443204447</v>
      </c>
      <c r="AT56" s="24">
        <v>4073.42694517289</v>
      </c>
      <c r="AU56" s="36">
        <v>7601785.82682761</v>
      </c>
      <c r="AV56" s="24">
        <v>1877967.91683666</v>
      </c>
      <c r="AW56" s="24">
        <v>162569.170330003</v>
      </c>
      <c r="AX56" s="24">
        <v>46008.1277316702</v>
      </c>
      <c r="AY56" s="24">
        <v>48539.61891</v>
      </c>
      <c r="AZ56" s="36">
        <v>2135084.83380834</v>
      </c>
      <c r="BA56" s="36">
        <v>9736870.66063594</v>
      </c>
      <c r="BB56" s="43">
        <v>0</v>
      </c>
    </row>
    <row r="57" spans="1:54">
      <c r="A57" s="21"/>
      <c r="B57" s="22"/>
      <c r="C57" s="23" t="s">
        <v>66</v>
      </c>
      <c r="D57" s="19" t="s">
        <v>174</v>
      </c>
      <c r="E57" s="24">
        <v>3185.76101060924</v>
      </c>
      <c r="F57" s="24">
        <v>199.896710419348</v>
      </c>
      <c r="G57" s="24">
        <v>78.7104154540632</v>
      </c>
      <c r="H57" s="24">
        <v>598.847878787862</v>
      </c>
      <c r="I57" s="24">
        <v>3619.84700020994</v>
      </c>
      <c r="J57" s="24">
        <v>308020.460617568</v>
      </c>
      <c r="K57" s="24">
        <v>52290.8153237653</v>
      </c>
      <c r="L57" s="24">
        <v>122410.257266786</v>
      </c>
      <c r="M57" s="24">
        <v>49497.7780986298</v>
      </c>
      <c r="N57" s="24">
        <v>14105095.1543066</v>
      </c>
      <c r="O57" s="24">
        <v>2478.99883008338</v>
      </c>
      <c r="P57" s="24">
        <v>589650.337068459</v>
      </c>
      <c r="Q57" s="24">
        <v>181462.469522547</v>
      </c>
      <c r="R57" s="24">
        <v>8370.90876001987</v>
      </c>
      <c r="S57" s="24">
        <v>27103.7001748827</v>
      </c>
      <c r="T57" s="24">
        <v>42198.7390930592</v>
      </c>
      <c r="U57" s="24">
        <v>60407.0502302981</v>
      </c>
      <c r="V57" s="24">
        <v>51096.0703262269</v>
      </c>
      <c r="W57" s="24">
        <v>168830.561786397</v>
      </c>
      <c r="X57" s="24">
        <v>310264.583006133</v>
      </c>
      <c r="Y57" s="24">
        <v>10050.6915800389</v>
      </c>
      <c r="Z57" s="24">
        <v>22682.7029244322</v>
      </c>
      <c r="AA57" s="24">
        <v>157.272467699695</v>
      </c>
      <c r="AB57" s="24">
        <v>800.693208322764</v>
      </c>
      <c r="AC57" s="24">
        <v>83.6628665717069</v>
      </c>
      <c r="AD57" s="24">
        <v>122.986433308391</v>
      </c>
      <c r="AE57" s="24">
        <v>85979.8855687621</v>
      </c>
      <c r="AF57" s="24">
        <v>25011.2834865039</v>
      </c>
      <c r="AG57" s="24">
        <v>26973.0190060388</v>
      </c>
      <c r="AH57" s="24">
        <v>24478.5769834457</v>
      </c>
      <c r="AI57" s="24">
        <v>156784.948754057</v>
      </c>
      <c r="AJ57" s="24">
        <v>99280.3678520083</v>
      </c>
      <c r="AK57" s="24">
        <v>29753.1416515017</v>
      </c>
      <c r="AL57" s="24">
        <v>682431.794236771</v>
      </c>
      <c r="AM57" s="24">
        <v>16820.5515486904</v>
      </c>
      <c r="AN57" s="24">
        <v>73775.7345917401</v>
      </c>
      <c r="AO57" s="24">
        <v>2227.10633605219</v>
      </c>
      <c r="AP57" s="24">
        <v>33475.1392737485</v>
      </c>
      <c r="AQ57" s="24">
        <v>103706.101567917</v>
      </c>
      <c r="AR57" s="24">
        <v>1478.51576318489</v>
      </c>
      <c r="AS57" s="24">
        <v>229860.500697008</v>
      </c>
      <c r="AT57" s="24">
        <v>142765.856085435</v>
      </c>
      <c r="AU57" s="36">
        <v>17855561.4803102</v>
      </c>
      <c r="AV57" s="24">
        <v>6810411.10298311</v>
      </c>
      <c r="AW57" s="24">
        <v>466659.992360944</v>
      </c>
      <c r="AX57" s="24">
        <v>349409.722792374</v>
      </c>
      <c r="AY57" s="24">
        <v>428628.63646247</v>
      </c>
      <c r="AZ57" s="36">
        <v>8055109.4545989</v>
      </c>
      <c r="BA57" s="36">
        <v>25910670.9349091</v>
      </c>
      <c r="BB57" s="43">
        <v>0</v>
      </c>
    </row>
    <row r="58" spans="1:54">
      <c r="A58" s="21"/>
      <c r="B58" s="22"/>
      <c r="C58" s="23" t="s">
        <v>67</v>
      </c>
      <c r="D58" s="19" t="s">
        <v>175</v>
      </c>
      <c r="E58" s="24">
        <v>31258.9774895242</v>
      </c>
      <c r="F58" s="24">
        <v>385.873125574207</v>
      </c>
      <c r="G58" s="24">
        <v>287535.213414075</v>
      </c>
      <c r="H58" s="24">
        <v>2444.21468277217</v>
      </c>
      <c r="I58" s="24">
        <v>2631.13477134025</v>
      </c>
      <c r="J58" s="24">
        <v>687.503888384265</v>
      </c>
      <c r="K58" s="24">
        <v>12584.5211127751</v>
      </c>
      <c r="L58" s="24">
        <v>1079.78353968241</v>
      </c>
      <c r="M58" s="24">
        <v>584.379072773365</v>
      </c>
      <c r="N58" s="24">
        <v>162235.039166814</v>
      </c>
      <c r="O58" s="24">
        <v>3644393.51841534</v>
      </c>
      <c r="P58" s="24">
        <v>7188806.47667992</v>
      </c>
      <c r="Q58" s="24">
        <v>699051.08256075</v>
      </c>
      <c r="R58" s="24">
        <v>2701443.25058427</v>
      </c>
      <c r="S58" s="24">
        <v>4953.27298296145</v>
      </c>
      <c r="T58" s="24">
        <v>122844.054959394</v>
      </c>
      <c r="U58" s="24">
        <v>111016.126434761</v>
      </c>
      <c r="V58" s="24">
        <v>312120.278241162</v>
      </c>
      <c r="W58" s="24">
        <v>1639.79775741757</v>
      </c>
      <c r="X58" s="24">
        <v>42556.3628049916</v>
      </c>
      <c r="Y58" s="24">
        <v>19128.2477091585</v>
      </c>
      <c r="Z58" s="24">
        <v>235.620540864439</v>
      </c>
      <c r="AA58" s="24">
        <v>30311.2564954563</v>
      </c>
      <c r="AB58" s="24">
        <v>203778.120890845</v>
      </c>
      <c r="AC58" s="24">
        <v>622073.164130463</v>
      </c>
      <c r="AD58" s="24">
        <v>17.4197778396996</v>
      </c>
      <c r="AE58" s="24">
        <v>508982.135064066</v>
      </c>
      <c r="AF58" s="24">
        <v>1777.40794946648</v>
      </c>
      <c r="AG58" s="24">
        <v>76546.4722233821</v>
      </c>
      <c r="AH58" s="24">
        <v>559.553121958749</v>
      </c>
      <c r="AI58" s="24">
        <v>526.236175174481</v>
      </c>
      <c r="AJ58" s="24">
        <v>1924.74152032416</v>
      </c>
      <c r="AK58" s="24">
        <v>793.249688865081</v>
      </c>
      <c r="AL58" s="24">
        <v>9870.08997100978</v>
      </c>
      <c r="AM58" s="24">
        <v>695.381904303963</v>
      </c>
      <c r="AN58" s="24">
        <v>5563.9923667118</v>
      </c>
      <c r="AO58" s="24">
        <v>574.785670508129</v>
      </c>
      <c r="AP58" s="24">
        <v>107344.5733125</v>
      </c>
      <c r="AQ58" s="24">
        <v>1253.99173041504</v>
      </c>
      <c r="AR58" s="24">
        <v>130.01969266798</v>
      </c>
      <c r="AS58" s="24">
        <v>278.437029545988</v>
      </c>
      <c r="AT58" s="24">
        <v>2067.50602134014</v>
      </c>
      <c r="AU58" s="36">
        <v>16924683.2646715</v>
      </c>
      <c r="AV58" s="24">
        <v>2863926.63540926</v>
      </c>
      <c r="AW58" s="24">
        <v>0</v>
      </c>
      <c r="AX58" s="24">
        <v>724153.742557445</v>
      </c>
      <c r="AY58" s="24">
        <v>2137384.53745894</v>
      </c>
      <c r="AZ58" s="36">
        <v>5725464.91542565</v>
      </c>
      <c r="BA58" s="36">
        <v>22650148.1800972</v>
      </c>
      <c r="BB58" s="43">
        <v>0</v>
      </c>
    </row>
    <row r="59" spans="1:54">
      <c r="A59" s="21"/>
      <c r="B59" s="22"/>
      <c r="C59" s="23" t="s">
        <v>155</v>
      </c>
      <c r="D59" s="19" t="s">
        <v>176</v>
      </c>
      <c r="E59" s="24">
        <v>1008187.6759461</v>
      </c>
      <c r="F59" s="24">
        <v>61500.3262043102</v>
      </c>
      <c r="G59" s="24">
        <v>582713.873052853</v>
      </c>
      <c r="H59" s="24">
        <v>359091.916916878</v>
      </c>
      <c r="I59" s="24">
        <v>212357.676032922</v>
      </c>
      <c r="J59" s="24">
        <v>1216603.74697708</v>
      </c>
      <c r="K59" s="24">
        <v>2312246.97989283</v>
      </c>
      <c r="L59" s="24">
        <v>1417284.03014499</v>
      </c>
      <c r="M59" s="24">
        <v>1124864.92878567</v>
      </c>
      <c r="N59" s="24">
        <v>2112886.22862088</v>
      </c>
      <c r="O59" s="24">
        <v>2468486.11061335</v>
      </c>
      <c r="P59" s="24">
        <v>95282908.5708218</v>
      </c>
      <c r="Q59" s="24">
        <v>1403722.08526043</v>
      </c>
      <c r="R59" s="24">
        <v>618915.309595067</v>
      </c>
      <c r="S59" s="24">
        <v>428995.108788904</v>
      </c>
      <c r="T59" s="24">
        <v>909727.155769765</v>
      </c>
      <c r="U59" s="24">
        <v>1127333.0564352</v>
      </c>
      <c r="V59" s="24">
        <v>3659659.98775335</v>
      </c>
      <c r="W59" s="24">
        <v>5595006.78508578</v>
      </c>
      <c r="X59" s="24">
        <v>7567522.98973978</v>
      </c>
      <c r="Y59" s="24">
        <v>1239718.87173028</v>
      </c>
      <c r="Z59" s="24">
        <v>781525.420705679</v>
      </c>
      <c r="AA59" s="24">
        <v>12228.5174287787</v>
      </c>
      <c r="AB59" s="24">
        <v>7752.59982726906</v>
      </c>
      <c r="AC59" s="24">
        <v>1093.63235407104</v>
      </c>
      <c r="AD59" s="24">
        <v>107388.398382394</v>
      </c>
      <c r="AE59" s="24">
        <v>1570737.76513098</v>
      </c>
      <c r="AF59" s="24">
        <v>142547.173269368</v>
      </c>
      <c r="AG59" s="24">
        <v>64467.3824856052</v>
      </c>
      <c r="AH59" s="24">
        <v>10990.6130975819</v>
      </c>
      <c r="AI59" s="24">
        <v>26961.8415859982</v>
      </c>
      <c r="AJ59" s="24">
        <v>9064.64210165825</v>
      </c>
      <c r="AK59" s="24">
        <v>6566.07853048285</v>
      </c>
      <c r="AL59" s="24">
        <v>109355.059887298</v>
      </c>
      <c r="AM59" s="24">
        <v>1103217.71169738</v>
      </c>
      <c r="AN59" s="24">
        <v>840838.666587217</v>
      </c>
      <c r="AO59" s="24">
        <v>268719.565740362</v>
      </c>
      <c r="AP59" s="24">
        <v>248456.809546479</v>
      </c>
      <c r="AQ59" s="24">
        <v>93447.7963847575</v>
      </c>
      <c r="AR59" s="24">
        <v>2960069.76882825</v>
      </c>
      <c r="AS59" s="24">
        <v>138568.872156667</v>
      </c>
      <c r="AT59" s="24">
        <v>11201.4234442927</v>
      </c>
      <c r="AU59" s="36">
        <v>139224933.153341</v>
      </c>
      <c r="AV59" s="24">
        <v>30132797.4731772</v>
      </c>
      <c r="AW59" s="24">
        <v>0</v>
      </c>
      <c r="AX59" s="24">
        <v>1048655.72031673</v>
      </c>
      <c r="AY59" s="24">
        <v>557722.179110743</v>
      </c>
      <c r="AZ59" s="36">
        <v>31739175.3726046</v>
      </c>
      <c r="BA59" s="36">
        <v>170964108.525945</v>
      </c>
      <c r="BB59" s="43">
        <v>0</v>
      </c>
    </row>
    <row r="60" spans="1:54">
      <c r="A60" s="21"/>
      <c r="B60" s="22"/>
      <c r="C60" s="23" t="s">
        <v>71</v>
      </c>
      <c r="D60" s="19" t="s">
        <v>177</v>
      </c>
      <c r="E60" s="24">
        <v>684.262967010929</v>
      </c>
      <c r="F60" s="24">
        <v>15789.6625315362</v>
      </c>
      <c r="G60" s="24">
        <v>6836.15436343672</v>
      </c>
      <c r="H60" s="24">
        <v>38315.3951255664</v>
      </c>
      <c r="I60" s="24">
        <v>42665.0075223805</v>
      </c>
      <c r="J60" s="24">
        <v>27304.6250132255</v>
      </c>
      <c r="K60" s="24">
        <v>7810.43057849482</v>
      </c>
      <c r="L60" s="24">
        <v>4568.94815686136</v>
      </c>
      <c r="M60" s="24">
        <v>94232.2743184758</v>
      </c>
      <c r="N60" s="24">
        <v>191079.810184867</v>
      </c>
      <c r="O60" s="24">
        <v>23259.6155671953</v>
      </c>
      <c r="P60" s="24">
        <v>499938.970736815</v>
      </c>
      <c r="Q60" s="24">
        <v>4165319.9015244</v>
      </c>
      <c r="R60" s="24">
        <v>318299.436894774</v>
      </c>
      <c r="S60" s="24">
        <v>127061.111859423</v>
      </c>
      <c r="T60" s="24">
        <v>138920.988519579</v>
      </c>
      <c r="U60" s="24">
        <v>265614.044037636</v>
      </c>
      <c r="V60" s="24">
        <v>570541.584493457</v>
      </c>
      <c r="W60" s="24">
        <v>593564.112817788</v>
      </c>
      <c r="X60" s="24">
        <v>2755079.33295561</v>
      </c>
      <c r="Y60" s="24">
        <v>130743.576872848</v>
      </c>
      <c r="Z60" s="24">
        <v>34843.8490989803</v>
      </c>
      <c r="AA60" s="24">
        <v>240.559592279783</v>
      </c>
      <c r="AB60" s="24">
        <v>34319.9209609588</v>
      </c>
      <c r="AC60" s="24">
        <v>18.0039275615989</v>
      </c>
      <c r="AD60" s="24">
        <v>27.9736213325593</v>
      </c>
      <c r="AE60" s="24">
        <v>1316337.52931687</v>
      </c>
      <c r="AF60" s="24">
        <v>63075.66069869</v>
      </c>
      <c r="AG60" s="24">
        <v>932.29308114265</v>
      </c>
      <c r="AH60" s="24">
        <v>675.315208814838</v>
      </c>
      <c r="AI60" s="24">
        <v>491.941999626085</v>
      </c>
      <c r="AJ60" s="24">
        <v>50.9909675511862</v>
      </c>
      <c r="AK60" s="24">
        <v>124.140065353702</v>
      </c>
      <c r="AL60" s="24">
        <v>2213.26757285541</v>
      </c>
      <c r="AM60" s="24">
        <v>43836.9801907186</v>
      </c>
      <c r="AN60" s="24">
        <v>435.113098622504</v>
      </c>
      <c r="AO60" s="24">
        <v>10699.2529740284</v>
      </c>
      <c r="AP60" s="24">
        <v>676.103461080184</v>
      </c>
      <c r="AQ60" s="24">
        <v>7207.88681431686</v>
      </c>
      <c r="AR60" s="24">
        <v>7279.57980201162</v>
      </c>
      <c r="AS60" s="24">
        <v>3.94334884806361</v>
      </c>
      <c r="AT60" s="24">
        <v>32.9938655895701</v>
      </c>
      <c r="AU60" s="36">
        <v>11541152.5467086</v>
      </c>
      <c r="AV60" s="24">
        <v>546263.30388697</v>
      </c>
      <c r="AW60" s="24">
        <v>0</v>
      </c>
      <c r="AX60" s="24">
        <v>8678.99180701624</v>
      </c>
      <c r="AY60" s="24">
        <v>340626.186395208</v>
      </c>
      <c r="AZ60" s="36">
        <v>895568.482089194</v>
      </c>
      <c r="BA60" s="36">
        <v>12436721.0287978</v>
      </c>
      <c r="BB60" s="43">
        <v>0</v>
      </c>
    </row>
    <row r="61" spans="1:54">
      <c r="A61" s="21"/>
      <c r="B61" s="22"/>
      <c r="C61" s="23" t="s">
        <v>156</v>
      </c>
      <c r="D61" s="19" t="s">
        <v>178</v>
      </c>
      <c r="E61" s="24">
        <v>1462.33139526182</v>
      </c>
      <c r="F61" s="24">
        <v>31073.0368125665</v>
      </c>
      <c r="G61" s="24">
        <v>98792.9823466304</v>
      </c>
      <c r="H61" s="24">
        <v>410281.77596644</v>
      </c>
      <c r="I61" s="24">
        <v>10881.8017768478</v>
      </c>
      <c r="J61" s="24">
        <v>11299.8343366972</v>
      </c>
      <c r="K61" s="24">
        <v>3047.10582693126</v>
      </c>
      <c r="L61" s="24">
        <v>1896.3390311533</v>
      </c>
      <c r="M61" s="24">
        <v>155184.229263031</v>
      </c>
      <c r="N61" s="24">
        <v>2820562.93933648</v>
      </c>
      <c r="O61" s="24">
        <v>69285.2223718466</v>
      </c>
      <c r="P61" s="24">
        <v>1274314.69621211</v>
      </c>
      <c r="Q61" s="24">
        <v>546213.44912527</v>
      </c>
      <c r="R61" s="24">
        <v>37729014.7710048</v>
      </c>
      <c r="S61" s="24">
        <v>4430847.04275589</v>
      </c>
      <c r="T61" s="24">
        <v>2022708.09613665</v>
      </c>
      <c r="U61" s="24">
        <v>1655359.05680895</v>
      </c>
      <c r="V61" s="24">
        <v>8360850.48840637</v>
      </c>
      <c r="W61" s="24">
        <v>8591353.52429866</v>
      </c>
      <c r="X61" s="24">
        <v>2290263.1835465</v>
      </c>
      <c r="Y61" s="24">
        <v>163942.590015411</v>
      </c>
      <c r="Z61" s="24">
        <v>281728.601467457</v>
      </c>
      <c r="AA61" s="24">
        <v>136155.4466386</v>
      </c>
      <c r="AB61" s="24">
        <v>65182.9386574544</v>
      </c>
      <c r="AC61" s="24">
        <v>377.192455962273</v>
      </c>
      <c r="AD61" s="24">
        <v>324.414355601607</v>
      </c>
      <c r="AE61" s="24">
        <v>1682765.81435098</v>
      </c>
      <c r="AF61" s="24">
        <v>2948.14909294149</v>
      </c>
      <c r="AG61" s="24">
        <v>4078.35189784303</v>
      </c>
      <c r="AH61" s="24">
        <v>21.1296659187148</v>
      </c>
      <c r="AI61" s="24">
        <v>28.7707865457909</v>
      </c>
      <c r="AJ61" s="24">
        <v>0.0916773592740366</v>
      </c>
      <c r="AK61" s="24">
        <v>7.90405322404037</v>
      </c>
      <c r="AL61" s="24">
        <v>7.93293940712112</v>
      </c>
      <c r="AM61" s="24">
        <v>3782.02933696226</v>
      </c>
      <c r="AN61" s="24">
        <v>1226.04670328564</v>
      </c>
      <c r="AO61" s="24">
        <v>479.00244335896</v>
      </c>
      <c r="AP61" s="24">
        <v>2945.32090755788</v>
      </c>
      <c r="AQ61" s="24">
        <v>145.406343425831</v>
      </c>
      <c r="AR61" s="24">
        <v>4.13983425806856</v>
      </c>
      <c r="AS61" s="24">
        <v>3.6847368759603</v>
      </c>
      <c r="AT61" s="24">
        <v>1.01372681690437</v>
      </c>
      <c r="AU61" s="36">
        <v>72860847.8788463</v>
      </c>
      <c r="AV61" s="24">
        <v>0</v>
      </c>
      <c r="AW61" s="24">
        <v>0</v>
      </c>
      <c r="AX61" s="24">
        <v>6787854.31703722</v>
      </c>
      <c r="AY61" s="24">
        <v>1565130.69053202</v>
      </c>
      <c r="AZ61" s="36">
        <v>8352985.00756924</v>
      </c>
      <c r="BA61" s="36">
        <v>81213832.8864155</v>
      </c>
      <c r="BB61" s="43">
        <v>0</v>
      </c>
    </row>
    <row r="62" spans="1:54">
      <c r="A62" s="21"/>
      <c r="B62" s="22"/>
      <c r="C62" s="23" t="s">
        <v>75</v>
      </c>
      <c r="D62" s="19" t="s">
        <v>179</v>
      </c>
      <c r="E62" s="24">
        <v>1403.94728673064</v>
      </c>
      <c r="F62" s="24">
        <v>39021.3758844783</v>
      </c>
      <c r="G62" s="24">
        <v>4297.22310996115</v>
      </c>
      <c r="H62" s="24">
        <v>13181.3265651791</v>
      </c>
      <c r="I62" s="24">
        <v>9332.54085585805</v>
      </c>
      <c r="J62" s="24">
        <v>11341.8989685587</v>
      </c>
      <c r="K62" s="24">
        <v>13935.7542026103</v>
      </c>
      <c r="L62" s="24">
        <v>48585.1932317313</v>
      </c>
      <c r="M62" s="24">
        <v>320739.595206097</v>
      </c>
      <c r="N62" s="24">
        <v>66558.0970095839</v>
      </c>
      <c r="O62" s="24">
        <v>14023.8763331409</v>
      </c>
      <c r="P62" s="24">
        <v>60126.8265386686</v>
      </c>
      <c r="Q62" s="24">
        <v>42218.6124201439</v>
      </c>
      <c r="R62" s="24">
        <v>200875.331999999</v>
      </c>
      <c r="S62" s="24">
        <v>897923.046947327</v>
      </c>
      <c r="T62" s="24">
        <v>845527.188123839</v>
      </c>
      <c r="U62" s="24">
        <v>640668.770592341</v>
      </c>
      <c r="V62" s="24">
        <v>1476210.90111476</v>
      </c>
      <c r="W62" s="24">
        <v>667451.286104583</v>
      </c>
      <c r="X62" s="24">
        <v>348007.182429227</v>
      </c>
      <c r="Y62" s="24">
        <v>42214.4586097013</v>
      </c>
      <c r="Z62" s="24">
        <v>15427.8058618238</v>
      </c>
      <c r="AA62" s="24">
        <v>21187.8433496098</v>
      </c>
      <c r="AB62" s="24">
        <v>20590.2679571104</v>
      </c>
      <c r="AC62" s="24">
        <v>61.4618318109172</v>
      </c>
      <c r="AD62" s="24">
        <v>1552.31051642467</v>
      </c>
      <c r="AE62" s="24">
        <v>367662.528544866</v>
      </c>
      <c r="AF62" s="24">
        <v>53701.7280310951</v>
      </c>
      <c r="AG62" s="24">
        <v>12214.6798092061</v>
      </c>
      <c r="AH62" s="24">
        <v>6557.4924422909</v>
      </c>
      <c r="AI62" s="24">
        <v>922.673135685283</v>
      </c>
      <c r="AJ62" s="24">
        <v>172.793117513062</v>
      </c>
      <c r="AK62" s="24">
        <v>1947.80308996282</v>
      </c>
      <c r="AL62" s="24">
        <v>45609.482038805</v>
      </c>
      <c r="AM62" s="24">
        <v>8792.18153094189</v>
      </c>
      <c r="AN62" s="24">
        <v>21126.6607667726</v>
      </c>
      <c r="AO62" s="24">
        <v>9739.73998463251</v>
      </c>
      <c r="AP62" s="24">
        <v>11562.5255831977</v>
      </c>
      <c r="AQ62" s="24">
        <v>1239.53776006794</v>
      </c>
      <c r="AR62" s="24">
        <v>88.1537412714225</v>
      </c>
      <c r="AS62" s="24">
        <v>11424.6511761057</v>
      </c>
      <c r="AT62" s="24">
        <v>1593.8531584265</v>
      </c>
      <c r="AU62" s="36">
        <v>6376820.60696214</v>
      </c>
      <c r="AV62" s="24">
        <v>520540.045475088</v>
      </c>
      <c r="AW62" s="24">
        <v>1158996.83659186</v>
      </c>
      <c r="AX62" s="24">
        <v>26965.2687003467</v>
      </c>
      <c r="AY62" s="24">
        <v>104118.570526737</v>
      </c>
      <c r="AZ62" s="36">
        <v>1810620.72129403</v>
      </c>
      <c r="BA62" s="36">
        <v>8187441.32825617</v>
      </c>
      <c r="BB62" s="43">
        <v>0</v>
      </c>
    </row>
    <row r="63" spans="1:54">
      <c r="A63" s="21"/>
      <c r="B63" s="22"/>
      <c r="C63" s="23" t="s">
        <v>78</v>
      </c>
      <c r="D63" s="19" t="s">
        <v>180</v>
      </c>
      <c r="E63" s="24">
        <v>40540.4571733502</v>
      </c>
      <c r="F63" s="24">
        <v>55525.7567079854</v>
      </c>
      <c r="G63" s="24">
        <v>12553.9454599299</v>
      </c>
      <c r="H63" s="24">
        <v>15988.6801624349</v>
      </c>
      <c r="I63" s="24">
        <v>22910.8079692579</v>
      </c>
      <c r="J63" s="24">
        <v>53477.2874106941</v>
      </c>
      <c r="K63" s="24">
        <v>17461.2801386689</v>
      </c>
      <c r="L63" s="24">
        <v>14559.3735050525</v>
      </c>
      <c r="M63" s="24">
        <v>22854.2703570798</v>
      </c>
      <c r="N63" s="24">
        <v>41752.4473832485</v>
      </c>
      <c r="O63" s="24">
        <v>24810.6699376659</v>
      </c>
      <c r="P63" s="24">
        <v>282831.76172195</v>
      </c>
      <c r="Q63" s="24">
        <v>118956.846843866</v>
      </c>
      <c r="R63" s="24">
        <v>250028.193868098</v>
      </c>
      <c r="S63" s="24">
        <v>475375.150376275</v>
      </c>
      <c r="T63" s="24">
        <v>10419809.9288762</v>
      </c>
      <c r="U63" s="24">
        <v>4434098.49658838</v>
      </c>
      <c r="V63" s="24">
        <v>10175188.076285</v>
      </c>
      <c r="W63" s="24">
        <v>1440824.18230238</v>
      </c>
      <c r="X63" s="24">
        <v>882684.95354133</v>
      </c>
      <c r="Y63" s="24">
        <v>81111.8491586945</v>
      </c>
      <c r="Z63" s="24">
        <v>135803.137931037</v>
      </c>
      <c r="AA63" s="24">
        <v>178116.699211079</v>
      </c>
      <c r="AB63" s="24">
        <v>236267.268425022</v>
      </c>
      <c r="AC63" s="24">
        <v>14150.8091803691</v>
      </c>
      <c r="AD63" s="24">
        <v>46340.8614274061</v>
      </c>
      <c r="AE63" s="24">
        <v>773986.975238342</v>
      </c>
      <c r="AF63" s="24">
        <v>18025.1172520686</v>
      </c>
      <c r="AG63" s="24">
        <v>80076.9031837727</v>
      </c>
      <c r="AH63" s="24">
        <v>9135.20774371831</v>
      </c>
      <c r="AI63" s="24">
        <v>27363.2496364515</v>
      </c>
      <c r="AJ63" s="24">
        <v>112434.269687873</v>
      </c>
      <c r="AK63" s="24">
        <v>56183.1229855215</v>
      </c>
      <c r="AL63" s="24">
        <v>28857.1202297057</v>
      </c>
      <c r="AM63" s="24">
        <v>8795.37732336139</v>
      </c>
      <c r="AN63" s="24">
        <v>10570.8473345719</v>
      </c>
      <c r="AO63" s="24">
        <v>18469.6227659689</v>
      </c>
      <c r="AP63" s="24">
        <v>18904.385675162</v>
      </c>
      <c r="AQ63" s="24">
        <v>19921.2476108032</v>
      </c>
      <c r="AR63" s="24">
        <v>1680.32674710485</v>
      </c>
      <c r="AS63" s="24">
        <v>7017.08914757498</v>
      </c>
      <c r="AT63" s="24">
        <v>20713.5136883988</v>
      </c>
      <c r="AU63" s="36">
        <v>30706157.5681929</v>
      </c>
      <c r="AV63" s="24">
        <v>329570.057140399</v>
      </c>
      <c r="AW63" s="24">
        <v>23099192.0942178</v>
      </c>
      <c r="AX63" s="24">
        <v>202765.811460383</v>
      </c>
      <c r="AY63" s="24">
        <v>1084753.65434707</v>
      </c>
      <c r="AZ63" s="36">
        <v>24716281.6171656</v>
      </c>
      <c r="BA63" s="36">
        <v>55422439.1853585</v>
      </c>
      <c r="BB63" s="43">
        <v>0</v>
      </c>
    </row>
    <row r="64" spans="1:54">
      <c r="A64" s="21"/>
      <c r="B64" s="22"/>
      <c r="C64" s="23" t="s">
        <v>72</v>
      </c>
      <c r="D64" s="19" t="s">
        <v>181</v>
      </c>
      <c r="E64" s="24">
        <v>50106.9427672493</v>
      </c>
      <c r="F64" s="24">
        <v>7429.64053015431</v>
      </c>
      <c r="G64" s="24">
        <v>28336.9465055814</v>
      </c>
      <c r="H64" s="24">
        <v>6615.74606598179</v>
      </c>
      <c r="I64" s="24">
        <v>28051.1957741348</v>
      </c>
      <c r="J64" s="24">
        <v>37821.7957039431</v>
      </c>
      <c r="K64" s="24">
        <v>44085.3244518603</v>
      </c>
      <c r="L64" s="24">
        <v>36800.4516679919</v>
      </c>
      <c r="M64" s="24">
        <v>5363.27197011821</v>
      </c>
      <c r="N64" s="24">
        <v>113701.666891158</v>
      </c>
      <c r="O64" s="24">
        <v>4521.0402754903</v>
      </c>
      <c r="P64" s="24">
        <v>116141.910067566</v>
      </c>
      <c r="Q64" s="24">
        <v>78578.5173836853</v>
      </c>
      <c r="R64" s="24">
        <v>30537.8983069416</v>
      </c>
      <c r="S64" s="24">
        <v>57248.7426486801</v>
      </c>
      <c r="T64" s="24">
        <v>844813.282401011</v>
      </c>
      <c r="U64" s="24">
        <v>6796470.29782993</v>
      </c>
      <c r="V64" s="24">
        <v>539413.25831176</v>
      </c>
      <c r="W64" s="24">
        <v>264744.754626371</v>
      </c>
      <c r="X64" s="24">
        <v>2677014.68727693</v>
      </c>
      <c r="Y64" s="24">
        <v>63188.2286676739</v>
      </c>
      <c r="Z64" s="24">
        <v>5594.15105392451</v>
      </c>
      <c r="AA64" s="24">
        <v>29745.0777873834</v>
      </c>
      <c r="AB64" s="24">
        <v>11734.616850935</v>
      </c>
      <c r="AC64" s="24">
        <v>8.49344028500815</v>
      </c>
      <c r="AD64" s="24">
        <v>7200.72093313706</v>
      </c>
      <c r="AE64" s="24">
        <v>614933.374846325</v>
      </c>
      <c r="AF64" s="24">
        <v>17143.3704915985</v>
      </c>
      <c r="AG64" s="24">
        <v>90684.0534678319</v>
      </c>
      <c r="AH64" s="24">
        <v>9446.38995960516</v>
      </c>
      <c r="AI64" s="24">
        <v>6763.53704945171</v>
      </c>
      <c r="AJ64" s="24">
        <v>61128.1419343741</v>
      </c>
      <c r="AK64" s="24">
        <v>548.863524640412</v>
      </c>
      <c r="AL64" s="24">
        <v>3047.76029783667</v>
      </c>
      <c r="AM64" s="24">
        <v>372.365638153289</v>
      </c>
      <c r="AN64" s="24">
        <v>10633.4009876897</v>
      </c>
      <c r="AO64" s="24">
        <v>1544.55664642736</v>
      </c>
      <c r="AP64" s="24">
        <v>10599.220962005</v>
      </c>
      <c r="AQ64" s="24">
        <v>9103.19138124781</v>
      </c>
      <c r="AR64" s="24">
        <v>2777186.05785333</v>
      </c>
      <c r="AS64" s="24">
        <v>726.180609027267</v>
      </c>
      <c r="AT64" s="24">
        <v>7443.14847677905</v>
      </c>
      <c r="AU64" s="36">
        <v>15506572.2743162</v>
      </c>
      <c r="AV64" s="24">
        <v>1485652.41232116</v>
      </c>
      <c r="AW64" s="24">
        <v>41669788.1008198</v>
      </c>
      <c r="AX64" s="24">
        <v>84369.2481905992</v>
      </c>
      <c r="AY64" s="24">
        <v>472234.769770921</v>
      </c>
      <c r="AZ64" s="36">
        <v>43712044.5311024</v>
      </c>
      <c r="BA64" s="36">
        <v>59218616.8054186</v>
      </c>
      <c r="BB64" s="43">
        <v>0</v>
      </c>
    </row>
    <row r="65" spans="1:54">
      <c r="A65" s="21"/>
      <c r="B65" s="22"/>
      <c r="C65" s="23" t="s">
        <v>157</v>
      </c>
      <c r="D65" s="19" t="s">
        <v>182</v>
      </c>
      <c r="E65" s="24">
        <v>6990.53098128676</v>
      </c>
      <c r="F65" s="24">
        <v>6865.65558100594</v>
      </c>
      <c r="G65" s="24">
        <v>198.591755238088</v>
      </c>
      <c r="H65" s="24">
        <v>9437.38655930095</v>
      </c>
      <c r="I65" s="24">
        <v>12373.443296585</v>
      </c>
      <c r="J65" s="24">
        <v>615.290947912713</v>
      </c>
      <c r="K65" s="24">
        <v>345.807437473623</v>
      </c>
      <c r="L65" s="24">
        <v>455.255813048435</v>
      </c>
      <c r="M65" s="24">
        <v>958.741932428317</v>
      </c>
      <c r="N65" s="24">
        <v>678.987851314856</v>
      </c>
      <c r="O65" s="24">
        <v>180.221144049181</v>
      </c>
      <c r="P65" s="24">
        <v>2070.30933879288</v>
      </c>
      <c r="Q65" s="24">
        <v>7854.20427980976</v>
      </c>
      <c r="R65" s="24">
        <v>643.947679205332</v>
      </c>
      <c r="S65" s="24">
        <v>1574.01984558272</v>
      </c>
      <c r="T65" s="24">
        <v>86412.2420033734</v>
      </c>
      <c r="U65" s="24">
        <v>276421.494840453</v>
      </c>
      <c r="V65" s="24">
        <v>23221600.0691304</v>
      </c>
      <c r="W65" s="24">
        <v>24419.899021344</v>
      </c>
      <c r="X65" s="24">
        <v>11765.2979089326</v>
      </c>
      <c r="Y65" s="24">
        <v>5553.9337092923</v>
      </c>
      <c r="Z65" s="24">
        <v>422.219076929457</v>
      </c>
      <c r="AA65" s="24">
        <v>98540.9560059748</v>
      </c>
      <c r="AB65" s="24">
        <v>131.866720274278</v>
      </c>
      <c r="AC65" s="24">
        <v>32.7785615385752</v>
      </c>
      <c r="AD65" s="24">
        <v>33.9343932051263</v>
      </c>
      <c r="AE65" s="24">
        <v>5738.14528285249</v>
      </c>
      <c r="AF65" s="24">
        <v>379.12145754621</v>
      </c>
      <c r="AG65" s="24">
        <v>1048393.91430879</v>
      </c>
      <c r="AH65" s="24">
        <v>1038.66573441937</v>
      </c>
      <c r="AI65" s="24">
        <v>582.656937310697</v>
      </c>
      <c r="AJ65" s="24">
        <v>775.704593790396</v>
      </c>
      <c r="AK65" s="24">
        <v>67.8283741977056</v>
      </c>
      <c r="AL65" s="24">
        <v>68524.3248842628</v>
      </c>
      <c r="AM65" s="24">
        <v>18972.0947256242</v>
      </c>
      <c r="AN65" s="24">
        <v>7786.82699890029</v>
      </c>
      <c r="AO65" s="24">
        <v>3932.98947029812</v>
      </c>
      <c r="AP65" s="24">
        <v>367141.113961614</v>
      </c>
      <c r="AQ65" s="24">
        <v>293.978461150913</v>
      </c>
      <c r="AR65" s="24">
        <v>884.847406745605</v>
      </c>
      <c r="AS65" s="24">
        <v>264.618587198314</v>
      </c>
      <c r="AT65" s="24">
        <v>6753.3709313479</v>
      </c>
      <c r="AU65" s="36">
        <v>25308107.2879308</v>
      </c>
      <c r="AV65" s="24">
        <v>15756919.7800459</v>
      </c>
      <c r="AW65" s="24">
        <v>19133020.2912435</v>
      </c>
      <c r="AX65" s="24">
        <v>111937.308374615</v>
      </c>
      <c r="AY65" s="24">
        <v>428366.30205928</v>
      </c>
      <c r="AZ65" s="36">
        <v>35430243.6817233</v>
      </c>
      <c r="BA65" s="36">
        <v>60738350.9696541</v>
      </c>
      <c r="BB65" s="43">
        <v>0</v>
      </c>
    </row>
    <row r="66" spans="1:54">
      <c r="A66" s="21"/>
      <c r="B66" s="22"/>
      <c r="C66" s="23" t="s">
        <v>77</v>
      </c>
      <c r="D66" s="19" t="s">
        <v>183</v>
      </c>
      <c r="E66" s="24">
        <v>2802.07590055836</v>
      </c>
      <c r="F66" s="24">
        <v>10599.5092364408</v>
      </c>
      <c r="G66" s="24">
        <v>7025.27884663486</v>
      </c>
      <c r="H66" s="24">
        <v>7519.09334108832</v>
      </c>
      <c r="I66" s="24">
        <v>6639.96448043039</v>
      </c>
      <c r="J66" s="24">
        <v>15454.4293555374</v>
      </c>
      <c r="K66" s="24">
        <v>3692.56678582141</v>
      </c>
      <c r="L66" s="24">
        <v>13308.0631118725</v>
      </c>
      <c r="M66" s="24">
        <v>19160.619285072</v>
      </c>
      <c r="N66" s="24">
        <v>128458.485315766</v>
      </c>
      <c r="O66" s="24">
        <v>2590.28055417907</v>
      </c>
      <c r="P66" s="24">
        <v>60779.9391579874</v>
      </c>
      <c r="Q66" s="24">
        <v>30871.0372766418</v>
      </c>
      <c r="R66" s="24">
        <v>12473.0889072075</v>
      </c>
      <c r="S66" s="24">
        <v>61976.5605866816</v>
      </c>
      <c r="T66" s="24">
        <v>2184760.63329226</v>
      </c>
      <c r="U66" s="24">
        <v>2033606.2481097</v>
      </c>
      <c r="V66" s="24">
        <v>8381091.12808869</v>
      </c>
      <c r="W66" s="24">
        <v>13424822.9558486</v>
      </c>
      <c r="X66" s="24">
        <v>8252381.18422153</v>
      </c>
      <c r="Y66" s="24">
        <v>1111259.32073012</v>
      </c>
      <c r="Z66" s="24">
        <v>37133.5805119463</v>
      </c>
      <c r="AA66" s="24">
        <v>58889.0997699696</v>
      </c>
      <c r="AB66" s="24">
        <v>779487.369116734</v>
      </c>
      <c r="AC66" s="24">
        <v>1580.08229039312</v>
      </c>
      <c r="AD66" s="24">
        <v>2549.09025185631</v>
      </c>
      <c r="AE66" s="24">
        <v>1052026.83898665</v>
      </c>
      <c r="AF66" s="24">
        <v>355751.353419719</v>
      </c>
      <c r="AG66" s="24">
        <v>53636.9265248689</v>
      </c>
      <c r="AH66" s="24">
        <v>16684.7766024472</v>
      </c>
      <c r="AI66" s="24">
        <v>122590.900527647</v>
      </c>
      <c r="AJ66" s="24">
        <v>4050.98698585147</v>
      </c>
      <c r="AK66" s="24">
        <v>415.30709563395</v>
      </c>
      <c r="AL66" s="24">
        <v>8789.16935882222</v>
      </c>
      <c r="AM66" s="24">
        <v>22135.8566879609</v>
      </c>
      <c r="AN66" s="24">
        <v>12712.5982138318</v>
      </c>
      <c r="AO66" s="24">
        <v>18949.1556076856</v>
      </c>
      <c r="AP66" s="24">
        <v>25307.723650275</v>
      </c>
      <c r="AQ66" s="24">
        <v>958.460222207399</v>
      </c>
      <c r="AR66" s="24">
        <v>1236.14985304981</v>
      </c>
      <c r="AS66" s="24">
        <v>3572.30507295009</v>
      </c>
      <c r="AT66" s="24">
        <v>13568.0062204196</v>
      </c>
      <c r="AU66" s="36">
        <v>38363298.1994037</v>
      </c>
      <c r="AV66" s="24">
        <v>3544610.71211039</v>
      </c>
      <c r="AW66" s="24">
        <v>6982836.66903499</v>
      </c>
      <c r="AX66" s="24">
        <v>119800.02637016</v>
      </c>
      <c r="AY66" s="24">
        <v>1425665.40564073</v>
      </c>
      <c r="AZ66" s="36">
        <v>12072912.8131563</v>
      </c>
      <c r="BA66" s="36">
        <v>50436211.01256</v>
      </c>
      <c r="BB66" s="43">
        <v>0</v>
      </c>
    </row>
    <row r="67" spans="1:54">
      <c r="A67" s="21"/>
      <c r="B67" s="22"/>
      <c r="C67" s="23" t="s">
        <v>158</v>
      </c>
      <c r="D67" s="19" t="s">
        <v>184</v>
      </c>
      <c r="E67" s="24">
        <v>12391.6828856972</v>
      </c>
      <c r="F67" s="24">
        <v>2062.13125001479</v>
      </c>
      <c r="G67" s="24">
        <v>985.818013453644</v>
      </c>
      <c r="H67" s="24">
        <v>2169.04064677274</v>
      </c>
      <c r="I67" s="24">
        <v>2254.4960172056</v>
      </c>
      <c r="J67" s="24">
        <v>6808.53810423524</v>
      </c>
      <c r="K67" s="24">
        <v>2719.53130073631</v>
      </c>
      <c r="L67" s="24">
        <v>8260.93424497659</v>
      </c>
      <c r="M67" s="24">
        <v>16850.9115285989</v>
      </c>
      <c r="N67" s="24">
        <v>2052031.14748438</v>
      </c>
      <c r="O67" s="24">
        <v>962.477356922159</v>
      </c>
      <c r="P67" s="24">
        <v>65029.9195150647</v>
      </c>
      <c r="Q67" s="24">
        <v>14617.0798777333</v>
      </c>
      <c r="R67" s="24">
        <v>10439.8430784572</v>
      </c>
      <c r="S67" s="24">
        <v>39101.2027576454</v>
      </c>
      <c r="T67" s="24">
        <v>4584969.18895979</v>
      </c>
      <c r="U67" s="24">
        <v>2246732.2510606</v>
      </c>
      <c r="V67" s="24">
        <v>2811532.02669443</v>
      </c>
      <c r="W67" s="24">
        <v>16992039.7297152</v>
      </c>
      <c r="X67" s="24">
        <v>271830731.201608</v>
      </c>
      <c r="Y67" s="24">
        <v>4308828.4448509</v>
      </c>
      <c r="Z67" s="24">
        <v>18611.2230646791</v>
      </c>
      <c r="AA67" s="24">
        <v>12512.0509308934</v>
      </c>
      <c r="AB67" s="24">
        <v>7243.4195069665</v>
      </c>
      <c r="AC67" s="24">
        <v>1516.42816975897</v>
      </c>
      <c r="AD67" s="24">
        <v>1435.17883803695</v>
      </c>
      <c r="AE67" s="24">
        <v>123615.406925156</v>
      </c>
      <c r="AF67" s="24">
        <v>268236.621674415</v>
      </c>
      <c r="AG67" s="24">
        <v>59530.9571946042</v>
      </c>
      <c r="AH67" s="24">
        <v>15722.9761374038</v>
      </c>
      <c r="AI67" s="24">
        <v>1633155.71900999</v>
      </c>
      <c r="AJ67" s="24">
        <v>115589.204397017</v>
      </c>
      <c r="AK67" s="24">
        <v>27874.1258849007</v>
      </c>
      <c r="AL67" s="24">
        <v>1569956.48179662</v>
      </c>
      <c r="AM67" s="24">
        <v>422549.789903315</v>
      </c>
      <c r="AN67" s="24">
        <v>1704886.68128932</v>
      </c>
      <c r="AO67" s="24">
        <v>79056.2074655909</v>
      </c>
      <c r="AP67" s="24">
        <v>266115.564310096</v>
      </c>
      <c r="AQ67" s="24">
        <v>35853.492834753</v>
      </c>
      <c r="AR67" s="24">
        <v>64356.7172283312</v>
      </c>
      <c r="AS67" s="24">
        <v>53444.4409193116</v>
      </c>
      <c r="AT67" s="24">
        <v>177881.140420722</v>
      </c>
      <c r="AU67" s="36">
        <v>311670661.424853</v>
      </c>
      <c r="AV67" s="24">
        <v>3357839.53555905</v>
      </c>
      <c r="AW67" s="24">
        <v>16364291.448088</v>
      </c>
      <c r="AX67" s="24">
        <v>2427487.13310004</v>
      </c>
      <c r="AY67" s="24">
        <v>24494571.8182271</v>
      </c>
      <c r="AZ67" s="36">
        <v>46644189.9349741</v>
      </c>
      <c r="BA67" s="36">
        <v>358314851.359826</v>
      </c>
      <c r="BB67" s="43">
        <v>0</v>
      </c>
    </row>
    <row r="68" spans="1:54">
      <c r="A68" s="21"/>
      <c r="B68" s="22"/>
      <c r="C68" s="23" t="s">
        <v>159</v>
      </c>
      <c r="D68" s="19" t="s">
        <v>185</v>
      </c>
      <c r="E68" s="24">
        <v>6722.39378460882</v>
      </c>
      <c r="F68" s="24">
        <v>10644.6007747218</v>
      </c>
      <c r="G68" s="24">
        <v>191654.090371777</v>
      </c>
      <c r="H68" s="24">
        <v>19764.2384585394</v>
      </c>
      <c r="I68" s="24">
        <v>62946.5469447468</v>
      </c>
      <c r="J68" s="24">
        <v>36094.5374040961</v>
      </c>
      <c r="K68" s="24">
        <v>4113.99809421139</v>
      </c>
      <c r="L68" s="24">
        <v>30143.439816622</v>
      </c>
      <c r="M68" s="24">
        <v>3201.94197796324</v>
      </c>
      <c r="N68" s="24">
        <v>46288.2978893193</v>
      </c>
      <c r="O68" s="24">
        <v>173989.225533889</v>
      </c>
      <c r="P68" s="24">
        <v>213612.932659831</v>
      </c>
      <c r="Q68" s="24">
        <v>150496.760190323</v>
      </c>
      <c r="R68" s="24">
        <v>63002.6108579886</v>
      </c>
      <c r="S68" s="24">
        <v>67329.4985810567</v>
      </c>
      <c r="T68" s="24">
        <v>1197623.43095102</v>
      </c>
      <c r="U68" s="24">
        <v>2217222.90306844</v>
      </c>
      <c r="V68" s="24">
        <v>2697825.73218485</v>
      </c>
      <c r="W68" s="24">
        <v>1320354.37002417</v>
      </c>
      <c r="X68" s="24">
        <v>3728160.03217902</v>
      </c>
      <c r="Y68" s="24">
        <v>6165278.92469098</v>
      </c>
      <c r="Z68" s="24">
        <v>134730.496250405</v>
      </c>
      <c r="AA68" s="24">
        <v>168031.998392977</v>
      </c>
      <c r="AB68" s="24">
        <v>2765216.2104879</v>
      </c>
      <c r="AC68" s="24">
        <v>22856.2425652771</v>
      </c>
      <c r="AD68" s="24">
        <v>21362.5183913238</v>
      </c>
      <c r="AE68" s="24">
        <v>554302.974607349</v>
      </c>
      <c r="AF68" s="24">
        <v>1729.45352389865</v>
      </c>
      <c r="AG68" s="24">
        <v>28741.1902116506</v>
      </c>
      <c r="AH68" s="24">
        <v>1241.70209417002</v>
      </c>
      <c r="AI68" s="24">
        <v>188781.275361039</v>
      </c>
      <c r="AJ68" s="24">
        <v>2205.76805199764</v>
      </c>
      <c r="AK68" s="24">
        <v>2532.90360795172</v>
      </c>
      <c r="AL68" s="24">
        <v>31265.1596782172</v>
      </c>
      <c r="AM68" s="24">
        <v>1934006.55320519</v>
      </c>
      <c r="AN68" s="24">
        <v>3909036.29542336</v>
      </c>
      <c r="AO68" s="24">
        <v>100631.698898903</v>
      </c>
      <c r="AP68" s="24">
        <v>185769.368391401</v>
      </c>
      <c r="AQ68" s="24">
        <v>876055.48245803</v>
      </c>
      <c r="AR68" s="24">
        <v>190809.423345398</v>
      </c>
      <c r="AS68" s="24">
        <v>54839.4048490016</v>
      </c>
      <c r="AT68" s="24">
        <v>41029.6924184139</v>
      </c>
      <c r="AU68" s="36">
        <v>29621646.318652</v>
      </c>
      <c r="AV68" s="24">
        <v>3289727.89914862</v>
      </c>
      <c r="AW68" s="24">
        <v>9680514.36022223</v>
      </c>
      <c r="AX68" s="24">
        <v>187530.236620049</v>
      </c>
      <c r="AY68" s="24">
        <v>1061610.8145968</v>
      </c>
      <c r="AZ68" s="36">
        <v>14219383.3105877</v>
      </c>
      <c r="BA68" s="36">
        <v>43841029.6292397</v>
      </c>
      <c r="BB68" s="43">
        <v>0</v>
      </c>
    </row>
    <row r="69" spans="1:54">
      <c r="A69" s="21"/>
      <c r="B69" s="22"/>
      <c r="C69" s="23" t="s">
        <v>160</v>
      </c>
      <c r="D69" s="19" t="s">
        <v>186</v>
      </c>
      <c r="E69" s="24">
        <v>276.417050216768</v>
      </c>
      <c r="F69" s="24">
        <v>1387.19008208838</v>
      </c>
      <c r="G69" s="24">
        <v>349.001986644769</v>
      </c>
      <c r="H69" s="24">
        <v>371.858975216541</v>
      </c>
      <c r="I69" s="24">
        <v>568.067189095783</v>
      </c>
      <c r="J69" s="24">
        <v>2237.23620400194</v>
      </c>
      <c r="K69" s="24">
        <v>15919.4626029272</v>
      </c>
      <c r="L69" s="24">
        <v>52740.8471851769</v>
      </c>
      <c r="M69" s="24">
        <v>5133.08891820187</v>
      </c>
      <c r="N69" s="24">
        <v>1414777.33245972</v>
      </c>
      <c r="O69" s="24">
        <v>3219.24563628577</v>
      </c>
      <c r="P69" s="24">
        <v>163142.201536833</v>
      </c>
      <c r="Q69" s="24">
        <v>102257.71185257</v>
      </c>
      <c r="R69" s="24">
        <v>3348924.40282066</v>
      </c>
      <c r="S69" s="24">
        <v>279802.628425944</v>
      </c>
      <c r="T69" s="24">
        <v>10366.9297765665</v>
      </c>
      <c r="U69" s="24">
        <v>5287.27881686483</v>
      </c>
      <c r="V69" s="24">
        <v>3852.51028851171</v>
      </c>
      <c r="W69" s="24">
        <v>20818.2492092071</v>
      </c>
      <c r="X69" s="24">
        <v>9300.27156088668</v>
      </c>
      <c r="Y69" s="24">
        <v>71139.2346914489</v>
      </c>
      <c r="Z69" s="24">
        <v>812106.892976645</v>
      </c>
      <c r="AA69" s="24">
        <v>196.507534927116</v>
      </c>
      <c r="AB69" s="24">
        <v>2900.45090626035</v>
      </c>
      <c r="AC69" s="24">
        <v>126.642900855476</v>
      </c>
      <c r="AD69" s="24">
        <v>63.0185157064706</v>
      </c>
      <c r="AE69" s="24">
        <v>7031.68029022046</v>
      </c>
      <c r="AF69" s="24">
        <v>329.407267734179</v>
      </c>
      <c r="AG69" s="24">
        <v>1326.38152005081</v>
      </c>
      <c r="AH69" s="24">
        <v>1105.01961692885</v>
      </c>
      <c r="AI69" s="24">
        <v>815.164587994536</v>
      </c>
      <c r="AJ69" s="24">
        <v>311.904554959543</v>
      </c>
      <c r="AK69" s="24">
        <v>5145.80914385707</v>
      </c>
      <c r="AL69" s="24">
        <v>34326.7777236286</v>
      </c>
      <c r="AM69" s="24">
        <v>6662.03845856721</v>
      </c>
      <c r="AN69" s="24">
        <v>21386.0670363219</v>
      </c>
      <c r="AO69" s="24">
        <v>2890.40924108559</v>
      </c>
      <c r="AP69" s="24">
        <v>9692.85073469538</v>
      </c>
      <c r="AQ69" s="24">
        <v>925.802329777409</v>
      </c>
      <c r="AR69" s="24">
        <v>837.055534106039</v>
      </c>
      <c r="AS69" s="24">
        <v>2844.69402712604</v>
      </c>
      <c r="AT69" s="24">
        <v>761.256930899327</v>
      </c>
      <c r="AU69" s="36">
        <v>6423656.99910141</v>
      </c>
      <c r="AV69" s="24">
        <v>378717.625848322</v>
      </c>
      <c r="AW69" s="24">
        <v>0</v>
      </c>
      <c r="AX69" s="24">
        <v>153860.46502331</v>
      </c>
      <c r="AY69" s="24">
        <v>0</v>
      </c>
      <c r="AZ69" s="36">
        <v>532578.090871632</v>
      </c>
      <c r="BA69" s="36">
        <v>6956235.08997304</v>
      </c>
      <c r="BB69" s="43">
        <v>0</v>
      </c>
    </row>
    <row r="70" spans="1:54">
      <c r="A70" s="21"/>
      <c r="B70" s="22"/>
      <c r="C70" s="23" t="s">
        <v>161</v>
      </c>
      <c r="D70" s="19" t="s">
        <v>187</v>
      </c>
      <c r="E70" s="24">
        <v>10194.1688032115</v>
      </c>
      <c r="F70" s="24">
        <v>226.786868443038</v>
      </c>
      <c r="G70" s="24">
        <v>139.603200189118</v>
      </c>
      <c r="H70" s="24">
        <v>170.503701532465</v>
      </c>
      <c r="I70" s="24">
        <v>115.632138496389</v>
      </c>
      <c r="J70" s="24">
        <v>11724.7565806607</v>
      </c>
      <c r="K70" s="24">
        <v>3509.33372670709</v>
      </c>
      <c r="L70" s="24">
        <v>4847.34781629252</v>
      </c>
      <c r="M70" s="24">
        <v>4245.48725607548</v>
      </c>
      <c r="N70" s="24">
        <v>9655.85953327447</v>
      </c>
      <c r="O70" s="24">
        <v>13871.6250304448</v>
      </c>
      <c r="P70" s="24">
        <v>43366.3308065599</v>
      </c>
      <c r="Q70" s="24">
        <v>84517.9753298991</v>
      </c>
      <c r="R70" s="24">
        <v>33652.178819369</v>
      </c>
      <c r="S70" s="24">
        <v>10103.8348911452</v>
      </c>
      <c r="T70" s="24">
        <v>28893.5088323027</v>
      </c>
      <c r="U70" s="24">
        <v>41043.9636283368</v>
      </c>
      <c r="V70" s="24">
        <v>34080.5051817376</v>
      </c>
      <c r="W70" s="24">
        <v>17223.0948327495</v>
      </c>
      <c r="X70" s="24">
        <v>22739.5896461565</v>
      </c>
      <c r="Y70" s="24">
        <v>1632.25887983201</v>
      </c>
      <c r="Z70" s="24">
        <v>2261.92615267125</v>
      </c>
      <c r="AA70" s="24">
        <v>1044.96376765721</v>
      </c>
      <c r="AB70" s="24">
        <v>6308.69560482012</v>
      </c>
      <c r="AC70" s="24">
        <v>245.6268751159</v>
      </c>
      <c r="AD70" s="24">
        <v>152.248173405096</v>
      </c>
      <c r="AE70" s="24">
        <v>1335.92860315589</v>
      </c>
      <c r="AF70" s="24">
        <v>29009.5196665268</v>
      </c>
      <c r="AG70" s="24">
        <v>547495.839867409</v>
      </c>
      <c r="AH70" s="24">
        <v>83.2640495429061</v>
      </c>
      <c r="AI70" s="24">
        <v>32513.6765542541</v>
      </c>
      <c r="AJ70" s="24">
        <v>308.30038009877</v>
      </c>
      <c r="AK70" s="24">
        <v>1428.94822066494</v>
      </c>
      <c r="AL70" s="24">
        <v>12125.2162727711</v>
      </c>
      <c r="AM70" s="24">
        <v>13463.7783350097</v>
      </c>
      <c r="AN70" s="24">
        <v>12016.2746858442</v>
      </c>
      <c r="AO70" s="24">
        <v>96.8611423216956</v>
      </c>
      <c r="AP70" s="24">
        <v>2322.84464473499</v>
      </c>
      <c r="AQ70" s="24">
        <v>79.0036377864075</v>
      </c>
      <c r="AR70" s="24">
        <v>616.24773734929</v>
      </c>
      <c r="AS70" s="24">
        <v>472.725997237607</v>
      </c>
      <c r="AT70" s="24">
        <v>645.481693957689</v>
      </c>
      <c r="AU70" s="36">
        <v>1039981.71756575</v>
      </c>
      <c r="AV70" s="24">
        <v>0</v>
      </c>
      <c r="AW70" s="24">
        <v>1277576.37859543</v>
      </c>
      <c r="AX70" s="24">
        <v>0</v>
      </c>
      <c r="AY70" s="24">
        <v>0</v>
      </c>
      <c r="AZ70" s="36">
        <v>1277576.37859543</v>
      </c>
      <c r="BA70" s="36">
        <v>2317558.09616118</v>
      </c>
      <c r="BB70" s="43">
        <v>0</v>
      </c>
    </row>
    <row r="71" spans="1:54">
      <c r="A71" s="21"/>
      <c r="B71" s="22"/>
      <c r="C71" s="23" t="s">
        <v>162</v>
      </c>
      <c r="D71" s="19" t="s">
        <v>188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62306.8513459263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36">
        <v>62306.8513459263</v>
      </c>
      <c r="AV71" s="24">
        <v>60911.5898540737</v>
      </c>
      <c r="AW71" s="24">
        <v>0</v>
      </c>
      <c r="AX71" s="24">
        <v>0</v>
      </c>
      <c r="AY71" s="24">
        <v>0</v>
      </c>
      <c r="AZ71" s="36">
        <v>60911.5898540737</v>
      </c>
      <c r="BA71" s="36">
        <v>123218.4412</v>
      </c>
      <c r="BB71" s="43">
        <v>0</v>
      </c>
    </row>
    <row r="72" spans="1:54">
      <c r="A72" s="21"/>
      <c r="B72" s="22"/>
      <c r="C72" s="23" t="s">
        <v>83</v>
      </c>
      <c r="D72" s="19" t="s">
        <v>189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36">
        <v>0</v>
      </c>
      <c r="AV72" s="24">
        <v>0</v>
      </c>
      <c r="AW72" s="24">
        <v>0</v>
      </c>
      <c r="AX72" s="24">
        <v>0</v>
      </c>
      <c r="AY72" s="24">
        <v>0</v>
      </c>
      <c r="AZ72" s="36">
        <v>0</v>
      </c>
      <c r="BA72" s="36">
        <v>0</v>
      </c>
      <c r="BB72" s="43">
        <v>0</v>
      </c>
    </row>
    <row r="73" spans="1:54">
      <c r="A73" s="21"/>
      <c r="B73" s="22"/>
      <c r="C73" s="23" t="s">
        <v>84</v>
      </c>
      <c r="D73" s="19" t="s">
        <v>190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36">
        <v>0</v>
      </c>
      <c r="AV73" s="24">
        <v>0</v>
      </c>
      <c r="AW73" s="24">
        <v>0</v>
      </c>
      <c r="AX73" s="24">
        <v>0</v>
      </c>
      <c r="AY73" s="24">
        <v>0</v>
      </c>
      <c r="AZ73" s="36">
        <v>0</v>
      </c>
      <c r="BA73" s="36">
        <v>0</v>
      </c>
      <c r="BB73" s="43">
        <v>0</v>
      </c>
    </row>
    <row r="74" spans="1:54">
      <c r="A74" s="21"/>
      <c r="B74" s="22"/>
      <c r="C74" s="23" t="s">
        <v>85</v>
      </c>
      <c r="D74" s="19" t="s">
        <v>191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4">
        <v>0</v>
      </c>
      <c r="AU74" s="36">
        <v>0</v>
      </c>
      <c r="AV74" s="24">
        <v>0</v>
      </c>
      <c r="AW74" s="24">
        <v>5545047.863764</v>
      </c>
      <c r="AX74" s="24">
        <v>0</v>
      </c>
      <c r="AY74" s="24">
        <v>0</v>
      </c>
      <c r="AZ74" s="36">
        <v>5545047.863764</v>
      </c>
      <c r="BA74" s="36">
        <v>5545047.863764</v>
      </c>
      <c r="BB74" s="43">
        <v>0</v>
      </c>
    </row>
    <row r="75" spans="1:54">
      <c r="A75" s="21"/>
      <c r="B75" s="22"/>
      <c r="C75" s="23" t="s">
        <v>86</v>
      </c>
      <c r="D75" s="19" t="s">
        <v>192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36">
        <v>0</v>
      </c>
      <c r="AV75" s="24">
        <v>0</v>
      </c>
      <c r="AW75" s="24">
        <v>0</v>
      </c>
      <c r="AX75" s="24">
        <v>0</v>
      </c>
      <c r="AY75" s="24">
        <v>0</v>
      </c>
      <c r="AZ75" s="36">
        <v>0</v>
      </c>
      <c r="BA75" s="36">
        <v>0</v>
      </c>
      <c r="BB75" s="43">
        <v>0</v>
      </c>
    </row>
    <row r="76" spans="1:54">
      <c r="A76" s="21"/>
      <c r="B76" s="22"/>
      <c r="C76" s="23" t="s">
        <v>87</v>
      </c>
      <c r="D76" s="19" t="s">
        <v>193</v>
      </c>
      <c r="E76" s="24">
        <v>378992.475653556</v>
      </c>
      <c r="F76" s="24">
        <v>11390.3141563145</v>
      </c>
      <c r="G76" s="24">
        <v>9312.64695933989</v>
      </c>
      <c r="H76" s="24">
        <v>8754.21068101609</v>
      </c>
      <c r="I76" s="24">
        <v>27261.1864893701</v>
      </c>
      <c r="J76" s="24">
        <v>183948.945320084</v>
      </c>
      <c r="K76" s="24">
        <v>70683.3209528296</v>
      </c>
      <c r="L76" s="24">
        <v>181564.530295852</v>
      </c>
      <c r="M76" s="24">
        <v>80501.0991507213</v>
      </c>
      <c r="N76" s="24">
        <v>82422.2489318356</v>
      </c>
      <c r="O76" s="24">
        <v>14711.032647643</v>
      </c>
      <c r="P76" s="24">
        <v>579169.817929015</v>
      </c>
      <c r="Q76" s="24">
        <v>169200.078681479</v>
      </c>
      <c r="R76" s="24">
        <v>57381.857095568</v>
      </c>
      <c r="S76" s="24">
        <v>164931.589597842</v>
      </c>
      <c r="T76" s="24">
        <v>165693.917125462</v>
      </c>
      <c r="U76" s="24">
        <v>268741.68100695</v>
      </c>
      <c r="V76" s="24">
        <v>296595.555443932</v>
      </c>
      <c r="W76" s="24">
        <v>239480.636766835</v>
      </c>
      <c r="X76" s="24">
        <v>298917.954358358</v>
      </c>
      <c r="Y76" s="24">
        <v>63629.088718363</v>
      </c>
      <c r="Z76" s="24">
        <v>18088.8624536553</v>
      </c>
      <c r="AA76" s="24">
        <v>9692.31022723377</v>
      </c>
      <c r="AB76" s="24">
        <v>203762.973555126</v>
      </c>
      <c r="AC76" s="24">
        <v>8217.34250687034</v>
      </c>
      <c r="AD76" s="24">
        <v>5770.94210162194</v>
      </c>
      <c r="AE76" s="24">
        <v>1015408.36462955</v>
      </c>
      <c r="AF76" s="24">
        <v>1104101.62265089</v>
      </c>
      <c r="AG76" s="24">
        <v>3443391.74417298</v>
      </c>
      <c r="AH76" s="24">
        <v>278115.665051479</v>
      </c>
      <c r="AI76" s="24">
        <v>1843460.91538129</v>
      </c>
      <c r="AJ76" s="24">
        <v>814139.491205847</v>
      </c>
      <c r="AK76" s="24">
        <v>430868.203960906</v>
      </c>
      <c r="AL76" s="24">
        <v>8968429.65664682</v>
      </c>
      <c r="AM76" s="24">
        <v>866390.843452427</v>
      </c>
      <c r="AN76" s="24">
        <v>1602223.73916664</v>
      </c>
      <c r="AO76" s="24">
        <v>127478.681014401</v>
      </c>
      <c r="AP76" s="24">
        <v>394197.928304336</v>
      </c>
      <c r="AQ76" s="24">
        <v>2225599.42206091</v>
      </c>
      <c r="AR76" s="24">
        <v>226825.431391949</v>
      </c>
      <c r="AS76" s="24">
        <v>401252.873938787</v>
      </c>
      <c r="AT76" s="24">
        <v>4648935.16051606</v>
      </c>
      <c r="AU76" s="36">
        <v>31989636.3623522</v>
      </c>
      <c r="AV76" s="24">
        <v>7332532.85099915</v>
      </c>
      <c r="AW76" s="24">
        <v>0</v>
      </c>
      <c r="AX76" s="24">
        <v>0</v>
      </c>
      <c r="AY76" s="24">
        <v>0</v>
      </c>
      <c r="AZ76" s="36">
        <v>7332532.85099915</v>
      </c>
      <c r="BA76" s="36">
        <v>39322169.2133513</v>
      </c>
      <c r="BB76" s="43">
        <v>0</v>
      </c>
    </row>
    <row r="77" spans="1:54">
      <c r="A77" s="21"/>
      <c r="B77" s="22"/>
      <c r="C77" s="23" t="s">
        <v>88</v>
      </c>
      <c r="D77" s="19" t="s">
        <v>194</v>
      </c>
      <c r="E77" s="24">
        <v>173509.407536455</v>
      </c>
      <c r="F77" s="24">
        <v>44877.1616135441</v>
      </c>
      <c r="G77" s="24">
        <v>23854.7801645529</v>
      </c>
      <c r="H77" s="24">
        <v>32217.8613396899</v>
      </c>
      <c r="I77" s="24">
        <v>36839.0646233681</v>
      </c>
      <c r="J77" s="24">
        <v>353509.949930432</v>
      </c>
      <c r="K77" s="24">
        <v>85292.7275972285</v>
      </c>
      <c r="L77" s="24">
        <v>98991.096880504</v>
      </c>
      <c r="M77" s="24">
        <v>64923.2812675055</v>
      </c>
      <c r="N77" s="24">
        <v>142193.542055021</v>
      </c>
      <c r="O77" s="24">
        <v>87794.7706669831</v>
      </c>
      <c r="P77" s="24">
        <v>566097.306731134</v>
      </c>
      <c r="Q77" s="24">
        <v>242043.715916491</v>
      </c>
      <c r="R77" s="24">
        <v>365898.942174817</v>
      </c>
      <c r="S77" s="24">
        <v>164951.825527772</v>
      </c>
      <c r="T77" s="24">
        <v>181967.527321574</v>
      </c>
      <c r="U77" s="24">
        <v>238181.299500991</v>
      </c>
      <c r="V77" s="24">
        <v>263724.093605232</v>
      </c>
      <c r="W77" s="24">
        <v>223773.606432375</v>
      </c>
      <c r="X77" s="24">
        <v>214768.863905492</v>
      </c>
      <c r="Y77" s="24">
        <v>49531.5598617785</v>
      </c>
      <c r="Z77" s="24">
        <v>18682.349987423</v>
      </c>
      <c r="AA77" s="24">
        <v>11557.4654415003</v>
      </c>
      <c r="AB77" s="24">
        <v>186021.200517181</v>
      </c>
      <c r="AC77" s="24">
        <v>10804.4426027215</v>
      </c>
      <c r="AD77" s="24">
        <v>9758.97103537695</v>
      </c>
      <c r="AE77" s="24">
        <v>840671.978750243</v>
      </c>
      <c r="AF77" s="24">
        <v>568708.535149726</v>
      </c>
      <c r="AG77" s="24">
        <v>1148383.67207276</v>
      </c>
      <c r="AH77" s="24">
        <v>63178.2121446105</v>
      </c>
      <c r="AI77" s="24">
        <v>504832.768524902</v>
      </c>
      <c r="AJ77" s="24">
        <v>2268668.38719808</v>
      </c>
      <c r="AK77" s="24">
        <v>299436.397207383</v>
      </c>
      <c r="AL77" s="24">
        <v>3451890.2391153</v>
      </c>
      <c r="AM77" s="24">
        <v>710322.109271146</v>
      </c>
      <c r="AN77" s="24">
        <v>1212016.94294107</v>
      </c>
      <c r="AO77" s="24">
        <v>82407.051408238</v>
      </c>
      <c r="AP77" s="24">
        <v>203834.067610566</v>
      </c>
      <c r="AQ77" s="24">
        <v>944190.828006566</v>
      </c>
      <c r="AR77" s="24">
        <v>129654.493172143</v>
      </c>
      <c r="AS77" s="24">
        <v>418313.704786418</v>
      </c>
      <c r="AT77" s="24">
        <v>4129200.52541545</v>
      </c>
      <c r="AU77" s="36">
        <v>20867476.7270117</v>
      </c>
      <c r="AV77" s="24">
        <v>6899913.35809087</v>
      </c>
      <c r="AW77" s="24">
        <v>0</v>
      </c>
      <c r="AX77" s="24">
        <v>0</v>
      </c>
      <c r="AY77" s="24">
        <v>0</v>
      </c>
      <c r="AZ77" s="36">
        <v>6899913.35809087</v>
      </c>
      <c r="BA77" s="36">
        <v>27767390.0851026</v>
      </c>
      <c r="BB77" s="43">
        <v>0</v>
      </c>
    </row>
    <row r="78" spans="1:54">
      <c r="A78" s="21"/>
      <c r="B78" s="22"/>
      <c r="C78" s="23" t="s">
        <v>89</v>
      </c>
      <c r="D78" s="19" t="s">
        <v>195</v>
      </c>
      <c r="E78" s="24">
        <v>1063.66263146815</v>
      </c>
      <c r="F78" s="24">
        <v>376.895834533409</v>
      </c>
      <c r="G78" s="24">
        <v>122.503212047725</v>
      </c>
      <c r="H78" s="24">
        <v>430.377624388854</v>
      </c>
      <c r="I78" s="24">
        <v>532.17543331287</v>
      </c>
      <c r="J78" s="24">
        <v>16407.784429359</v>
      </c>
      <c r="K78" s="24">
        <v>5651.11225372203</v>
      </c>
      <c r="L78" s="24">
        <v>10464.1251375639</v>
      </c>
      <c r="M78" s="24">
        <v>2631.12054751697</v>
      </c>
      <c r="N78" s="24">
        <v>13478.9110696112</v>
      </c>
      <c r="O78" s="24">
        <v>1333.5401112367</v>
      </c>
      <c r="P78" s="24">
        <v>30954.8662449042</v>
      </c>
      <c r="Q78" s="24">
        <v>4391.27773364624</v>
      </c>
      <c r="R78" s="24">
        <v>8101.58626848311</v>
      </c>
      <c r="S78" s="24">
        <v>5176.31807337763</v>
      </c>
      <c r="T78" s="24">
        <v>20432.499401615</v>
      </c>
      <c r="U78" s="24">
        <v>8494.27433688047</v>
      </c>
      <c r="V78" s="24">
        <v>18814.5684656173</v>
      </c>
      <c r="W78" s="24">
        <v>21752.6315439763</v>
      </c>
      <c r="X78" s="24">
        <v>208698.581951597</v>
      </c>
      <c r="Y78" s="24">
        <v>3108.19022963944</v>
      </c>
      <c r="Z78" s="24">
        <v>408.155194063574</v>
      </c>
      <c r="AA78" s="24">
        <v>311.304790997196</v>
      </c>
      <c r="AB78" s="24">
        <v>880.567143574248</v>
      </c>
      <c r="AC78" s="24">
        <v>132.871578755531</v>
      </c>
      <c r="AD78" s="24">
        <v>126.024577876104</v>
      </c>
      <c r="AE78" s="24">
        <v>1452.68159833658</v>
      </c>
      <c r="AF78" s="24">
        <v>118301.239499545</v>
      </c>
      <c r="AG78" s="24">
        <v>109431.185519868</v>
      </c>
      <c r="AH78" s="24">
        <v>5256.52903964727</v>
      </c>
      <c r="AI78" s="24">
        <v>3078211.47330371</v>
      </c>
      <c r="AJ78" s="24">
        <v>106762.625067538</v>
      </c>
      <c r="AK78" s="24">
        <v>1903.81360520143</v>
      </c>
      <c r="AL78" s="24">
        <v>205764.187780328</v>
      </c>
      <c r="AM78" s="24">
        <v>14148.6566256761</v>
      </c>
      <c r="AN78" s="24">
        <v>59077.1936983598</v>
      </c>
      <c r="AO78" s="24">
        <v>322.136281791213</v>
      </c>
      <c r="AP78" s="24">
        <v>8060.21795006688</v>
      </c>
      <c r="AQ78" s="24">
        <v>8052.61428018745</v>
      </c>
      <c r="AR78" s="24">
        <v>533.364994181091</v>
      </c>
      <c r="AS78" s="24">
        <v>34164.6948572884</v>
      </c>
      <c r="AT78" s="24">
        <v>79530.4874224713</v>
      </c>
      <c r="AU78" s="36">
        <v>4215249.02734396</v>
      </c>
      <c r="AV78" s="24">
        <v>512641.739916089</v>
      </c>
      <c r="AW78" s="24">
        <v>22923656.8134622</v>
      </c>
      <c r="AX78" s="24">
        <v>0</v>
      </c>
      <c r="AY78" s="24">
        <v>0</v>
      </c>
      <c r="AZ78" s="36">
        <v>23436298.5533783</v>
      </c>
      <c r="BA78" s="36">
        <v>27651547.5807223</v>
      </c>
      <c r="BB78" s="43">
        <v>0</v>
      </c>
    </row>
    <row r="79" spans="1:54">
      <c r="A79" s="21"/>
      <c r="B79" s="22"/>
      <c r="C79" s="23" t="s">
        <v>92</v>
      </c>
      <c r="D79" s="19">
        <v>32</v>
      </c>
      <c r="E79" s="24">
        <v>61269.7722179785</v>
      </c>
      <c r="F79" s="24">
        <v>41413.3597753136</v>
      </c>
      <c r="G79" s="24">
        <v>12224.9803433898</v>
      </c>
      <c r="H79" s="24">
        <v>9391.2453480016</v>
      </c>
      <c r="I79" s="24">
        <v>9682.628746039</v>
      </c>
      <c r="J79" s="24">
        <v>38041.5866368518</v>
      </c>
      <c r="K79" s="24">
        <v>25123.4167361893</v>
      </c>
      <c r="L79" s="24">
        <v>12709.3107636616</v>
      </c>
      <c r="M79" s="24">
        <v>14397.0526425548</v>
      </c>
      <c r="N79" s="24">
        <v>39546.1324089431</v>
      </c>
      <c r="O79" s="24">
        <v>33653.6992656627</v>
      </c>
      <c r="P79" s="24">
        <v>149485.218824968</v>
      </c>
      <c r="Q79" s="24">
        <v>88726.1824305187</v>
      </c>
      <c r="R79" s="24">
        <v>214795.692547029</v>
      </c>
      <c r="S79" s="24">
        <v>60024.8825620057</v>
      </c>
      <c r="T79" s="24">
        <v>44353.6693065881</v>
      </c>
      <c r="U79" s="24">
        <v>48270.1938304147</v>
      </c>
      <c r="V79" s="24">
        <v>44267.0452507348</v>
      </c>
      <c r="W79" s="24">
        <v>61139.1028098324</v>
      </c>
      <c r="X79" s="24">
        <v>111265.14260241</v>
      </c>
      <c r="Y79" s="24">
        <v>9340.70679121677</v>
      </c>
      <c r="Z79" s="24">
        <v>9645.27018911719</v>
      </c>
      <c r="AA79" s="24">
        <v>1680.76727836214</v>
      </c>
      <c r="AB79" s="24">
        <v>97144.7085787588</v>
      </c>
      <c r="AC79" s="24">
        <v>9669.16808519546</v>
      </c>
      <c r="AD79" s="24">
        <v>7698.33229417297</v>
      </c>
      <c r="AE79" s="24">
        <v>513696.615232009</v>
      </c>
      <c r="AF79" s="24">
        <v>304523.130386363</v>
      </c>
      <c r="AG79" s="24">
        <v>342374.208793572</v>
      </c>
      <c r="AH79" s="24">
        <v>11320.8975275972</v>
      </c>
      <c r="AI79" s="24">
        <v>69849.5709954345</v>
      </c>
      <c r="AJ79" s="24">
        <v>4524299.59414215</v>
      </c>
      <c r="AK79" s="24">
        <v>487168.496811561</v>
      </c>
      <c r="AL79" s="24">
        <v>404815.217830119</v>
      </c>
      <c r="AM79" s="24">
        <v>8079.78221830766</v>
      </c>
      <c r="AN79" s="24">
        <v>85549.3562010135</v>
      </c>
      <c r="AO79" s="24">
        <v>63175.9918601549</v>
      </c>
      <c r="AP79" s="24">
        <v>29088.4725348062</v>
      </c>
      <c r="AQ79" s="24">
        <v>40850.8365252931</v>
      </c>
      <c r="AR79" s="24">
        <v>13193.0462906054</v>
      </c>
      <c r="AS79" s="24">
        <v>9231.97843260348</v>
      </c>
      <c r="AT79" s="24">
        <v>108142.573745513</v>
      </c>
      <c r="AU79" s="36">
        <v>8270319.03779302</v>
      </c>
      <c r="AV79" s="24">
        <v>2292800.88754598</v>
      </c>
      <c r="AW79" s="24">
        <v>0</v>
      </c>
      <c r="AX79" s="24">
        <v>0</v>
      </c>
      <c r="AY79" s="24">
        <v>0</v>
      </c>
      <c r="AZ79" s="36">
        <v>2292800.88754598</v>
      </c>
      <c r="BA79" s="36">
        <v>10563119.925339</v>
      </c>
      <c r="BB79" s="43">
        <v>0</v>
      </c>
    </row>
    <row r="80" spans="1:54">
      <c r="A80" s="21"/>
      <c r="B80" s="22"/>
      <c r="C80" s="23" t="s">
        <v>93</v>
      </c>
      <c r="D80" s="19" t="s">
        <v>197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36">
        <v>0</v>
      </c>
      <c r="AV80" s="24">
        <v>0</v>
      </c>
      <c r="AW80" s="24">
        <v>0</v>
      </c>
      <c r="AX80" s="24">
        <v>0</v>
      </c>
      <c r="AY80" s="24">
        <v>0</v>
      </c>
      <c r="AZ80" s="36">
        <v>0</v>
      </c>
      <c r="BA80" s="36">
        <v>0</v>
      </c>
      <c r="BB80" s="43">
        <v>0</v>
      </c>
    </row>
    <row r="81" spans="1:54">
      <c r="A81" s="21"/>
      <c r="B81" s="22"/>
      <c r="C81" s="23" t="s">
        <v>90</v>
      </c>
      <c r="D81" s="19" t="s">
        <v>198</v>
      </c>
      <c r="E81" s="24">
        <v>26639.5840233204</v>
      </c>
      <c r="F81" s="24">
        <v>41568.8780328935</v>
      </c>
      <c r="G81" s="24">
        <v>7241.73113186839</v>
      </c>
      <c r="H81" s="24">
        <v>11600.4523436305</v>
      </c>
      <c r="I81" s="24">
        <v>11524.021261753</v>
      </c>
      <c r="J81" s="24">
        <v>1877913.97481091</v>
      </c>
      <c r="K81" s="24">
        <v>205775.398104959</v>
      </c>
      <c r="L81" s="24">
        <v>611908.627521232</v>
      </c>
      <c r="M81" s="24">
        <v>198693.350615743</v>
      </c>
      <c r="N81" s="24">
        <v>636024.346895757</v>
      </c>
      <c r="O81" s="24">
        <v>343880.9979234</v>
      </c>
      <c r="P81" s="24">
        <v>2443298.03592714</v>
      </c>
      <c r="Q81" s="24">
        <v>767030.985231812</v>
      </c>
      <c r="R81" s="24">
        <v>467603.172829781</v>
      </c>
      <c r="S81" s="24">
        <v>522007.193567621</v>
      </c>
      <c r="T81" s="24">
        <v>711948.530192353</v>
      </c>
      <c r="U81" s="24">
        <v>641691.514142502</v>
      </c>
      <c r="V81" s="24">
        <v>1233154.94508655</v>
      </c>
      <c r="W81" s="24">
        <v>822693.787267832</v>
      </c>
      <c r="X81" s="24">
        <v>1163113.21443693</v>
      </c>
      <c r="Y81" s="24">
        <v>86982.7973126509</v>
      </c>
      <c r="Z81" s="24">
        <v>63465.6288935082</v>
      </c>
      <c r="AA81" s="24">
        <v>27102.7158021732</v>
      </c>
      <c r="AB81" s="24">
        <v>75900.3606974344</v>
      </c>
      <c r="AC81" s="24">
        <v>29310.0935243799</v>
      </c>
      <c r="AD81" s="24">
        <v>6824.5288507006</v>
      </c>
      <c r="AE81" s="24">
        <v>257287.25193509</v>
      </c>
      <c r="AF81" s="24">
        <v>4461164.66861739</v>
      </c>
      <c r="AG81" s="24">
        <v>1062823.5207275</v>
      </c>
      <c r="AH81" s="24">
        <v>325759.32266466</v>
      </c>
      <c r="AI81" s="24">
        <v>1808702.66828136</v>
      </c>
      <c r="AJ81" s="24">
        <v>603665.90990014</v>
      </c>
      <c r="AK81" s="24">
        <v>390690.314533941</v>
      </c>
      <c r="AL81" s="24">
        <v>4457490.16931987</v>
      </c>
      <c r="AM81" s="24">
        <v>211700.183000214</v>
      </c>
      <c r="AN81" s="24">
        <v>699970.430791037</v>
      </c>
      <c r="AO81" s="24">
        <v>17903.376994911</v>
      </c>
      <c r="AP81" s="24">
        <v>210033.196590985</v>
      </c>
      <c r="AQ81" s="24">
        <v>168075.83541012</v>
      </c>
      <c r="AR81" s="24">
        <v>72465.4136927132</v>
      </c>
      <c r="AS81" s="24">
        <v>485166.591634731</v>
      </c>
      <c r="AT81" s="24">
        <v>1076770.94055696</v>
      </c>
      <c r="AU81" s="36">
        <v>29344568.6610805</v>
      </c>
      <c r="AV81" s="24">
        <v>1092617.39967405</v>
      </c>
      <c r="AW81" s="24">
        <v>0</v>
      </c>
      <c r="AX81" s="24">
        <v>0</v>
      </c>
      <c r="AY81" s="24">
        <v>0</v>
      </c>
      <c r="AZ81" s="36">
        <v>1092617.39967405</v>
      </c>
      <c r="BA81" s="36">
        <v>30437186.0607545</v>
      </c>
      <c r="BB81" s="43">
        <v>0</v>
      </c>
    </row>
    <row r="82" spans="1:54">
      <c r="A82" s="21"/>
      <c r="B82" s="22"/>
      <c r="C82" s="23" t="s">
        <v>91</v>
      </c>
      <c r="D82" s="19" t="s">
        <v>199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0</v>
      </c>
      <c r="AU82" s="36">
        <v>0</v>
      </c>
      <c r="AV82" s="24">
        <v>0</v>
      </c>
      <c r="AW82" s="24">
        <v>27747226.1777905</v>
      </c>
      <c r="AX82" s="24">
        <v>0</v>
      </c>
      <c r="AY82" s="24">
        <v>0</v>
      </c>
      <c r="AZ82" s="36">
        <v>27747226.1777905</v>
      </c>
      <c r="BA82" s="36">
        <v>27747226.1777905</v>
      </c>
      <c r="BB82" s="43">
        <v>0</v>
      </c>
    </row>
    <row r="83" spans="1:54">
      <c r="A83" s="21"/>
      <c r="B83" s="22"/>
      <c r="C83" s="23" t="s">
        <v>94</v>
      </c>
      <c r="D83" s="19" t="s">
        <v>200</v>
      </c>
      <c r="E83" s="24">
        <v>0.0231363996482256</v>
      </c>
      <c r="F83" s="24">
        <v>0.0115487017418981</v>
      </c>
      <c r="G83" s="24">
        <v>0.00243378641794597</v>
      </c>
      <c r="H83" s="24">
        <v>0.00488797575756247</v>
      </c>
      <c r="I83" s="24">
        <v>0.00498471175087618</v>
      </c>
      <c r="J83" s="24">
        <v>0.00228609910174723</v>
      </c>
      <c r="K83" s="24">
        <v>0.000626505760395271</v>
      </c>
      <c r="L83" s="24">
        <v>0.456503378777791</v>
      </c>
      <c r="M83" s="24">
        <v>0.00430535103481723</v>
      </c>
      <c r="N83" s="24">
        <v>0.00572145121281439</v>
      </c>
      <c r="O83" s="24">
        <v>0.00048102155871967</v>
      </c>
      <c r="P83" s="24">
        <v>0.00467080711970812</v>
      </c>
      <c r="Q83" s="24">
        <v>0.00724260843694546</v>
      </c>
      <c r="R83" s="24">
        <v>0.00749871462161074</v>
      </c>
      <c r="S83" s="24">
        <v>0.0107141420959573</v>
      </c>
      <c r="T83" s="24">
        <v>0.0033121505026092</v>
      </c>
      <c r="U83" s="24">
        <v>0.00501245939185337</v>
      </c>
      <c r="V83" s="24">
        <v>1.97411966897457</v>
      </c>
      <c r="W83" s="24">
        <v>0.0068222000264146</v>
      </c>
      <c r="X83" s="24">
        <v>0.0206332898194874</v>
      </c>
      <c r="Y83" s="24">
        <v>0.0016069375802572</v>
      </c>
      <c r="Z83" s="24">
        <v>0.000306748466797858</v>
      </c>
      <c r="AA83" s="24">
        <v>5.88571914481035e-5</v>
      </c>
      <c r="AB83" s="24">
        <v>0.010686052691942</v>
      </c>
      <c r="AC83" s="24">
        <v>5.72604294819781e-5</v>
      </c>
      <c r="AD83" s="24">
        <v>0.000249362399088564</v>
      </c>
      <c r="AE83" s="24">
        <v>1.34920941761787</v>
      </c>
      <c r="AF83" s="24">
        <v>0.0461315476431303</v>
      </c>
      <c r="AG83" s="24">
        <v>0.0139057260465478</v>
      </c>
      <c r="AH83" s="24">
        <v>0.000956329129998223</v>
      </c>
      <c r="AI83" s="24">
        <v>0.00384190267031237</v>
      </c>
      <c r="AJ83" s="24">
        <v>0.00384887155145155</v>
      </c>
      <c r="AK83" s="24">
        <v>0.00452363662499728</v>
      </c>
      <c r="AL83" s="24">
        <v>5.91371263215104e-5</v>
      </c>
      <c r="AM83" s="24">
        <v>0.0370908278535328</v>
      </c>
      <c r="AN83" s="24">
        <v>0.39221855090915</v>
      </c>
      <c r="AO83" s="24">
        <v>0.00173186502483559</v>
      </c>
      <c r="AP83" s="24">
        <v>2.00234416926254e-5</v>
      </c>
      <c r="AQ83" s="24">
        <v>3.15262822158429e-5</v>
      </c>
      <c r="AR83" s="24">
        <v>0.000638840643067571</v>
      </c>
      <c r="AS83" s="24">
        <v>9.85819160973831e-5</v>
      </c>
      <c r="AT83" s="24">
        <v>0.00204869471036672</v>
      </c>
      <c r="AU83" s="36">
        <v>4.42626212170255</v>
      </c>
      <c r="AV83" s="24">
        <v>0</v>
      </c>
      <c r="AW83" s="24">
        <v>542.1724</v>
      </c>
      <c r="AX83" s="24">
        <v>0</v>
      </c>
      <c r="AY83" s="24">
        <v>0</v>
      </c>
      <c r="AZ83" s="36">
        <v>542.1724</v>
      </c>
      <c r="BA83" s="36">
        <v>546.598662121702</v>
      </c>
      <c r="BB83" s="43">
        <v>0</v>
      </c>
    </row>
    <row r="84" spans="1:54">
      <c r="A84" s="21"/>
      <c r="B84" s="22"/>
      <c r="C84" s="23" t="s">
        <v>163</v>
      </c>
      <c r="D84" s="19" t="s">
        <v>201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36">
        <v>0</v>
      </c>
      <c r="AV84" s="24">
        <v>2683763.00432644</v>
      </c>
      <c r="AW84" s="24">
        <v>0</v>
      </c>
      <c r="AX84" s="24">
        <v>0</v>
      </c>
      <c r="AY84" s="24">
        <v>0</v>
      </c>
      <c r="AZ84" s="36">
        <v>2683763.00432644</v>
      </c>
      <c r="BA84" s="36">
        <v>2683763.00432644</v>
      </c>
      <c r="BB84" s="43">
        <v>0</v>
      </c>
    </row>
    <row r="85" spans="1:54">
      <c r="A85" s="21"/>
      <c r="B85" s="22"/>
      <c r="C85" s="23" t="s">
        <v>99</v>
      </c>
      <c r="D85" s="19" t="s">
        <v>202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36">
        <v>0</v>
      </c>
      <c r="AV85" s="24">
        <v>1135747.05678996</v>
      </c>
      <c r="AW85" s="24">
        <v>0</v>
      </c>
      <c r="AX85" s="24">
        <v>0</v>
      </c>
      <c r="AY85" s="24">
        <v>0</v>
      </c>
      <c r="AZ85" s="36">
        <v>1135747.05678996</v>
      </c>
      <c r="BA85" s="36">
        <v>1135747.05678996</v>
      </c>
      <c r="BB85" s="43">
        <v>0</v>
      </c>
    </row>
    <row r="86" spans="1:54">
      <c r="A86" s="21"/>
      <c r="B86" s="22"/>
      <c r="C86" s="23" t="s">
        <v>96</v>
      </c>
      <c r="D86" s="19" t="s">
        <v>203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36">
        <v>0</v>
      </c>
      <c r="AV86" s="24">
        <v>0</v>
      </c>
      <c r="AW86" s="24">
        <v>0</v>
      </c>
      <c r="AX86" s="24">
        <v>0</v>
      </c>
      <c r="AY86" s="24">
        <v>0</v>
      </c>
      <c r="AZ86" s="36">
        <v>0</v>
      </c>
      <c r="BA86" s="36">
        <v>0</v>
      </c>
      <c r="BB86" s="43">
        <v>0</v>
      </c>
    </row>
    <row r="87" spans="1:54">
      <c r="A87" s="21"/>
      <c r="B87" s="22"/>
      <c r="C87" s="23" t="s">
        <v>97</v>
      </c>
      <c r="D87" s="19" t="s">
        <v>204</v>
      </c>
      <c r="E87" s="24">
        <v>272.556392472369</v>
      </c>
      <c r="F87" s="24">
        <v>372.999882363221</v>
      </c>
      <c r="G87" s="24">
        <v>33.739842970433</v>
      </c>
      <c r="H87" s="24">
        <v>126.299182062149</v>
      </c>
      <c r="I87" s="24">
        <v>122.667259455926</v>
      </c>
      <c r="J87" s="24">
        <v>189.971241512362</v>
      </c>
      <c r="K87" s="24">
        <v>119.654696179059</v>
      </c>
      <c r="L87" s="24">
        <v>198.876274518324</v>
      </c>
      <c r="M87" s="24">
        <v>124.129936284845</v>
      </c>
      <c r="N87" s="24">
        <v>225.586151658842</v>
      </c>
      <c r="O87" s="24">
        <v>2150.45561575837</v>
      </c>
      <c r="P87" s="24">
        <v>435.161237933721</v>
      </c>
      <c r="Q87" s="24">
        <v>615.184874390279</v>
      </c>
      <c r="R87" s="24">
        <v>1008.19512137829</v>
      </c>
      <c r="S87" s="24">
        <v>693.439728678399</v>
      </c>
      <c r="T87" s="24">
        <v>1059.11693198289</v>
      </c>
      <c r="U87" s="24">
        <v>671.55020857621</v>
      </c>
      <c r="V87" s="24">
        <v>886.28372681775</v>
      </c>
      <c r="W87" s="24">
        <v>788.942227967772</v>
      </c>
      <c r="X87" s="24">
        <v>362.273261839507</v>
      </c>
      <c r="Y87" s="24">
        <v>98.0989882696217</v>
      </c>
      <c r="Z87" s="24">
        <v>30.1130738819422</v>
      </c>
      <c r="AA87" s="24">
        <v>16.9180906231871</v>
      </c>
      <c r="AB87" s="24">
        <v>904.9725360847</v>
      </c>
      <c r="AC87" s="24">
        <v>95.9576071959552</v>
      </c>
      <c r="AD87" s="24">
        <v>4.74234561038586</v>
      </c>
      <c r="AE87" s="24">
        <v>3119.04984205645</v>
      </c>
      <c r="AF87" s="24">
        <v>1042.27483366128</v>
      </c>
      <c r="AG87" s="24">
        <v>1506.86166727259</v>
      </c>
      <c r="AH87" s="24">
        <v>28.3001053766925</v>
      </c>
      <c r="AI87" s="24">
        <v>64.5194961332732</v>
      </c>
      <c r="AJ87" s="24">
        <v>710.53892220525</v>
      </c>
      <c r="AK87" s="24">
        <v>6.39446961783475</v>
      </c>
      <c r="AL87" s="24">
        <v>16.4882971437786</v>
      </c>
      <c r="AM87" s="24">
        <v>50.0350781309872</v>
      </c>
      <c r="AN87" s="24">
        <v>109.166196218766</v>
      </c>
      <c r="AO87" s="24">
        <v>72.0900935337223</v>
      </c>
      <c r="AP87" s="24">
        <v>189.712481479132</v>
      </c>
      <c r="AQ87" s="24">
        <v>527.294876511199</v>
      </c>
      <c r="AR87" s="24">
        <v>7383.54173469964</v>
      </c>
      <c r="AS87" s="24">
        <v>128.609903451172</v>
      </c>
      <c r="AT87" s="24">
        <v>6160.31697212002</v>
      </c>
      <c r="AU87" s="36">
        <v>32723.0814060783</v>
      </c>
      <c r="AV87" s="24">
        <v>1162322.67215872</v>
      </c>
      <c r="AW87" s="24">
        <v>0</v>
      </c>
      <c r="AX87" s="24">
        <v>0</v>
      </c>
      <c r="AY87" s="24">
        <v>0</v>
      </c>
      <c r="AZ87" s="36">
        <v>1162322.67215872</v>
      </c>
      <c r="BA87" s="36">
        <v>1195045.7535648</v>
      </c>
      <c r="BB87" s="43">
        <v>0</v>
      </c>
    </row>
    <row r="88" spans="1:54">
      <c r="A88" s="21"/>
      <c r="B88" s="22"/>
      <c r="C88" s="23" t="s">
        <v>98</v>
      </c>
      <c r="D88" s="19" t="s">
        <v>205</v>
      </c>
      <c r="E88" s="24">
        <v>2344.2588883762</v>
      </c>
      <c r="F88" s="24">
        <v>9925.57598138772</v>
      </c>
      <c r="G88" s="24">
        <v>4719.08701714707</v>
      </c>
      <c r="H88" s="24">
        <v>3627.24074898723</v>
      </c>
      <c r="I88" s="24">
        <v>2933.58950934351</v>
      </c>
      <c r="J88" s="24">
        <v>35261.9652952091</v>
      </c>
      <c r="K88" s="24">
        <v>25879.6682578565</v>
      </c>
      <c r="L88" s="24">
        <v>28752.4092045745</v>
      </c>
      <c r="M88" s="24">
        <v>16841.152425276</v>
      </c>
      <c r="N88" s="24">
        <v>19465.7774700458</v>
      </c>
      <c r="O88" s="24">
        <v>16155.6077457771</v>
      </c>
      <c r="P88" s="24">
        <v>100281.505642103</v>
      </c>
      <c r="Q88" s="24">
        <v>57118.3849685355</v>
      </c>
      <c r="R88" s="24">
        <v>67762.3519533255</v>
      </c>
      <c r="S88" s="24">
        <v>24866.5228906764</v>
      </c>
      <c r="T88" s="24">
        <v>73472.5819625603</v>
      </c>
      <c r="U88" s="24">
        <v>35883.6195188633</v>
      </c>
      <c r="V88" s="24">
        <v>33456.336327812</v>
      </c>
      <c r="W88" s="24">
        <v>65387.7027822497</v>
      </c>
      <c r="X88" s="24">
        <v>96409.6583569324</v>
      </c>
      <c r="Y88" s="24">
        <v>2325.61812924623</v>
      </c>
      <c r="Z88" s="24">
        <v>6121.59627102011</v>
      </c>
      <c r="AA88" s="24">
        <v>2040.33775715864</v>
      </c>
      <c r="AB88" s="24">
        <v>44506.4272742</v>
      </c>
      <c r="AC88" s="24">
        <v>7746.40321582309</v>
      </c>
      <c r="AD88" s="24">
        <v>10403.480913471</v>
      </c>
      <c r="AE88" s="24">
        <v>57269.277682019</v>
      </c>
      <c r="AF88" s="24">
        <v>52132.2471765157</v>
      </c>
      <c r="AG88" s="24">
        <v>65994.1700543028</v>
      </c>
      <c r="AH88" s="24">
        <v>36364.1386675013</v>
      </c>
      <c r="AI88" s="24">
        <v>119257.711511184</v>
      </c>
      <c r="AJ88" s="24">
        <v>231236.165886614</v>
      </c>
      <c r="AK88" s="24">
        <v>49014.1299200898</v>
      </c>
      <c r="AL88" s="24">
        <v>69806.5278878502</v>
      </c>
      <c r="AM88" s="24">
        <v>77081.4171550483</v>
      </c>
      <c r="AN88" s="24">
        <v>59329.1911507429</v>
      </c>
      <c r="AO88" s="24">
        <v>17988.2338726332</v>
      </c>
      <c r="AP88" s="24">
        <v>17262.1192050715</v>
      </c>
      <c r="AQ88" s="24">
        <v>314017.471935994</v>
      </c>
      <c r="AR88" s="24">
        <v>17020.4304558333</v>
      </c>
      <c r="AS88" s="24">
        <v>1349838.49304371</v>
      </c>
      <c r="AT88" s="24">
        <v>392859.07459569</v>
      </c>
      <c r="AU88" s="36">
        <v>3720159.66070875</v>
      </c>
      <c r="AV88" s="24">
        <v>7189837.01066259</v>
      </c>
      <c r="AW88" s="24">
        <v>330041.135051658</v>
      </c>
      <c r="AX88" s="24">
        <v>0</v>
      </c>
      <c r="AY88" s="24">
        <v>0</v>
      </c>
      <c r="AZ88" s="36">
        <v>7519878.14571425</v>
      </c>
      <c r="BA88" s="36">
        <v>11240037.806423</v>
      </c>
      <c r="BB88" s="43">
        <v>0</v>
      </c>
    </row>
    <row r="89" spans="1:54">
      <c r="A89" s="21"/>
      <c r="B89" s="22"/>
      <c r="C89" s="23" t="s">
        <v>164</v>
      </c>
      <c r="D89" s="19" t="s">
        <v>206</v>
      </c>
      <c r="E89" s="24">
        <v>642.844907953844</v>
      </c>
      <c r="F89" s="24">
        <v>10.8420192968303</v>
      </c>
      <c r="G89" s="24">
        <v>0.589618921899308</v>
      </c>
      <c r="H89" s="24">
        <v>6.28517230618311</v>
      </c>
      <c r="I89" s="24">
        <v>6.9777639735601</v>
      </c>
      <c r="J89" s="24">
        <v>3672.27784668563</v>
      </c>
      <c r="K89" s="24">
        <v>2223.9748804044</v>
      </c>
      <c r="L89" s="24">
        <v>1509.34687488078</v>
      </c>
      <c r="M89" s="24">
        <v>827.600197759956</v>
      </c>
      <c r="N89" s="24">
        <v>1629.88801113005</v>
      </c>
      <c r="O89" s="24">
        <v>517.962815577904</v>
      </c>
      <c r="P89" s="24">
        <v>8912.52765934584</v>
      </c>
      <c r="Q89" s="24">
        <v>6652.26768999629</v>
      </c>
      <c r="R89" s="24">
        <v>2014.14511916345</v>
      </c>
      <c r="S89" s="24">
        <v>3493.39566868415</v>
      </c>
      <c r="T89" s="24">
        <v>2887.98485172114</v>
      </c>
      <c r="U89" s="24">
        <v>2872.71105053833</v>
      </c>
      <c r="V89" s="24">
        <v>2286.97273169992</v>
      </c>
      <c r="W89" s="24">
        <v>1653.16035898717</v>
      </c>
      <c r="X89" s="24">
        <v>2298.22960429154</v>
      </c>
      <c r="Y89" s="24">
        <v>233.66913872308</v>
      </c>
      <c r="Z89" s="24">
        <v>360.228312219382</v>
      </c>
      <c r="AA89" s="24">
        <v>264.065099038088</v>
      </c>
      <c r="AB89" s="24">
        <v>40.6182474943249</v>
      </c>
      <c r="AC89" s="24">
        <v>1.47069143633175</v>
      </c>
      <c r="AD89" s="24">
        <v>2.35609798980923</v>
      </c>
      <c r="AE89" s="24">
        <v>493.501943168633</v>
      </c>
      <c r="AF89" s="24">
        <v>9809.59257505765</v>
      </c>
      <c r="AG89" s="24">
        <v>22060.940507016</v>
      </c>
      <c r="AH89" s="24">
        <v>1.07129949603815</v>
      </c>
      <c r="AI89" s="24">
        <v>98938.6238954322</v>
      </c>
      <c r="AJ89" s="24">
        <v>14.126487684151</v>
      </c>
      <c r="AK89" s="24">
        <v>12.9357663575605</v>
      </c>
      <c r="AL89" s="24">
        <v>28791.4407588655</v>
      </c>
      <c r="AM89" s="24">
        <v>787.364509588033</v>
      </c>
      <c r="AN89" s="24">
        <v>2126.28123587132</v>
      </c>
      <c r="AO89" s="24">
        <v>0</v>
      </c>
      <c r="AP89" s="24">
        <v>1604.82923388383</v>
      </c>
      <c r="AQ89" s="24">
        <v>454.263733030038</v>
      </c>
      <c r="AR89" s="24">
        <v>77.7178589375619</v>
      </c>
      <c r="AS89" s="24">
        <v>19.5648561020689</v>
      </c>
      <c r="AT89" s="24">
        <v>2251308.40325431</v>
      </c>
      <c r="AU89" s="36">
        <v>2461523.05034502</v>
      </c>
      <c r="AV89" s="24">
        <v>0</v>
      </c>
      <c r="AW89" s="24">
        <v>0</v>
      </c>
      <c r="AX89" s="24">
        <v>0</v>
      </c>
      <c r="AY89" s="24">
        <v>0</v>
      </c>
      <c r="AZ89" s="36">
        <v>0</v>
      </c>
      <c r="BA89" s="36">
        <v>2461523.05034502</v>
      </c>
      <c r="BB89" s="43">
        <v>0</v>
      </c>
    </row>
    <row r="90" spans="1:54">
      <c r="A90" s="21"/>
      <c r="B90" s="44" t="s">
        <v>134</v>
      </c>
      <c r="C90" s="44"/>
      <c r="D90" s="45" t="s">
        <v>135</v>
      </c>
      <c r="E90" s="36">
        <v>509936007.832906</v>
      </c>
      <c r="F90" s="36">
        <v>115074114.182427</v>
      </c>
      <c r="G90" s="36">
        <v>39965777.4058217</v>
      </c>
      <c r="H90" s="36">
        <v>48896364.0852691</v>
      </c>
      <c r="I90" s="36">
        <v>52026493.3500101</v>
      </c>
      <c r="J90" s="36">
        <v>944349112.048559</v>
      </c>
      <c r="K90" s="36">
        <v>317365488.207053</v>
      </c>
      <c r="L90" s="36">
        <v>295545081.969005</v>
      </c>
      <c r="M90" s="36">
        <v>209811561.586646</v>
      </c>
      <c r="N90" s="36">
        <v>322843798.527666</v>
      </c>
      <c r="O90" s="36">
        <v>308742520.010747</v>
      </c>
      <c r="P90" s="36">
        <v>1143055303.02248</v>
      </c>
      <c r="Q90" s="36">
        <v>502451885.341109</v>
      </c>
      <c r="R90" s="36">
        <v>932308204.385875</v>
      </c>
      <c r="S90" s="36">
        <v>392283911.709284</v>
      </c>
      <c r="T90" s="36">
        <v>408823033.829274</v>
      </c>
      <c r="U90" s="36">
        <v>289399787.580346</v>
      </c>
      <c r="V90" s="36">
        <v>684753360.456155</v>
      </c>
      <c r="W90" s="36">
        <v>576339416.358052</v>
      </c>
      <c r="X90" s="36">
        <v>924996860.720886</v>
      </c>
      <c r="Y90" s="36">
        <v>72212310.5613129</v>
      </c>
      <c r="Z90" s="36">
        <v>51409375.193839</v>
      </c>
      <c r="AA90" s="36">
        <v>15965308.9801168</v>
      </c>
      <c r="AB90" s="36">
        <v>481153559.472091</v>
      </c>
      <c r="AC90" s="36">
        <v>61699158.676141</v>
      </c>
      <c r="AD90" s="36">
        <v>20179486.0771177</v>
      </c>
      <c r="AE90" s="36">
        <v>2140212041.66986</v>
      </c>
      <c r="AF90" s="36">
        <v>544911283.670569</v>
      </c>
      <c r="AG90" s="36">
        <v>742396331.709502</v>
      </c>
      <c r="AH90" s="36">
        <v>286469176.517495</v>
      </c>
      <c r="AI90" s="36">
        <v>517228345.932208</v>
      </c>
      <c r="AJ90" s="36">
        <v>393198764.343139</v>
      </c>
      <c r="AK90" s="36">
        <v>296965938.19793</v>
      </c>
      <c r="AL90" s="36">
        <v>644035496.54548</v>
      </c>
      <c r="AM90" s="36">
        <v>135629401.966561</v>
      </c>
      <c r="AN90" s="36">
        <v>334643313.502596</v>
      </c>
      <c r="AO90" s="36">
        <v>67607072.0915439</v>
      </c>
      <c r="AP90" s="36">
        <v>143060914.191484</v>
      </c>
      <c r="AQ90" s="36">
        <v>159195396.710308</v>
      </c>
      <c r="AR90" s="36">
        <v>291866517.474991</v>
      </c>
      <c r="AS90" s="36">
        <v>77833015.0354039</v>
      </c>
      <c r="AT90" s="36">
        <v>329217741.654425</v>
      </c>
      <c r="AU90" s="36">
        <v>16826058032.7837</v>
      </c>
      <c r="AV90" s="36">
        <v>5576336944.0057</v>
      </c>
      <c r="AW90" s="36">
        <v>4243704003.37183</v>
      </c>
      <c r="AX90" s="36">
        <v>91509937.6772215</v>
      </c>
      <c r="AY90" s="36">
        <v>1879260657.23314</v>
      </c>
      <c r="AZ90" s="36">
        <v>11790811542.2879</v>
      </c>
      <c r="BA90" s="36">
        <v>1626591529.63929</v>
      </c>
      <c r="BB90" s="43">
        <v>26990278045.4323</v>
      </c>
    </row>
    <row r="91" spans="1:54">
      <c r="A91" s="46" t="s">
        <v>136</v>
      </c>
      <c r="B91" s="47" t="s">
        <v>137</v>
      </c>
      <c r="C91" s="47"/>
      <c r="D91" s="19" t="s">
        <v>138</v>
      </c>
      <c r="E91" s="24">
        <v>821109376.632051</v>
      </c>
      <c r="F91" s="24">
        <v>49156975.9562107</v>
      </c>
      <c r="G91" s="24">
        <v>10684586.8078278</v>
      </c>
      <c r="H91" s="24">
        <v>16674072.2753977</v>
      </c>
      <c r="I91" s="24">
        <v>26543554.7711793</v>
      </c>
      <c r="J91" s="24">
        <v>92288059.9056758</v>
      </c>
      <c r="K91" s="24">
        <v>35794474.3999559</v>
      </c>
      <c r="L91" s="24">
        <v>42275704.2100888</v>
      </c>
      <c r="M91" s="24">
        <v>25339700.6887769</v>
      </c>
      <c r="N91" s="24">
        <v>45268044.2748312</v>
      </c>
      <c r="O91" s="24">
        <v>12815275.3213411</v>
      </c>
      <c r="P91" s="24">
        <v>114042518.443964</v>
      </c>
      <c r="Q91" s="24">
        <v>74959951.9783755</v>
      </c>
      <c r="R91" s="24">
        <v>74535692.510714</v>
      </c>
      <c r="S91" s="24">
        <v>57488356.1501572</v>
      </c>
      <c r="T91" s="24">
        <v>46988959.7259126</v>
      </c>
      <c r="U91" s="24">
        <v>51031136.4146658</v>
      </c>
      <c r="V91" s="24">
        <v>54458933.3983052</v>
      </c>
      <c r="W91" s="24">
        <v>47111753.5845014</v>
      </c>
      <c r="X91" s="24">
        <v>90810155.9322709</v>
      </c>
      <c r="Y91" s="24">
        <v>9519973.11025614</v>
      </c>
      <c r="Z91" s="24">
        <v>22530798.0207547</v>
      </c>
      <c r="AA91" s="24">
        <v>3011169.50491385</v>
      </c>
      <c r="AB91" s="24">
        <v>61395231.1624101</v>
      </c>
      <c r="AC91" s="24">
        <v>7256304.22228311</v>
      </c>
      <c r="AD91" s="24">
        <v>8632889.79187755</v>
      </c>
      <c r="AE91" s="24">
        <v>469645429.010662</v>
      </c>
      <c r="AF91" s="24">
        <v>519792503.263792</v>
      </c>
      <c r="AG91" s="24">
        <v>230523925.740211</v>
      </c>
      <c r="AH91" s="24">
        <v>85067117.1008988</v>
      </c>
      <c r="AI91" s="24">
        <v>206973736.679317</v>
      </c>
      <c r="AJ91" s="24">
        <v>215281976.520711</v>
      </c>
      <c r="AK91" s="24">
        <v>192733122.55735</v>
      </c>
      <c r="AL91" s="24">
        <v>252757212.793925</v>
      </c>
      <c r="AM91" s="24">
        <v>65841576.822612</v>
      </c>
      <c r="AN91" s="24">
        <v>115418456.212316</v>
      </c>
      <c r="AO91" s="24">
        <v>22822850.0483207</v>
      </c>
      <c r="AP91" s="24">
        <v>127689767.858012</v>
      </c>
      <c r="AQ91" s="24">
        <v>281650493.11452</v>
      </c>
      <c r="AR91" s="24">
        <v>171783188.525367</v>
      </c>
      <c r="AS91" s="24">
        <v>51172539.734951</v>
      </c>
      <c r="AT91" s="24">
        <v>384777854.966555</v>
      </c>
      <c r="AU91" s="52">
        <v>5295655400.14422</v>
      </c>
      <c r="AV91" s="53"/>
      <c r="AW91" s="58"/>
      <c r="AX91" s="58"/>
      <c r="AY91" s="58"/>
      <c r="AZ91" s="59"/>
      <c r="BA91" s="60"/>
      <c r="BB91" s="60"/>
    </row>
    <row r="92" spans="1:54">
      <c r="A92" s="46"/>
      <c r="B92" s="47" t="s">
        <v>139</v>
      </c>
      <c r="C92" s="47"/>
      <c r="D92" s="19" t="s">
        <v>140</v>
      </c>
      <c r="E92" s="24">
        <v>-45528240.6524828</v>
      </c>
      <c r="F92" s="24">
        <v>23728883.970035</v>
      </c>
      <c r="G92" s="24">
        <v>26393586.367127</v>
      </c>
      <c r="H92" s="24">
        <v>23538443.4891181</v>
      </c>
      <c r="I92" s="24">
        <v>6793059.12261075</v>
      </c>
      <c r="J92" s="24">
        <v>82927929.5671502</v>
      </c>
      <c r="K92" s="24">
        <v>453147.450588872</v>
      </c>
      <c r="L92" s="24">
        <v>602309.075544627</v>
      </c>
      <c r="M92" s="24">
        <v>5439494.60237603</v>
      </c>
      <c r="N92" s="24">
        <v>6296364.95434973</v>
      </c>
      <c r="O92" s="24">
        <v>49155195.5214141</v>
      </c>
      <c r="P92" s="24">
        <v>58745326.5309792</v>
      </c>
      <c r="Q92" s="24">
        <v>23472866.7779206</v>
      </c>
      <c r="R92" s="24">
        <v>36913556.8401133</v>
      </c>
      <c r="S92" s="24">
        <v>11219546.9861507</v>
      </c>
      <c r="T92" s="24">
        <v>16723537.9683136</v>
      </c>
      <c r="U92" s="24">
        <v>14548976.722464</v>
      </c>
      <c r="V92" s="24">
        <v>43517327.8603953</v>
      </c>
      <c r="W92" s="24">
        <v>4541468.4707146</v>
      </c>
      <c r="X92" s="24">
        <v>-9055139.18936851</v>
      </c>
      <c r="Y92" s="24">
        <v>5376302.91642299</v>
      </c>
      <c r="Z92" s="24">
        <v>12480954.5468565</v>
      </c>
      <c r="AA92" s="24">
        <v>951413.927491088</v>
      </c>
      <c r="AB92" s="24">
        <v>20698377.6315251</v>
      </c>
      <c r="AC92" s="24">
        <v>1010550.45236413</v>
      </c>
      <c r="AD92" s="24">
        <v>1860447.18374642</v>
      </c>
      <c r="AE92" s="24">
        <v>98116385.5968287</v>
      </c>
      <c r="AF92" s="24">
        <v>95383190.2804768</v>
      </c>
      <c r="AG92" s="24">
        <v>8513567.44219846</v>
      </c>
      <c r="AH92" s="24">
        <v>1360038.66259777</v>
      </c>
      <c r="AI92" s="24">
        <v>13092894.4785477</v>
      </c>
      <c r="AJ92" s="24">
        <v>82718115.8873387</v>
      </c>
      <c r="AK92" s="24">
        <v>123442718.311865</v>
      </c>
      <c r="AL92" s="24">
        <v>27690530.6917165</v>
      </c>
      <c r="AM92" s="24">
        <v>1588413.56834034</v>
      </c>
      <c r="AN92" s="24">
        <v>11715874.6086849</v>
      </c>
      <c r="AO92" s="24">
        <v>166237.619034441</v>
      </c>
      <c r="AP92" s="24">
        <v>5023484.24607627</v>
      </c>
      <c r="AQ92" s="24">
        <v>625840.589067589</v>
      </c>
      <c r="AR92" s="24">
        <v>119102.009382813</v>
      </c>
      <c r="AS92" s="24">
        <v>1590021.04931616</v>
      </c>
      <c r="AT92" s="24">
        <v>1850125.90247416</v>
      </c>
      <c r="AU92" s="52">
        <v>895802230.037867</v>
      </c>
      <c r="AV92" s="54"/>
      <c r="AW92" s="61"/>
      <c r="AX92" s="61"/>
      <c r="AY92" s="61"/>
      <c r="AZ92" s="62"/>
      <c r="BA92" s="60"/>
      <c r="BB92" s="60"/>
    </row>
    <row r="93" spans="1:54">
      <c r="A93" s="46"/>
      <c r="B93" s="47" t="s">
        <v>141</v>
      </c>
      <c r="C93" s="47"/>
      <c r="D93" s="19" t="s">
        <v>142</v>
      </c>
      <c r="E93" s="24">
        <v>23048579.7015093</v>
      </c>
      <c r="F93" s="24">
        <v>11857466.9359743</v>
      </c>
      <c r="G93" s="24">
        <v>23934531.6640675</v>
      </c>
      <c r="H93" s="24">
        <v>6646134.85235445</v>
      </c>
      <c r="I93" s="24">
        <v>8280827.48120937</v>
      </c>
      <c r="J93" s="24">
        <v>30616039.4796629</v>
      </c>
      <c r="K93" s="24">
        <v>11467488.714851</v>
      </c>
      <c r="L93" s="24">
        <v>5692423.68355847</v>
      </c>
      <c r="M93" s="24">
        <v>7115541.18523375</v>
      </c>
      <c r="N93" s="24">
        <v>16361143.935301</v>
      </c>
      <c r="O93" s="24">
        <v>11540322.9497796</v>
      </c>
      <c r="P93" s="24">
        <v>58385474.4017428</v>
      </c>
      <c r="Q93" s="24">
        <v>36252424.8424867</v>
      </c>
      <c r="R93" s="24">
        <v>51988383.0853022</v>
      </c>
      <c r="S93" s="24">
        <v>17451919.7586117</v>
      </c>
      <c r="T93" s="24">
        <v>16689439.146307</v>
      </c>
      <c r="U93" s="24">
        <v>12133972.5831076</v>
      </c>
      <c r="V93" s="24">
        <v>19220864.9355427</v>
      </c>
      <c r="W93" s="24">
        <v>15983410.4130126</v>
      </c>
      <c r="X93" s="24">
        <v>33605121.1173686</v>
      </c>
      <c r="Y93" s="24">
        <v>1681838.88172943</v>
      </c>
      <c r="Z93" s="24">
        <v>6338897.26356092</v>
      </c>
      <c r="AA93" s="24">
        <v>383234.164064258</v>
      </c>
      <c r="AB93" s="24">
        <v>97784316.3482651</v>
      </c>
      <c r="AC93" s="24">
        <v>5463403.96630397</v>
      </c>
      <c r="AD93" s="24">
        <v>6900167.08475439</v>
      </c>
      <c r="AE93" s="24">
        <v>27714363.6799585</v>
      </c>
      <c r="AF93" s="24">
        <v>118467134.625324</v>
      </c>
      <c r="AG93" s="24">
        <v>200221941.685502</v>
      </c>
      <c r="AH93" s="24">
        <v>46183808.0137878</v>
      </c>
      <c r="AI93" s="24">
        <v>126694176.647774</v>
      </c>
      <c r="AJ93" s="24">
        <v>36197643.6232485</v>
      </c>
      <c r="AK93" s="24">
        <v>70284261.2451192</v>
      </c>
      <c r="AL93" s="24">
        <v>35220354.3225643</v>
      </c>
      <c r="AM93" s="24">
        <v>20894697.1076679</v>
      </c>
      <c r="AN93" s="24">
        <v>47257245.8232094</v>
      </c>
      <c r="AO93" s="24">
        <v>16660369.0134842</v>
      </c>
      <c r="AP93" s="24">
        <v>18811000.5847299</v>
      </c>
      <c r="AQ93" s="24">
        <v>77784703.2094327</v>
      </c>
      <c r="AR93" s="24">
        <v>31476065.1203941</v>
      </c>
      <c r="AS93" s="24">
        <v>19443051.9030816</v>
      </c>
      <c r="AT93" s="24">
        <v>75685574.0902367</v>
      </c>
      <c r="AU93" s="52">
        <v>1505819759.27118</v>
      </c>
      <c r="AV93" s="54"/>
      <c r="AW93" s="61"/>
      <c r="AX93" s="61"/>
      <c r="AY93" s="61"/>
      <c r="AZ93" s="62"/>
      <c r="BA93" s="60"/>
      <c r="BB93" s="60"/>
    </row>
    <row r="94" spans="1:54">
      <c r="A94" s="46"/>
      <c r="B94" s="47" t="s">
        <v>143</v>
      </c>
      <c r="C94" s="47"/>
      <c r="D94" s="19" t="s">
        <v>144</v>
      </c>
      <c r="E94" s="24">
        <v>23117526.7569887</v>
      </c>
      <c r="F94" s="24">
        <v>35255170.9583124</v>
      </c>
      <c r="G94" s="24">
        <v>6711085.03132599</v>
      </c>
      <c r="H94" s="24">
        <v>14422027.199566</v>
      </c>
      <c r="I94" s="24">
        <v>9950397.03414945</v>
      </c>
      <c r="J94" s="24">
        <v>101181657.170058</v>
      </c>
      <c r="K94" s="24">
        <v>21747735.7027881</v>
      </c>
      <c r="L94" s="24">
        <v>26443073.4006754</v>
      </c>
      <c r="M94" s="24">
        <v>17706881.846518</v>
      </c>
      <c r="N94" s="24">
        <v>37623414.6911863</v>
      </c>
      <c r="O94" s="24">
        <v>27079970.6715743</v>
      </c>
      <c r="P94" s="24">
        <v>139115686.690513</v>
      </c>
      <c r="Q94" s="24">
        <v>95894757.611015</v>
      </c>
      <c r="R94" s="24">
        <v>112434126.844658</v>
      </c>
      <c r="S94" s="24">
        <v>41037939.5122591</v>
      </c>
      <c r="T94" s="24">
        <v>43686015.7589667</v>
      </c>
      <c r="U94" s="24">
        <v>20237210.5040328</v>
      </c>
      <c r="V94" s="24">
        <v>60520898.0454841</v>
      </c>
      <c r="W94" s="24">
        <v>53690205.7608763</v>
      </c>
      <c r="X94" s="24">
        <v>51002293.0663304</v>
      </c>
      <c r="Y94" s="24">
        <v>8372234.36541068</v>
      </c>
      <c r="Z94" s="24">
        <v>50724468.5077415</v>
      </c>
      <c r="AA94" s="24">
        <v>385933.570683403</v>
      </c>
      <c r="AB94" s="24">
        <v>38471081.0886827</v>
      </c>
      <c r="AC94" s="24">
        <v>5841588.01525428</v>
      </c>
      <c r="AD94" s="24">
        <v>3105561.83173584</v>
      </c>
      <c r="AE94" s="24">
        <v>124616761.457381</v>
      </c>
      <c r="AF94" s="24">
        <v>219960586.719413</v>
      </c>
      <c r="AG94" s="24">
        <v>17515502.0570903</v>
      </c>
      <c r="AH94" s="24">
        <v>12909619.8106462</v>
      </c>
      <c r="AI94" s="24">
        <v>101253636.088194</v>
      </c>
      <c r="AJ94" s="24">
        <v>501973655.097806</v>
      </c>
      <c r="AK94" s="24">
        <v>383207440.021522</v>
      </c>
      <c r="AL94" s="24">
        <v>2859006.25501044</v>
      </c>
      <c r="AM94" s="24">
        <v>7602478.69404698</v>
      </c>
      <c r="AN94" s="24">
        <v>10750979.3816108</v>
      </c>
      <c r="AO94" s="24">
        <v>5907453.43602252</v>
      </c>
      <c r="AP94" s="24">
        <v>5752421.84212641</v>
      </c>
      <c r="AQ94" s="24">
        <v>13231125.5114678</v>
      </c>
      <c r="AR94" s="24">
        <v>4827324.60917299</v>
      </c>
      <c r="AS94" s="24">
        <v>5804782.04253919</v>
      </c>
      <c r="AT94" s="24">
        <v>3010908.5344923</v>
      </c>
      <c r="AU94" s="52">
        <v>2466942623.19533</v>
      </c>
      <c r="AV94" s="54"/>
      <c r="AW94" s="61"/>
      <c r="AX94" s="61"/>
      <c r="AY94" s="61"/>
      <c r="AZ94" s="62"/>
      <c r="BA94" s="60"/>
      <c r="BB94" s="60"/>
    </row>
    <row r="95" spans="1:54">
      <c r="A95" s="46"/>
      <c r="B95" s="44" t="s">
        <v>145</v>
      </c>
      <c r="C95" s="44"/>
      <c r="D95" s="40" t="s">
        <v>146</v>
      </c>
      <c r="E95" s="36">
        <v>821747242.438066</v>
      </c>
      <c r="F95" s="36">
        <v>119998497.820532</v>
      </c>
      <c r="G95" s="36">
        <v>67723789.8703483</v>
      </c>
      <c r="H95" s="36">
        <v>61280677.8164363</v>
      </c>
      <c r="I95" s="36">
        <v>51567838.4091489</v>
      </c>
      <c r="J95" s="36">
        <v>307013686.122546</v>
      </c>
      <c r="K95" s="36">
        <v>69462846.2681838</v>
      </c>
      <c r="L95" s="36">
        <v>75013510.3698672</v>
      </c>
      <c r="M95" s="36">
        <v>55601618.3229046</v>
      </c>
      <c r="N95" s="36">
        <v>105548967.855668</v>
      </c>
      <c r="O95" s="36">
        <v>100590764.464109</v>
      </c>
      <c r="P95" s="36">
        <v>370289006.067199</v>
      </c>
      <c r="Q95" s="36">
        <v>230580001.209798</v>
      </c>
      <c r="R95" s="36">
        <v>275871759.280788</v>
      </c>
      <c r="S95" s="36">
        <v>127197762.407179</v>
      </c>
      <c r="T95" s="36">
        <v>124087952.5995</v>
      </c>
      <c r="U95" s="36">
        <v>97951296.2242702</v>
      </c>
      <c r="V95" s="36">
        <v>177718024.239727</v>
      </c>
      <c r="W95" s="36">
        <v>121326838.229105</v>
      </c>
      <c r="X95" s="36">
        <v>166362430.926601</v>
      </c>
      <c r="Y95" s="36">
        <v>24950349.2738192</v>
      </c>
      <c r="Z95" s="36">
        <v>92075118.3389136</v>
      </c>
      <c r="AA95" s="36">
        <v>4731751.1671526</v>
      </c>
      <c r="AB95" s="36">
        <v>218349006.230883</v>
      </c>
      <c r="AC95" s="36">
        <v>19571846.6562055</v>
      </c>
      <c r="AD95" s="36">
        <v>20499065.8921142</v>
      </c>
      <c r="AE95" s="36">
        <v>720092939.74483</v>
      </c>
      <c r="AF95" s="36">
        <v>953603414.889006</v>
      </c>
      <c r="AG95" s="36">
        <v>456774936.925002</v>
      </c>
      <c r="AH95" s="36">
        <v>145520583.587931</v>
      </c>
      <c r="AI95" s="36">
        <v>448014443.893833</v>
      </c>
      <c r="AJ95" s="36">
        <v>836171391.129104</v>
      </c>
      <c r="AK95" s="36">
        <v>769667542.135856</v>
      </c>
      <c r="AL95" s="36">
        <v>318527104.063217</v>
      </c>
      <c r="AM95" s="36">
        <v>95927166.1926672</v>
      </c>
      <c r="AN95" s="36">
        <v>185142556.025821</v>
      </c>
      <c r="AO95" s="36">
        <v>45556910.1168619</v>
      </c>
      <c r="AP95" s="36">
        <v>157276674.530945</v>
      </c>
      <c r="AQ95" s="36">
        <v>373292162.424488</v>
      </c>
      <c r="AR95" s="36">
        <v>208205680.264317</v>
      </c>
      <c r="AS95" s="36">
        <v>78010394.729888</v>
      </c>
      <c r="AT95" s="36">
        <v>465324463.493758</v>
      </c>
      <c r="AU95" s="52">
        <v>10164220012.6486</v>
      </c>
      <c r="AV95" s="55"/>
      <c r="AW95" s="62"/>
      <c r="AX95" s="62"/>
      <c r="AY95" s="62"/>
      <c r="AZ95" s="62"/>
      <c r="BA95" s="60"/>
      <c r="BB95" s="60"/>
    </row>
    <row r="96" ht="14.25" spans="1:54">
      <c r="A96" s="48" t="s">
        <v>147</v>
      </c>
      <c r="B96" s="49"/>
      <c r="C96" s="49"/>
      <c r="D96" s="50" t="s">
        <v>148</v>
      </c>
      <c r="E96" s="51">
        <v>1331683250.27097</v>
      </c>
      <c r="F96" s="51">
        <v>235072612.002959</v>
      </c>
      <c r="G96" s="51">
        <v>107689567.27617</v>
      </c>
      <c r="H96" s="51">
        <v>110177041.901705</v>
      </c>
      <c r="I96" s="51">
        <v>103594331.759159</v>
      </c>
      <c r="J96" s="51">
        <v>1251362798.17111</v>
      </c>
      <c r="K96" s="51">
        <v>386828334.475237</v>
      </c>
      <c r="L96" s="51">
        <v>370558592.338872</v>
      </c>
      <c r="M96" s="51">
        <v>265413179.90955</v>
      </c>
      <c r="N96" s="51">
        <v>428392766.383334</v>
      </c>
      <c r="O96" s="51">
        <v>409333284.474857</v>
      </c>
      <c r="P96" s="51">
        <v>1513344309.08968</v>
      </c>
      <c r="Q96" s="51">
        <v>733031886.550906</v>
      </c>
      <c r="R96" s="51">
        <v>1208179963.66666</v>
      </c>
      <c r="S96" s="51">
        <v>519481674.116463</v>
      </c>
      <c r="T96" s="51">
        <v>532910986.428774</v>
      </c>
      <c r="U96" s="51">
        <v>387351083.804617</v>
      </c>
      <c r="V96" s="51">
        <v>862471384.695883</v>
      </c>
      <c r="W96" s="51">
        <v>697666254.587157</v>
      </c>
      <c r="X96" s="51">
        <v>1091359291.64749</v>
      </c>
      <c r="Y96" s="51">
        <v>97162659.8351321</v>
      </c>
      <c r="Z96" s="51">
        <v>143484493.532753</v>
      </c>
      <c r="AA96" s="51">
        <v>20697060.1472694</v>
      </c>
      <c r="AB96" s="51">
        <v>699502565.702974</v>
      </c>
      <c r="AC96" s="51">
        <v>81271005.3323465</v>
      </c>
      <c r="AD96" s="51">
        <v>40678551.9692319</v>
      </c>
      <c r="AE96" s="51">
        <v>2860304981.41469</v>
      </c>
      <c r="AF96" s="51">
        <v>1498514698.55957</v>
      </c>
      <c r="AG96" s="51">
        <v>1199171268.6345</v>
      </c>
      <c r="AH96" s="51">
        <v>431989760.105425</v>
      </c>
      <c r="AI96" s="51">
        <v>965242789.826041</v>
      </c>
      <c r="AJ96" s="51">
        <v>1229370155.47224</v>
      </c>
      <c r="AK96" s="51">
        <v>1066633480.33379</v>
      </c>
      <c r="AL96" s="51">
        <v>962562600.608697</v>
      </c>
      <c r="AM96" s="51">
        <v>231556568.159228</v>
      </c>
      <c r="AN96" s="51">
        <v>519785869.528417</v>
      </c>
      <c r="AO96" s="51">
        <v>113163982.208406</v>
      </c>
      <c r="AP96" s="51">
        <v>300337588.722429</v>
      </c>
      <c r="AQ96" s="51">
        <v>532487559.134796</v>
      </c>
      <c r="AR96" s="51">
        <v>500072197.739307</v>
      </c>
      <c r="AS96" s="51">
        <v>155843409.765292</v>
      </c>
      <c r="AT96" s="51">
        <v>794542205.148183</v>
      </c>
      <c r="AU96" s="56">
        <v>26990278045.4323</v>
      </c>
      <c r="AV96" s="57"/>
      <c r="AW96" s="63"/>
      <c r="AX96" s="63"/>
      <c r="AY96" s="63"/>
      <c r="AZ96" s="63"/>
      <c r="BA96" s="63"/>
      <c r="BB96" s="63"/>
    </row>
  </sheetData>
  <mergeCells count="18">
    <mergeCell ref="E3:AU3"/>
    <mergeCell ref="AV3:AZ3"/>
    <mergeCell ref="A5:C5"/>
    <mergeCell ref="B90:C90"/>
    <mergeCell ref="B91:C91"/>
    <mergeCell ref="B92:C92"/>
    <mergeCell ref="B93:C93"/>
    <mergeCell ref="B94:C94"/>
    <mergeCell ref="B95:C95"/>
    <mergeCell ref="A96:C96"/>
    <mergeCell ref="A6:A90"/>
    <mergeCell ref="A91:A95"/>
    <mergeCell ref="B6:B47"/>
    <mergeCell ref="B48:B89"/>
    <mergeCell ref="D3:D4"/>
    <mergeCell ref="BA3:BA4"/>
    <mergeCell ref="BB3:BB4"/>
    <mergeCell ref="A3:C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workbookViewId="0">
      <selection activeCell="A1" sqref="A1:AQ2"/>
    </sheetView>
  </sheetViews>
  <sheetFormatPr defaultColWidth="9" defaultRowHeight="13.5" outlineLevelRow="1"/>
  <sheetData>
    <row r="1" spans="1:43">
      <c r="A1" s="1" t="s">
        <v>211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</row>
    <row r="2" spans="1:43">
      <c r="A2" t="s">
        <v>57</v>
      </c>
      <c r="B2">
        <v>0.953375984734016</v>
      </c>
      <c r="C2">
        <v>0.946617159532644</v>
      </c>
      <c r="D2">
        <v>0.855800929110731</v>
      </c>
      <c r="E2">
        <v>0.891282029814137</v>
      </c>
      <c r="F2">
        <v>1</v>
      </c>
      <c r="G2">
        <v>0.937533409788198</v>
      </c>
      <c r="H2">
        <v>0.949960986070552</v>
      </c>
      <c r="I2">
        <v>0.957782306838165</v>
      </c>
      <c r="J2">
        <v>0.93369224431529</v>
      </c>
      <c r="K2">
        <v>0.952834773010237</v>
      </c>
      <c r="L2">
        <v>0.865563350551815</v>
      </c>
      <c r="M2">
        <v>0.899660983780954</v>
      </c>
      <c r="N2">
        <v>0.94718702152991</v>
      </c>
      <c r="O2">
        <v>0.982678472864968</v>
      </c>
      <c r="P2">
        <v>0.848283867966506</v>
      </c>
      <c r="Q2">
        <v>0.962430714907207</v>
      </c>
      <c r="R2">
        <v>0.905942737758018</v>
      </c>
      <c r="S2">
        <v>0.982434112328562</v>
      </c>
      <c r="T2">
        <v>0.671296290159186</v>
      </c>
      <c r="U2">
        <v>0.913402720672778</v>
      </c>
      <c r="V2">
        <v>0.889518054157796</v>
      </c>
      <c r="W2">
        <v>0.929568484883217</v>
      </c>
      <c r="X2">
        <v>0.932904261984131</v>
      </c>
      <c r="Y2">
        <v>0.869322172855753</v>
      </c>
      <c r="Z2">
        <v>0.999823616035528</v>
      </c>
      <c r="AA2" t="e">
        <v>#DIV/0!</v>
      </c>
      <c r="AB2" t="e">
        <v>#DIV/0!</v>
      </c>
      <c r="AC2">
        <v>0.998059250983798</v>
      </c>
      <c r="AD2">
        <v>1</v>
      </c>
      <c r="AE2">
        <v>0.965608887778593</v>
      </c>
      <c r="AF2">
        <v>0.939246652570492</v>
      </c>
      <c r="AG2">
        <v>0.971260648660345</v>
      </c>
      <c r="AH2">
        <v>0.968044091408385</v>
      </c>
      <c r="AI2">
        <v>0.888845259258773</v>
      </c>
      <c r="AJ2">
        <v>0.991433257573352</v>
      </c>
      <c r="AK2" t="e">
        <v>#DIV/0!</v>
      </c>
      <c r="AL2">
        <v>0.999998948413994</v>
      </c>
      <c r="AM2">
        <v>0.994350954775621</v>
      </c>
      <c r="AN2" t="e">
        <v>#DIV/0!</v>
      </c>
      <c r="AO2">
        <v>0.997615204023321</v>
      </c>
      <c r="AP2">
        <v>0.931562528408599</v>
      </c>
      <c r="AQ2">
        <v>0.996231457256476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Calculations</vt:lpstr>
      <vt:lpstr>2020年全国投入产出表</vt:lpstr>
      <vt:lpstr>2020年非竞争型投入产出表</vt:lpstr>
      <vt:lpstr>BDCSoCbIC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2023-02-02T06:06:00Z</dcterms:created>
  <dcterms:modified xsi:type="dcterms:W3CDTF">2023-02-23T04:07:05Z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4B58A1351B05416EB80A072BF6960F8F</vt:lpwstr>
  </property>
  <property fmtid="{D5CDD505-2E9C-101B-9397-08002B2CF9AE}" pid="3" name="KSOProductBuildVer">
    <vt:lpwstr>2052-11.1.0.13703</vt:lpwstr>
  </property>
</Properties>
</file>