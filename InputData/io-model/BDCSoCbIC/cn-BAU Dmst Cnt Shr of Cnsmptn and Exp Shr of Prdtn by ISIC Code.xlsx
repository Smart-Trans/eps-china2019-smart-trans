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zhlx6\Desktop\eps-china2019-smart-trans\InputData\io-model\BDCSoCbIC\"/>
    </mc:Choice>
  </mc:AlternateContent>
  <xr:revisionPtr revIDLastSave="0" documentId="13_ncr:1_{FA551E59-B31B-4557-B024-E14EDD67D4C7}" xr6:coauthVersionLast="47" xr6:coauthVersionMax="47" xr10:uidLastSave="{00000000-0000-0000-0000-000000000000}"/>
  <bookViews>
    <workbookView xWindow="28680" yWindow="-120" windowWidth="29040" windowHeight="15720" activeTab="3" xr2:uid="{00000000-000D-0000-FFFF-FFFF00000000}"/>
  </bookViews>
  <sheets>
    <sheet name="About" sheetId="6" r:id="rId1"/>
    <sheet name="2020 National IO" sheetId="2" r:id="rId2"/>
    <sheet name="2020 non-competitive IO" sheetId="3" r:id="rId3"/>
    <sheet name="Calculations" sheetId="4" r:id="rId4"/>
    <sheet name="BDCSoCbIC"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4" l="1"/>
  <c r="O2" i="4"/>
  <c r="B6" i="4"/>
  <c r="B7" i="4" l="1"/>
  <c r="AQ6" i="4"/>
  <c r="AP6" i="4"/>
  <c r="AO6" i="4"/>
  <c r="AM6" i="4"/>
  <c r="AL6" i="4"/>
  <c r="AJ6" i="4"/>
  <c r="AI6" i="4"/>
  <c r="AH6" i="4"/>
  <c r="AG6" i="4"/>
  <c r="AF6" i="4"/>
  <c r="AE6" i="4"/>
  <c r="AD6" i="4"/>
  <c r="AC6" i="4"/>
  <c r="Z6" i="4"/>
  <c r="Y6" i="4"/>
  <c r="X6" i="4"/>
  <c r="W6" i="4"/>
  <c r="V6" i="4"/>
  <c r="U6" i="4"/>
  <c r="T6" i="4"/>
  <c r="S6" i="4"/>
  <c r="R6" i="4"/>
  <c r="Q6" i="4"/>
  <c r="P6" i="4"/>
  <c r="O6" i="4"/>
  <c r="N6" i="4"/>
  <c r="M6" i="4"/>
  <c r="L6" i="4"/>
  <c r="K6" i="4"/>
  <c r="J6" i="4"/>
  <c r="I6" i="4"/>
  <c r="H6" i="4"/>
  <c r="G6" i="4"/>
  <c r="F6" i="4"/>
  <c r="E6" i="4"/>
  <c r="D6" i="4"/>
  <c r="C6" i="4"/>
  <c r="AQ4" i="4"/>
  <c r="AP4" i="4"/>
  <c r="AP10" i="4" s="1"/>
  <c r="AO4" i="4"/>
  <c r="AO10" i="4" s="1"/>
  <c r="AN4" i="4"/>
  <c r="AM4" i="4"/>
  <c r="AM10" i="4" s="1"/>
  <c r="AL4" i="4"/>
  <c r="AK4" i="4"/>
  <c r="AJ4" i="4"/>
  <c r="AI4" i="4"/>
  <c r="AH4" i="4"/>
  <c r="AG4" i="4"/>
  <c r="AG10" i="4" s="1"/>
  <c r="AF4" i="4"/>
  <c r="AE4" i="4"/>
  <c r="AE10" i="4" s="1"/>
  <c r="AD4" i="4"/>
  <c r="AC4" i="4"/>
  <c r="AB4" i="4"/>
  <c r="AA4" i="4"/>
  <c r="Z4" i="4"/>
  <c r="Y4" i="4"/>
  <c r="Y10" i="4" s="1"/>
  <c r="X4" i="4"/>
  <c r="W4" i="4"/>
  <c r="W10" i="4" s="1"/>
  <c r="V4" i="4"/>
  <c r="U4" i="4"/>
  <c r="T4" i="4"/>
  <c r="S4" i="4"/>
  <c r="R4" i="4"/>
  <c r="Q4" i="4"/>
  <c r="Q10" i="4" s="1"/>
  <c r="P4" i="4"/>
  <c r="O4" i="4"/>
  <c r="O10" i="4" s="1"/>
  <c r="N4" i="4"/>
  <c r="M4" i="4"/>
  <c r="L4" i="4"/>
  <c r="K4" i="4"/>
  <c r="J4" i="4"/>
  <c r="I4" i="4"/>
  <c r="I10" i="4" s="1"/>
  <c r="H4" i="4"/>
  <c r="G4" i="4"/>
  <c r="G10" i="4" s="1"/>
  <c r="F4" i="4"/>
  <c r="E4" i="4"/>
  <c r="D4" i="4"/>
  <c r="C4" i="4"/>
  <c r="B4" i="4"/>
  <c r="AQ3" i="4"/>
  <c r="AQ7" i="4" s="1"/>
  <c r="AP3" i="4"/>
  <c r="AO3" i="4"/>
  <c r="AN3" i="4"/>
  <c r="AN7" i="4" s="1"/>
  <c r="AM3" i="4"/>
  <c r="AM7" i="4" s="1"/>
  <c r="AL3" i="4"/>
  <c r="AL7" i="4" s="1"/>
  <c r="AK3" i="4"/>
  <c r="AK7" i="4" s="1"/>
  <c r="AJ3" i="4"/>
  <c r="AJ7" i="4" s="1"/>
  <c r="AI3" i="4"/>
  <c r="AI7" i="4" s="1"/>
  <c r="AH3" i="4"/>
  <c r="AG3" i="4"/>
  <c r="AF3" i="4"/>
  <c r="AE3" i="4"/>
  <c r="AD3" i="4"/>
  <c r="AC3" i="4"/>
  <c r="AC7" i="4" s="1"/>
  <c r="AB3" i="4"/>
  <c r="AB16" i="4" s="1"/>
  <c r="AA3" i="4"/>
  <c r="AA16" i="4" s="1"/>
  <c r="Z3" i="4"/>
  <c r="Z7" i="4" s="1"/>
  <c r="Y3" i="4"/>
  <c r="X3" i="4"/>
  <c r="W3" i="4"/>
  <c r="W7" i="4" s="1"/>
  <c r="V3" i="4"/>
  <c r="U3" i="4"/>
  <c r="U7" i="4" s="1"/>
  <c r="T3" i="4"/>
  <c r="T7" i="4" s="1"/>
  <c r="S3" i="4"/>
  <c r="R3" i="4"/>
  <c r="Q3" i="4"/>
  <c r="P3" i="4"/>
  <c r="O3" i="4"/>
  <c r="N3" i="4"/>
  <c r="M3" i="4"/>
  <c r="M7" i="4" s="1"/>
  <c r="L3" i="4"/>
  <c r="K3" i="4"/>
  <c r="K7" i="4" s="1"/>
  <c r="J3" i="4"/>
  <c r="J7" i="4" s="1"/>
  <c r="I3" i="4"/>
  <c r="H3" i="4"/>
  <c r="G3" i="4"/>
  <c r="G7" i="4" s="1"/>
  <c r="F3" i="4"/>
  <c r="E3" i="4"/>
  <c r="E7" i="4" s="1"/>
  <c r="D3" i="4"/>
  <c r="D7" i="4" s="1"/>
  <c r="C3" i="4"/>
  <c r="C7" i="4" s="1"/>
  <c r="B3" i="4"/>
  <c r="AQ2" i="4"/>
  <c r="AP2" i="4"/>
  <c r="AO2" i="4"/>
  <c r="AN2" i="4"/>
  <c r="AM2" i="4"/>
  <c r="AL2" i="4"/>
  <c r="AL5" i="4" s="1"/>
  <c r="AK2" i="4"/>
  <c r="AK5" i="4" s="1"/>
  <c r="AJ2" i="4"/>
  <c r="AI2" i="4"/>
  <c r="AI5" i="4" s="1"/>
  <c r="AH2" i="4"/>
  <c r="AH5" i="4" s="1"/>
  <c r="AG2" i="4"/>
  <c r="AF2" i="4"/>
  <c r="AE2" i="4"/>
  <c r="AD2" i="4"/>
  <c r="AC2" i="4"/>
  <c r="AB2" i="4"/>
  <c r="AA2" i="4"/>
  <c r="Z2" i="4"/>
  <c r="Y2" i="4"/>
  <c r="X2" i="4"/>
  <c r="W2" i="4"/>
  <c r="V2" i="4"/>
  <c r="V5" i="4" s="1"/>
  <c r="U2" i="4"/>
  <c r="U5" i="4" s="1"/>
  <c r="T2" i="4"/>
  <c r="S2" i="4"/>
  <c r="S5" i="4" s="1"/>
  <c r="R2" i="4"/>
  <c r="R5" i="4" s="1"/>
  <c r="Q2" i="4"/>
  <c r="N2" i="4"/>
  <c r="M2" i="4"/>
  <c r="L2" i="4"/>
  <c r="K2" i="4"/>
  <c r="J2" i="4"/>
  <c r="J5" i="4" s="1"/>
  <c r="I2" i="4"/>
  <c r="H2" i="4"/>
  <c r="G2" i="4"/>
  <c r="F2" i="4"/>
  <c r="F5" i="4" s="1"/>
  <c r="E2" i="4"/>
  <c r="E5" i="4" s="1"/>
  <c r="D2" i="4"/>
  <c r="C2" i="4"/>
  <c r="C5" i="4" s="1"/>
  <c r="B2" i="4"/>
  <c r="B5" i="4" s="1"/>
  <c r="D5" i="4" l="1"/>
  <c r="D8" i="4" s="1"/>
  <c r="D9" i="4" s="1"/>
  <c r="D2" i="5" s="1"/>
  <c r="L5" i="4"/>
  <c r="T5" i="4"/>
  <c r="AB5" i="4"/>
  <c r="AJ5" i="4"/>
  <c r="AH7" i="4"/>
  <c r="AH8" i="4" s="1"/>
  <c r="AH9" i="4" s="1"/>
  <c r="AH2" i="5" s="1"/>
  <c r="AP7" i="4"/>
  <c r="H10" i="4"/>
  <c r="P10" i="4"/>
  <c r="X10" i="4"/>
  <c r="AF10" i="4"/>
  <c r="AN10" i="4"/>
  <c r="E8" i="4"/>
  <c r="E9" i="4" s="1"/>
  <c r="E2" i="5" s="1"/>
  <c r="B10" i="4"/>
  <c r="R10" i="4"/>
  <c r="AH10" i="4"/>
  <c r="G5" i="4"/>
  <c r="O5" i="4"/>
  <c r="AE5" i="4"/>
  <c r="AM5" i="4"/>
  <c r="C10" i="4"/>
  <c r="K10" i="4"/>
  <c r="S10" i="4"/>
  <c r="AA10" i="4"/>
  <c r="AI10" i="4"/>
  <c r="AQ10" i="4"/>
  <c r="R7" i="4"/>
  <c r="W5" i="4"/>
  <c r="H5" i="4"/>
  <c r="X5" i="4"/>
  <c r="X8" i="4" s="1"/>
  <c r="X9" i="4" s="1"/>
  <c r="X2" i="5" s="1"/>
  <c r="AN5" i="4"/>
  <c r="AN8" i="4" s="1"/>
  <c r="AN9" i="4" s="1"/>
  <c r="AN2" i="5" s="1"/>
  <c r="F7" i="4"/>
  <c r="F8" i="4" s="1"/>
  <c r="F9" i="4" s="1"/>
  <c r="F2" i="5" s="1"/>
  <c r="V7" i="4"/>
  <c r="D10" i="4"/>
  <c r="L10" i="4"/>
  <c r="T10" i="4"/>
  <c r="AB10" i="4"/>
  <c r="AJ10" i="4"/>
  <c r="S7" i="4"/>
  <c r="J10" i="4"/>
  <c r="Z10" i="4"/>
  <c r="I5" i="4"/>
  <c r="Y5" i="4"/>
  <c r="AO5" i="4"/>
  <c r="E10" i="4"/>
  <c r="M10" i="4"/>
  <c r="U10" i="4"/>
  <c r="AC10" i="4"/>
  <c r="AK10" i="4"/>
  <c r="B8" i="4"/>
  <c r="B9" i="4" s="1"/>
  <c r="B2" i="5" s="1"/>
  <c r="AP5" i="4"/>
  <c r="H7" i="4"/>
  <c r="X7" i="4"/>
  <c r="F10" i="4"/>
  <c r="N10" i="4"/>
  <c r="V10" i="4"/>
  <c r="AD10" i="4"/>
  <c r="AL10" i="4"/>
  <c r="AK16" i="4"/>
  <c r="AJ8" i="4"/>
  <c r="AJ9" i="4" s="1"/>
  <c r="AJ2" i="5" s="1"/>
  <c r="V8" i="4"/>
  <c r="V9" i="4" s="1"/>
  <c r="V2" i="5" s="1"/>
  <c r="AL8" i="4"/>
  <c r="AL9" i="4" s="1"/>
  <c r="AL2" i="5" s="1"/>
  <c r="L7" i="4"/>
  <c r="P7" i="4"/>
  <c r="AF7" i="4"/>
  <c r="G8" i="4"/>
  <c r="G9" i="4" s="1"/>
  <c r="G2" i="5" s="1"/>
  <c r="W8" i="4"/>
  <c r="W9" i="4" s="1"/>
  <c r="W2" i="5" s="1"/>
  <c r="AM8" i="4"/>
  <c r="AM9" i="4" s="1"/>
  <c r="AM2" i="5" s="1"/>
  <c r="Q7" i="4"/>
  <c r="AG7" i="4"/>
  <c r="N7" i="4"/>
  <c r="AD7" i="4"/>
  <c r="AQ5" i="4"/>
  <c r="AQ8" i="4" s="1"/>
  <c r="AQ9" i="4" s="1"/>
  <c r="AQ2" i="5" s="1"/>
  <c r="O7" i="4"/>
  <c r="AE7" i="4"/>
  <c r="AE8" i="4" s="1"/>
  <c r="AE9" i="4" s="1"/>
  <c r="AE2" i="5" s="1"/>
  <c r="T8" i="4"/>
  <c r="T9" i="4" s="1"/>
  <c r="T2" i="5" s="1"/>
  <c r="J8" i="4"/>
  <c r="J9" i="4" s="1"/>
  <c r="J2" i="5" s="1"/>
  <c r="Z5" i="4"/>
  <c r="Z8" i="4" s="1"/>
  <c r="Z9" i="4" s="1"/>
  <c r="Z2" i="5" s="1"/>
  <c r="N5" i="4"/>
  <c r="AD5" i="4"/>
  <c r="P5" i="4"/>
  <c r="P8" i="4" s="1"/>
  <c r="P9" i="4" s="1"/>
  <c r="P2" i="5" s="1"/>
  <c r="AF5" i="4"/>
  <c r="AP8" i="4"/>
  <c r="AP9" i="4" s="1"/>
  <c r="AP2" i="5" s="1"/>
  <c r="U8" i="4"/>
  <c r="U9" i="4" s="1"/>
  <c r="U2" i="5" s="1"/>
  <c r="AA5" i="4"/>
  <c r="AA17" i="4" s="1"/>
  <c r="AA18" i="4" s="1"/>
  <c r="Q5" i="4"/>
  <c r="Q8" i="4" s="1"/>
  <c r="Q9" i="4" s="1"/>
  <c r="Q2" i="5" s="1"/>
  <c r="AG5" i="4"/>
  <c r="R8" i="4"/>
  <c r="R9" i="4" s="1"/>
  <c r="R2" i="5" s="1"/>
  <c r="K5" i="4"/>
  <c r="K8" i="4" s="1"/>
  <c r="K9" i="4" s="1"/>
  <c r="K2" i="5" s="1"/>
  <c r="C8" i="4"/>
  <c r="C9" i="4" s="1"/>
  <c r="C2" i="5" s="1"/>
  <c r="S8" i="4"/>
  <c r="S9" i="4" s="1"/>
  <c r="S2" i="5" s="1"/>
  <c r="AI8" i="4"/>
  <c r="AI9" i="4" s="1"/>
  <c r="AI2" i="5" s="1"/>
  <c r="I7" i="4"/>
  <c r="I8" i="4" s="1"/>
  <c r="I9" i="4" s="1"/>
  <c r="I2" i="5" s="1"/>
  <c r="Y7" i="4"/>
  <c r="AO7" i="4"/>
  <c r="AO8" i="4" s="1"/>
  <c r="AO9" i="4" s="1"/>
  <c r="AO2" i="5" s="1"/>
  <c r="L8" i="4"/>
  <c r="L9" i="4" s="1"/>
  <c r="L2" i="5" s="1"/>
  <c r="AB17" i="4"/>
  <c r="AB18" i="4" s="1"/>
  <c r="O8" i="4"/>
  <c r="O9" i="4" s="1"/>
  <c r="O2" i="5" s="1"/>
  <c r="H8" i="4"/>
  <c r="H9" i="4" s="1"/>
  <c r="H2" i="5" s="1"/>
  <c r="AK17" i="4"/>
  <c r="AK18" i="4" s="1"/>
  <c r="AK8" i="4"/>
  <c r="AK9" i="4" s="1"/>
  <c r="AK2" i="5" s="1"/>
  <c r="M5" i="4"/>
  <c r="M8" i="4" s="1"/>
  <c r="M9" i="4" s="1"/>
  <c r="M2" i="5" s="1"/>
  <c r="AC5" i="4"/>
  <c r="AC8" i="4" s="1"/>
  <c r="AC9" i="4" s="1"/>
  <c r="AC2" i="5" s="1"/>
  <c r="AA7" i="4"/>
  <c r="AB7" i="4"/>
  <c r="AB8" i="4" s="1"/>
  <c r="AB9" i="4" s="1"/>
  <c r="AB2" i="5" s="1"/>
  <c r="AF8" i="4" l="1"/>
  <c r="AF9" i="4" s="1"/>
  <c r="AF2" i="5" s="1"/>
  <c r="AD8" i="4"/>
  <c r="AD9" i="4" s="1"/>
  <c r="AD2" i="5" s="1"/>
  <c r="Y8" i="4"/>
  <c r="Y9" i="4" s="1"/>
  <c r="Y2" i="5" s="1"/>
  <c r="N8" i="4"/>
  <c r="N9" i="4" s="1"/>
  <c r="N2" i="5" s="1"/>
  <c r="AA8" i="4"/>
  <c r="AA9" i="4" s="1"/>
  <c r="AA2" i="5" s="1"/>
  <c r="AG8" i="4"/>
  <c r="AG9" i="4" s="1"/>
  <c r="AG2" i="5" s="1"/>
</calcChain>
</file>

<file path=xl/sharedStrings.xml><?xml version="1.0" encoding="utf-8"?>
<sst xmlns="http://schemas.openxmlformats.org/spreadsheetml/2006/main" count="614" uniqueCount="217">
  <si>
    <t>BDCSoCbIC BAU Domestic Content Share of Consumption by ISIC Code</t>
  </si>
  <si>
    <t>Source:</t>
  </si>
  <si>
    <t>2020年全国投入产出表</t>
  </si>
  <si>
    <t>https://data.stats.gov.cn/files/html/quickSearch/trcc/trcc01.html</t>
  </si>
  <si>
    <t>Notes</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</si>
  <si>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</si>
  <si>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</si>
  <si>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</si>
  <si>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</si>
  <si>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</si>
  <si>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</si>
  <si>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</si>
  <si>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</si>
  <si>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</si>
  <si>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</si>
  <si>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</si>
  <si>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</si>
  <si>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</si>
  <si>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</si>
  <si>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</si>
  <si>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</si>
  <si>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</si>
  <si>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</si>
  <si>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</si>
  <si>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</si>
  <si>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</si>
  <si>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</si>
  <si>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</si>
  <si>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</si>
  <si>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</si>
  <si>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</si>
  <si>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</si>
  <si>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</si>
  <si>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</si>
  <si>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</si>
  <si>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</si>
  <si>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</si>
  <si>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</si>
  <si>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</si>
  <si>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</si>
  <si>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</si>
  <si>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</si>
  <si>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</si>
  <si>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</si>
  <si>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</si>
  <si>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</si>
  <si>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</si>
  <si>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Domestic Production</t>
  </si>
  <si>
    <t>Imports</t>
  </si>
  <si>
    <t>Exports</t>
  </si>
  <si>
    <t>Domestic Consumption</t>
  </si>
  <si>
    <t>Imported Content Share of Exports</t>
  </si>
  <si>
    <t>Imports Consumed Domestically</t>
  </si>
  <si>
    <t>Domestic Production Consumed Domestically</t>
  </si>
  <si>
    <t>Domestic Content Share of Domestic Consumption</t>
  </si>
  <si>
    <t>农林牧渔产品和服务</t>
  </si>
  <si>
    <t>煤炭开采和洗选产品</t>
  </si>
  <si>
    <t>石油和天然气开采产品</t>
  </si>
  <si>
    <t>金属矿采选产品&amp;非金属矿</t>
  </si>
  <si>
    <t>开采辅助活动和其他采矿产品</t>
  </si>
  <si>
    <t>食品和烟草</t>
  </si>
  <si>
    <t>纺织品、纺织服装鞋帽皮革羽绒及其制品</t>
  </si>
  <si>
    <t>木材加工品和家具</t>
  </si>
  <si>
    <t>造纸印刷和文教体育用品</t>
  </si>
  <si>
    <t>石油、炼焦产品和核燃料加工品</t>
  </si>
  <si>
    <t>化学原料和化学制品制造业&amp;化学纤维制造业</t>
  </si>
  <si>
    <t>医药制造业</t>
  </si>
  <si>
    <t>橡胶和塑料制品业</t>
  </si>
  <si>
    <t>非金属矿物制品</t>
  </si>
  <si>
    <t>专用设备</t>
  </si>
  <si>
    <t>黑色金属冶炼和压延加工品</t>
  </si>
  <si>
    <t>有色金属冶炼和压延加工品</t>
  </si>
  <si>
    <t>金属制品</t>
  </si>
  <si>
    <t>通信设备、计算机和其他电子设备&amp;仪器仪表</t>
  </si>
  <si>
    <t>电气机械和器材</t>
  </si>
  <si>
    <t>通用设备</t>
  </si>
  <si>
    <t>汽车制造业</t>
  </si>
  <si>
    <t>铁路、船舶、航空航天和其他运输设备</t>
  </si>
  <si>
    <t>其他制造产品和废品废料、金属制品、机械和设备修理服务</t>
  </si>
  <si>
    <t>电力、热力生产和供应</t>
  </si>
  <si>
    <t>燃气生产和供应</t>
  </si>
  <si>
    <t>水的生产和供应</t>
  </si>
  <si>
    <t>建筑</t>
  </si>
  <si>
    <t>批发和零售</t>
  </si>
  <si>
    <t>交通运输、仓储和邮政</t>
  </si>
  <si>
    <t>住宿和餐饮</t>
  </si>
  <si>
    <t>信息传输、软件和信息技术服务</t>
  </si>
  <si>
    <t>租赁和商务服务</t>
  </si>
  <si>
    <t>研究和试验发展</t>
  </si>
  <si>
    <t>金融</t>
  </si>
  <si>
    <t>房地产</t>
  </si>
  <si>
    <t>综合技术服务</t>
  </si>
  <si>
    <t>水利、环境和公共设施管理、公共管理、社会保障和社会组织</t>
  </si>
  <si>
    <t>教育</t>
  </si>
  <si>
    <t>卫生和社会工作</t>
  </si>
  <si>
    <t>文化、体育和娱乐</t>
  </si>
  <si>
    <t>居民服务、修理和其他服务</t>
  </si>
  <si>
    <t>2020年人民币相对2012美元</t>
  </si>
  <si>
    <t>2020</t>
  </si>
  <si>
    <t>(按当年生产者价格计算） （Data are calculated at producers' prices in 2020)</t>
  </si>
  <si>
    <t>单位：万元</t>
  </si>
  <si>
    <t xml:space="preserve">   投入                  产出</t>
  </si>
  <si>
    <t>部门名称</t>
  </si>
  <si>
    <t>最终使用</t>
  </si>
  <si>
    <t>进口</t>
  </si>
  <si>
    <t>总产出</t>
  </si>
  <si>
    <t>中间使用合计</t>
  </si>
  <si>
    <t>农村居民消费支出</t>
  </si>
  <si>
    <t>城镇居民消费支出</t>
  </si>
  <si>
    <t>居民消费支出</t>
  </si>
  <si>
    <t>政府消费支出</t>
  </si>
  <si>
    <t>消费支出合计</t>
  </si>
  <si>
    <t>固定资本形成总额</t>
  </si>
  <si>
    <t>存货变动</t>
  </si>
  <si>
    <t>资本形成总额</t>
  </si>
  <si>
    <t>出口</t>
  </si>
  <si>
    <t>最终使用合计</t>
  </si>
  <si>
    <t>代码</t>
  </si>
  <si>
    <t>TIU</t>
  </si>
  <si>
    <t>FU101</t>
  </si>
  <si>
    <t>FU102</t>
  </si>
  <si>
    <t>THC</t>
  </si>
  <si>
    <t>FU103</t>
  </si>
  <si>
    <t>TC</t>
  </si>
  <si>
    <t>FU201</t>
  </si>
  <si>
    <t>FU202</t>
  </si>
  <si>
    <t>GCF</t>
  </si>
  <si>
    <t>EX</t>
  </si>
  <si>
    <t>TFU</t>
  </si>
  <si>
    <t>IM</t>
  </si>
  <si>
    <t>GO</t>
  </si>
  <si>
    <t>中间投入合计</t>
  </si>
  <si>
    <t>TII</t>
  </si>
  <si>
    <t>增加值</t>
  </si>
  <si>
    <t>劳动者报酬</t>
  </si>
  <si>
    <t>VA001</t>
  </si>
  <si>
    <t>生产税净额</t>
  </si>
  <si>
    <t>VA002</t>
  </si>
  <si>
    <t>固定资产折旧</t>
  </si>
  <si>
    <t>VA003</t>
  </si>
  <si>
    <t>营业盈余</t>
  </si>
  <si>
    <t>VA004</t>
  </si>
  <si>
    <t>增加值合计</t>
  </si>
  <si>
    <t>TVA</t>
  </si>
  <si>
    <t>总投入</t>
  </si>
  <si>
    <t>TI</t>
  </si>
  <si>
    <t>中  间  使  用</t>
  </si>
  <si>
    <t>煤炭采选产品</t>
  </si>
  <si>
    <t>金属矿采选产品</t>
  </si>
  <si>
    <t>非金属矿和其他矿采选产品</t>
  </si>
  <si>
    <t>纺织品</t>
  </si>
  <si>
    <t>纺织服装鞋帽皮革羽绒及其制品</t>
  </si>
  <si>
    <t>化学产品</t>
  </si>
  <si>
    <t>金属冶炼和压延加工品</t>
  </si>
  <si>
    <t>交通运输设备</t>
  </si>
  <si>
    <t>通信设备、计算机和其他电子设备</t>
  </si>
  <si>
    <t>仪器仪表</t>
  </si>
  <si>
    <t>其他制造产品和废品废料</t>
  </si>
  <si>
    <t>金属制品、机械和设备修理服务</t>
  </si>
  <si>
    <t>电力、热力的生产和供应</t>
  </si>
  <si>
    <t>水利、环境和公共设施管理</t>
  </si>
  <si>
    <t>公共管理、社会保障和社会组织</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</si>
  <si>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</si>
  <si>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</si>
  <si>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</si>
  <si>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</si>
  <si>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</si>
  <si>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</si>
  <si>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</si>
  <si>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</si>
  <si>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</si>
  <si>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</si>
  <si>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</si>
  <si>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</si>
  <si>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</si>
  <si>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</si>
  <si>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</si>
  <si>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</si>
  <si>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</si>
  <si>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</si>
  <si>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</si>
  <si>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</si>
  <si>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</si>
  <si>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</si>
  <si>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</si>
  <si>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</si>
  <si>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</si>
  <si>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</si>
  <si>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</si>
  <si>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</si>
  <si>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</si>
  <si>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</si>
  <si>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</si>
  <si>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</si>
  <si>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</si>
  <si>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</si>
  <si>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</si>
  <si>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</si>
  <si>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</si>
  <si>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</si>
  <si>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</si>
  <si>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</si>
  <si>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</si>
  <si>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</si>
  <si>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M</t>
  </si>
  <si>
    <t>中   间   投  入</t>
  </si>
  <si>
    <t>国   产   品</t>
  </si>
  <si>
    <t>进   口   品</t>
  </si>
  <si>
    <t>Unit: dimensionless (%)</t>
  </si>
  <si>
    <t>Export Share of Production</t>
  </si>
  <si>
    <t>2020 National Input-output Table</t>
  </si>
  <si>
    <r>
      <t>N</t>
    </r>
    <r>
      <rPr>
        <sz val="11"/>
        <color theme="1"/>
        <rFont val="宋体"/>
        <family val="3"/>
        <charset val="134"/>
        <scheme val="minor"/>
      </rPr>
      <t>BS</t>
    </r>
    <phoneticPr fontId="16" type="noConversion"/>
  </si>
  <si>
    <t>"2020 National Input-output Table" is the input-output table of 42 departments summarized based on the competitive and non-competitive tables in the input-output table of China  in 2020 and the EPS model of the United States. Government consumption expenditure is based on the amount of government consumption expenditure of various industries in the "2020 National Input-output Table" multiplied by the exchange rate of the RMB in 2020 against the US dollar in 2012.</t>
  </si>
  <si>
    <t>Total output of each industry plus total imports minus total exports equals domestic consumption. The share of imports in exports is calculated according to the 2020 Non-competitive Input-Output Table.Imports consumed domestically in each industry are multiplied by imports (1 − the share of imports in exports), and consumption for domestic production is the share of domestic consumption minus imports for domestic consumption.  Domestic Consumption is divided by domestic production consumption to obtain the Domestic Content Share of Consumption.</t>
    <phoneticPr fontId="16" type="noConversion"/>
  </si>
  <si>
    <t>ISIC 239</t>
    <phoneticPr fontId="16" type="noConversion"/>
  </si>
  <si>
    <t>ISIC 231</t>
    <phoneticPr fontId="16" type="noConversion"/>
  </si>
  <si>
    <t>ISIC 62T63</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</si>
</sst>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0.0000_ "/>
    <numFmt numFmtId="178" formatCode="0.000"/>
  </numFmts>
  <fonts count="25" x14ac:knownFonts="1">
    <font>
      <sz val="11"/>
      <color theme="1"/>
      <name val="宋体"/>
      <charset val="134"/>
      <scheme val="minor"/>
    </font>
    <font>
      <b/>
      <sz val="11"/>
      <color theme="1"/>
      <name val="宋体"/>
      <family val="3"/>
      <charset val="134"/>
      <scheme val="minor"/>
    </font>
    <font>
      <sz val="12"/>
      <name val="宋体"/>
      <family val="3"/>
      <charset val="134"/>
    </font>
    <font>
      <sz val="10"/>
      <color theme="1"/>
      <name val="宋体"/>
      <family val="3"/>
      <charset val="134"/>
      <scheme val="minor"/>
    </font>
    <font>
      <b/>
      <sz val="10"/>
      <color theme="1"/>
      <name val="宋体"/>
      <family val="3"/>
      <charset val="134"/>
      <scheme val="minor"/>
    </font>
    <font>
      <sz val="9"/>
      <color theme="1"/>
      <name val="宋体"/>
      <family val="3"/>
      <charset val="134"/>
      <scheme val="minor"/>
    </font>
    <font>
      <b/>
      <sz val="12"/>
      <color theme="1"/>
      <name val="宋体"/>
      <family val="3"/>
      <charset val="134"/>
      <scheme val="minor"/>
    </font>
    <font>
      <b/>
      <sz val="14"/>
      <color theme="1"/>
      <name val="宋体"/>
      <family val="3"/>
      <charset val="134"/>
      <scheme val="minor"/>
    </font>
    <font>
      <sz val="9"/>
      <name val="Arial"/>
      <family val="2"/>
    </font>
    <font>
      <sz val="9"/>
      <name val="宋体"/>
      <family val="3"/>
      <charset val="134"/>
    </font>
    <font>
      <b/>
      <sz val="9"/>
      <name val="宋体"/>
      <family val="3"/>
      <charset val="134"/>
    </font>
    <font>
      <b/>
      <sz val="9"/>
      <color theme="1"/>
      <name val="宋体"/>
      <family val="3"/>
      <charset val="134"/>
      <scheme val="minor"/>
    </font>
    <font>
      <b/>
      <sz val="9"/>
      <name val="Arial"/>
      <family val="2"/>
    </font>
    <font>
      <b/>
      <sz val="9"/>
      <color theme="1"/>
      <name val="Times New Roman"/>
      <family val="1"/>
    </font>
    <font>
      <b/>
      <sz val="9"/>
      <color theme="1"/>
      <name val="Arial"/>
      <family val="2"/>
    </font>
    <font>
      <sz val="9"/>
      <color theme="1"/>
      <name val="Arial"/>
      <family val="2"/>
    </font>
    <font>
      <sz val="9"/>
      <name val="宋体"/>
      <family val="3"/>
      <charset val="134"/>
      <scheme val="minor"/>
    </font>
    <font>
      <sz val="11"/>
      <color indexed="8"/>
      <name val="宋体"/>
      <family val="3"/>
      <charset val="134"/>
      <scheme val="minor"/>
    </font>
    <font>
      <u/>
      <sz val="11"/>
      <color theme="10"/>
      <name val="宋体"/>
      <family val="3"/>
      <charset val="134"/>
      <scheme val="minor"/>
    </font>
    <font>
      <i/>
      <sz val="11"/>
      <color theme="1"/>
      <name val="宋体"/>
      <family val="3"/>
      <charset val="134"/>
      <scheme val="minor"/>
    </font>
    <font>
      <b/>
      <i/>
      <sz val="11"/>
      <color theme="1"/>
      <name val="宋体"/>
      <family val="3"/>
      <charset val="134"/>
      <scheme val="minor"/>
    </font>
    <font>
      <sz val="11"/>
      <color theme="1"/>
      <name val="宋体"/>
      <family val="3"/>
      <charset val="134"/>
      <scheme val="minor"/>
    </font>
    <font>
      <u/>
      <sz val="11"/>
      <color rgb="FF0000FF"/>
      <name val="宋体"/>
      <family val="3"/>
      <charset val="134"/>
      <scheme val="minor"/>
    </font>
    <font>
      <sz val="11"/>
      <color indexed="8"/>
      <name val="宋体"/>
      <family val="3"/>
      <charset val="134"/>
    </font>
    <font>
      <sz val="11"/>
      <color theme="1"/>
      <name val="宋体"/>
      <family val="3"/>
      <charset val="134"/>
      <scheme val="minor"/>
    </font>
  </fonts>
  <fills count="2">
    <fill>
      <patternFill patternType="none"/>
    </fill>
    <fill>
      <patternFill patternType="gray125"/>
    </fill>
  </fills>
  <borders count="34">
    <border>
      <left/>
      <right/>
      <top/>
      <bottom/>
      <diagonal/>
    </border>
    <border>
      <left/>
      <right/>
      <top/>
      <bottom style="medium">
        <color auto="1"/>
      </bottom>
      <diagonal/>
    </border>
    <border diagonalDown="1">
      <left/>
      <right/>
      <top style="medium">
        <color auto="1"/>
      </top>
      <bottom/>
      <diagonal style="thin">
        <color auto="1"/>
      </diagonal>
    </border>
    <border diagonalDown="1">
      <left/>
      <right style="thin">
        <color auto="1"/>
      </right>
      <top style="medium">
        <color auto="1"/>
      </top>
      <bottom/>
      <diagonal style="thin">
        <color auto="1"/>
      </diagonal>
    </border>
    <border>
      <left style="thin">
        <color auto="1"/>
      </left>
      <right style="thin">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diagonalDown="1">
      <left/>
      <right/>
      <top/>
      <bottom style="thin">
        <color auto="1"/>
      </bottom>
      <diagonal style="thin">
        <color auto="1"/>
      </diagonal>
    </border>
    <border diagonalDown="1">
      <left/>
      <right style="thin">
        <color auto="1"/>
      </right>
      <top/>
      <bottom style="thin">
        <color auto="1"/>
      </bottom>
      <diagonal style="thin">
        <color auto="1"/>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
      <left/>
      <right style="thin">
        <color auto="1"/>
      </right>
      <top style="medium">
        <color auto="1"/>
      </top>
      <bottom style="thin">
        <color auto="1"/>
      </bottom>
      <diagonal/>
    </border>
    <border>
      <left/>
      <right/>
      <top style="medium">
        <color auto="1"/>
      </top>
      <bottom/>
      <diagonal/>
    </border>
    <border>
      <left/>
      <right/>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bottom/>
      <diagonal/>
    </border>
    <border>
      <left style="thin">
        <color auto="1"/>
      </left>
      <right/>
      <top/>
      <bottom style="medium">
        <color auto="1"/>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right style="thin">
        <color auto="1"/>
      </right>
      <top/>
      <bottom style="thin">
        <color auto="1"/>
      </bottom>
      <diagonal/>
    </border>
    <border>
      <left style="thin">
        <color auto="1"/>
      </left>
      <right/>
      <top/>
      <bottom style="thin">
        <color auto="1"/>
      </bottom>
      <diagonal/>
    </border>
    <border>
      <left/>
      <right/>
      <top style="thin">
        <color auto="1"/>
      </top>
      <bottom style="medium">
        <color auto="1"/>
      </bottom>
      <diagonal/>
    </border>
    <border>
      <left style="thin">
        <color auto="1"/>
      </left>
      <right/>
      <top style="thin">
        <color auto="1"/>
      </top>
      <bottom style="medium">
        <color auto="1"/>
      </bottom>
      <diagonal/>
    </border>
    <border>
      <left style="thin">
        <color auto="1"/>
      </left>
      <right style="thin">
        <color auto="1"/>
      </right>
      <top/>
      <bottom style="medium">
        <color auto="1"/>
      </bottom>
      <diagonal/>
    </border>
    <border>
      <left style="thin">
        <color auto="1"/>
      </left>
      <right/>
      <top style="medium">
        <color auto="1"/>
      </top>
      <bottom/>
      <diagonal/>
    </border>
  </borders>
  <cellStyleXfs count="10">
    <xf numFmtId="0" fontId="0" fillId="0" borderId="0">
      <alignment vertical="center"/>
    </xf>
    <xf numFmtId="0" fontId="22" fillId="0" borderId="0" applyNumberFormat="0" applyFill="0" applyBorder="0" applyAlignment="0" applyProtection="0">
      <alignment vertical="center"/>
    </xf>
    <xf numFmtId="0" fontId="2" fillId="0" borderId="0"/>
    <xf numFmtId="0" fontId="24" fillId="0" borderId="0">
      <alignment vertical="center"/>
    </xf>
    <xf numFmtId="0" fontId="2" fillId="0" borderId="0">
      <alignment vertical="center"/>
    </xf>
    <xf numFmtId="0" fontId="2" fillId="0" borderId="0"/>
    <xf numFmtId="0" fontId="24" fillId="0" borderId="0"/>
    <xf numFmtId="0" fontId="23" fillId="0" borderId="0">
      <alignment vertical="center"/>
    </xf>
    <xf numFmtId="0" fontId="21" fillId="0" borderId="0">
      <alignment vertical="center"/>
    </xf>
    <xf numFmtId="0" fontId="21" fillId="0" borderId="0"/>
  </cellStyleXfs>
  <cellXfs count="150">
    <xf numFmtId="0" fontId="0" fillId="0" borderId="0" xfId="0">
      <alignment vertical="center"/>
    </xf>
    <xf numFmtId="0" fontId="0" fillId="0" borderId="0" xfId="0" applyAlignment="1"/>
    <xf numFmtId="0" fontId="0" fillId="0" borderId="0" xfId="0" applyAlignment="1">
      <alignment horizontal="right"/>
    </xf>
    <xf numFmtId="0" fontId="1" fillId="0" borderId="0" xfId="5" applyFont="1" applyAlignment="1">
      <alignment vertical="center"/>
    </xf>
    <xf numFmtId="0" fontId="2" fillId="0" borderId="0" xfId="5"/>
    <xf numFmtId="0" fontId="3" fillId="0" borderId="1" xfId="5" applyFont="1" applyBorder="1"/>
    <xf numFmtId="0" fontId="2" fillId="0" borderId="1" xfId="5" applyBorder="1"/>
    <xf numFmtId="0" fontId="4" fillId="0" borderId="0" xfId="5" applyFont="1" applyAlignment="1">
      <alignment horizontal="center"/>
    </xf>
    <xf numFmtId="0" fontId="5" fillId="0" borderId="10" xfId="5" applyFont="1" applyBorder="1" applyAlignment="1">
      <alignment horizontal="center" vertical="center" wrapText="1"/>
    </xf>
    <xf numFmtId="0" fontId="5" fillId="0" borderId="10" xfId="5" applyFont="1" applyBorder="1" applyAlignment="1">
      <alignment horizontal="center" vertical="center"/>
    </xf>
    <xf numFmtId="49" fontId="5" fillId="0" borderId="10" xfId="5" applyNumberFormat="1" applyFont="1" applyBorder="1" applyAlignment="1">
      <alignment horizontal="center" vertical="center"/>
    </xf>
    <xf numFmtId="0" fontId="5" fillId="0" borderId="10" xfId="5" applyFont="1" applyBorder="1" applyAlignment="1">
      <alignment vertical="center"/>
    </xf>
    <xf numFmtId="176" fontId="8" fillId="0" borderId="10" xfId="5" applyNumberFormat="1" applyFont="1" applyBorder="1" applyAlignment="1">
      <alignment horizontal="right" vertical="center" wrapText="1"/>
    </xf>
    <xf numFmtId="0" fontId="5" fillId="0" borderId="13" xfId="5" applyFont="1" applyBorder="1" applyAlignment="1">
      <alignment vertical="center"/>
    </xf>
    <xf numFmtId="0" fontId="5" fillId="0" borderId="13" xfId="5" applyFont="1" applyBorder="1" applyAlignment="1">
      <alignment horizontal="center" vertical="center"/>
    </xf>
    <xf numFmtId="0" fontId="5" fillId="0" borderId="9" xfId="5" applyFont="1" applyBorder="1" applyAlignment="1">
      <alignment vertical="center"/>
    </xf>
    <xf numFmtId="0" fontId="5" fillId="0" borderId="9" xfId="5" applyFont="1" applyBorder="1" applyAlignment="1">
      <alignment horizontal="center" vertical="center"/>
    </xf>
    <xf numFmtId="0" fontId="9" fillId="0" borderId="10" xfId="5" applyFont="1" applyBorder="1" applyAlignment="1">
      <alignment horizontal="center" vertical="center" wrapText="1"/>
    </xf>
    <xf numFmtId="0" fontId="1" fillId="0" borderId="0" xfId="5" applyFont="1"/>
    <xf numFmtId="0" fontId="10" fillId="0" borderId="10" xfId="5" applyFont="1" applyBorder="1" applyAlignment="1">
      <alignment horizontal="center" vertical="center" wrapText="1"/>
    </xf>
    <xf numFmtId="49" fontId="11" fillId="0" borderId="10" xfId="5" applyNumberFormat="1" applyFont="1" applyBorder="1" applyAlignment="1">
      <alignment horizontal="center" vertical="center"/>
    </xf>
    <xf numFmtId="176" fontId="12" fillId="0" borderId="10" xfId="5" applyNumberFormat="1" applyFont="1" applyBorder="1" applyAlignment="1">
      <alignment horizontal="right" vertical="center" wrapText="1"/>
    </xf>
    <xf numFmtId="0" fontId="1" fillId="0" borderId="1" xfId="5" applyFont="1" applyBorder="1"/>
    <xf numFmtId="0" fontId="11" fillId="0" borderId="10" xfId="5" applyFont="1" applyBorder="1" applyAlignment="1">
      <alignment horizontal="center" vertical="center"/>
    </xf>
    <xf numFmtId="0" fontId="13" fillId="0" borderId="10" xfId="4" applyFont="1" applyBorder="1" applyAlignment="1">
      <alignment horizontal="center" vertical="center"/>
    </xf>
    <xf numFmtId="49" fontId="11" fillId="0" borderId="17" xfId="4" applyNumberFormat="1" applyFont="1" applyBorder="1" applyAlignment="1">
      <alignment horizontal="center" vertical="center"/>
    </xf>
    <xf numFmtId="176" fontId="12" fillId="0" borderId="18" xfId="5" applyNumberFormat="1" applyFont="1" applyBorder="1" applyAlignment="1">
      <alignment horizontal="right" vertical="center" wrapText="1"/>
    </xf>
    <xf numFmtId="0" fontId="4" fillId="0" borderId="10" xfId="5" applyFont="1" applyBorder="1" applyAlignment="1">
      <alignment horizontal="center" vertical="center"/>
    </xf>
    <xf numFmtId="0" fontId="11" fillId="0" borderId="20" xfId="5" applyFont="1" applyBorder="1" applyAlignment="1">
      <alignment horizontal="center" vertical="center"/>
    </xf>
    <xf numFmtId="176" fontId="12" fillId="0" borderId="20" xfId="5" applyNumberFormat="1" applyFont="1" applyBorder="1" applyAlignment="1">
      <alignment horizontal="right" vertical="center" wrapText="1"/>
    </xf>
    <xf numFmtId="176" fontId="14" fillId="0" borderId="10" xfId="5" applyNumberFormat="1" applyFont="1" applyBorder="1" applyAlignment="1">
      <alignment horizontal="right"/>
    </xf>
    <xf numFmtId="176" fontId="15" fillId="0" borderId="17" xfId="5" applyNumberFormat="1" applyFont="1" applyBorder="1" applyAlignment="1">
      <alignment horizontal="right"/>
    </xf>
    <xf numFmtId="176" fontId="15" fillId="0" borderId="21" xfId="5" applyNumberFormat="1" applyFont="1" applyBorder="1" applyAlignment="1">
      <alignment horizontal="right"/>
    </xf>
    <xf numFmtId="176" fontId="14" fillId="0" borderId="21" xfId="5" applyNumberFormat="1" applyFont="1" applyBorder="1" applyAlignment="1">
      <alignment horizontal="right"/>
    </xf>
    <xf numFmtId="176" fontId="14" fillId="0" borderId="20" xfId="5" applyNumberFormat="1" applyFont="1" applyBorder="1" applyAlignment="1">
      <alignment horizontal="right"/>
    </xf>
    <xf numFmtId="176" fontId="14" fillId="0" borderId="22" xfId="5" applyNumberFormat="1" applyFont="1" applyBorder="1" applyAlignment="1">
      <alignment horizontal="right"/>
    </xf>
    <xf numFmtId="176" fontId="15" fillId="0" borderId="23" xfId="5" applyNumberFormat="1" applyFont="1" applyBorder="1" applyAlignment="1">
      <alignment horizontal="right"/>
    </xf>
    <xf numFmtId="176" fontId="14" fillId="0" borderId="23" xfId="5" applyNumberFormat="1" applyFont="1" applyBorder="1" applyAlignment="1">
      <alignment horizontal="right"/>
    </xf>
    <xf numFmtId="1" fontId="5" fillId="0" borderId="0" xfId="0" applyNumberFormat="1" applyFont="1" applyAlignment="1">
      <alignment horizontal="right"/>
    </xf>
    <xf numFmtId="176" fontId="15" fillId="0" borderId="0" xfId="5" applyNumberFormat="1" applyFont="1" applyAlignment="1">
      <alignment horizontal="right"/>
    </xf>
    <xf numFmtId="176" fontId="14" fillId="0" borderId="0" xfId="5" applyNumberFormat="1" applyFont="1" applyAlignment="1">
      <alignment horizontal="right"/>
    </xf>
    <xf numFmtId="176" fontId="14" fillId="0" borderId="1" xfId="5" applyNumberFormat="1" applyFont="1" applyBorder="1" applyAlignment="1">
      <alignment horizontal="right"/>
    </xf>
    <xf numFmtId="0" fontId="24" fillId="0" borderId="0" xfId="3" applyAlignment="1">
      <alignment horizontal="left" vertical="center"/>
    </xf>
    <xf numFmtId="0" fontId="24" fillId="0" borderId="0" xfId="6"/>
    <xf numFmtId="1" fontId="5" fillId="0" borderId="0" xfId="6" applyNumberFormat="1" applyFont="1"/>
    <xf numFmtId="0" fontId="0" fillId="0" borderId="1" xfId="0" applyBorder="1" applyAlignment="1"/>
    <xf numFmtId="0" fontId="5" fillId="0" borderId="1" xfId="6" applyFont="1" applyBorder="1"/>
    <xf numFmtId="0" fontId="24" fillId="0" borderId="1" xfId="6" applyBorder="1"/>
    <xf numFmtId="0" fontId="3" fillId="0" borderId="0" xfId="6" applyFont="1" applyAlignment="1">
      <alignment horizontal="center"/>
    </xf>
    <xf numFmtId="0" fontId="9" fillId="0" borderId="9" xfId="6" applyFont="1" applyBorder="1" applyAlignment="1">
      <alignment horizontal="center" vertical="center" wrapText="1"/>
    </xf>
    <xf numFmtId="0" fontId="5" fillId="0" borderId="24" xfId="6" applyFont="1" applyBorder="1" applyAlignment="1">
      <alignment vertical="center"/>
    </xf>
    <xf numFmtId="0" fontId="5" fillId="0" borderId="25" xfId="6" applyFont="1" applyBorder="1" applyAlignment="1">
      <alignment horizontal="center" vertical="center"/>
    </xf>
    <xf numFmtId="49" fontId="5" fillId="0" borderId="10" xfId="6" applyNumberFormat="1" applyFont="1" applyBorder="1" applyAlignment="1">
      <alignment horizontal="center" vertical="center"/>
    </xf>
    <xf numFmtId="0" fontId="9" fillId="0" borderId="12" xfId="6" applyFont="1" applyBorder="1" applyAlignment="1">
      <alignment horizontal="justify" vertical="center" wrapText="1"/>
    </xf>
    <xf numFmtId="49" fontId="16" fillId="0" borderId="18" xfId="6" applyNumberFormat="1" applyFont="1" applyBorder="1" applyAlignment="1">
      <alignment horizontal="center" vertical="center" wrapText="1"/>
    </xf>
    <xf numFmtId="1" fontId="16" fillId="0" borderId="27" xfId="6" applyNumberFormat="1" applyFont="1" applyBorder="1" applyAlignment="1">
      <alignment horizontal="right" vertical="center" wrapText="1"/>
    </xf>
    <xf numFmtId="49" fontId="16" fillId="0" borderId="18" xfId="7" applyNumberFormat="1" applyFont="1" applyBorder="1" applyAlignment="1">
      <alignment horizontal="center" vertical="center" wrapText="1"/>
    </xf>
    <xf numFmtId="0" fontId="9" fillId="0" borderId="24" xfId="6" applyFont="1" applyBorder="1" applyAlignment="1">
      <alignment horizontal="justify" vertical="center" wrapText="1"/>
    </xf>
    <xf numFmtId="49" fontId="16" fillId="0" borderId="17" xfId="0" applyNumberFormat="1" applyFont="1" applyBorder="1" applyAlignment="1">
      <alignment horizontal="center" vertical="center" wrapText="1"/>
    </xf>
    <xf numFmtId="49" fontId="16" fillId="0" borderId="10" xfId="0" applyNumberFormat="1" applyFont="1" applyBorder="1" applyAlignment="1">
      <alignment horizontal="center" vertical="center" wrapText="1"/>
    </xf>
    <xf numFmtId="1" fontId="16" fillId="0" borderId="9" xfId="6" applyNumberFormat="1" applyFont="1" applyBorder="1" applyAlignment="1">
      <alignment horizontal="right" vertical="center" wrapText="1"/>
    </xf>
    <xf numFmtId="0" fontId="9" fillId="0" borderId="26" xfId="6" applyFont="1" applyBorder="1" applyAlignment="1">
      <alignment horizontal="justify" vertical="center" wrapText="1"/>
    </xf>
    <xf numFmtId="49" fontId="16" fillId="0" borderId="29" xfId="0" applyNumberFormat="1" applyFont="1" applyBorder="1" applyAlignment="1">
      <alignment horizontal="center" vertical="center" wrapText="1"/>
    </xf>
    <xf numFmtId="49" fontId="16" fillId="0" borderId="18" xfId="0" applyNumberFormat="1" applyFont="1" applyBorder="1" applyAlignment="1">
      <alignment horizontal="center" vertical="center" wrapText="1"/>
    </xf>
    <xf numFmtId="49" fontId="16" fillId="0" borderId="31" xfId="0" applyNumberFormat="1" applyFont="1" applyBorder="1" applyAlignment="1">
      <alignment horizontal="center" vertical="top" wrapText="1"/>
    </xf>
    <xf numFmtId="1" fontId="5" fillId="0" borderId="32" xfId="6" applyNumberFormat="1" applyFont="1" applyBorder="1" applyAlignment="1">
      <alignment horizontal="right" vertical="center"/>
    </xf>
    <xf numFmtId="0" fontId="9" fillId="0" borderId="28" xfId="6" applyFont="1" applyBorder="1" applyAlignment="1">
      <alignment horizontal="center" vertical="center" wrapText="1"/>
    </xf>
    <xf numFmtId="0" fontId="16" fillId="0" borderId="28" xfId="2" applyFont="1" applyBorder="1" applyAlignment="1">
      <alignment horizontal="center" vertical="center" wrapText="1"/>
    </xf>
    <xf numFmtId="0" fontId="16" fillId="0" borderId="10" xfId="0" applyFont="1" applyBorder="1" applyAlignment="1">
      <alignment horizontal="center" vertical="center" wrapText="1"/>
    </xf>
    <xf numFmtId="0" fontId="9" fillId="0" borderId="10" xfId="0" applyFont="1" applyBorder="1" applyAlignment="1">
      <alignment horizontal="center" vertical="center" wrapText="1"/>
    </xf>
    <xf numFmtId="49" fontId="5" fillId="0" borderId="10" xfId="0" applyNumberFormat="1" applyFont="1" applyBorder="1" applyAlignment="1">
      <alignment horizontal="center" vertical="center"/>
    </xf>
    <xf numFmtId="1" fontId="5" fillId="0" borderId="27" xfId="6" applyNumberFormat="1" applyFont="1" applyBorder="1" applyAlignment="1">
      <alignment horizontal="right" vertical="center"/>
    </xf>
    <xf numFmtId="1" fontId="5" fillId="0" borderId="21" xfId="6" applyNumberFormat="1" applyFont="1" applyBorder="1" applyAlignment="1">
      <alignment horizontal="right" vertical="center"/>
    </xf>
    <xf numFmtId="0" fontId="24" fillId="0" borderId="23" xfId="6" applyBorder="1" applyAlignment="1">
      <alignment horizontal="right" vertical="center"/>
    </xf>
    <xf numFmtId="0" fontId="24" fillId="0" borderId="0" xfId="6" applyAlignment="1">
      <alignment horizontal="right" vertical="center"/>
    </xf>
    <xf numFmtId="1" fontId="24" fillId="0" borderId="0" xfId="6" applyNumberFormat="1" applyAlignment="1">
      <alignment horizontal="right" vertical="center"/>
    </xf>
    <xf numFmtId="1" fontId="5" fillId="0" borderId="22" xfId="6" applyNumberFormat="1" applyFont="1" applyBorder="1" applyAlignment="1">
      <alignment horizontal="right" vertical="center"/>
    </xf>
    <xf numFmtId="0" fontId="24" fillId="0" borderId="1" xfId="6" applyBorder="1" applyAlignment="1">
      <alignment horizontal="right" vertical="center"/>
    </xf>
    <xf numFmtId="0" fontId="17" fillId="0" borderId="0" xfId="0" applyFont="1" applyAlignment="1"/>
    <xf numFmtId="1" fontId="24" fillId="0" borderId="0" xfId="6" applyNumberFormat="1"/>
    <xf numFmtId="0" fontId="17" fillId="0" borderId="1" xfId="0" applyFont="1" applyBorder="1" applyAlignment="1"/>
    <xf numFmtId="0" fontId="5" fillId="0" borderId="25" xfId="0" applyFont="1" applyBorder="1" applyAlignment="1">
      <alignment horizontal="center" vertical="center" wrapText="1"/>
    </xf>
    <xf numFmtId="0" fontId="16" fillId="0" borderId="18" xfId="0" applyFont="1" applyBorder="1" applyAlignment="1">
      <alignment horizontal="center" vertical="center" wrapText="1"/>
    </xf>
    <xf numFmtId="0" fontId="5" fillId="0" borderId="10" xfId="0" applyFont="1" applyBorder="1" applyAlignment="1">
      <alignment horizontal="center"/>
    </xf>
    <xf numFmtId="0" fontId="5" fillId="0" borderId="10" xfId="0" applyFont="1" applyBorder="1" applyAlignment="1">
      <alignment horizontal="center" vertical="center"/>
    </xf>
    <xf numFmtId="176" fontId="5" fillId="0" borderId="27" xfId="0" applyNumberFormat="1" applyFont="1" applyBorder="1" applyAlignment="1">
      <alignment horizontal="right" vertical="center"/>
    </xf>
    <xf numFmtId="0" fontId="0" fillId="0" borderId="23" xfId="0" applyBorder="1" applyAlignment="1">
      <alignment horizontal="right" vertical="center"/>
    </xf>
    <xf numFmtId="0" fontId="0" fillId="0" borderId="0" xfId="0" applyAlignment="1">
      <alignment horizontal="right" vertical="center"/>
    </xf>
    <xf numFmtId="0" fontId="17" fillId="0" borderId="0" xfId="0" applyFont="1" applyAlignment="1">
      <alignment horizontal="right" vertical="center"/>
    </xf>
    <xf numFmtId="0" fontId="17" fillId="0" borderId="1" xfId="0" applyFont="1" applyBorder="1" applyAlignment="1">
      <alignment horizontal="right" vertical="center"/>
    </xf>
    <xf numFmtId="0" fontId="5" fillId="0" borderId="18" xfId="0" applyFont="1" applyBorder="1" applyAlignment="1">
      <alignment horizontal="center" vertical="center"/>
    </xf>
    <xf numFmtId="1" fontId="16" fillId="0" borderId="29" xfId="6" applyNumberFormat="1" applyFont="1" applyBorder="1" applyAlignment="1">
      <alignment horizontal="right" vertical="center" wrapText="1"/>
    </xf>
    <xf numFmtId="177" fontId="0" fillId="0" borderId="0" xfId="0" applyNumberFormat="1" applyAlignment="1">
      <alignment wrapText="1"/>
    </xf>
    <xf numFmtId="177" fontId="0" fillId="0" borderId="0" xfId="0" applyNumberFormat="1">
      <alignment vertical="center"/>
    </xf>
    <xf numFmtId="0" fontId="1" fillId="0" borderId="0" xfId="0" applyFont="1" applyAlignment="1"/>
    <xf numFmtId="0" fontId="0" fillId="0" borderId="0" xfId="0" applyAlignment="1">
      <alignment horizontal="left"/>
    </xf>
    <xf numFmtId="0" fontId="18" fillId="0" borderId="0" xfId="1" applyFont="1" applyAlignment="1"/>
    <xf numFmtId="0" fontId="19" fillId="0" borderId="0" xfId="0" applyFont="1" applyAlignment="1"/>
    <xf numFmtId="0" fontId="20" fillId="0" borderId="0" xfId="0" applyFont="1" applyAlignment="1"/>
    <xf numFmtId="178" fontId="0" fillId="0" borderId="0" xfId="0" applyNumberFormat="1" applyAlignment="1"/>
    <xf numFmtId="0" fontId="21" fillId="0" borderId="0" xfId="9" applyAlignment="1">
      <alignment horizontal="right"/>
    </xf>
    <xf numFmtId="0" fontId="9" fillId="0" borderId="0" xfId="6" applyFont="1" applyAlignment="1">
      <alignment horizontal="justify" vertical="center" wrapText="1"/>
    </xf>
    <xf numFmtId="0" fontId="21" fillId="0" borderId="0" xfId="0" applyFont="1" applyAlignment="1"/>
    <xf numFmtId="0" fontId="21" fillId="0" borderId="0" xfId="0" applyFont="1">
      <alignment vertical="center"/>
    </xf>
    <xf numFmtId="0" fontId="5" fillId="0" borderId="10" xfId="5" applyFont="1" applyBorder="1" applyAlignment="1">
      <alignment horizontal="left"/>
    </xf>
    <xf numFmtId="0" fontId="11" fillId="0" borderId="10" xfId="5" applyFont="1" applyBorder="1" applyAlignment="1">
      <alignment horizontal="left"/>
    </xf>
    <xf numFmtId="0" fontId="11" fillId="0" borderId="19" xfId="5" applyFont="1" applyBorder="1" applyAlignment="1">
      <alignment horizontal="center"/>
    </xf>
    <xf numFmtId="0" fontId="11" fillId="0" borderId="20" xfId="5" applyFont="1" applyBorder="1" applyAlignment="1">
      <alignment horizontal="center"/>
    </xf>
    <xf numFmtId="0" fontId="11" fillId="0" borderId="12" xfId="5" applyFont="1" applyBorder="1" applyAlignment="1">
      <alignment horizontal="center" vertical="center"/>
    </xf>
    <xf numFmtId="0" fontId="6" fillId="0" borderId="5" xfId="5" applyFont="1" applyBorder="1" applyAlignment="1">
      <alignment horizontal="center" vertical="center" wrapText="1"/>
    </xf>
    <xf numFmtId="0" fontId="6" fillId="0" borderId="6" xfId="5" applyFont="1" applyBorder="1" applyAlignment="1">
      <alignment horizontal="center" vertical="center" wrapText="1"/>
    </xf>
    <xf numFmtId="0" fontId="6" fillId="0" borderId="14" xfId="5" applyFont="1" applyBorder="1" applyAlignment="1">
      <alignment horizontal="center" vertical="center" wrapText="1"/>
    </xf>
    <xf numFmtId="0" fontId="5" fillId="0" borderId="11" xfId="5" applyFont="1" applyBorder="1" applyAlignment="1">
      <alignment horizontal="center" vertical="center"/>
    </xf>
    <xf numFmtId="0" fontId="5" fillId="0" borderId="12" xfId="5" applyFont="1" applyBorder="1" applyAlignment="1">
      <alignment horizontal="center" vertical="center"/>
    </xf>
    <xf numFmtId="0" fontId="7" fillId="0" borderId="12" xfId="5" applyFont="1" applyBorder="1" applyAlignment="1">
      <alignment horizontal="center" vertical="center" textRotation="255" wrapText="1"/>
    </xf>
    <xf numFmtId="0" fontId="6" fillId="0" borderId="10" xfId="5" applyFont="1" applyBorder="1" applyAlignment="1">
      <alignment horizontal="center" vertical="center" textRotation="255" wrapText="1"/>
    </xf>
    <xf numFmtId="0" fontId="6" fillId="0" borderId="13" xfId="5" applyFont="1" applyBorder="1" applyAlignment="1">
      <alignment horizontal="center" vertical="center" textRotation="255" wrapText="1"/>
    </xf>
    <xf numFmtId="0" fontId="6" fillId="0" borderId="9" xfId="5" applyFont="1" applyBorder="1" applyAlignment="1">
      <alignment horizontal="center" vertical="center" textRotation="255" wrapText="1"/>
    </xf>
    <xf numFmtId="0" fontId="5" fillId="0" borderId="4" xfId="5" applyFont="1" applyBorder="1" applyAlignment="1">
      <alignment horizontal="center" vertical="center" textRotation="255"/>
    </xf>
    <xf numFmtId="0" fontId="5" fillId="0" borderId="9" xfId="5" applyFont="1" applyBorder="1" applyAlignment="1">
      <alignment horizontal="center" vertical="center" textRotation="255"/>
    </xf>
    <xf numFmtId="0" fontId="10" fillId="0" borderId="15" xfId="5" applyFont="1" applyBorder="1" applyAlignment="1">
      <alignment horizontal="center" vertical="center" wrapText="1"/>
    </xf>
    <xf numFmtId="0" fontId="10" fillId="0" borderId="16" xfId="5" applyFont="1" applyBorder="1" applyAlignment="1">
      <alignment horizontal="center" vertical="center" wrapText="1"/>
    </xf>
    <xf numFmtId="0" fontId="1" fillId="0" borderId="2" xfId="5" applyFont="1" applyBorder="1" applyAlignment="1">
      <alignment horizontal="center" vertical="center"/>
    </xf>
    <xf numFmtId="0" fontId="1" fillId="0" borderId="3" xfId="5" applyFont="1" applyBorder="1" applyAlignment="1">
      <alignment horizontal="center" vertical="center"/>
    </xf>
    <xf numFmtId="0" fontId="1" fillId="0" borderId="7" xfId="5" applyFont="1" applyBorder="1" applyAlignment="1">
      <alignment horizontal="center" vertical="center"/>
    </xf>
    <xf numFmtId="0" fontId="1" fillId="0" borderId="8" xfId="5" applyFont="1" applyBorder="1" applyAlignment="1">
      <alignment horizontal="center" vertical="center"/>
    </xf>
    <xf numFmtId="0" fontId="9" fillId="0" borderId="30" xfId="0" applyFont="1" applyBorder="1" applyAlignment="1">
      <alignment horizontal="center" vertical="top" wrapText="1"/>
    </xf>
    <xf numFmtId="0" fontId="9" fillId="0" borderId="19" xfId="0" applyFont="1" applyBorder="1" applyAlignment="1">
      <alignment horizontal="center" vertical="top" wrapText="1"/>
    </xf>
    <xf numFmtId="0" fontId="3" fillId="0" borderId="26" xfId="0" applyFont="1" applyBorder="1" applyAlignment="1">
      <alignment horizontal="center" vertical="center"/>
    </xf>
    <xf numFmtId="0" fontId="0" fillId="0" borderId="26" xfId="0" applyBorder="1">
      <alignment vertical="center"/>
    </xf>
    <xf numFmtId="0" fontId="0" fillId="0" borderId="28" xfId="0" applyBorder="1">
      <alignment vertical="center"/>
    </xf>
    <xf numFmtId="0" fontId="3" fillId="0" borderId="28" xfId="0" applyFont="1" applyBorder="1" applyAlignment="1">
      <alignment horizontal="center" vertical="center"/>
    </xf>
    <xf numFmtId="0" fontId="3" fillId="0" borderId="12" xfId="0" applyFont="1" applyBorder="1" applyAlignment="1">
      <alignment horizontal="center" vertical="center"/>
    </xf>
    <xf numFmtId="0" fontId="5" fillId="0" borderId="4" xfId="0" applyFont="1" applyBorder="1" applyAlignment="1">
      <alignment horizontal="center" vertical="center" textRotation="255"/>
    </xf>
    <xf numFmtId="0" fontId="5" fillId="0" borderId="9" xfId="0" applyFont="1" applyBorder="1" applyAlignment="1">
      <alignment horizontal="center" vertical="center" textRotation="255"/>
    </xf>
    <xf numFmtId="0" fontId="9" fillId="0" borderId="4" xfId="0" applyFont="1" applyBorder="1" applyAlignment="1">
      <alignment horizontal="center" vertical="center" wrapText="1"/>
    </xf>
    <xf numFmtId="0" fontId="0" fillId="0" borderId="9" xfId="0" applyBorder="1" applyAlignment="1">
      <alignment horizontal="center" vertical="center" wrapText="1"/>
    </xf>
    <xf numFmtId="0" fontId="5" fillId="0" borderId="33" xfId="0" applyFont="1" applyBorder="1" applyAlignment="1">
      <alignment horizontal="center" vertical="center" wrapText="1"/>
    </xf>
    <xf numFmtId="0" fontId="17" fillId="0" borderId="21"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9" fillId="0" borderId="0" xfId="0" applyFont="1" applyAlignment="1">
      <alignment horizontal="center" vertical="center" wrapText="1"/>
    </xf>
    <xf numFmtId="0" fontId="5" fillId="0" borderId="6" xfId="0" applyFont="1" applyBorder="1" applyAlignment="1">
      <alignment horizontal="center" vertical="center" wrapText="1"/>
    </xf>
    <xf numFmtId="0" fontId="0" fillId="0" borderId="6" xfId="0" applyBorder="1">
      <alignment vertical="center"/>
    </xf>
    <xf numFmtId="0" fontId="0" fillId="0" borderId="14" xfId="0" applyBorder="1">
      <alignment vertical="center"/>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14" xfId="0" applyFont="1" applyBorder="1" applyAlignment="1">
      <alignment horizontal="center" vertical="center" wrapText="1"/>
    </xf>
  </cellXfs>
  <cellStyles count="10">
    <cellStyle name="常规" xfId="0" builtinId="0"/>
    <cellStyle name="常规 2" xfId="3" xr:uid="{00000000-0005-0000-0000-000032000000}"/>
    <cellStyle name="常规 3" xfId="4" xr:uid="{00000000-0005-0000-0000-000033000000}"/>
    <cellStyle name="常规 4" xfId="5" xr:uid="{00000000-0005-0000-0000-000034000000}"/>
    <cellStyle name="常规 5" xfId="6" xr:uid="{00000000-0005-0000-0000-000035000000}"/>
    <cellStyle name="常规 6" xfId="9" xr:uid="{7D534419-8635-4EE8-A249-874AA93A9961}"/>
    <cellStyle name="常规 7" xfId="8" xr:uid="{00CB449D-C4B2-4C58-B1DF-D510A8BA3F89}"/>
    <cellStyle name="常规_Sheet1" xfId="7" xr:uid="{00000000-0005-0000-0000-000036000000}"/>
    <cellStyle name="常规_Sheet1_1 2" xfId="2" xr:uid="{00000000-0005-0000-0000-00002E000000}"/>
    <cellStyle name="超链接" xfId="1" builtinId="8"/>
  </cellStyles>
  <dxfs count="1">
    <dxf>
      <fill>
        <patternFill patternType="solid">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election activeCell="B14" sqref="B14"/>
    </sheetView>
  </sheetViews>
  <sheetFormatPr defaultColWidth="9" defaultRowHeight="14.4" x14ac:dyDescent="0.25"/>
  <cols>
    <col min="1" max="1" width="9" style="1"/>
    <col min="2" max="2" width="77.6640625" style="1" customWidth="1"/>
    <col min="3" max="16384" width="9" style="1"/>
  </cols>
  <sheetData>
    <row r="1" spans="1:3" x14ac:dyDescent="0.25">
      <c r="A1" s="94" t="s">
        <v>0</v>
      </c>
    </row>
    <row r="3" spans="1:3" x14ac:dyDescent="0.25">
      <c r="A3" s="94" t="s">
        <v>1</v>
      </c>
      <c r="B3" s="1" t="s">
        <v>210</v>
      </c>
      <c r="C3" s="94"/>
    </row>
    <row r="4" spans="1:3" x14ac:dyDescent="0.25">
      <c r="B4" s="102" t="s">
        <v>211</v>
      </c>
    </row>
    <row r="5" spans="1:3" x14ac:dyDescent="0.25">
      <c r="B5" s="95">
        <v>2020</v>
      </c>
    </row>
    <row r="6" spans="1:3" x14ac:dyDescent="0.25">
      <c r="B6" s="1" t="s">
        <v>3</v>
      </c>
    </row>
    <row r="7" spans="1:3" x14ac:dyDescent="0.25">
      <c r="B7" s="96"/>
    </row>
    <row r="8" spans="1:3" x14ac:dyDescent="0.25">
      <c r="A8" s="94" t="s">
        <v>4</v>
      </c>
    </row>
    <row r="9" spans="1:3" x14ac:dyDescent="0.25">
      <c r="A9" s="103" t="s">
        <v>212</v>
      </c>
    </row>
    <row r="10" spans="1:3" x14ac:dyDescent="0.25">
      <c r="A10" s="102" t="s">
        <v>213</v>
      </c>
      <c r="B10" s="94"/>
    </row>
    <row r="11" spans="1:3" x14ac:dyDescent="0.25">
      <c r="B11" s="97"/>
    </row>
    <row r="15" spans="1:3" x14ac:dyDescent="0.25">
      <c r="A15" s="94"/>
    </row>
    <row r="25" spans="1:1" x14ac:dyDescent="0.25">
      <c r="A25" s="94"/>
    </row>
    <row r="34" spans="1:1" x14ac:dyDescent="0.25">
      <c r="A34" s="97"/>
    </row>
    <row r="35" spans="1:1" x14ac:dyDescent="0.25">
      <c r="A35" s="97"/>
    </row>
    <row r="36" spans="1:1" x14ac:dyDescent="0.25">
      <c r="A36" s="97"/>
    </row>
    <row r="38" spans="1:1" x14ac:dyDescent="0.25">
      <c r="A38" s="98"/>
    </row>
    <row r="43" spans="1:1" x14ac:dyDescent="0.25">
      <c r="A43" s="97"/>
    </row>
    <row r="44" spans="1:1" x14ac:dyDescent="0.25">
      <c r="A44" s="97"/>
    </row>
    <row r="45" spans="1:1" x14ac:dyDescent="0.25">
      <c r="A45" s="97"/>
    </row>
    <row r="46" spans="1:1" x14ac:dyDescent="0.25">
      <c r="A46" s="97"/>
    </row>
    <row r="47" spans="1:1" x14ac:dyDescent="0.25">
      <c r="A47" s="97"/>
    </row>
    <row r="48" spans="1:1" x14ac:dyDescent="0.25">
      <c r="A48" s="97"/>
    </row>
    <row r="49" spans="1:1" x14ac:dyDescent="0.25">
      <c r="A49" s="94"/>
    </row>
    <row r="51" spans="1:1" x14ac:dyDescent="0.25">
      <c r="A51" s="99"/>
    </row>
  </sheetData>
  <phoneticPr fontId="1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55"/>
  <sheetViews>
    <sheetView workbookViewId="0">
      <pane xSplit="3" ySplit="9" topLeftCell="D30" activePane="bottomRight" state="frozen"/>
      <selection pane="topRight"/>
      <selection pane="bottomLeft"/>
      <selection pane="bottomRight" activeCell="C42" sqref="C42"/>
    </sheetView>
  </sheetViews>
  <sheetFormatPr defaultColWidth="9" defaultRowHeight="14.4" x14ac:dyDescent="0.25"/>
  <cols>
    <col min="46" max="46" width="9.6640625"/>
    <col min="56" max="56" width="9.6640625"/>
    <col min="58" max="58" width="9.6640625"/>
  </cols>
  <sheetData>
    <row r="1" spans="1:58" x14ac:dyDescent="0.25">
      <c r="A1" s="42" t="s">
        <v>2</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78"/>
      <c r="BE1" s="43"/>
      <c r="BF1" s="43"/>
    </row>
    <row r="2" spans="1:58" x14ac:dyDescent="0.25">
      <c r="A2" s="42" t="s">
        <v>99</v>
      </c>
      <c r="B2" s="43"/>
      <c r="C2" s="43"/>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3"/>
      <c r="AT2" s="43"/>
      <c r="AU2" s="44"/>
      <c r="AV2" s="44"/>
      <c r="AW2" s="44"/>
      <c r="AX2" s="44"/>
      <c r="AY2" s="44"/>
      <c r="AZ2" s="44"/>
      <c r="BA2" s="44"/>
      <c r="BB2" s="44"/>
      <c r="BC2" s="79"/>
      <c r="BD2" s="78"/>
      <c r="BE2" s="79"/>
      <c r="BF2" s="43"/>
    </row>
    <row r="3" spans="1:58" x14ac:dyDescent="0.25">
      <c r="A3" s="45" t="s">
        <v>100</v>
      </c>
      <c r="B3" s="46"/>
      <c r="C3" s="47"/>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3"/>
      <c r="AT3" s="43"/>
      <c r="AU3" s="143"/>
      <c r="AV3" s="143"/>
      <c r="AW3" s="143"/>
      <c r="AX3" s="143"/>
      <c r="AY3" s="143"/>
      <c r="AZ3" s="143"/>
      <c r="BA3" s="143"/>
      <c r="BB3" s="143"/>
      <c r="BC3" s="143"/>
      <c r="BD3" s="80"/>
      <c r="BE3" s="43"/>
      <c r="BF3" s="43"/>
    </row>
    <row r="4" spans="1:58" x14ac:dyDescent="0.25">
      <c r="A4" s="139" t="s">
        <v>101</v>
      </c>
      <c r="B4" s="140"/>
      <c r="C4" s="133" t="s">
        <v>102</v>
      </c>
      <c r="D4" s="144"/>
      <c r="E4" s="144"/>
      <c r="F4" s="144"/>
      <c r="G4" s="144"/>
      <c r="H4" s="144"/>
      <c r="I4" s="144"/>
      <c r="J4" s="144"/>
      <c r="K4" s="144"/>
      <c r="L4" s="144"/>
      <c r="M4" s="144"/>
      <c r="N4" s="144"/>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145"/>
      <c r="AS4" s="145"/>
      <c r="AT4" s="146"/>
      <c r="AU4" s="147" t="s">
        <v>103</v>
      </c>
      <c r="AV4" s="148"/>
      <c r="AW4" s="148"/>
      <c r="AX4" s="148"/>
      <c r="AY4" s="148"/>
      <c r="AZ4" s="148"/>
      <c r="BA4" s="148"/>
      <c r="BB4" s="148"/>
      <c r="BC4" s="148"/>
      <c r="BD4" s="149"/>
      <c r="BE4" s="135" t="s">
        <v>104</v>
      </c>
      <c r="BF4" s="137" t="s">
        <v>105</v>
      </c>
    </row>
    <row r="5" spans="1:58" ht="64.8" x14ac:dyDescent="0.25">
      <c r="A5" s="141"/>
      <c r="B5" s="142"/>
      <c r="C5" s="134"/>
      <c r="D5" s="11" t="s">
        <v>55</v>
      </c>
      <c r="E5" s="49" t="s">
        <v>56</v>
      </c>
      <c r="F5" s="49" t="s">
        <v>57</v>
      </c>
      <c r="G5" s="49" t="s">
        <v>58</v>
      </c>
      <c r="H5" s="49" t="s">
        <v>59</v>
      </c>
      <c r="I5" s="49" t="s">
        <v>60</v>
      </c>
      <c r="J5" s="49" t="s">
        <v>61</v>
      </c>
      <c r="K5" s="49" t="s">
        <v>62</v>
      </c>
      <c r="L5" s="49" t="s">
        <v>63</v>
      </c>
      <c r="M5" s="49" t="s">
        <v>64</v>
      </c>
      <c r="N5" s="49" t="s">
        <v>65</v>
      </c>
      <c r="O5" s="49" t="s">
        <v>66</v>
      </c>
      <c r="P5" s="49" t="s">
        <v>67</v>
      </c>
      <c r="Q5" s="66" t="s">
        <v>68</v>
      </c>
      <c r="R5" s="66" t="s">
        <v>70</v>
      </c>
      <c r="S5" s="66" t="s">
        <v>71</v>
      </c>
      <c r="T5" s="66" t="s">
        <v>72</v>
      </c>
      <c r="U5" s="67" t="s">
        <v>75</v>
      </c>
      <c r="V5" s="66" t="s">
        <v>69</v>
      </c>
      <c r="W5" s="66" t="s">
        <v>76</v>
      </c>
      <c r="X5" s="66" t="s">
        <v>77</v>
      </c>
      <c r="Y5" s="66" t="s">
        <v>74</v>
      </c>
      <c r="Z5" s="67" t="s">
        <v>73</v>
      </c>
      <c r="AA5" s="67" t="s">
        <v>78</v>
      </c>
      <c r="AB5" s="67" t="s">
        <v>79</v>
      </c>
      <c r="AC5" s="67" t="s">
        <v>80</v>
      </c>
      <c r="AD5" s="66" t="s">
        <v>81</v>
      </c>
      <c r="AE5" s="66" t="s">
        <v>82</v>
      </c>
      <c r="AF5" s="66" t="s">
        <v>83</v>
      </c>
      <c r="AG5" s="66" t="s">
        <v>84</v>
      </c>
      <c r="AH5" s="66" t="s">
        <v>85</v>
      </c>
      <c r="AI5" s="66" t="s">
        <v>86</v>
      </c>
      <c r="AJ5" s="66" t="s">
        <v>89</v>
      </c>
      <c r="AK5" s="66" t="s">
        <v>90</v>
      </c>
      <c r="AL5" s="66" t="s">
        <v>87</v>
      </c>
      <c r="AM5" s="66" t="s">
        <v>88</v>
      </c>
      <c r="AN5" s="66" t="s">
        <v>91</v>
      </c>
      <c r="AO5" s="66" t="s">
        <v>96</v>
      </c>
      <c r="AP5" s="66" t="s">
        <v>93</v>
      </c>
      <c r="AQ5" s="66" t="s">
        <v>94</v>
      </c>
      <c r="AR5" s="66" t="s">
        <v>95</v>
      </c>
      <c r="AS5" s="66" t="s">
        <v>92</v>
      </c>
      <c r="AT5" s="68" t="s">
        <v>106</v>
      </c>
      <c r="AU5" s="69" t="s">
        <v>107</v>
      </c>
      <c r="AV5" s="69" t="s">
        <v>108</v>
      </c>
      <c r="AW5" s="69" t="s">
        <v>109</v>
      </c>
      <c r="AX5" s="69" t="s">
        <v>110</v>
      </c>
      <c r="AY5" s="69" t="s">
        <v>111</v>
      </c>
      <c r="AZ5" s="69" t="s">
        <v>112</v>
      </c>
      <c r="BA5" s="69" t="s">
        <v>113</v>
      </c>
      <c r="BB5" s="69" t="s">
        <v>114</v>
      </c>
      <c r="BC5" s="81" t="s">
        <v>115</v>
      </c>
      <c r="BD5" s="82" t="s">
        <v>116</v>
      </c>
      <c r="BE5" s="136"/>
      <c r="BF5" s="138"/>
    </row>
    <row r="6" spans="1:58" x14ac:dyDescent="0.25">
      <c r="A6" s="43"/>
      <c r="B6" s="50" t="s">
        <v>102</v>
      </c>
      <c r="C6" s="51" t="s">
        <v>117</v>
      </c>
      <c r="D6" s="52" t="s">
        <v>5</v>
      </c>
      <c r="E6" s="52" t="s">
        <v>6</v>
      </c>
      <c r="F6" s="52" t="s">
        <v>7</v>
      </c>
      <c r="G6" s="52" t="s">
        <v>8</v>
      </c>
      <c r="H6" s="52" t="s">
        <v>9</v>
      </c>
      <c r="I6" s="52" t="s">
        <v>10</v>
      </c>
      <c r="J6" s="52" t="s">
        <v>11</v>
      </c>
      <c r="K6" s="52" t="s">
        <v>12</v>
      </c>
      <c r="L6" s="52" t="s">
        <v>13</v>
      </c>
      <c r="M6" s="52" t="s">
        <v>14</v>
      </c>
      <c r="N6" s="52" t="s">
        <v>15</v>
      </c>
      <c r="O6" s="52" t="s">
        <v>16</v>
      </c>
      <c r="P6" s="52" t="s">
        <v>17</v>
      </c>
      <c r="Q6" s="52" t="s">
        <v>214</v>
      </c>
      <c r="R6" s="52" t="s">
        <v>20</v>
      </c>
      <c r="S6" s="52" t="s">
        <v>21</v>
      </c>
      <c r="T6" s="52" t="s">
        <v>22</v>
      </c>
      <c r="U6" s="52" t="s">
        <v>25</v>
      </c>
      <c r="V6" s="52" t="s">
        <v>215</v>
      </c>
      <c r="W6" s="52" t="s">
        <v>26</v>
      </c>
      <c r="X6" s="52" t="s">
        <v>27</v>
      </c>
      <c r="Y6" s="52" t="s">
        <v>24</v>
      </c>
      <c r="Z6" s="52" t="s">
        <v>23</v>
      </c>
      <c r="AA6" s="52" t="s">
        <v>28</v>
      </c>
      <c r="AB6" s="52" t="s">
        <v>29</v>
      </c>
      <c r="AC6" s="52" t="s">
        <v>30</v>
      </c>
      <c r="AD6" s="52" t="s">
        <v>31</v>
      </c>
      <c r="AE6" s="52" t="s">
        <v>32</v>
      </c>
      <c r="AF6" s="52" t="s">
        <v>33</v>
      </c>
      <c r="AG6" s="52" t="s">
        <v>34</v>
      </c>
      <c r="AH6" s="52" t="s">
        <v>35</v>
      </c>
      <c r="AI6" s="52" t="s">
        <v>36</v>
      </c>
      <c r="AJ6" s="52" t="s">
        <v>39</v>
      </c>
      <c r="AK6" s="52" t="s">
        <v>40</v>
      </c>
      <c r="AL6" s="52" t="s">
        <v>37</v>
      </c>
      <c r="AM6" s="52" t="s">
        <v>216</v>
      </c>
      <c r="AN6" s="52" t="s">
        <v>41</v>
      </c>
      <c r="AO6" s="52" t="s">
        <v>46</v>
      </c>
      <c r="AP6" s="52" t="s">
        <v>43</v>
      </c>
      <c r="AQ6" s="52" t="s">
        <v>44</v>
      </c>
      <c r="AR6" s="52" t="s">
        <v>45</v>
      </c>
      <c r="AS6" s="52" t="s">
        <v>42</v>
      </c>
      <c r="AT6" s="52" t="s">
        <v>118</v>
      </c>
      <c r="AU6" s="70" t="s">
        <v>119</v>
      </c>
      <c r="AV6" s="70" t="s">
        <v>120</v>
      </c>
      <c r="AW6" s="70" t="s">
        <v>121</v>
      </c>
      <c r="AX6" s="70" t="s">
        <v>122</v>
      </c>
      <c r="AY6" s="70" t="s">
        <v>123</v>
      </c>
      <c r="AZ6" s="70" t="s">
        <v>124</v>
      </c>
      <c r="BA6" s="70" t="s">
        <v>125</v>
      </c>
      <c r="BB6" s="70" t="s">
        <v>126</v>
      </c>
      <c r="BC6" s="83" t="s">
        <v>127</v>
      </c>
      <c r="BD6" s="84" t="s">
        <v>128</v>
      </c>
      <c r="BE6" s="84" t="s">
        <v>129</v>
      </c>
      <c r="BF6" s="90" t="s">
        <v>130</v>
      </c>
    </row>
    <row r="7" spans="1:58" ht="21.6" x14ac:dyDescent="0.25">
      <c r="A7" s="128"/>
      <c r="B7" s="53" t="s">
        <v>55</v>
      </c>
      <c r="C7" s="54" t="s">
        <v>5</v>
      </c>
      <c r="D7" s="55">
        <v>183133769.00858301</v>
      </c>
      <c r="E7" s="55">
        <v>203490.68408443301</v>
      </c>
      <c r="F7" s="55">
        <v>2231.1266199760998</v>
      </c>
      <c r="G7" s="55">
        <v>30366.117979029001</v>
      </c>
      <c r="H7" s="55">
        <v>118.548902968788</v>
      </c>
      <c r="I7" s="55">
        <v>467586720.28646201</v>
      </c>
      <c r="J7" s="55">
        <v>82006169.486367702</v>
      </c>
      <c r="K7" s="55">
        <v>31973462.848005898</v>
      </c>
      <c r="L7" s="55">
        <v>53736066.677819602</v>
      </c>
      <c r="M7" s="55">
        <v>15804.3604181711</v>
      </c>
      <c r="N7" s="55">
        <v>11513733.3673205</v>
      </c>
      <c r="O7" s="55">
        <v>44821824.893563502</v>
      </c>
      <c r="P7" s="55">
        <v>7680873.6462266697</v>
      </c>
      <c r="Q7" s="55">
        <v>218881.18769850201</v>
      </c>
      <c r="R7" s="55">
        <v>20627.161501968301</v>
      </c>
      <c r="S7" s="55">
        <v>15998.126294932499</v>
      </c>
      <c r="T7" s="55">
        <v>97311.762035804</v>
      </c>
      <c r="U7" s="55">
        <v>27411.881051118198</v>
      </c>
      <c r="V7" s="55">
        <v>79539.685076425099</v>
      </c>
      <c r="W7" s="55">
        <v>26629.6079430389</v>
      </c>
      <c r="X7" s="55">
        <v>12565.823957512001</v>
      </c>
      <c r="Y7" s="55">
        <v>68073.7608283015</v>
      </c>
      <c r="Z7" s="55">
        <v>2175.5735884985602</v>
      </c>
      <c r="AA7" s="55">
        <v>3451035.1821262799</v>
      </c>
      <c r="AB7" s="55">
        <v>101721.231936442</v>
      </c>
      <c r="AC7" s="55">
        <v>1310.78692957769</v>
      </c>
      <c r="AD7" s="55">
        <v>0</v>
      </c>
      <c r="AE7" s="55">
        <v>18834171.9565458</v>
      </c>
      <c r="AF7" s="55">
        <v>13768.593246832301</v>
      </c>
      <c r="AG7" s="55">
        <v>154389.965643367</v>
      </c>
      <c r="AH7" s="55">
        <v>53857078.585626699</v>
      </c>
      <c r="AI7" s="55">
        <v>509534.91520112101</v>
      </c>
      <c r="AJ7" s="55">
        <v>67279.739160820202</v>
      </c>
      <c r="AK7" s="55">
        <v>336941.12881730997</v>
      </c>
      <c r="AL7" s="55">
        <v>7363183.3790552802</v>
      </c>
      <c r="AM7" s="55">
        <v>4230391.8261997299</v>
      </c>
      <c r="AN7" s="55">
        <v>1149759.56904357</v>
      </c>
      <c r="AO7" s="55">
        <v>2268491.10930721</v>
      </c>
      <c r="AP7" s="55">
        <v>612269.38744812203</v>
      </c>
      <c r="AQ7" s="55">
        <v>605609.60475212894</v>
      </c>
      <c r="AR7" s="55">
        <v>477755.87084350502</v>
      </c>
      <c r="AS7" s="55">
        <v>9519615.66929329</v>
      </c>
      <c r="AT7" s="55">
        <v>954854691.27550101</v>
      </c>
      <c r="AU7" s="55">
        <v>109745451.40185501</v>
      </c>
      <c r="AV7" s="55">
        <v>221055004.42388201</v>
      </c>
      <c r="AW7" s="55">
        <v>330800455.825737</v>
      </c>
      <c r="AX7" s="55">
        <v>19639627.580839101</v>
      </c>
      <c r="AY7" s="55">
        <v>350440083.40657598</v>
      </c>
      <c r="AZ7" s="55">
        <v>17577339.566559002</v>
      </c>
      <c r="BA7" s="55">
        <v>54901501.621725</v>
      </c>
      <c r="BB7" s="55">
        <v>72478841.188283995</v>
      </c>
      <c r="BC7" s="55">
        <v>18171672.030595101</v>
      </c>
      <c r="BD7" s="55">
        <v>441090596.62545598</v>
      </c>
      <c r="BE7" s="55">
        <v>64262037.629985198</v>
      </c>
      <c r="BF7" s="55">
        <v>1331683250.2709701</v>
      </c>
    </row>
    <row r="8" spans="1:58" ht="21.6" x14ac:dyDescent="0.25">
      <c r="A8" s="128"/>
      <c r="B8" s="53" t="s">
        <v>56</v>
      </c>
      <c r="C8" s="54" t="s">
        <v>6</v>
      </c>
      <c r="D8" s="55">
        <v>601665.538401025</v>
      </c>
      <c r="E8" s="55">
        <v>36204793.6824397</v>
      </c>
      <c r="F8" s="55">
        <v>63785.089784693002</v>
      </c>
      <c r="G8" s="55">
        <v>1725453.8706338899</v>
      </c>
      <c r="H8" s="55">
        <v>60512.7785480819</v>
      </c>
      <c r="I8" s="55">
        <v>2167450.15250292</v>
      </c>
      <c r="J8" s="55">
        <v>1809485.7307809701</v>
      </c>
      <c r="K8" s="55">
        <v>280086.13462574099</v>
      </c>
      <c r="L8" s="55">
        <v>3698845.8920788602</v>
      </c>
      <c r="M8" s="55">
        <v>22001119.828746099</v>
      </c>
      <c r="N8" s="55">
        <v>21794626.064204998</v>
      </c>
      <c r="O8" s="55">
        <v>436019.61784148501</v>
      </c>
      <c r="P8" s="55">
        <v>562146.69443158899</v>
      </c>
      <c r="Q8" s="55">
        <v>34167884.2571337</v>
      </c>
      <c r="R8" s="55">
        <v>21281682.9252996</v>
      </c>
      <c r="S8" s="55">
        <v>3302161.3408503002</v>
      </c>
      <c r="T8" s="55">
        <v>494727.50506545597</v>
      </c>
      <c r="U8" s="55">
        <v>360707.784187513</v>
      </c>
      <c r="V8" s="55">
        <v>252507.67466881199</v>
      </c>
      <c r="W8" s="55">
        <v>48318.134936206698</v>
      </c>
      <c r="X8" s="55">
        <v>49904.045640293603</v>
      </c>
      <c r="Y8" s="55">
        <v>214230.20991276501</v>
      </c>
      <c r="Z8" s="55">
        <v>20070.6192482144</v>
      </c>
      <c r="AA8" s="55">
        <v>178085.13534955701</v>
      </c>
      <c r="AB8" s="55">
        <v>93800322.346398696</v>
      </c>
      <c r="AC8" s="55">
        <v>2360515.4870768199</v>
      </c>
      <c r="AD8" s="55">
        <v>0</v>
      </c>
      <c r="AE8" s="55">
        <v>843243.22422716196</v>
      </c>
      <c r="AF8" s="55">
        <v>45563.861165130103</v>
      </c>
      <c r="AG8" s="55">
        <v>128090.518834844</v>
      </c>
      <c r="AH8" s="55">
        <v>50429.8104455348</v>
      </c>
      <c r="AI8" s="55">
        <v>0</v>
      </c>
      <c r="AJ8" s="55">
        <v>17218.229644303101</v>
      </c>
      <c r="AK8" s="55">
        <v>63307.689676131602</v>
      </c>
      <c r="AL8" s="55">
        <v>64.301927438646302</v>
      </c>
      <c r="AM8" s="55">
        <v>234549.26818834001</v>
      </c>
      <c r="AN8" s="55">
        <v>170081.93752087501</v>
      </c>
      <c r="AO8" s="55">
        <v>326757.72811334702</v>
      </c>
      <c r="AP8" s="55">
        <v>607785.81586245506</v>
      </c>
      <c r="AQ8" s="55">
        <v>360760.39266515698</v>
      </c>
      <c r="AR8" s="55">
        <v>41612.685146271499</v>
      </c>
      <c r="AS8" s="55">
        <v>603682.14532045706</v>
      </c>
      <c r="AT8" s="71">
        <v>251150170.0149</v>
      </c>
      <c r="AU8" s="71">
        <v>753293.48323987797</v>
      </c>
      <c r="AV8" s="71">
        <v>468986.09634170099</v>
      </c>
      <c r="AW8" s="71">
        <v>1222279.5795815799</v>
      </c>
      <c r="AX8" s="71">
        <v>0</v>
      </c>
      <c r="AY8" s="71">
        <v>1222279.5795815799</v>
      </c>
      <c r="AZ8" s="71">
        <v>0</v>
      </c>
      <c r="BA8" s="71">
        <v>-2627614.6415468901</v>
      </c>
      <c r="BB8" s="71">
        <v>-2627614.6415468901</v>
      </c>
      <c r="BC8" s="71">
        <v>260795.53562456899</v>
      </c>
      <c r="BD8" s="85">
        <v>-1144539.52634074</v>
      </c>
      <c r="BE8" s="71">
        <v>14933018.4856</v>
      </c>
      <c r="BF8" s="72">
        <v>235072612.00295901</v>
      </c>
    </row>
    <row r="9" spans="1:58" ht="21.6" x14ac:dyDescent="0.25">
      <c r="A9" s="128"/>
      <c r="B9" s="53" t="s">
        <v>57</v>
      </c>
      <c r="C9" s="54" t="s">
        <v>7</v>
      </c>
      <c r="D9" s="55">
        <v>0</v>
      </c>
      <c r="E9" s="55">
        <v>44377.409200752503</v>
      </c>
      <c r="F9" s="55">
        <v>535454.38845314702</v>
      </c>
      <c r="G9" s="55">
        <v>31524.5192237171</v>
      </c>
      <c r="H9" s="55">
        <v>15664.728389906701</v>
      </c>
      <c r="I9" s="55">
        <v>0</v>
      </c>
      <c r="J9" s="55">
        <v>0</v>
      </c>
      <c r="K9" s="55">
        <v>0</v>
      </c>
      <c r="L9" s="55">
        <v>59261.942827036197</v>
      </c>
      <c r="M9" s="55">
        <v>187886293.75204399</v>
      </c>
      <c r="N9" s="55">
        <v>16889359.6350297</v>
      </c>
      <c r="O9" s="55">
        <v>26683.811355182301</v>
      </c>
      <c r="P9" s="55">
        <v>822898.05516862404</v>
      </c>
      <c r="Q9" s="55">
        <v>1363725.1848709099</v>
      </c>
      <c r="R9" s="55">
        <v>372310.778593975</v>
      </c>
      <c r="S9" s="55">
        <v>752409.26404975797</v>
      </c>
      <c r="T9" s="55">
        <v>586961.70180362405</v>
      </c>
      <c r="U9" s="55">
        <v>564473.99473040295</v>
      </c>
      <c r="V9" s="55">
        <v>372468.27386265399</v>
      </c>
      <c r="W9" s="55">
        <v>425241.52690250898</v>
      </c>
      <c r="X9" s="55">
        <v>143883.096274343</v>
      </c>
      <c r="Y9" s="55">
        <v>68067.404685126705</v>
      </c>
      <c r="Z9" s="55">
        <v>0</v>
      </c>
      <c r="AA9" s="55">
        <v>0</v>
      </c>
      <c r="AB9" s="55">
        <v>6735286.1471629096</v>
      </c>
      <c r="AC9" s="55">
        <v>33825563.811464399</v>
      </c>
      <c r="AD9" s="55">
        <v>0</v>
      </c>
      <c r="AE9" s="55">
        <v>0</v>
      </c>
      <c r="AF9" s="55">
        <v>0</v>
      </c>
      <c r="AG9" s="55">
        <v>487.91952830347202</v>
      </c>
      <c r="AH9" s="55">
        <v>0</v>
      </c>
      <c r="AI9" s="55">
        <v>0</v>
      </c>
      <c r="AJ9" s="55">
        <v>0</v>
      </c>
      <c r="AK9" s="55">
        <v>0</v>
      </c>
      <c r="AL9" s="55">
        <v>0</v>
      </c>
      <c r="AM9" s="55">
        <v>2507.1571750275598</v>
      </c>
      <c r="AN9" s="55">
        <v>0</v>
      </c>
      <c r="AO9" s="55">
        <v>0</v>
      </c>
      <c r="AP9" s="55">
        <v>0</v>
      </c>
      <c r="AQ9" s="55">
        <v>34579.890377714801</v>
      </c>
      <c r="AR9" s="55">
        <v>1756.02572738146</v>
      </c>
      <c r="AS9" s="55">
        <v>48307.892179915703</v>
      </c>
      <c r="AT9" s="71">
        <v>251609548.31108099</v>
      </c>
      <c r="AU9" s="71">
        <v>0</v>
      </c>
      <c r="AV9" s="71">
        <v>0</v>
      </c>
      <c r="AW9" s="71">
        <v>0</v>
      </c>
      <c r="AX9" s="71">
        <v>0</v>
      </c>
      <c r="AY9" s="71">
        <v>0</v>
      </c>
      <c r="AZ9" s="71">
        <v>0</v>
      </c>
      <c r="BA9" s="71">
        <v>288640.90826580301</v>
      </c>
      <c r="BB9" s="71">
        <v>288640.90826580301</v>
      </c>
      <c r="BC9" s="71">
        <v>1085317.43329964</v>
      </c>
      <c r="BD9" s="85">
        <v>1373958.3415654399</v>
      </c>
      <c r="BE9" s="71">
        <v>145293939.37647599</v>
      </c>
      <c r="BF9" s="72">
        <v>107689567.27617</v>
      </c>
    </row>
    <row r="10" spans="1:58" ht="32.4" x14ac:dyDescent="0.25">
      <c r="A10" s="128"/>
      <c r="B10" s="53" t="s">
        <v>58</v>
      </c>
      <c r="C10" s="54" t="s">
        <v>8</v>
      </c>
      <c r="D10" s="55">
        <v>2307.8115185747502</v>
      </c>
      <c r="E10" s="55">
        <v>45270.045796420804</v>
      </c>
      <c r="F10" s="55">
        <v>20550.067837663199</v>
      </c>
      <c r="G10" s="55">
        <v>12059564.9586758</v>
      </c>
      <c r="H10" s="55">
        <v>74468.260627687894</v>
      </c>
      <c r="I10" s="55">
        <v>62486.303967056097</v>
      </c>
      <c r="J10" s="55">
        <v>20915.9223997197</v>
      </c>
      <c r="K10" s="55">
        <v>14130.600939591101</v>
      </c>
      <c r="L10" s="55">
        <v>917816.88813265401</v>
      </c>
      <c r="M10" s="55">
        <v>351666.07211173401</v>
      </c>
      <c r="N10" s="55">
        <v>13663939.405401301</v>
      </c>
      <c r="O10" s="55">
        <v>218560.812755461</v>
      </c>
      <c r="P10" s="55">
        <v>57763.343714702503</v>
      </c>
      <c r="Q10" s="55">
        <v>51091548.573826402</v>
      </c>
      <c r="R10" s="55">
        <v>132438838.939999</v>
      </c>
      <c r="S10" s="55">
        <v>78502942.851173803</v>
      </c>
      <c r="T10" s="55">
        <v>6503772.5155035397</v>
      </c>
      <c r="U10" s="55">
        <v>64839.412482434498</v>
      </c>
      <c r="V10" s="55">
        <v>122513.00041072399</v>
      </c>
      <c r="W10" s="55">
        <v>165447.67931237299</v>
      </c>
      <c r="X10" s="55">
        <v>51425.008783817597</v>
      </c>
      <c r="Y10" s="55">
        <v>614877.85152406897</v>
      </c>
      <c r="Z10" s="55">
        <v>90520.249422050794</v>
      </c>
      <c r="AA10" s="55">
        <v>56747.978985439899</v>
      </c>
      <c r="AB10" s="55">
        <v>106588.815233874</v>
      </c>
      <c r="AC10" s="55">
        <v>0</v>
      </c>
      <c r="AD10" s="55">
        <v>0</v>
      </c>
      <c r="AE10" s="55">
        <v>24113818.501206901</v>
      </c>
      <c r="AF10" s="55">
        <v>60555.457465035601</v>
      </c>
      <c r="AG10" s="55">
        <v>179268.14835334101</v>
      </c>
      <c r="AH10" s="55">
        <v>4016.8528267524398</v>
      </c>
      <c r="AI10" s="55">
        <v>87.113671940353896</v>
      </c>
      <c r="AJ10" s="55">
        <v>747.23882856312105</v>
      </c>
      <c r="AK10" s="55">
        <v>376.87523853913302</v>
      </c>
      <c r="AL10" s="55">
        <v>1678.8513859603499</v>
      </c>
      <c r="AM10" s="55">
        <v>333550.55546202097</v>
      </c>
      <c r="AN10" s="55">
        <v>3880.5923173810202</v>
      </c>
      <c r="AO10" s="55">
        <v>3727.6437269153698</v>
      </c>
      <c r="AP10" s="55">
        <v>2965.11773276757</v>
      </c>
      <c r="AQ10" s="55">
        <v>1023.05544281491</v>
      </c>
      <c r="AR10" s="55">
        <v>5435.0280575937004</v>
      </c>
      <c r="AS10" s="55">
        <v>31541.5542402049</v>
      </c>
      <c r="AT10" s="55">
        <v>322048045.35555297</v>
      </c>
      <c r="AU10" s="55">
        <v>0</v>
      </c>
      <c r="AV10" s="55">
        <v>0</v>
      </c>
      <c r="AW10" s="55">
        <v>0</v>
      </c>
      <c r="AX10" s="55">
        <v>0</v>
      </c>
      <c r="AY10" s="55">
        <v>0</v>
      </c>
      <c r="AZ10" s="55">
        <v>0</v>
      </c>
      <c r="BA10" s="55">
        <v>2801192.3120360398</v>
      </c>
      <c r="BB10" s="55">
        <v>2801192.3120360398</v>
      </c>
      <c r="BC10" s="55">
        <v>3333103.89853743</v>
      </c>
      <c r="BD10" s="55">
        <v>6134296.2105734702</v>
      </c>
      <c r="BE10" s="55">
        <v>134647742.327847</v>
      </c>
      <c r="BF10" s="55">
        <v>193534599.23827901</v>
      </c>
    </row>
    <row r="11" spans="1:58" ht="32.4" x14ac:dyDescent="0.25">
      <c r="A11" s="128"/>
      <c r="B11" s="53" t="s">
        <v>59</v>
      </c>
      <c r="C11" s="54" t="s">
        <v>9</v>
      </c>
      <c r="D11" s="55">
        <v>0</v>
      </c>
      <c r="E11" s="55">
        <v>1372272.5958966599</v>
      </c>
      <c r="F11" s="55">
        <v>16942467.356343601</v>
      </c>
      <c r="G11" s="55">
        <v>1047957.68174087</v>
      </c>
      <c r="H11" s="55">
        <v>177012.61799321501</v>
      </c>
      <c r="I11" s="55">
        <v>466046.58840800601</v>
      </c>
      <c r="J11" s="55">
        <v>0</v>
      </c>
      <c r="K11" s="55">
        <v>0</v>
      </c>
      <c r="L11" s="55">
        <v>0</v>
      </c>
      <c r="M11" s="55">
        <v>0</v>
      </c>
      <c r="N11" s="55">
        <v>0</v>
      </c>
      <c r="O11" s="55">
        <v>0</v>
      </c>
      <c r="P11" s="55">
        <v>0</v>
      </c>
      <c r="Q11" s="55">
        <v>0</v>
      </c>
      <c r="R11" s="55">
        <v>0</v>
      </c>
      <c r="S11" s="55">
        <v>0</v>
      </c>
      <c r="T11" s="55">
        <v>0</v>
      </c>
      <c r="U11" s="55">
        <v>0</v>
      </c>
      <c r="V11" s="55">
        <v>0</v>
      </c>
      <c r="W11" s="55">
        <v>0</v>
      </c>
      <c r="X11" s="55">
        <v>0</v>
      </c>
      <c r="Y11" s="55">
        <v>0</v>
      </c>
      <c r="Z11" s="55">
        <v>12.6722374204862</v>
      </c>
      <c r="AA11" s="55">
        <v>0</v>
      </c>
      <c r="AB11" s="55">
        <v>231004.90996498999</v>
      </c>
      <c r="AC11" s="55">
        <v>0</v>
      </c>
      <c r="AD11" s="55">
        <v>0</v>
      </c>
      <c r="AE11" s="55">
        <v>0</v>
      </c>
      <c r="AF11" s="55">
        <v>0</v>
      </c>
      <c r="AG11" s="55">
        <v>0</v>
      </c>
      <c r="AH11" s="55">
        <v>0</v>
      </c>
      <c r="AI11" s="55">
        <v>0</v>
      </c>
      <c r="AJ11" s="55">
        <v>0</v>
      </c>
      <c r="AK11" s="55">
        <v>0</v>
      </c>
      <c r="AL11" s="55">
        <v>0</v>
      </c>
      <c r="AM11" s="55">
        <v>0</v>
      </c>
      <c r="AN11" s="55">
        <v>0</v>
      </c>
      <c r="AO11" s="55">
        <v>0</v>
      </c>
      <c r="AP11" s="55">
        <v>0</v>
      </c>
      <c r="AQ11" s="55">
        <v>0</v>
      </c>
      <c r="AR11" s="55">
        <v>0</v>
      </c>
      <c r="AS11" s="55">
        <v>0</v>
      </c>
      <c r="AT11" s="71">
        <v>20236774.422584798</v>
      </c>
      <c r="AU11" s="71">
        <v>0</v>
      </c>
      <c r="AV11" s="71">
        <v>0</v>
      </c>
      <c r="AW11" s="71">
        <v>0</v>
      </c>
      <c r="AX11" s="71">
        <v>0</v>
      </c>
      <c r="AY11" s="71">
        <v>0</v>
      </c>
      <c r="AZ11" s="71">
        <v>0</v>
      </c>
      <c r="BA11" s="71">
        <v>0</v>
      </c>
      <c r="BB11" s="71">
        <v>0</v>
      </c>
      <c r="BC11" s="71">
        <v>0</v>
      </c>
      <c r="BD11" s="85">
        <v>0</v>
      </c>
      <c r="BE11" s="71">
        <v>0</v>
      </c>
      <c r="BF11" s="72">
        <v>20236774.422584798</v>
      </c>
    </row>
    <row r="12" spans="1:58" ht="21.6" x14ac:dyDescent="0.25">
      <c r="A12" s="128"/>
      <c r="B12" s="53" t="s">
        <v>60</v>
      </c>
      <c r="C12" s="54" t="s">
        <v>10</v>
      </c>
      <c r="D12" s="55">
        <v>108184867.522413</v>
      </c>
      <c r="E12" s="55">
        <v>413271.65844336699</v>
      </c>
      <c r="F12" s="55">
        <v>79328.1272889104</v>
      </c>
      <c r="G12" s="55">
        <v>942010.64600477298</v>
      </c>
      <c r="H12" s="55">
        <v>15471.0429285469</v>
      </c>
      <c r="I12" s="55">
        <v>249372493.69703001</v>
      </c>
      <c r="J12" s="55">
        <v>14128691.5738324</v>
      </c>
      <c r="K12" s="55">
        <v>1247437.6388638699</v>
      </c>
      <c r="L12" s="55">
        <v>3016090.1708590901</v>
      </c>
      <c r="M12" s="55">
        <v>3256002.5538341198</v>
      </c>
      <c r="N12" s="55">
        <v>25114335.1987531</v>
      </c>
      <c r="O12" s="55">
        <v>7560676.0969755901</v>
      </c>
      <c r="P12" s="55">
        <v>750764.12286723498</v>
      </c>
      <c r="Q12" s="55">
        <v>1766033.0825439</v>
      </c>
      <c r="R12" s="55">
        <v>3822314.4307082701</v>
      </c>
      <c r="S12" s="55">
        <v>4171930.42313954</v>
      </c>
      <c r="T12" s="55">
        <v>2846827.6921563102</v>
      </c>
      <c r="U12" s="55">
        <v>4402856.8840291603</v>
      </c>
      <c r="V12" s="55">
        <v>2451141.56851923</v>
      </c>
      <c r="W12" s="55">
        <v>2157646.3784742099</v>
      </c>
      <c r="X12" s="55">
        <v>1244965.1723612901</v>
      </c>
      <c r="Y12" s="55">
        <v>4524092.6392990705</v>
      </c>
      <c r="Z12" s="55">
        <v>7303684.2971111601</v>
      </c>
      <c r="AA12" s="55">
        <v>618269.90207279206</v>
      </c>
      <c r="AB12" s="55">
        <v>5006459.0918666804</v>
      </c>
      <c r="AC12" s="55">
        <v>538269.50862606696</v>
      </c>
      <c r="AD12" s="55">
        <v>432454.54748725903</v>
      </c>
      <c r="AE12" s="55">
        <v>5743107.4265601104</v>
      </c>
      <c r="AF12" s="55">
        <v>2301664.0439841002</v>
      </c>
      <c r="AG12" s="55">
        <v>7651112.7979270304</v>
      </c>
      <c r="AH12" s="55">
        <v>127743752.704125</v>
      </c>
      <c r="AI12" s="55">
        <v>5595412.7393014701</v>
      </c>
      <c r="AJ12" s="55">
        <v>2856239.8503461499</v>
      </c>
      <c r="AK12" s="55">
        <v>4673588.7287675804</v>
      </c>
      <c r="AL12" s="55">
        <v>16568941.000821199</v>
      </c>
      <c r="AM12" s="55">
        <v>4782871.6076720497</v>
      </c>
      <c r="AN12" s="55">
        <v>3289851.36364205</v>
      </c>
      <c r="AO12" s="55">
        <v>7513197.7088389201</v>
      </c>
      <c r="AP12" s="55">
        <v>12503170.855266299</v>
      </c>
      <c r="AQ12" s="55">
        <v>7006157.6699213404</v>
      </c>
      <c r="AR12" s="55">
        <v>9671567.5998847503</v>
      </c>
      <c r="AS12" s="55">
        <v>7647553.5130842999</v>
      </c>
      <c r="AT12" s="55">
        <v>679669137.639768</v>
      </c>
      <c r="AU12" s="55">
        <v>156188434.73749101</v>
      </c>
      <c r="AV12" s="55">
        <v>452326731.01745701</v>
      </c>
      <c r="AW12" s="55">
        <v>608515165.75494802</v>
      </c>
      <c r="AX12" s="55">
        <v>0</v>
      </c>
      <c r="AY12" s="55">
        <v>608515165.75494802</v>
      </c>
      <c r="AZ12" s="55">
        <v>0</v>
      </c>
      <c r="BA12" s="55">
        <v>8525640.2327463608</v>
      </c>
      <c r="BB12" s="55">
        <v>8525640.2327463608</v>
      </c>
      <c r="BC12" s="55">
        <v>35833494.4737183</v>
      </c>
      <c r="BD12" s="55">
        <v>652874300.46141303</v>
      </c>
      <c r="BE12" s="55">
        <v>81180639.930074707</v>
      </c>
      <c r="BF12" s="55">
        <v>1251362798.1711099</v>
      </c>
    </row>
    <row r="13" spans="1:58" ht="43.2" x14ac:dyDescent="0.25">
      <c r="A13" s="128"/>
      <c r="B13" s="53" t="s">
        <v>61</v>
      </c>
      <c r="C13" s="54" t="s">
        <v>11</v>
      </c>
      <c r="D13" s="55">
        <v>255022.543439289</v>
      </c>
      <c r="E13" s="55">
        <v>1536716.4615694401</v>
      </c>
      <c r="F13" s="55">
        <v>172891.147199542</v>
      </c>
      <c r="G13" s="55">
        <v>431377.15059935598</v>
      </c>
      <c r="H13" s="55">
        <v>299060.72832192999</v>
      </c>
      <c r="I13" s="55">
        <v>3696564.1752409101</v>
      </c>
      <c r="J13" s="55">
        <v>314846172.317828</v>
      </c>
      <c r="K13" s="55">
        <v>8109575.9068406802</v>
      </c>
      <c r="L13" s="55">
        <v>21141410.3650942</v>
      </c>
      <c r="M13" s="55">
        <v>892568.29669920204</v>
      </c>
      <c r="N13" s="55">
        <v>3692227.01976529</v>
      </c>
      <c r="O13" s="55">
        <v>4066224.9370025401</v>
      </c>
      <c r="P13" s="55">
        <v>3366898.14673525</v>
      </c>
      <c r="Q13" s="55">
        <v>4050298.8980250498</v>
      </c>
      <c r="R13" s="55">
        <v>649060.66057088599</v>
      </c>
      <c r="S13" s="55">
        <v>445858.5484269</v>
      </c>
      <c r="T13" s="55">
        <v>2025532.94802317</v>
      </c>
      <c r="U13" s="55">
        <v>1951908.6158987</v>
      </c>
      <c r="V13" s="55">
        <v>1960493.2319757999</v>
      </c>
      <c r="W13" s="55">
        <v>5639280.4127312796</v>
      </c>
      <c r="X13" s="55">
        <v>1374959.5139363799</v>
      </c>
      <c r="Y13" s="55">
        <v>3039653.0402595601</v>
      </c>
      <c r="Z13" s="55">
        <v>3035965.5310010798</v>
      </c>
      <c r="AA13" s="55">
        <v>4187381.8069357099</v>
      </c>
      <c r="AB13" s="55">
        <v>864761.16908143205</v>
      </c>
      <c r="AC13" s="55">
        <v>343622.08607446298</v>
      </c>
      <c r="AD13" s="55">
        <v>391871.28241978498</v>
      </c>
      <c r="AE13" s="55">
        <v>4541077.5001725396</v>
      </c>
      <c r="AF13" s="55">
        <v>3219495.2731076898</v>
      </c>
      <c r="AG13" s="55">
        <v>5114728.6137928003</v>
      </c>
      <c r="AH13" s="55">
        <v>3509705.2336370898</v>
      </c>
      <c r="AI13" s="55">
        <v>999494.98799007002</v>
      </c>
      <c r="AJ13" s="55">
        <v>4708210.3710430805</v>
      </c>
      <c r="AK13" s="55">
        <v>2106065.8379452401</v>
      </c>
      <c r="AL13" s="55">
        <v>16680634.6777205</v>
      </c>
      <c r="AM13" s="55">
        <v>2606793.12976341</v>
      </c>
      <c r="AN13" s="55">
        <v>1524598.30164377</v>
      </c>
      <c r="AO13" s="55">
        <v>2503390.6033801599</v>
      </c>
      <c r="AP13" s="55">
        <v>1549810.36722802</v>
      </c>
      <c r="AQ13" s="55">
        <v>9533818.8441091105</v>
      </c>
      <c r="AR13" s="55">
        <v>4734179.2707703104</v>
      </c>
      <c r="AS13" s="55">
        <v>25315084.364078</v>
      </c>
      <c r="AT13" s="55">
        <v>473004868.411237</v>
      </c>
      <c r="AU13" s="55">
        <v>23013748.4379359</v>
      </c>
      <c r="AV13" s="55">
        <v>108193778.35794599</v>
      </c>
      <c r="AW13" s="55">
        <v>131207526.795881</v>
      </c>
      <c r="AX13" s="55">
        <v>0</v>
      </c>
      <c r="AY13" s="55">
        <v>131207526.795881</v>
      </c>
      <c r="AZ13" s="55">
        <v>0</v>
      </c>
      <c r="BA13" s="55">
        <v>-3571111.1821360299</v>
      </c>
      <c r="BB13" s="55">
        <v>-3571111.1821360299</v>
      </c>
      <c r="BC13" s="55">
        <v>186801140.367055</v>
      </c>
      <c r="BD13" s="55">
        <v>314437555.98079997</v>
      </c>
      <c r="BE13" s="55">
        <v>30055497.577927399</v>
      </c>
      <c r="BF13" s="55">
        <v>757386926.81410897</v>
      </c>
    </row>
    <row r="14" spans="1:58" ht="21.6" x14ac:dyDescent="0.25">
      <c r="A14" s="128"/>
      <c r="B14" s="53" t="s">
        <v>62</v>
      </c>
      <c r="C14" s="54" t="s">
        <v>12</v>
      </c>
      <c r="D14" s="55">
        <v>336188.94851517997</v>
      </c>
      <c r="E14" s="55">
        <v>3559037.46550998</v>
      </c>
      <c r="F14" s="55">
        <v>156891.29500928399</v>
      </c>
      <c r="G14" s="55">
        <v>254624.37089377199</v>
      </c>
      <c r="H14" s="55">
        <v>6327.7150673874103</v>
      </c>
      <c r="I14" s="55">
        <v>845240.03818156605</v>
      </c>
      <c r="J14" s="55">
        <v>918481.02107663197</v>
      </c>
      <c r="K14" s="55">
        <v>81780666.7864068</v>
      </c>
      <c r="L14" s="55">
        <v>90084970.052630693</v>
      </c>
      <c r="M14" s="55">
        <v>186690.20276233001</v>
      </c>
      <c r="N14" s="55">
        <v>1302287.31358054</v>
      </c>
      <c r="O14" s="55">
        <v>114696.06316618199</v>
      </c>
      <c r="P14" s="55">
        <v>708459.64329744095</v>
      </c>
      <c r="Q14" s="55">
        <v>1957227.2128331601</v>
      </c>
      <c r="R14" s="55">
        <v>49068.255669272301</v>
      </c>
      <c r="S14" s="55">
        <v>185262.26386720801</v>
      </c>
      <c r="T14" s="55">
        <v>4792477.8358831797</v>
      </c>
      <c r="U14" s="55">
        <v>931517.23040675104</v>
      </c>
      <c r="V14" s="55">
        <v>637156.81387395598</v>
      </c>
      <c r="W14" s="55">
        <v>5926683.1802302804</v>
      </c>
      <c r="X14" s="55">
        <v>652732.72847238998</v>
      </c>
      <c r="Y14" s="55">
        <v>1177748.8394233999</v>
      </c>
      <c r="Z14" s="55">
        <v>1019650.00693627</v>
      </c>
      <c r="AA14" s="55">
        <v>1295524.2485475501</v>
      </c>
      <c r="AB14" s="55">
        <v>201717.80041153601</v>
      </c>
      <c r="AC14" s="55">
        <v>4011.85983524315</v>
      </c>
      <c r="AD14" s="55">
        <v>3316.5084622772201</v>
      </c>
      <c r="AE14" s="55">
        <v>57246609.186167397</v>
      </c>
      <c r="AF14" s="55">
        <v>423651.48303005402</v>
      </c>
      <c r="AG14" s="55">
        <v>934919.87192588102</v>
      </c>
      <c r="AH14" s="55">
        <v>196032.426933949</v>
      </c>
      <c r="AI14" s="55">
        <v>922455.744975699</v>
      </c>
      <c r="AJ14" s="55">
        <v>474744.03877929098</v>
      </c>
      <c r="AK14" s="55">
        <v>546486.36108233605</v>
      </c>
      <c r="AL14" s="55">
        <v>599781.95068565605</v>
      </c>
      <c r="AM14" s="55">
        <v>50562.203571571401</v>
      </c>
      <c r="AN14" s="55">
        <v>401102.14532939898</v>
      </c>
      <c r="AO14" s="55">
        <v>635895.59428515099</v>
      </c>
      <c r="AP14" s="55">
        <v>342879.71965333901</v>
      </c>
      <c r="AQ14" s="55">
        <v>75136.026260805404</v>
      </c>
      <c r="AR14" s="55">
        <v>319747.384311979</v>
      </c>
      <c r="AS14" s="55">
        <v>3983063.1081222198</v>
      </c>
      <c r="AT14" s="55">
        <v>184461056.15965801</v>
      </c>
      <c r="AU14" s="55">
        <v>5007508.0162722301</v>
      </c>
      <c r="AV14" s="55">
        <v>17646337.097442199</v>
      </c>
      <c r="AW14" s="55">
        <v>22653845.113714501</v>
      </c>
      <c r="AX14" s="55">
        <v>0</v>
      </c>
      <c r="AY14" s="55">
        <v>22653845.113714501</v>
      </c>
      <c r="AZ14" s="55">
        <v>21595789.2652824</v>
      </c>
      <c r="BA14" s="55">
        <v>1674063.132307</v>
      </c>
      <c r="BB14" s="55">
        <v>23269852.3975894</v>
      </c>
      <c r="BC14" s="55">
        <v>44765296.899224401</v>
      </c>
      <c r="BD14" s="55">
        <v>90688994.410528198</v>
      </c>
      <c r="BE14" s="55">
        <v>9736870.6606359407</v>
      </c>
      <c r="BF14" s="55">
        <v>265413179.90955001</v>
      </c>
    </row>
    <row r="15" spans="1:58" ht="32.4" x14ac:dyDescent="0.25">
      <c r="A15" s="128"/>
      <c r="B15" s="53" t="s">
        <v>63</v>
      </c>
      <c r="C15" s="54" t="s">
        <v>13</v>
      </c>
      <c r="D15" s="55">
        <v>1025682.30896579</v>
      </c>
      <c r="E15" s="55">
        <v>31068.881795914898</v>
      </c>
      <c r="F15" s="55">
        <v>9688.6353693274705</v>
      </c>
      <c r="G15" s="55">
        <v>315134.03242535098</v>
      </c>
      <c r="H15" s="55">
        <v>18042.4084069333</v>
      </c>
      <c r="I15" s="55">
        <v>13214439.554017199</v>
      </c>
      <c r="J15" s="55">
        <v>3599305.40965772</v>
      </c>
      <c r="K15" s="55">
        <v>2513515.6980929798</v>
      </c>
      <c r="L15" s="55">
        <v>105171872.237609</v>
      </c>
      <c r="M15" s="55">
        <v>357515.62733863801</v>
      </c>
      <c r="N15" s="55">
        <v>4061404.6097377101</v>
      </c>
      <c r="O15" s="55">
        <v>4907967.41960839</v>
      </c>
      <c r="P15" s="55">
        <v>1782237.4405934401</v>
      </c>
      <c r="Q15" s="55">
        <v>8915729.5225193892</v>
      </c>
      <c r="R15" s="55">
        <v>89427.250295816906</v>
      </c>
      <c r="S15" s="55">
        <v>336660.36558656598</v>
      </c>
      <c r="T15" s="55">
        <v>1916810.8290677101</v>
      </c>
      <c r="U15" s="55">
        <v>1926288.9358832799</v>
      </c>
      <c r="V15" s="55">
        <v>1841924.1243241299</v>
      </c>
      <c r="W15" s="55">
        <v>1597372.4923795001</v>
      </c>
      <c r="X15" s="55">
        <v>344645.46248240297</v>
      </c>
      <c r="Y15" s="55">
        <v>5512884.4773892304</v>
      </c>
      <c r="Z15" s="55">
        <v>5349964.5754080201</v>
      </c>
      <c r="AA15" s="55">
        <v>807927.26260598504</v>
      </c>
      <c r="AB15" s="55">
        <v>458088.56563187699</v>
      </c>
      <c r="AC15" s="55">
        <v>13078.612930485901</v>
      </c>
      <c r="AD15" s="55">
        <v>21179.986195194899</v>
      </c>
      <c r="AE15" s="55">
        <v>5313846.9508039998</v>
      </c>
      <c r="AF15" s="55">
        <v>8789370.7770565208</v>
      </c>
      <c r="AG15" s="55">
        <v>4327923.8509802902</v>
      </c>
      <c r="AH15" s="55">
        <v>1732626.8138709399</v>
      </c>
      <c r="AI15" s="55">
        <v>27520721.374125499</v>
      </c>
      <c r="AJ15" s="55">
        <v>20038604.196891099</v>
      </c>
      <c r="AK15" s="55">
        <v>5345538.7782828296</v>
      </c>
      <c r="AL15" s="55">
        <v>69510375.7570052</v>
      </c>
      <c r="AM15" s="55">
        <v>2605460.1047098902</v>
      </c>
      <c r="AN15" s="55">
        <v>5513422.1732468205</v>
      </c>
      <c r="AO15" s="55">
        <v>1759661.66398027</v>
      </c>
      <c r="AP15" s="55">
        <v>12646200.961506501</v>
      </c>
      <c r="AQ15" s="55">
        <v>288424.63390770002</v>
      </c>
      <c r="AR15" s="55">
        <v>7453946.5892663701</v>
      </c>
      <c r="AS15" s="55">
        <v>20046564.543822698</v>
      </c>
      <c r="AT15" s="55">
        <v>356519030.19768202</v>
      </c>
      <c r="AU15" s="55">
        <v>6120942.0135803903</v>
      </c>
      <c r="AV15" s="55">
        <v>29346781.884146001</v>
      </c>
      <c r="AW15" s="55">
        <v>35467723.897726402</v>
      </c>
      <c r="AX15" s="55">
        <v>0</v>
      </c>
      <c r="AY15" s="55">
        <v>35467723.897726402</v>
      </c>
      <c r="AZ15" s="55">
        <v>4281134.5776765598</v>
      </c>
      <c r="BA15" s="55">
        <v>-8038986.6264104899</v>
      </c>
      <c r="BB15" s="55">
        <v>-3757852.0487339301</v>
      </c>
      <c r="BC15" s="55">
        <v>66074535.271569103</v>
      </c>
      <c r="BD15" s="55">
        <v>97784407.1205616</v>
      </c>
      <c r="BE15" s="55">
        <v>25910670.934909102</v>
      </c>
      <c r="BF15" s="55">
        <v>428392766.38333398</v>
      </c>
    </row>
    <row r="16" spans="1:58" ht="32.4" x14ac:dyDescent="0.25">
      <c r="A16" s="128"/>
      <c r="B16" s="53" t="s">
        <v>64</v>
      </c>
      <c r="C16" s="54" t="s">
        <v>14</v>
      </c>
      <c r="D16" s="55">
        <v>4991926.8170677004</v>
      </c>
      <c r="E16" s="55">
        <v>700362.54839890404</v>
      </c>
      <c r="F16" s="55">
        <v>395976.19321763498</v>
      </c>
      <c r="G16" s="55">
        <v>7776692.2608783804</v>
      </c>
      <c r="H16" s="55">
        <v>799185.804049714</v>
      </c>
      <c r="I16" s="55">
        <v>1015050.64892136</v>
      </c>
      <c r="J16" s="55">
        <v>1120310.30955065</v>
      </c>
      <c r="K16" s="55">
        <v>1004346.25642645</v>
      </c>
      <c r="L16" s="55">
        <v>1858172.82265521</v>
      </c>
      <c r="M16" s="55">
        <v>22688075.962093201</v>
      </c>
      <c r="N16" s="55">
        <v>63847204.8147908</v>
      </c>
      <c r="O16" s="55">
        <v>474305.05805845698</v>
      </c>
      <c r="P16" s="55">
        <v>2190479.2634456502</v>
      </c>
      <c r="Q16" s="55">
        <v>19987603.867374402</v>
      </c>
      <c r="R16" s="55">
        <v>42144146.633987799</v>
      </c>
      <c r="S16" s="55">
        <v>7221065.2469647899</v>
      </c>
      <c r="T16" s="55">
        <v>3078282.7603366501</v>
      </c>
      <c r="U16" s="55">
        <v>2035296.8308451199</v>
      </c>
      <c r="V16" s="55">
        <v>1035075.19329482</v>
      </c>
      <c r="W16" s="55">
        <v>1106854.0149806901</v>
      </c>
      <c r="X16" s="55">
        <v>444478.81957636902</v>
      </c>
      <c r="Y16" s="55">
        <v>1121539.9099812401</v>
      </c>
      <c r="Z16" s="55">
        <v>1058861.3070405801</v>
      </c>
      <c r="AA16" s="55">
        <v>836932.65424876998</v>
      </c>
      <c r="AB16" s="55">
        <v>10310485.4882796</v>
      </c>
      <c r="AC16" s="55">
        <v>1882494.50116738</v>
      </c>
      <c r="AD16" s="55">
        <v>38463.431520377097</v>
      </c>
      <c r="AE16" s="55">
        <v>37120733.080253102</v>
      </c>
      <c r="AF16" s="55">
        <v>3295901.7849033498</v>
      </c>
      <c r="AG16" s="55">
        <v>96331786.3585812</v>
      </c>
      <c r="AH16" s="55">
        <v>1029117.57201222</v>
      </c>
      <c r="AI16" s="55">
        <v>1116149.5638975999</v>
      </c>
      <c r="AJ16" s="55">
        <v>3729490.5709153502</v>
      </c>
      <c r="AK16" s="55">
        <v>1528256.1230027401</v>
      </c>
      <c r="AL16" s="55">
        <v>19256951.1198758</v>
      </c>
      <c r="AM16" s="55">
        <v>1475382.56939414</v>
      </c>
      <c r="AN16" s="55">
        <v>12374899.301728999</v>
      </c>
      <c r="AO16" s="55">
        <v>1218116.7765680801</v>
      </c>
      <c r="AP16" s="55">
        <v>2786127.9066548198</v>
      </c>
      <c r="AQ16" s="55">
        <v>239725.60842664001</v>
      </c>
      <c r="AR16" s="55">
        <v>469119.17965067498</v>
      </c>
      <c r="AS16" s="55">
        <v>5767313.9905040897</v>
      </c>
      <c r="AT16" s="55">
        <v>387898394.66909498</v>
      </c>
      <c r="AU16" s="55">
        <v>5745628.19309087</v>
      </c>
      <c r="AV16" s="55">
        <v>28313584.6405669</v>
      </c>
      <c r="AW16" s="55">
        <v>34059212.833657697</v>
      </c>
      <c r="AX16" s="55">
        <v>0</v>
      </c>
      <c r="AY16" s="55">
        <v>34059212.833657697</v>
      </c>
      <c r="AZ16" s="55">
        <v>0</v>
      </c>
      <c r="BA16" s="55">
        <v>-5955399.24897708</v>
      </c>
      <c r="BB16" s="55">
        <v>-5955399.24897708</v>
      </c>
      <c r="BC16" s="55">
        <v>15981224.401177</v>
      </c>
      <c r="BD16" s="55">
        <v>44085037.985857598</v>
      </c>
      <c r="BE16" s="55">
        <v>22650148.1800972</v>
      </c>
      <c r="BF16" s="55">
        <v>409333284.47485602</v>
      </c>
    </row>
    <row r="17" spans="1:58" ht="43.2" x14ac:dyDescent="0.25">
      <c r="A17" s="128"/>
      <c r="B17" s="53" t="s">
        <v>65</v>
      </c>
      <c r="C17" s="54" t="s">
        <v>15</v>
      </c>
      <c r="D17" s="55">
        <v>75932742.213260502</v>
      </c>
      <c r="E17" s="55">
        <v>2724058.15268707</v>
      </c>
      <c r="F17" s="55">
        <v>3946860.51405884</v>
      </c>
      <c r="G17" s="55">
        <v>9732267.0914701205</v>
      </c>
      <c r="H17" s="55">
        <v>1246400.0556822801</v>
      </c>
      <c r="I17" s="55">
        <v>5072727.7006933503</v>
      </c>
      <c r="J17" s="55">
        <v>54593583.318500802</v>
      </c>
      <c r="K17" s="55">
        <v>16223099.5250488</v>
      </c>
      <c r="L17" s="55">
        <v>51348512.5649212</v>
      </c>
      <c r="M17" s="55">
        <v>14670765.357755</v>
      </c>
      <c r="N17" s="55">
        <v>292965053.664608</v>
      </c>
      <c r="O17" s="55">
        <v>11936419.056146599</v>
      </c>
      <c r="P17" s="55">
        <v>110271806.29350699</v>
      </c>
      <c r="Q17" s="55">
        <v>31280002.3053056</v>
      </c>
      <c r="R17" s="55">
        <v>3761258.98916111</v>
      </c>
      <c r="S17" s="55">
        <v>9341339.8389430195</v>
      </c>
      <c r="T17" s="55">
        <v>10641343.791129</v>
      </c>
      <c r="U17" s="55">
        <v>4653059.1683464795</v>
      </c>
      <c r="V17" s="55">
        <v>2243331.55982255</v>
      </c>
      <c r="W17" s="55">
        <v>6970340.16868803</v>
      </c>
      <c r="X17" s="55">
        <v>2118210.80846642</v>
      </c>
      <c r="Y17" s="55">
        <v>26478745.382496499</v>
      </c>
      <c r="Z17" s="55">
        <v>15451768.3835839</v>
      </c>
      <c r="AA17" s="55">
        <v>5086887.5907676704</v>
      </c>
      <c r="AB17" s="55">
        <v>221438.66653513399</v>
      </c>
      <c r="AC17" s="55">
        <v>31293.1657941251</v>
      </c>
      <c r="AD17" s="55">
        <v>2463333.3016807502</v>
      </c>
      <c r="AE17" s="55">
        <v>75178170.055959806</v>
      </c>
      <c r="AF17" s="55">
        <v>101065.70409229099</v>
      </c>
      <c r="AG17" s="55">
        <v>988410.01262835099</v>
      </c>
      <c r="AH17" s="55">
        <v>2502380.8395175301</v>
      </c>
      <c r="AI17" s="55">
        <v>1218070.2521790899</v>
      </c>
      <c r="AJ17" s="55">
        <v>301378.83771868399</v>
      </c>
      <c r="AK17" s="55">
        <v>339047.63523125602</v>
      </c>
      <c r="AL17" s="55">
        <v>4302489.10772241</v>
      </c>
      <c r="AM17" s="55">
        <v>14442888.994406501</v>
      </c>
      <c r="AN17" s="55">
        <v>20348720.0274329</v>
      </c>
      <c r="AO17" s="55">
        <v>13522935.637700999</v>
      </c>
      <c r="AP17" s="55">
        <v>7517280.0777033204</v>
      </c>
      <c r="AQ17" s="55">
        <v>538883.132006158</v>
      </c>
      <c r="AR17" s="55">
        <v>1609725.58352926</v>
      </c>
      <c r="AS17" s="55">
        <v>8727065.8294576202</v>
      </c>
      <c r="AT17" s="55">
        <v>906822060.83129597</v>
      </c>
      <c r="AU17" s="55">
        <v>2773014.2064051102</v>
      </c>
      <c r="AV17" s="55">
        <v>19771296.6729743</v>
      </c>
      <c r="AW17" s="55">
        <v>22544310.879379399</v>
      </c>
      <c r="AX17" s="55">
        <v>0</v>
      </c>
      <c r="AY17" s="55">
        <v>22544310.879379399</v>
      </c>
      <c r="AZ17" s="55">
        <v>0</v>
      </c>
      <c r="BA17" s="55">
        <v>-17407692.4580363</v>
      </c>
      <c r="BB17" s="55">
        <v>-17407692.4580363</v>
      </c>
      <c r="BC17" s="55">
        <v>66207877.6200248</v>
      </c>
      <c r="BD17" s="55">
        <v>71344496.041367993</v>
      </c>
      <c r="BE17" s="55">
        <v>123069963.945637</v>
      </c>
      <c r="BF17" s="55">
        <v>855096592.92702794</v>
      </c>
    </row>
    <row r="18" spans="1:58" x14ac:dyDescent="0.25">
      <c r="A18" s="128"/>
      <c r="B18" s="53" t="s">
        <v>66</v>
      </c>
      <c r="C18" s="54" t="s">
        <v>16</v>
      </c>
      <c r="D18" s="55">
        <v>6070961.4374369001</v>
      </c>
      <c r="E18" s="55">
        <v>41905.1238799485</v>
      </c>
      <c r="F18" s="55">
        <v>18810.368854661101</v>
      </c>
      <c r="G18" s="55">
        <v>6112.2849642644696</v>
      </c>
      <c r="H18" s="55">
        <v>670.13327881885402</v>
      </c>
      <c r="I18" s="55">
        <v>812022.34228900995</v>
      </c>
      <c r="J18" s="55">
        <v>88147.314917836804</v>
      </c>
      <c r="K18" s="55">
        <v>2763.5261905479001</v>
      </c>
      <c r="L18" s="55">
        <v>656674.06808880798</v>
      </c>
      <c r="M18" s="55">
        <v>14976.675812205</v>
      </c>
      <c r="N18" s="55">
        <v>1196870.9554063</v>
      </c>
      <c r="O18" s="55">
        <v>61912202.1611742</v>
      </c>
      <c r="P18" s="55">
        <v>81220.678649797701</v>
      </c>
      <c r="Q18" s="55">
        <v>569294.79213128798</v>
      </c>
      <c r="R18" s="55">
        <v>104789.230336209</v>
      </c>
      <c r="S18" s="55">
        <v>14108.632184689</v>
      </c>
      <c r="T18" s="55">
        <v>174018.26597316301</v>
      </c>
      <c r="U18" s="55">
        <v>7811.9409713792102</v>
      </c>
      <c r="V18" s="55">
        <v>424487.47467669699</v>
      </c>
      <c r="W18" s="55">
        <v>10204.6638427004</v>
      </c>
      <c r="X18" s="55">
        <v>10869.3228811845</v>
      </c>
      <c r="Y18" s="55">
        <v>124300.882651088</v>
      </c>
      <c r="Z18" s="55">
        <v>501241.91274992801</v>
      </c>
      <c r="AA18" s="55">
        <v>124963.88315405</v>
      </c>
      <c r="AB18" s="55">
        <v>16580.568116655599</v>
      </c>
      <c r="AC18" s="55">
        <v>375.41192867780302</v>
      </c>
      <c r="AD18" s="55">
        <v>16573.3630853305</v>
      </c>
      <c r="AE18" s="55">
        <v>2238386.65971391</v>
      </c>
      <c r="AF18" s="55">
        <v>10825.856603877201</v>
      </c>
      <c r="AG18" s="55">
        <v>152802.03973739099</v>
      </c>
      <c r="AH18" s="55">
        <v>814.26545664270998</v>
      </c>
      <c r="AI18" s="55">
        <v>302859.26629002002</v>
      </c>
      <c r="AJ18" s="55">
        <v>71563.524587609994</v>
      </c>
      <c r="AK18" s="55">
        <v>15249.378604661501</v>
      </c>
      <c r="AL18" s="55">
        <v>178518.27735863501</v>
      </c>
      <c r="AM18" s="55">
        <v>1060731.91296312</v>
      </c>
      <c r="AN18" s="55">
        <v>2592341.7705153902</v>
      </c>
      <c r="AO18" s="55">
        <v>184325.82636609601</v>
      </c>
      <c r="AP18" s="55">
        <v>710406.21710605698</v>
      </c>
      <c r="AQ18" s="55">
        <v>163829848.56430799</v>
      </c>
      <c r="AR18" s="55">
        <v>24625.036891759799</v>
      </c>
      <c r="AS18" s="55">
        <v>264315.06789918197</v>
      </c>
      <c r="AT18" s="71">
        <v>244637807.55383801</v>
      </c>
      <c r="AU18" s="71">
        <v>16266750.555721899</v>
      </c>
      <c r="AV18" s="71">
        <v>47595953.712028898</v>
      </c>
      <c r="AW18" s="71">
        <v>63862704.267750703</v>
      </c>
      <c r="AX18" s="71">
        <v>0</v>
      </c>
      <c r="AY18" s="71">
        <v>63862704.267750703</v>
      </c>
      <c r="AZ18" s="71">
        <v>0</v>
      </c>
      <c r="BA18" s="71">
        <v>-336221.76102223003</v>
      </c>
      <c r="BB18" s="71">
        <v>-336221.76102223003</v>
      </c>
      <c r="BC18" s="71">
        <v>22931108.4346494</v>
      </c>
      <c r="BD18" s="85">
        <v>86457590.941377893</v>
      </c>
      <c r="BE18" s="71">
        <v>31039261.6919652</v>
      </c>
      <c r="BF18" s="72">
        <v>300056136.80325001</v>
      </c>
    </row>
    <row r="19" spans="1:58" ht="21.6" x14ac:dyDescent="0.25">
      <c r="A19" s="128"/>
      <c r="B19" s="53" t="s">
        <v>67</v>
      </c>
      <c r="C19" s="54" t="s">
        <v>17</v>
      </c>
      <c r="D19" s="55">
        <v>8674566.8560292199</v>
      </c>
      <c r="E19" s="55">
        <v>554790.31351451494</v>
      </c>
      <c r="F19" s="55">
        <v>68528.8864528181</v>
      </c>
      <c r="G19" s="55">
        <v>994753.47934881004</v>
      </c>
      <c r="H19" s="55">
        <v>744309.45223715203</v>
      </c>
      <c r="I19" s="55">
        <v>11841214.9098398</v>
      </c>
      <c r="J19" s="55">
        <v>10980215.0053935</v>
      </c>
      <c r="K19" s="55">
        <v>3914342.38141541</v>
      </c>
      <c r="L19" s="55">
        <v>18647978.8345959</v>
      </c>
      <c r="M19" s="55">
        <v>1430383.3507345901</v>
      </c>
      <c r="N19" s="55">
        <v>17479775.9892103</v>
      </c>
      <c r="O19" s="55">
        <v>1643105.08134056</v>
      </c>
      <c r="P19" s="55">
        <v>66951058.3381522</v>
      </c>
      <c r="Q19" s="55">
        <v>6557029.9445980303</v>
      </c>
      <c r="R19" s="55">
        <v>203901.473861746</v>
      </c>
      <c r="S19" s="55">
        <v>669836.43049463094</v>
      </c>
      <c r="T19" s="55">
        <v>5295045.1467806203</v>
      </c>
      <c r="U19" s="55">
        <v>7971170.3617942696</v>
      </c>
      <c r="V19" s="55">
        <v>9663695.9011367802</v>
      </c>
      <c r="W19" s="55">
        <v>23623523.381000299</v>
      </c>
      <c r="X19" s="55">
        <v>5314520.9821037799</v>
      </c>
      <c r="Y19" s="55">
        <v>26318074.354584899</v>
      </c>
      <c r="Z19" s="55">
        <v>20386766.106557</v>
      </c>
      <c r="AA19" s="55">
        <v>3231171.4593421798</v>
      </c>
      <c r="AB19" s="55">
        <v>33464.580271121398</v>
      </c>
      <c r="AC19" s="55">
        <v>49605.9371683766</v>
      </c>
      <c r="AD19" s="55">
        <v>698996.62604487</v>
      </c>
      <c r="AE19" s="55">
        <v>34699536.488755003</v>
      </c>
      <c r="AF19" s="55">
        <v>2792063.86942768</v>
      </c>
      <c r="AG19" s="55">
        <v>11281845.091144601</v>
      </c>
      <c r="AH19" s="55">
        <v>1105133.7167942501</v>
      </c>
      <c r="AI19" s="55">
        <v>1435216.1186581</v>
      </c>
      <c r="AJ19" s="55">
        <v>84412.141204118801</v>
      </c>
      <c r="AK19" s="55">
        <v>381127.87814054202</v>
      </c>
      <c r="AL19" s="55">
        <v>3235527.5466587399</v>
      </c>
      <c r="AM19" s="55">
        <v>1079352.1002815899</v>
      </c>
      <c r="AN19" s="55">
        <v>1638385.26975062</v>
      </c>
      <c r="AO19" s="55">
        <v>2721409.7469974798</v>
      </c>
      <c r="AP19" s="55">
        <v>56410.504601542401</v>
      </c>
      <c r="AQ19" s="55">
        <v>542008.48610851797</v>
      </c>
      <c r="AR19" s="55">
        <v>259882.12780501699</v>
      </c>
      <c r="AS19" s="55">
        <v>2071130.0449797099</v>
      </c>
      <c r="AT19" s="55">
        <v>313410924.31389499</v>
      </c>
      <c r="AU19" s="55">
        <v>1618615.7769835501</v>
      </c>
      <c r="AV19" s="55">
        <v>4802149.2593036797</v>
      </c>
      <c r="AW19" s="55">
        <v>6420765.0362872304</v>
      </c>
      <c r="AX19" s="55">
        <v>0</v>
      </c>
      <c r="AY19" s="55">
        <v>6420765.0362872304</v>
      </c>
      <c r="AZ19" s="55">
        <v>0</v>
      </c>
      <c r="BA19" s="55">
        <v>-1905835.73546151</v>
      </c>
      <c r="BB19" s="55">
        <v>-1905835.73546151</v>
      </c>
      <c r="BC19" s="55">
        <v>57120608.633020498</v>
      </c>
      <c r="BD19" s="55">
        <v>61635537.933846198</v>
      </c>
      <c r="BE19" s="55">
        <v>16854882.888343401</v>
      </c>
      <c r="BF19" s="55">
        <v>358191579.35939801</v>
      </c>
    </row>
    <row r="20" spans="1:58" ht="21.6" x14ac:dyDescent="0.25">
      <c r="A20" s="128"/>
      <c r="B20" s="53" t="s">
        <v>68</v>
      </c>
      <c r="C20" s="54" t="s">
        <v>214</v>
      </c>
      <c r="D20" s="55">
        <v>527672.17759183003</v>
      </c>
      <c r="E20" s="55">
        <v>651313.19079708494</v>
      </c>
      <c r="F20" s="55">
        <v>44591.483799540998</v>
      </c>
      <c r="G20" s="55">
        <v>1669898.4257018401</v>
      </c>
      <c r="H20" s="55">
        <v>621832.46480163594</v>
      </c>
      <c r="I20" s="55">
        <v>4888099.9351435602</v>
      </c>
      <c r="J20" s="55">
        <v>571224.96578001301</v>
      </c>
      <c r="K20" s="55">
        <v>1921176.1345617401</v>
      </c>
      <c r="L20" s="55">
        <v>2831024.8289935598</v>
      </c>
      <c r="M20" s="55">
        <v>2724987.2257891898</v>
      </c>
      <c r="N20" s="55">
        <v>4189217.0565114799</v>
      </c>
      <c r="O20" s="55">
        <v>2706366.3491932498</v>
      </c>
      <c r="P20" s="55">
        <v>1610249.5580941399</v>
      </c>
      <c r="Q20" s="55">
        <v>139143632.92928699</v>
      </c>
      <c r="R20" s="55">
        <v>9435905.6832035594</v>
      </c>
      <c r="S20" s="55">
        <v>5914732.9799443996</v>
      </c>
      <c r="T20" s="55">
        <v>6783958.8157480899</v>
      </c>
      <c r="U20" s="55">
        <v>2873744.3313156501</v>
      </c>
      <c r="V20" s="55">
        <v>4066510.9793166602</v>
      </c>
      <c r="W20" s="55">
        <v>9953436.8281746097</v>
      </c>
      <c r="X20" s="55">
        <v>671083.25344635604</v>
      </c>
      <c r="Y20" s="55">
        <v>19235014.3764924</v>
      </c>
      <c r="Z20" s="55">
        <v>18711839.314458799</v>
      </c>
      <c r="AA20" s="55">
        <v>485772.81758116197</v>
      </c>
      <c r="AB20" s="55">
        <v>1991624.45078551</v>
      </c>
      <c r="AC20" s="55">
        <v>7340.5128802151503</v>
      </c>
      <c r="AD20" s="55">
        <v>22846.396904826601</v>
      </c>
      <c r="AE20" s="55">
        <v>454627661.34888202</v>
      </c>
      <c r="AF20" s="55">
        <v>241247.96405304101</v>
      </c>
      <c r="AG20" s="55">
        <v>461491.74080067402</v>
      </c>
      <c r="AH20" s="55">
        <v>358067.29957438703</v>
      </c>
      <c r="AI20" s="55">
        <v>91296.394104551306</v>
      </c>
      <c r="AJ20" s="55">
        <v>23697.817957801999</v>
      </c>
      <c r="AK20" s="55">
        <v>32694.029898242399</v>
      </c>
      <c r="AL20" s="55">
        <v>260519.45747035</v>
      </c>
      <c r="AM20" s="55">
        <v>2268609.7974372599</v>
      </c>
      <c r="AN20" s="55">
        <v>198547.940541488</v>
      </c>
      <c r="AO20" s="55">
        <v>95799.755972606697</v>
      </c>
      <c r="AP20" s="55">
        <v>1130620.33187729</v>
      </c>
      <c r="AQ20" s="55">
        <v>325720.01134953898</v>
      </c>
      <c r="AR20" s="55">
        <v>4789.9804853633796</v>
      </c>
      <c r="AS20" s="55">
        <v>832366.780787269</v>
      </c>
      <c r="AT20" s="55">
        <v>703287051.98292804</v>
      </c>
      <c r="AU20" s="55">
        <v>1560823.70183441</v>
      </c>
      <c r="AV20" s="55">
        <v>3925831.46539935</v>
      </c>
      <c r="AW20" s="55">
        <v>5486655.1672337595</v>
      </c>
      <c r="AX20" s="55">
        <v>0</v>
      </c>
      <c r="AY20" s="55">
        <v>5486655.1672337595</v>
      </c>
      <c r="AZ20" s="55">
        <v>0</v>
      </c>
      <c r="BA20" s="55">
        <v>2140696.2500745901</v>
      </c>
      <c r="BB20" s="55">
        <v>2140696.2500745901</v>
      </c>
      <c r="BC20" s="55">
        <v>34554204.179467797</v>
      </c>
      <c r="BD20" s="55">
        <v>42181555.596776202</v>
      </c>
      <c r="BE20" s="55">
        <v>12436721.0287978</v>
      </c>
      <c r="BF20" s="55">
        <v>733031886.55090594</v>
      </c>
    </row>
    <row r="21" spans="1:58" ht="32.4" x14ac:dyDescent="0.25">
      <c r="A21" s="128"/>
      <c r="B21" s="53" t="s">
        <v>70</v>
      </c>
      <c r="C21" s="54" t="s">
        <v>20</v>
      </c>
      <c r="D21" s="55">
        <v>231511.56821559201</v>
      </c>
      <c r="E21" s="55">
        <v>5985486.0851936499</v>
      </c>
      <c r="F21" s="55">
        <v>1118312.4937215501</v>
      </c>
      <c r="G21" s="55">
        <v>720856.19657338597</v>
      </c>
      <c r="H21" s="55">
        <v>1121508.83883353</v>
      </c>
      <c r="I21" s="55">
        <v>272337.82113822002</v>
      </c>
      <c r="J21" s="55">
        <v>382742.21567873697</v>
      </c>
      <c r="K21" s="55">
        <v>2368084.2043395499</v>
      </c>
      <c r="L21" s="55">
        <v>4485716.3425042396</v>
      </c>
      <c r="M21" s="55">
        <v>198223.33922962699</v>
      </c>
      <c r="N21" s="55">
        <v>718206.53295077302</v>
      </c>
      <c r="O21" s="55">
        <v>44680.393718689003</v>
      </c>
      <c r="P21" s="55">
        <v>1465016.6010706199</v>
      </c>
      <c r="Q21" s="55">
        <v>13933004.787727</v>
      </c>
      <c r="R21" s="55">
        <v>128395223.97115999</v>
      </c>
      <c r="S21" s="55">
        <v>2760821.3172431001</v>
      </c>
      <c r="T21" s="55">
        <v>109844585.75668301</v>
      </c>
      <c r="U21" s="55">
        <v>45037806.531296797</v>
      </c>
      <c r="V21" s="55">
        <v>24422112.739553999</v>
      </c>
      <c r="W21" s="55">
        <v>24330508.557217401</v>
      </c>
      <c r="X21" s="55">
        <v>7720732.1174316201</v>
      </c>
      <c r="Y21" s="55">
        <v>18090718.1437351</v>
      </c>
      <c r="Z21" s="55">
        <v>4833386.6625495004</v>
      </c>
      <c r="AA21" s="55">
        <v>1307683.8663037501</v>
      </c>
      <c r="AB21" s="55">
        <v>256746.456367951</v>
      </c>
      <c r="AC21" s="55">
        <v>114830.235785861</v>
      </c>
      <c r="AD21" s="55">
        <v>71861.890675810195</v>
      </c>
      <c r="AE21" s="55">
        <v>278702659.949081</v>
      </c>
      <c r="AF21" s="55">
        <v>8351.0433915085505</v>
      </c>
      <c r="AG21" s="55">
        <v>604608.95717440697</v>
      </c>
      <c r="AH21" s="55">
        <v>1823.5000182725</v>
      </c>
      <c r="AI21" s="55">
        <v>6206.6617905018202</v>
      </c>
      <c r="AJ21" s="55">
        <v>11.358825536026099</v>
      </c>
      <c r="AK21" s="55">
        <v>1871.3278520020799</v>
      </c>
      <c r="AL21" s="55">
        <v>1198.28643644775</v>
      </c>
      <c r="AM21" s="55">
        <v>177423.31501094499</v>
      </c>
      <c r="AN21" s="55">
        <v>331864.869519912</v>
      </c>
      <c r="AO21" s="55">
        <v>8411.9484486656202</v>
      </c>
      <c r="AP21" s="55">
        <v>26880.872074540701</v>
      </c>
      <c r="AQ21" s="55">
        <v>329.00023493489903</v>
      </c>
      <c r="AR21" s="55">
        <v>828.99301499868795</v>
      </c>
      <c r="AS21" s="55">
        <v>140681.94973206901</v>
      </c>
      <c r="AT21" s="55">
        <v>677877773.49516499</v>
      </c>
      <c r="AU21" s="55">
        <v>0</v>
      </c>
      <c r="AV21" s="55">
        <v>0</v>
      </c>
      <c r="AW21" s="55">
        <v>0</v>
      </c>
      <c r="AX21" s="55">
        <v>0</v>
      </c>
      <c r="AY21" s="55">
        <v>0</v>
      </c>
      <c r="AZ21" s="55">
        <v>0</v>
      </c>
      <c r="BA21" s="55">
        <v>4405504.3332162499</v>
      </c>
      <c r="BB21" s="55">
        <v>4405504.3332162499</v>
      </c>
      <c r="BC21" s="55">
        <v>27767871.756153099</v>
      </c>
      <c r="BD21" s="55">
        <v>32173376.089369401</v>
      </c>
      <c r="BE21" s="55">
        <v>26541208.673854899</v>
      </c>
      <c r="BF21" s="55">
        <v>683509940.91067898</v>
      </c>
    </row>
    <row r="22" spans="1:58" ht="32.4" x14ac:dyDescent="0.25">
      <c r="A22" s="128"/>
      <c r="B22" s="53" t="s">
        <v>71</v>
      </c>
      <c r="C22" s="54" t="s">
        <v>21</v>
      </c>
      <c r="D22" s="55">
        <v>8900.6755486550392</v>
      </c>
      <c r="E22" s="55">
        <v>15416.107396695001</v>
      </c>
      <c r="F22" s="55">
        <v>227.82763401391099</v>
      </c>
      <c r="G22" s="55">
        <v>443804.90291369101</v>
      </c>
      <c r="H22" s="55">
        <v>166228.30901152801</v>
      </c>
      <c r="I22" s="55">
        <v>109160.627027975</v>
      </c>
      <c r="J22" s="55">
        <v>220462.383442483</v>
      </c>
      <c r="K22" s="55">
        <v>906287.23217680596</v>
      </c>
      <c r="L22" s="55">
        <v>19977459.015090998</v>
      </c>
      <c r="M22" s="55">
        <v>15125.422401429299</v>
      </c>
      <c r="N22" s="55">
        <v>8623449.7674129307</v>
      </c>
      <c r="O22" s="55">
        <v>119933.47570344299</v>
      </c>
      <c r="P22" s="55">
        <v>2202103.6067858599</v>
      </c>
      <c r="Q22" s="55">
        <v>7233885.0167974196</v>
      </c>
      <c r="R22" s="55">
        <v>8479844.5970187299</v>
      </c>
      <c r="S22" s="55">
        <v>196601311.08714399</v>
      </c>
      <c r="T22" s="55">
        <v>48942799.232145399</v>
      </c>
      <c r="U22" s="55">
        <v>37701392.028613701</v>
      </c>
      <c r="V22" s="55">
        <v>12717404.924781101</v>
      </c>
      <c r="W22" s="55">
        <v>34619046.993302003</v>
      </c>
      <c r="X22" s="55">
        <v>7591588.5535006896</v>
      </c>
      <c r="Y22" s="55">
        <v>128393623.886509</v>
      </c>
      <c r="Z22" s="55">
        <v>31542514.349654399</v>
      </c>
      <c r="AA22" s="55">
        <v>5247794.0737348702</v>
      </c>
      <c r="AB22" s="55">
        <v>82372.637321982795</v>
      </c>
      <c r="AC22" s="55">
        <v>775.80563588545499</v>
      </c>
      <c r="AD22" s="55">
        <v>5801.6448365556298</v>
      </c>
      <c r="AE22" s="55">
        <v>10715656.0886856</v>
      </c>
      <c r="AF22" s="55">
        <v>23345.672744347001</v>
      </c>
      <c r="AG22" s="55">
        <v>69400.541344120502</v>
      </c>
      <c r="AH22" s="55">
        <v>3687.67374083509</v>
      </c>
      <c r="AI22" s="55">
        <v>0</v>
      </c>
      <c r="AJ22" s="55">
        <v>0</v>
      </c>
      <c r="AK22" s="55">
        <v>0</v>
      </c>
      <c r="AL22" s="55">
        <v>1660.03780915729</v>
      </c>
      <c r="AM22" s="55">
        <v>173035.62437909801</v>
      </c>
      <c r="AN22" s="55">
        <v>92358.918739074899</v>
      </c>
      <c r="AO22" s="55">
        <v>146370.74051122699</v>
      </c>
      <c r="AP22" s="55">
        <v>45405.512128530303</v>
      </c>
      <c r="AQ22" s="55">
        <v>1123.5706396457699</v>
      </c>
      <c r="AR22" s="55">
        <v>334.00906927717398</v>
      </c>
      <c r="AS22" s="55">
        <v>5.3244188152449801E-3</v>
      </c>
      <c r="AT22" s="55">
        <v>562334805.34648097</v>
      </c>
      <c r="AU22" s="55">
        <v>0</v>
      </c>
      <c r="AV22" s="55">
        <v>0</v>
      </c>
      <c r="AW22" s="55">
        <v>0</v>
      </c>
      <c r="AX22" s="55">
        <v>0</v>
      </c>
      <c r="AY22" s="55">
        <v>0</v>
      </c>
      <c r="AZ22" s="55">
        <v>0</v>
      </c>
      <c r="BA22" s="55">
        <v>-957892.18613737996</v>
      </c>
      <c r="BB22" s="55">
        <v>-957892.18613737996</v>
      </c>
      <c r="BC22" s="55">
        <v>17965733.8081997</v>
      </c>
      <c r="BD22" s="55">
        <v>17007841.6220624</v>
      </c>
      <c r="BE22" s="55">
        <v>54672624.212560698</v>
      </c>
      <c r="BF22" s="55">
        <v>524670022.755983</v>
      </c>
    </row>
    <row r="23" spans="1:58" x14ac:dyDescent="0.25">
      <c r="A23" s="128"/>
      <c r="B23" s="53" t="s">
        <v>72</v>
      </c>
      <c r="C23" s="54" t="s">
        <v>22</v>
      </c>
      <c r="D23" s="55">
        <v>823239.11904421495</v>
      </c>
      <c r="E23" s="55">
        <v>6843894.5905335899</v>
      </c>
      <c r="F23" s="55">
        <v>47481.494058685901</v>
      </c>
      <c r="G23" s="55">
        <v>4175081.2072523101</v>
      </c>
      <c r="H23" s="55">
        <v>587075.01477385801</v>
      </c>
      <c r="I23" s="55">
        <v>3523907.1059125401</v>
      </c>
      <c r="J23" s="55">
        <v>2164374.0390686402</v>
      </c>
      <c r="K23" s="55">
        <v>6160907.4104285799</v>
      </c>
      <c r="L23" s="55">
        <v>9762688.7829015497</v>
      </c>
      <c r="M23" s="55">
        <v>367056.84101174597</v>
      </c>
      <c r="N23" s="55">
        <v>3226326.0254301601</v>
      </c>
      <c r="O23" s="55">
        <v>1210054.81549578</v>
      </c>
      <c r="P23" s="55">
        <v>4964060.1108945403</v>
      </c>
      <c r="Q23" s="55">
        <v>16927420.3252392</v>
      </c>
      <c r="R23" s="55">
        <v>1218101.9140089599</v>
      </c>
      <c r="S23" s="55">
        <v>1056789.4499055899</v>
      </c>
      <c r="T23" s="55">
        <v>69726613.019667506</v>
      </c>
      <c r="U23" s="55">
        <v>27665192.2268015</v>
      </c>
      <c r="V23" s="55">
        <v>16436651.429209201</v>
      </c>
      <c r="W23" s="55">
        <v>14866905.531682801</v>
      </c>
      <c r="X23" s="55">
        <v>5355333.5250885896</v>
      </c>
      <c r="Y23" s="55">
        <v>25722146.776101898</v>
      </c>
      <c r="Z23" s="55">
        <v>16994492.5820494</v>
      </c>
      <c r="AA23" s="55">
        <v>2549699.0505310101</v>
      </c>
      <c r="AB23" s="55">
        <v>275728.82485353999</v>
      </c>
      <c r="AC23" s="55">
        <v>36839.2092825543</v>
      </c>
      <c r="AD23" s="55">
        <v>843476.84553949302</v>
      </c>
      <c r="AE23" s="55">
        <v>132161439.87616301</v>
      </c>
      <c r="AF23" s="55">
        <v>290667.52798172802</v>
      </c>
      <c r="AG23" s="55">
        <v>3135118.8234383902</v>
      </c>
      <c r="AH23" s="55">
        <v>384818.74600209598</v>
      </c>
      <c r="AI23" s="55">
        <v>599301.04505910794</v>
      </c>
      <c r="AJ23" s="55">
        <v>86808.766644974094</v>
      </c>
      <c r="AK23" s="55">
        <v>1196639.3719067799</v>
      </c>
      <c r="AL23" s="55">
        <v>25113883.567990702</v>
      </c>
      <c r="AM23" s="55">
        <v>5682565.0823589396</v>
      </c>
      <c r="AN23" s="55">
        <v>13354998.645677401</v>
      </c>
      <c r="AO23" s="55">
        <v>3302520.2984277802</v>
      </c>
      <c r="AP23" s="55">
        <v>758921.69106769597</v>
      </c>
      <c r="AQ23" s="55">
        <v>53758.700924684599</v>
      </c>
      <c r="AR23" s="55">
        <v>152670.465164302</v>
      </c>
      <c r="AS23" s="55">
        <v>2122995.8596761199</v>
      </c>
      <c r="AT23" s="71">
        <v>425767738.32482201</v>
      </c>
      <c r="AU23" s="71">
        <v>665462.94812565099</v>
      </c>
      <c r="AV23" s="71">
        <v>4215024.1264948603</v>
      </c>
      <c r="AW23" s="71">
        <v>4880487.0746205105</v>
      </c>
      <c r="AX23" s="71">
        <v>0</v>
      </c>
      <c r="AY23" s="71">
        <v>4880487.0746205105</v>
      </c>
      <c r="AZ23" s="71">
        <v>25162931.8981722</v>
      </c>
      <c r="BA23" s="71">
        <v>9509406.9148277901</v>
      </c>
      <c r="BB23" s="71">
        <v>34672338.813000001</v>
      </c>
      <c r="BC23" s="71">
        <v>62348551.232276402</v>
      </c>
      <c r="BD23" s="85">
        <v>101901377.11989699</v>
      </c>
      <c r="BE23" s="71">
        <v>8187441.3282561703</v>
      </c>
      <c r="BF23" s="72">
        <v>519481674.11646301</v>
      </c>
    </row>
    <row r="24" spans="1:58" x14ac:dyDescent="0.25">
      <c r="A24" s="128"/>
      <c r="B24" s="53" t="s">
        <v>75</v>
      </c>
      <c r="C24" s="54" t="s">
        <v>25</v>
      </c>
      <c r="D24" s="55">
        <v>806226.18427011406</v>
      </c>
      <c r="E24" s="55">
        <v>2843363.00046338</v>
      </c>
      <c r="F24" s="55">
        <v>696909.96340312297</v>
      </c>
      <c r="G24" s="55">
        <v>2538535.2640932701</v>
      </c>
      <c r="H24" s="55">
        <v>114281.127685603</v>
      </c>
      <c r="I24" s="55">
        <v>1454621.35317593</v>
      </c>
      <c r="J24" s="55">
        <v>1829431.6301696899</v>
      </c>
      <c r="K24" s="55">
        <v>1278520.9770092999</v>
      </c>
      <c r="L24" s="55">
        <v>2428023.7047939198</v>
      </c>
      <c r="M24" s="55">
        <v>2442105.7796665598</v>
      </c>
      <c r="N24" s="55">
        <v>4521088.9240815099</v>
      </c>
      <c r="O24" s="55">
        <v>549583.609396482</v>
      </c>
      <c r="P24" s="55">
        <v>1114986.9222331999</v>
      </c>
      <c r="Q24" s="55">
        <v>11173708.1146356</v>
      </c>
      <c r="R24" s="55">
        <v>7711312.9210711699</v>
      </c>
      <c r="S24" s="55">
        <v>949139.59365227295</v>
      </c>
      <c r="T24" s="55">
        <v>13379131.6650398</v>
      </c>
      <c r="U24" s="55">
        <v>113487863.806767</v>
      </c>
      <c r="V24" s="55">
        <v>35452640.1347683</v>
      </c>
      <c r="W24" s="55">
        <v>25719680.581695199</v>
      </c>
      <c r="X24" s="55">
        <v>11260438.380139099</v>
      </c>
      <c r="Y24" s="55">
        <v>24040251.918908302</v>
      </c>
      <c r="Z24" s="55">
        <v>9038625.3852601498</v>
      </c>
      <c r="AA24" s="55">
        <v>2159487.8262955402</v>
      </c>
      <c r="AB24" s="55">
        <v>2748010.6879523299</v>
      </c>
      <c r="AC24" s="55">
        <v>160562.279466362</v>
      </c>
      <c r="AD24" s="55">
        <v>150061.209496772</v>
      </c>
      <c r="AE24" s="55">
        <v>21074962.820468999</v>
      </c>
      <c r="AF24" s="55">
        <v>243034.79239735601</v>
      </c>
      <c r="AG24" s="55">
        <v>10091175.5281896</v>
      </c>
      <c r="AH24" s="55">
        <v>297627.994707292</v>
      </c>
      <c r="AI24" s="55">
        <v>403328.36474002502</v>
      </c>
      <c r="AJ24" s="55">
        <v>644747.67425622803</v>
      </c>
      <c r="AK24" s="55">
        <v>308267.21312674601</v>
      </c>
      <c r="AL24" s="55">
        <v>296883.48786970699</v>
      </c>
      <c r="AM24" s="55">
        <v>216508.4433095</v>
      </c>
      <c r="AN24" s="55">
        <v>721127.50449931505</v>
      </c>
      <c r="AO24" s="55">
        <v>131078.39591309801</v>
      </c>
      <c r="AP24" s="55">
        <v>649463.41106906906</v>
      </c>
      <c r="AQ24" s="55">
        <v>107743.552579729</v>
      </c>
      <c r="AR24" s="55">
        <v>51761.111660537899</v>
      </c>
      <c r="AS24" s="55">
        <v>375857.54939213098</v>
      </c>
      <c r="AT24" s="55">
        <v>314383639.81276</v>
      </c>
      <c r="AU24" s="55">
        <v>376403.35212190199</v>
      </c>
      <c r="AV24" s="55">
        <v>1228363.5907578301</v>
      </c>
      <c r="AW24" s="55">
        <v>1604766.9428797399</v>
      </c>
      <c r="AX24" s="55">
        <v>0</v>
      </c>
      <c r="AY24" s="55">
        <v>1604766.9428797399</v>
      </c>
      <c r="AZ24" s="55">
        <v>170362145.94569999</v>
      </c>
      <c r="BA24" s="55">
        <v>9413554.5502387397</v>
      </c>
      <c r="BB24" s="55">
        <v>179775700.495938</v>
      </c>
      <c r="BC24" s="55">
        <v>92569318.362554893</v>
      </c>
      <c r="BD24" s="55">
        <v>273949785.801373</v>
      </c>
      <c r="BE24" s="55">
        <v>55422439.185358502</v>
      </c>
      <c r="BF24" s="55">
        <v>532910986.428774</v>
      </c>
    </row>
    <row r="25" spans="1:58" x14ac:dyDescent="0.25">
      <c r="A25" s="128"/>
      <c r="B25" s="53" t="s">
        <v>69</v>
      </c>
      <c r="C25" s="54" t="s">
        <v>215</v>
      </c>
      <c r="D25" s="55">
        <v>9442062.9280193709</v>
      </c>
      <c r="E25" s="55">
        <v>4363149.3368060002</v>
      </c>
      <c r="F25" s="55">
        <v>2865981.2518185498</v>
      </c>
      <c r="G25" s="55">
        <v>5453583.9108511005</v>
      </c>
      <c r="H25" s="55">
        <v>1809891.30244196</v>
      </c>
      <c r="I25" s="55">
        <v>571460.14655284001</v>
      </c>
      <c r="J25" s="55">
        <v>1222125.93598965</v>
      </c>
      <c r="K25" s="55">
        <v>807146.352519896</v>
      </c>
      <c r="L25" s="55">
        <v>2812881.9783396502</v>
      </c>
      <c r="M25" s="55">
        <v>833887.88345839898</v>
      </c>
      <c r="N25" s="55">
        <v>3285331.7057016301</v>
      </c>
      <c r="O25" s="55">
        <v>235061.27541503901</v>
      </c>
      <c r="P25" s="55">
        <v>1275752.54841213</v>
      </c>
      <c r="Q25" s="55">
        <v>3308438.8618798601</v>
      </c>
      <c r="R25" s="55">
        <v>5251960.0150080603</v>
      </c>
      <c r="S25" s="55">
        <v>3482298.16140767</v>
      </c>
      <c r="T25" s="55">
        <v>3764377.5885242298</v>
      </c>
      <c r="U25" s="55">
        <v>4434748.5168989599</v>
      </c>
      <c r="V25" s="55">
        <v>48823626.045814</v>
      </c>
      <c r="W25" s="55">
        <v>4354380.2918230398</v>
      </c>
      <c r="X25" s="55">
        <v>1023610.76363881</v>
      </c>
      <c r="Y25" s="55">
        <v>4191944.0242041</v>
      </c>
      <c r="Z25" s="55">
        <v>21202968.585347101</v>
      </c>
      <c r="AA25" s="55">
        <v>693670.45465858595</v>
      </c>
      <c r="AB25" s="55">
        <v>179779.53739239901</v>
      </c>
      <c r="AC25" s="55">
        <v>8470.1489079702405</v>
      </c>
      <c r="AD25" s="55">
        <v>108797.71737827901</v>
      </c>
      <c r="AE25" s="55">
        <v>17847619.676196799</v>
      </c>
      <c r="AF25" s="55">
        <v>34879.999182738698</v>
      </c>
      <c r="AG25" s="55">
        <v>1382805.2328975999</v>
      </c>
      <c r="AH25" s="55">
        <v>142728.16216783799</v>
      </c>
      <c r="AI25" s="55">
        <v>102271.22397752901</v>
      </c>
      <c r="AJ25" s="55">
        <v>923602.28535310796</v>
      </c>
      <c r="AK25" s="55">
        <v>8292.9333309210906</v>
      </c>
      <c r="AL25" s="55">
        <v>523390.39074432303</v>
      </c>
      <c r="AM25" s="55">
        <v>39920.178304627298</v>
      </c>
      <c r="AN25" s="55">
        <v>160663.045571544</v>
      </c>
      <c r="AO25" s="55">
        <v>160146.609952256</v>
      </c>
      <c r="AP25" s="55">
        <v>133533.26709046101</v>
      </c>
      <c r="AQ25" s="55">
        <v>16681231.4471724</v>
      </c>
      <c r="AR25" s="55">
        <v>11275.3032369504</v>
      </c>
      <c r="AS25" s="55">
        <v>264818.82299359998</v>
      </c>
      <c r="AT25" s="55">
        <v>173417419.49486199</v>
      </c>
      <c r="AU25" s="55">
        <v>595579.78670823295</v>
      </c>
      <c r="AV25" s="55">
        <v>3720729.2812877698</v>
      </c>
      <c r="AW25" s="55">
        <v>4316309.0679959999</v>
      </c>
      <c r="AX25" s="55">
        <v>0</v>
      </c>
      <c r="AY25" s="55">
        <v>4316309.0679959999</v>
      </c>
      <c r="AZ25" s="55">
        <v>204929596.99676499</v>
      </c>
      <c r="BA25" s="55">
        <v>4556075.6479765102</v>
      </c>
      <c r="BB25" s="55">
        <v>209485672.644741</v>
      </c>
      <c r="BC25" s="55">
        <v>59350299.402435601</v>
      </c>
      <c r="BD25" s="55">
        <v>273152281.11517298</v>
      </c>
      <c r="BE25" s="55">
        <v>59218616.805418603</v>
      </c>
      <c r="BF25" s="55">
        <v>387351083.80461699</v>
      </c>
    </row>
    <row r="26" spans="1:58" x14ac:dyDescent="0.25">
      <c r="A26" s="128"/>
      <c r="B26" s="53" t="s">
        <v>76</v>
      </c>
      <c r="C26" s="54" t="s">
        <v>26</v>
      </c>
      <c r="D26" s="55">
        <v>1408919.4717485199</v>
      </c>
      <c r="E26" s="55">
        <v>198746.70320897701</v>
      </c>
      <c r="F26" s="55">
        <v>17829.499566618098</v>
      </c>
      <c r="G26" s="55">
        <v>1022626.22236667</v>
      </c>
      <c r="H26" s="55">
        <v>150879.72892678401</v>
      </c>
      <c r="I26" s="55">
        <v>174622.0626038</v>
      </c>
      <c r="J26" s="55">
        <v>253639.82760961601</v>
      </c>
      <c r="K26" s="55">
        <v>118989.438174631</v>
      </c>
      <c r="L26" s="55">
        <v>309975.01103406999</v>
      </c>
      <c r="M26" s="55">
        <v>11160.7151198479</v>
      </c>
      <c r="N26" s="55">
        <v>366530.84219789697</v>
      </c>
      <c r="O26" s="55">
        <v>35280.411469775303</v>
      </c>
      <c r="P26" s="55">
        <v>161696.96047242501</v>
      </c>
      <c r="Q26" s="55">
        <v>2370746.5846731002</v>
      </c>
      <c r="R26" s="55">
        <v>187208.86335535001</v>
      </c>
      <c r="S26" s="55">
        <v>60658.885042088303</v>
      </c>
      <c r="T26" s="55">
        <v>593836.08689967403</v>
      </c>
      <c r="U26" s="55">
        <v>7563616.9372198097</v>
      </c>
      <c r="V26" s="55">
        <v>8848095.2821246609</v>
      </c>
      <c r="W26" s="55">
        <v>237540166.84993601</v>
      </c>
      <c r="X26" s="55">
        <v>988820.12635228306</v>
      </c>
      <c r="Y26" s="55">
        <v>1344462.3825576301</v>
      </c>
      <c r="Z26" s="55">
        <v>694918.87258071196</v>
      </c>
      <c r="AA26" s="55">
        <v>291795.62766576197</v>
      </c>
      <c r="AB26" s="55">
        <v>58968.430252993501</v>
      </c>
      <c r="AC26" s="55">
        <v>10597.370534223301</v>
      </c>
      <c r="AD26" s="55">
        <v>10282.349596240199</v>
      </c>
      <c r="AE26" s="55">
        <v>1111563.2263322801</v>
      </c>
      <c r="AF26" s="55">
        <v>118840.414417673</v>
      </c>
      <c r="AG26" s="55">
        <v>70012316.491765201</v>
      </c>
      <c r="AH26" s="55">
        <v>471817.61011926399</v>
      </c>
      <c r="AI26" s="55">
        <v>259987.74788360999</v>
      </c>
      <c r="AJ26" s="55">
        <v>289071.47100823099</v>
      </c>
      <c r="AK26" s="55">
        <v>28341.215566360999</v>
      </c>
      <c r="AL26" s="55">
        <v>32334152.313072499</v>
      </c>
      <c r="AM26" s="55">
        <v>356407.83469469397</v>
      </c>
      <c r="AN26" s="55">
        <v>3427487.6863864302</v>
      </c>
      <c r="AO26" s="55">
        <v>8061811.8950887304</v>
      </c>
      <c r="AP26" s="55">
        <v>115094.30247296199</v>
      </c>
      <c r="AQ26" s="55">
        <v>44551.655223810303</v>
      </c>
      <c r="AR26" s="55">
        <v>91094.949710739296</v>
      </c>
      <c r="AS26" s="55">
        <v>4080096.6803558799</v>
      </c>
      <c r="AT26" s="55">
        <v>385478717.59921402</v>
      </c>
      <c r="AU26" s="55">
        <v>21454358.9824</v>
      </c>
      <c r="AV26" s="55">
        <v>126837276.97145499</v>
      </c>
      <c r="AW26" s="55">
        <v>148291635.95385399</v>
      </c>
      <c r="AX26" s="55">
        <v>0</v>
      </c>
      <c r="AY26" s="55">
        <v>148291635.95385399</v>
      </c>
      <c r="AZ26" s="55">
        <v>176416405.60986</v>
      </c>
      <c r="BA26" s="55">
        <v>16277173.520149</v>
      </c>
      <c r="BB26" s="55">
        <v>192693579.130009</v>
      </c>
      <c r="BC26" s="55">
        <v>31524411.8740067</v>
      </c>
      <c r="BD26" s="55">
        <v>372509626.95787001</v>
      </c>
      <c r="BE26" s="55">
        <v>51530883.893830098</v>
      </c>
      <c r="BF26" s="55">
        <v>706457460.66325498</v>
      </c>
    </row>
    <row r="27" spans="1:58" ht="43.2" x14ac:dyDescent="0.25">
      <c r="A27" s="128"/>
      <c r="B27" s="53" t="s">
        <v>77</v>
      </c>
      <c r="C27" s="54" t="s">
        <v>27</v>
      </c>
      <c r="D27" s="55">
        <v>1633653.65806691</v>
      </c>
      <c r="E27" s="55">
        <v>137377.205097078</v>
      </c>
      <c r="F27" s="55">
        <v>3299.56189290866</v>
      </c>
      <c r="G27" s="55">
        <v>67835.345997617202</v>
      </c>
      <c r="H27" s="55">
        <v>4779.0758828880298</v>
      </c>
      <c r="I27" s="55">
        <v>63498.750357734301</v>
      </c>
      <c r="J27" s="55">
        <v>69505.485293589401</v>
      </c>
      <c r="K27" s="55">
        <v>69778.941010616894</v>
      </c>
      <c r="L27" s="55">
        <v>108012.372758994</v>
      </c>
      <c r="M27" s="55">
        <v>42843.272878725897</v>
      </c>
      <c r="N27" s="55">
        <v>152643.88033177101</v>
      </c>
      <c r="O27" s="55">
        <v>41875.393603671699</v>
      </c>
      <c r="P27" s="55">
        <v>24313.253380856</v>
      </c>
      <c r="Q27" s="55">
        <v>62621.1042461217</v>
      </c>
      <c r="R27" s="55">
        <v>37696.937032711998</v>
      </c>
      <c r="S27" s="55">
        <v>1730.54803290979</v>
      </c>
      <c r="T27" s="55">
        <v>65866.299807706106</v>
      </c>
      <c r="U27" s="55">
        <v>2010934.9536918199</v>
      </c>
      <c r="V27" s="55">
        <v>1579977.0574509599</v>
      </c>
      <c r="W27" s="55">
        <v>566701.38138896006</v>
      </c>
      <c r="X27" s="55">
        <v>26429459.433544502</v>
      </c>
      <c r="Y27" s="55">
        <v>415016.33223081799</v>
      </c>
      <c r="Z27" s="55">
        <v>293311.21236644202</v>
      </c>
      <c r="AA27" s="55">
        <v>2270996.1002662899</v>
      </c>
      <c r="AB27" s="55">
        <v>2147.5666799442502</v>
      </c>
      <c r="AC27" s="55">
        <v>2909.1458383651898</v>
      </c>
      <c r="AD27" s="55">
        <v>3349.1709272210301</v>
      </c>
      <c r="AE27" s="55">
        <v>1342301.0627207099</v>
      </c>
      <c r="AF27" s="55">
        <v>33836.107716070197</v>
      </c>
      <c r="AG27" s="55">
        <v>17589480.278308801</v>
      </c>
      <c r="AH27" s="55">
        <v>5954.9325288047003</v>
      </c>
      <c r="AI27" s="55">
        <v>9733.5713622886906</v>
      </c>
      <c r="AJ27" s="55">
        <v>37918.7506338776</v>
      </c>
      <c r="AK27" s="55">
        <v>2136.2818403119099</v>
      </c>
      <c r="AL27" s="55">
        <v>30801.702328791798</v>
      </c>
      <c r="AM27" s="55">
        <v>97615.365861826198</v>
      </c>
      <c r="AN27" s="55">
        <v>159496.18997423799</v>
      </c>
      <c r="AO27" s="55">
        <v>4542218.6420078604</v>
      </c>
      <c r="AP27" s="55">
        <v>18162.665249341801</v>
      </c>
      <c r="AQ27" s="55">
        <v>211712.63319013201</v>
      </c>
      <c r="AR27" s="55">
        <v>18823.8901585928</v>
      </c>
      <c r="AS27" s="55">
        <v>630868.85632389295</v>
      </c>
      <c r="AT27" s="55">
        <v>60823415.429253101</v>
      </c>
      <c r="AU27" s="55">
        <v>5697629.1082278304</v>
      </c>
      <c r="AV27" s="55">
        <v>9025381.5833560508</v>
      </c>
      <c r="AW27" s="55">
        <v>14723010.6915839</v>
      </c>
      <c r="AX27" s="55">
        <v>0</v>
      </c>
      <c r="AY27" s="55">
        <v>14723010.6915839</v>
      </c>
      <c r="AZ27" s="55">
        <v>60601018.913020499</v>
      </c>
      <c r="BA27" s="55">
        <v>109528.026406031</v>
      </c>
      <c r="BB27" s="55">
        <v>60710546.939426497</v>
      </c>
      <c r="BC27" s="55">
        <v>28964418.0481885</v>
      </c>
      <c r="BD27" s="55">
        <v>104397975.679199</v>
      </c>
      <c r="BE27" s="55">
        <v>9207467.0758240409</v>
      </c>
      <c r="BF27" s="55">
        <v>156013924.032628</v>
      </c>
    </row>
    <row r="28" spans="1:58" ht="21.6" x14ac:dyDescent="0.25">
      <c r="A28" s="128"/>
      <c r="B28" s="53" t="s">
        <v>74</v>
      </c>
      <c r="C28" s="54" t="s">
        <v>24</v>
      </c>
      <c r="D28" s="55">
        <v>197717.41518768799</v>
      </c>
      <c r="E28" s="55">
        <v>881627.77806250704</v>
      </c>
      <c r="F28" s="55">
        <v>103121.478636574</v>
      </c>
      <c r="G28" s="55">
        <v>981292.41104552196</v>
      </c>
      <c r="H28" s="55">
        <v>106644.456891027</v>
      </c>
      <c r="I28" s="55">
        <v>653308.46934062603</v>
      </c>
      <c r="J28" s="55">
        <v>495172.500311499</v>
      </c>
      <c r="K28" s="55">
        <v>286554.20689321798</v>
      </c>
      <c r="L28" s="55">
        <v>1752872.2545674001</v>
      </c>
      <c r="M28" s="55">
        <v>180840.089195095</v>
      </c>
      <c r="N28" s="55">
        <v>822089.17390728102</v>
      </c>
      <c r="O28" s="55">
        <v>125439.831913432</v>
      </c>
      <c r="P28" s="55">
        <v>1149003.59757298</v>
      </c>
      <c r="Q28" s="55">
        <v>1447646.24429034</v>
      </c>
      <c r="R28" s="55">
        <v>565778.76574593596</v>
      </c>
      <c r="S28" s="55">
        <v>269475.60754760302</v>
      </c>
      <c r="T28" s="55">
        <v>1218352.28813117</v>
      </c>
      <c r="U28" s="55">
        <v>30663801.736531898</v>
      </c>
      <c r="V28" s="55">
        <v>17420251.047840498</v>
      </c>
      <c r="W28" s="55">
        <v>16970910.7034714</v>
      </c>
      <c r="X28" s="55">
        <v>16325888.3708768</v>
      </c>
      <c r="Y28" s="55">
        <v>117461126.23187301</v>
      </c>
      <c r="Z28" s="55">
        <v>56751423.251501299</v>
      </c>
      <c r="AA28" s="55">
        <v>2060373.1156653999</v>
      </c>
      <c r="AB28" s="55">
        <v>42504095.549183898</v>
      </c>
      <c r="AC28" s="55">
        <v>79167.884545307403</v>
      </c>
      <c r="AD28" s="55">
        <v>81672.392538750602</v>
      </c>
      <c r="AE28" s="55">
        <v>93400845.831815302</v>
      </c>
      <c r="AF28" s="55">
        <v>14542910.593776001</v>
      </c>
      <c r="AG28" s="55">
        <v>5206775.2229577499</v>
      </c>
      <c r="AH28" s="55">
        <v>522242.572353372</v>
      </c>
      <c r="AI28" s="55">
        <v>10616440.492946099</v>
      </c>
      <c r="AJ28" s="55">
        <v>110440.953008636</v>
      </c>
      <c r="AK28" s="55">
        <v>58084.791495129102</v>
      </c>
      <c r="AL28" s="55">
        <v>12746420.9702527</v>
      </c>
      <c r="AM28" s="55">
        <v>7320572.0469589699</v>
      </c>
      <c r="AN28" s="55">
        <v>9868972.9432907794</v>
      </c>
      <c r="AO28" s="55">
        <v>3254772.8784903199</v>
      </c>
      <c r="AP28" s="55">
        <v>94102.024412990198</v>
      </c>
      <c r="AQ28" s="55">
        <v>481029.797254609</v>
      </c>
      <c r="AR28" s="55">
        <v>104873.43936141999</v>
      </c>
      <c r="AS28" s="55">
        <v>3268322.84521895</v>
      </c>
      <c r="AT28" s="55">
        <v>472865900.04996902</v>
      </c>
      <c r="AU28" s="55">
        <v>10878967.9395498</v>
      </c>
      <c r="AV28" s="55">
        <v>29242602.743562698</v>
      </c>
      <c r="AW28" s="55">
        <v>40121570.683112599</v>
      </c>
      <c r="AX28" s="55">
        <v>0</v>
      </c>
      <c r="AY28" s="55">
        <v>40121570.683112599</v>
      </c>
      <c r="AZ28" s="55">
        <v>63813745.932882003</v>
      </c>
      <c r="BA28" s="55">
        <v>752723.18437021005</v>
      </c>
      <c r="BB28" s="55">
        <v>64566469.117252298</v>
      </c>
      <c r="BC28" s="55">
        <v>170548525.74938399</v>
      </c>
      <c r="BD28" s="55">
        <v>275236565.549748</v>
      </c>
      <c r="BE28" s="55">
        <v>50436211.012560003</v>
      </c>
      <c r="BF28" s="55">
        <v>697666254.58715796</v>
      </c>
    </row>
    <row r="29" spans="1:58" ht="43.2" x14ac:dyDescent="0.25">
      <c r="A29" s="128"/>
      <c r="B29" s="53" t="s">
        <v>73</v>
      </c>
      <c r="C29" s="54" t="s">
        <v>23</v>
      </c>
      <c r="D29" s="55">
        <v>331571.92327286699</v>
      </c>
      <c r="E29" s="55">
        <v>360777.60004878597</v>
      </c>
      <c r="F29" s="55">
        <v>869124.76538268302</v>
      </c>
      <c r="G29" s="55">
        <v>145408.002156292</v>
      </c>
      <c r="H29" s="55">
        <v>375468.67917023</v>
      </c>
      <c r="I29" s="55">
        <v>747037.24195235805</v>
      </c>
      <c r="J29" s="55">
        <v>409009.19244003698</v>
      </c>
      <c r="K29" s="55">
        <v>114685.419699634</v>
      </c>
      <c r="L29" s="55">
        <v>3374013.3855403601</v>
      </c>
      <c r="M29" s="55">
        <v>1119303.6177410099</v>
      </c>
      <c r="N29" s="55">
        <v>1074059.68590883</v>
      </c>
      <c r="O29" s="55">
        <v>481071.44129976898</v>
      </c>
      <c r="P29" s="55">
        <v>1201955.6937511</v>
      </c>
      <c r="Q29" s="55">
        <v>1208113.1755727599</v>
      </c>
      <c r="R29" s="55">
        <v>932509.34751355695</v>
      </c>
      <c r="S29" s="55">
        <v>157946.37516031301</v>
      </c>
      <c r="T29" s="55">
        <v>965077.73084339395</v>
      </c>
      <c r="U29" s="55">
        <v>25381587.3322048</v>
      </c>
      <c r="V29" s="55">
        <v>27022920.555623099</v>
      </c>
      <c r="W29" s="55">
        <v>16792407.243783802</v>
      </c>
      <c r="X29" s="55">
        <v>8374607.9499963196</v>
      </c>
      <c r="Y29" s="55">
        <v>53832828.6339688</v>
      </c>
      <c r="Z29" s="55">
        <v>603819523.000826</v>
      </c>
      <c r="AA29" s="55">
        <v>2302751.1303630099</v>
      </c>
      <c r="AB29" s="55">
        <v>17376246.384032998</v>
      </c>
      <c r="AC29" s="55">
        <v>181125.68877307299</v>
      </c>
      <c r="AD29" s="55">
        <v>131744.26850608201</v>
      </c>
      <c r="AE29" s="55">
        <v>13384228.346578401</v>
      </c>
      <c r="AF29" s="55">
        <v>8333877.7981027002</v>
      </c>
      <c r="AG29" s="55">
        <v>6813502.5938912099</v>
      </c>
      <c r="AH29" s="55">
        <v>1176063.9398599199</v>
      </c>
      <c r="AI29" s="55">
        <v>56611169.591117397</v>
      </c>
      <c r="AJ29" s="55">
        <v>1165549.52734219</v>
      </c>
      <c r="AK29" s="55">
        <v>447000.472689652</v>
      </c>
      <c r="AL29" s="55">
        <v>22296948.636496801</v>
      </c>
      <c r="AM29" s="55">
        <v>16278535.2568956</v>
      </c>
      <c r="AN29" s="55">
        <v>48000174.052217603</v>
      </c>
      <c r="AO29" s="55">
        <v>12802603.0218603</v>
      </c>
      <c r="AP29" s="55">
        <v>5849192.9874777598</v>
      </c>
      <c r="AQ29" s="55">
        <v>1202627.02425139</v>
      </c>
      <c r="AR29" s="55">
        <v>1117205.07324635</v>
      </c>
      <c r="AS29" s="55">
        <v>6557094.8933862802</v>
      </c>
      <c r="AT29" s="55">
        <v>971003963.26124597</v>
      </c>
      <c r="AU29" s="55">
        <v>15240055.9404142</v>
      </c>
      <c r="AV29" s="55">
        <v>51826486.888728797</v>
      </c>
      <c r="AW29" s="55">
        <v>67066542.829143099</v>
      </c>
      <c r="AX29" s="55">
        <v>0</v>
      </c>
      <c r="AY29" s="55">
        <v>67066542.829143099</v>
      </c>
      <c r="AZ29" s="55">
        <v>107099836.458124</v>
      </c>
      <c r="BA29" s="55">
        <v>6140154.9455792503</v>
      </c>
      <c r="BB29" s="55">
        <v>113239991.403703</v>
      </c>
      <c r="BC29" s="55">
        <v>439367334.97759402</v>
      </c>
      <c r="BD29" s="55">
        <v>619673869.21044004</v>
      </c>
      <c r="BE29" s="55">
        <v>402155880.98906702</v>
      </c>
      <c r="BF29" s="55">
        <v>1188521951.48262</v>
      </c>
    </row>
    <row r="30" spans="1:58" ht="64.8" x14ac:dyDescent="0.25">
      <c r="A30" s="128"/>
      <c r="B30" s="53" t="s">
        <v>78</v>
      </c>
      <c r="C30" s="54" t="s">
        <v>28</v>
      </c>
      <c r="D30" s="55">
        <v>164747.47787442</v>
      </c>
      <c r="E30" s="55">
        <v>405514.02869687701</v>
      </c>
      <c r="F30" s="55">
        <v>146894.390608488</v>
      </c>
      <c r="G30" s="55">
        <v>199118.318682827</v>
      </c>
      <c r="H30" s="55">
        <v>133740.27413289601</v>
      </c>
      <c r="I30" s="55">
        <v>651164.66223560495</v>
      </c>
      <c r="J30" s="55">
        <v>1365889.2419316201</v>
      </c>
      <c r="K30" s="55">
        <v>242435.44420260299</v>
      </c>
      <c r="L30" s="55">
        <v>13403852.7991249</v>
      </c>
      <c r="M30" s="55">
        <v>563622.57549381198</v>
      </c>
      <c r="N30" s="55">
        <v>2080644.8010068401</v>
      </c>
      <c r="O30" s="55">
        <v>113887.729667525</v>
      </c>
      <c r="P30" s="55">
        <v>2943239.5497239898</v>
      </c>
      <c r="Q30" s="55">
        <v>3630070.67910031</v>
      </c>
      <c r="R30" s="55">
        <v>53093165.586032197</v>
      </c>
      <c r="S30" s="55">
        <v>13891355.113508901</v>
      </c>
      <c r="T30" s="55">
        <v>8634157.3163604196</v>
      </c>
      <c r="U30" s="55">
        <v>880502.95925384597</v>
      </c>
      <c r="V30" s="55">
        <v>861292.65728146199</v>
      </c>
      <c r="W30" s="55">
        <v>847818.19447725499</v>
      </c>
      <c r="X30" s="55">
        <v>612599.36564607301</v>
      </c>
      <c r="Y30" s="55">
        <v>953658.57623559504</v>
      </c>
      <c r="Z30" s="55">
        <v>1492023.5335540599</v>
      </c>
      <c r="AA30" s="55">
        <v>13185015.9538418</v>
      </c>
      <c r="AB30" s="55">
        <v>3665815.02354141</v>
      </c>
      <c r="AC30" s="55">
        <v>154857.195317682</v>
      </c>
      <c r="AD30" s="55">
        <v>89102.353197733595</v>
      </c>
      <c r="AE30" s="55">
        <v>3882686.3362354101</v>
      </c>
      <c r="AF30" s="55">
        <v>133738.98332051601</v>
      </c>
      <c r="AG30" s="55">
        <v>1407910.2921991199</v>
      </c>
      <c r="AH30" s="55">
        <v>205188.88588644299</v>
      </c>
      <c r="AI30" s="55">
        <v>462987.37195750099</v>
      </c>
      <c r="AJ30" s="55">
        <v>72347.132271356299</v>
      </c>
      <c r="AK30" s="55">
        <v>1286923.14998262</v>
      </c>
      <c r="AL30" s="55">
        <v>8954361.7373353001</v>
      </c>
      <c r="AM30" s="55">
        <v>1783852.69528289</v>
      </c>
      <c r="AN30" s="55">
        <v>5440678.9545661397</v>
      </c>
      <c r="AO30" s="55">
        <v>2143669.9012925201</v>
      </c>
      <c r="AP30" s="55">
        <v>265892.83775368001</v>
      </c>
      <c r="AQ30" s="55">
        <v>216482.433895731</v>
      </c>
      <c r="AR30" s="55">
        <v>626246.26319446799</v>
      </c>
      <c r="AS30" s="55">
        <v>1384717.8866036299</v>
      </c>
      <c r="AT30" s="55">
        <v>152431435.21830601</v>
      </c>
      <c r="AU30" s="55">
        <v>1188015.9589508199</v>
      </c>
      <c r="AV30" s="55">
        <v>3366560.1635568701</v>
      </c>
      <c r="AW30" s="55">
        <v>4554576.1225076802</v>
      </c>
      <c r="AX30" s="55">
        <v>0</v>
      </c>
      <c r="AY30" s="55">
        <v>0</v>
      </c>
      <c r="AZ30" s="55">
        <v>1945824.4473167399</v>
      </c>
      <c r="BA30" s="55">
        <v>0</v>
      </c>
      <c r="BB30" s="55">
        <v>1945824.4473167399</v>
      </c>
      <c r="BC30" s="55">
        <v>5279719.0121863401</v>
      </c>
      <c r="BD30" s="55">
        <v>7225543.4595030798</v>
      </c>
      <c r="BE30" s="55">
        <v>2317558.0961611802</v>
      </c>
      <c r="BF30" s="55">
        <v>20697060.147269402</v>
      </c>
    </row>
    <row r="31" spans="1:58" ht="21.6" x14ac:dyDescent="0.25">
      <c r="A31" s="128"/>
      <c r="B31" s="53" t="s">
        <v>79</v>
      </c>
      <c r="C31" s="54" t="s">
        <v>29</v>
      </c>
      <c r="D31" s="55">
        <v>10632509.685994901</v>
      </c>
      <c r="E31" s="55">
        <v>8492039.3265241291</v>
      </c>
      <c r="F31" s="55">
        <v>3827929.6782418001</v>
      </c>
      <c r="G31" s="55">
        <v>14593431.6584963</v>
      </c>
      <c r="H31" s="55">
        <v>481039.22682557401</v>
      </c>
      <c r="I31" s="55">
        <v>8337210.0737607097</v>
      </c>
      <c r="J31" s="55">
        <v>9271306.1659300793</v>
      </c>
      <c r="K31" s="55">
        <v>5198622.9815821303</v>
      </c>
      <c r="L31" s="55">
        <v>12650200.924738299</v>
      </c>
      <c r="M31" s="55">
        <v>8918733.7900041603</v>
      </c>
      <c r="N31" s="55">
        <v>41485169.034775697</v>
      </c>
      <c r="O31" s="55">
        <v>4492909.9962751605</v>
      </c>
      <c r="P31" s="55">
        <v>6429846.75502072</v>
      </c>
      <c r="Q31" s="55">
        <v>36511483.283643097</v>
      </c>
      <c r="R31" s="55">
        <v>34770410.734096497</v>
      </c>
      <c r="S31" s="55">
        <v>28693763.723575801</v>
      </c>
      <c r="T31" s="55">
        <v>23642420.6271042</v>
      </c>
      <c r="U31" s="55">
        <v>9037398.2731788196</v>
      </c>
      <c r="V31" s="55">
        <v>5826705.6488526901</v>
      </c>
      <c r="W31" s="55">
        <v>5789468.1708769798</v>
      </c>
      <c r="X31" s="55">
        <v>1608516.3967347201</v>
      </c>
      <c r="Y31" s="55">
        <v>8301003.1445472101</v>
      </c>
      <c r="Z31" s="55">
        <v>11503234.3090018</v>
      </c>
      <c r="AA31" s="55">
        <v>2024340.4440145099</v>
      </c>
      <c r="AB31" s="55">
        <v>207763089.590819</v>
      </c>
      <c r="AC31" s="55">
        <v>1989258.6932657999</v>
      </c>
      <c r="AD31" s="55">
        <v>5177395.5040959297</v>
      </c>
      <c r="AE31" s="55">
        <v>41785891.453726701</v>
      </c>
      <c r="AF31" s="55">
        <v>12653101.4524859</v>
      </c>
      <c r="AG31" s="55">
        <v>16559627.487119701</v>
      </c>
      <c r="AH31" s="55">
        <v>4171232.3615359901</v>
      </c>
      <c r="AI31" s="55">
        <v>9487206.2947387099</v>
      </c>
      <c r="AJ31" s="55">
        <v>4342106.1335527599</v>
      </c>
      <c r="AK31" s="55">
        <v>4550954.1046263101</v>
      </c>
      <c r="AL31" s="55">
        <v>3785533.7397023598</v>
      </c>
      <c r="AM31" s="55">
        <v>3096348.0609721499</v>
      </c>
      <c r="AN31" s="55">
        <v>2489328.2551162899</v>
      </c>
      <c r="AO31" s="55">
        <v>3425610.48251737</v>
      </c>
      <c r="AP31" s="55">
        <v>3442352.6814395399</v>
      </c>
      <c r="AQ31" s="55">
        <v>3190635.0215070802</v>
      </c>
      <c r="AR31" s="55">
        <v>1566849.4882740499</v>
      </c>
      <c r="AS31" s="55">
        <v>10257739.6612089</v>
      </c>
      <c r="AT31" s="71">
        <v>637055331.53891802</v>
      </c>
      <c r="AU31" s="71">
        <v>12007734.9831194</v>
      </c>
      <c r="AV31" s="71">
        <v>49517677.873736903</v>
      </c>
      <c r="AW31" s="71">
        <v>61525412.856856301</v>
      </c>
      <c r="AX31" s="71">
        <v>0</v>
      </c>
      <c r="AY31" s="71">
        <v>61525412.856856301</v>
      </c>
      <c r="AZ31" s="71">
        <v>0</v>
      </c>
      <c r="BA31" s="71">
        <v>0</v>
      </c>
      <c r="BB31" s="71">
        <v>0</v>
      </c>
      <c r="BC31" s="71">
        <v>1045039.7484</v>
      </c>
      <c r="BD31" s="85">
        <v>62570452.605256297</v>
      </c>
      <c r="BE31" s="71">
        <v>123218.4412</v>
      </c>
      <c r="BF31" s="72">
        <v>699502565.70297396</v>
      </c>
    </row>
    <row r="32" spans="1:58" ht="21.6" x14ac:dyDescent="0.25">
      <c r="A32" s="128"/>
      <c r="B32" s="53" t="s">
        <v>80</v>
      </c>
      <c r="C32" s="56" t="s">
        <v>30</v>
      </c>
      <c r="D32" s="55">
        <v>158734.702636481</v>
      </c>
      <c r="E32" s="55">
        <v>28901.4549832347</v>
      </c>
      <c r="F32" s="55">
        <v>21479.904192603601</v>
      </c>
      <c r="G32" s="55">
        <v>23210.4423339237</v>
      </c>
      <c r="H32" s="55">
        <v>66417.539930823696</v>
      </c>
      <c r="I32" s="55">
        <v>443352.99437906401</v>
      </c>
      <c r="J32" s="55">
        <v>187804.34269080599</v>
      </c>
      <c r="K32" s="55">
        <v>26205.230886828998</v>
      </c>
      <c r="L32" s="55">
        <v>455864.76763070998</v>
      </c>
      <c r="M32" s="55">
        <v>817644.24839578895</v>
      </c>
      <c r="N32" s="55">
        <v>2010632.1788910399</v>
      </c>
      <c r="O32" s="55">
        <v>3228.6624178986499</v>
      </c>
      <c r="P32" s="55">
        <v>5038.3119184469597</v>
      </c>
      <c r="Q32" s="55">
        <v>240915.818847029</v>
      </c>
      <c r="R32" s="55">
        <v>233825.70539204401</v>
      </c>
      <c r="S32" s="55">
        <v>69857.983572238896</v>
      </c>
      <c r="T32" s="55">
        <v>440098.52054863202</v>
      </c>
      <c r="U32" s="55">
        <v>183042.98405176101</v>
      </c>
      <c r="V32" s="55">
        <v>306402.22007457301</v>
      </c>
      <c r="W32" s="55">
        <v>104306.632854689</v>
      </c>
      <c r="X32" s="55">
        <v>136222.61171656</v>
      </c>
      <c r="Y32" s="55">
        <v>250330.61046927501</v>
      </c>
      <c r="Z32" s="55">
        <v>139669.20555458</v>
      </c>
      <c r="AA32" s="55">
        <v>421341.49805195199</v>
      </c>
      <c r="AB32" s="55">
        <v>1999455.2125124999</v>
      </c>
      <c r="AC32" s="55">
        <v>9988214.6152514108</v>
      </c>
      <c r="AD32" s="55">
        <v>577.10973224771101</v>
      </c>
      <c r="AE32" s="55">
        <v>43646.7161920363</v>
      </c>
      <c r="AF32" s="55">
        <v>108729.406380966</v>
      </c>
      <c r="AG32" s="55">
        <v>19661653.7984179</v>
      </c>
      <c r="AH32" s="55">
        <v>2563138.31292585</v>
      </c>
      <c r="AI32" s="55">
        <v>79885.205672357595</v>
      </c>
      <c r="AJ32" s="55">
        <v>29927.4073905187</v>
      </c>
      <c r="AK32" s="55">
        <v>2003956.33127242</v>
      </c>
      <c r="AL32" s="55">
        <v>461291.884655495</v>
      </c>
      <c r="AM32" s="55">
        <v>181897.00048366399</v>
      </c>
      <c r="AN32" s="55">
        <v>211884.969231725</v>
      </c>
      <c r="AO32" s="55">
        <v>1107430.7801409401</v>
      </c>
      <c r="AP32" s="55">
        <v>533949.62356846302</v>
      </c>
      <c r="AQ32" s="55">
        <v>253896.226234584</v>
      </c>
      <c r="AR32" s="55">
        <v>279996.55674751702</v>
      </c>
      <c r="AS32" s="55">
        <v>347185.736217506</v>
      </c>
      <c r="AT32" s="71">
        <v>46605040.234562203</v>
      </c>
      <c r="AU32" s="71">
        <v>1394219.1029457999</v>
      </c>
      <c r="AV32" s="71">
        <v>32378337.354393002</v>
      </c>
      <c r="AW32" s="71">
        <v>33772556.457338803</v>
      </c>
      <c r="AX32" s="71">
        <v>0</v>
      </c>
      <c r="AY32" s="71">
        <v>33772556.457338803</v>
      </c>
      <c r="AZ32" s="71">
        <v>0</v>
      </c>
      <c r="BA32" s="71">
        <v>893408.64044541295</v>
      </c>
      <c r="BB32" s="71">
        <v>893408.64044541295</v>
      </c>
      <c r="BC32" s="71">
        <v>0</v>
      </c>
      <c r="BD32" s="85">
        <v>34665965.097784303</v>
      </c>
      <c r="BE32" s="71">
        <v>0</v>
      </c>
      <c r="BF32" s="72">
        <v>81271005.332346603</v>
      </c>
    </row>
    <row r="33" spans="1:58" ht="21.6" x14ac:dyDescent="0.25">
      <c r="A33" s="128"/>
      <c r="B33" s="53" t="s">
        <v>81</v>
      </c>
      <c r="C33" s="56" t="s">
        <v>31</v>
      </c>
      <c r="D33" s="55">
        <v>41316.588252533198</v>
      </c>
      <c r="E33" s="55">
        <v>56861.257707942998</v>
      </c>
      <c r="F33" s="55">
        <v>66724.691130288003</v>
      </c>
      <c r="G33" s="55">
        <v>75500.916232385003</v>
      </c>
      <c r="H33" s="55">
        <v>15289.876303716201</v>
      </c>
      <c r="I33" s="55">
        <v>1176862.5578435501</v>
      </c>
      <c r="J33" s="55">
        <v>280582.66604564601</v>
      </c>
      <c r="K33" s="55">
        <v>118367.57321422199</v>
      </c>
      <c r="L33" s="55">
        <v>442167.91749623301</v>
      </c>
      <c r="M33" s="55">
        <v>149328.75506023099</v>
      </c>
      <c r="N33" s="55">
        <v>481011.19009596203</v>
      </c>
      <c r="O33" s="55">
        <v>235131.24611225101</v>
      </c>
      <c r="P33" s="55">
        <v>150793.20284570201</v>
      </c>
      <c r="Q33" s="55">
        <v>532732.64514070202</v>
      </c>
      <c r="R33" s="55">
        <v>313577.763558793</v>
      </c>
      <c r="S33" s="55">
        <v>110786.029679926</v>
      </c>
      <c r="T33" s="55">
        <v>157179.32835927201</v>
      </c>
      <c r="U33" s="55">
        <v>340480.59486597299</v>
      </c>
      <c r="V33" s="55">
        <v>185550.30952927901</v>
      </c>
      <c r="W33" s="55">
        <v>167372.94243364499</v>
      </c>
      <c r="X33" s="55">
        <v>121137.104951136</v>
      </c>
      <c r="Y33" s="55">
        <v>405654.938503351</v>
      </c>
      <c r="Z33" s="55">
        <v>532648.03583173396</v>
      </c>
      <c r="AA33" s="55">
        <v>182154.691878221</v>
      </c>
      <c r="AB33" s="55">
        <v>1234128.68752964</v>
      </c>
      <c r="AC33" s="55">
        <v>36613.344005373401</v>
      </c>
      <c r="AD33" s="55">
        <v>2092918.6371561601</v>
      </c>
      <c r="AE33" s="55">
        <v>2894162.0483027301</v>
      </c>
      <c r="AF33" s="55">
        <v>552057.35316751699</v>
      </c>
      <c r="AG33" s="55">
        <v>496240.20191985503</v>
      </c>
      <c r="AH33" s="55">
        <v>1161758.0917028401</v>
      </c>
      <c r="AI33" s="55">
        <v>269693.69170390099</v>
      </c>
      <c r="AJ33" s="55">
        <v>367635.55861132202</v>
      </c>
      <c r="AK33" s="55">
        <v>556423.34696311899</v>
      </c>
      <c r="AL33" s="55">
        <v>119223.28508387999</v>
      </c>
      <c r="AM33" s="55">
        <v>505701.343195469</v>
      </c>
      <c r="AN33" s="55">
        <v>125838.583104519</v>
      </c>
      <c r="AO33" s="55">
        <v>426824.19165027101</v>
      </c>
      <c r="AP33" s="55">
        <v>435482.55695067899</v>
      </c>
      <c r="AQ33" s="55">
        <v>316913.101361849</v>
      </c>
      <c r="AR33" s="55">
        <v>273234.61167785601</v>
      </c>
      <c r="AS33" s="55">
        <v>903821.15177748597</v>
      </c>
      <c r="AT33" s="71">
        <v>18989515.0357229</v>
      </c>
      <c r="AU33" s="71">
        <v>2708952.0732222698</v>
      </c>
      <c r="AV33" s="71">
        <v>18088343.402777299</v>
      </c>
      <c r="AW33" s="71">
        <v>20797295.475999601</v>
      </c>
      <c r="AX33" s="71">
        <v>0</v>
      </c>
      <c r="AY33" s="71">
        <v>20797295.475999601</v>
      </c>
      <c r="AZ33" s="71">
        <v>0</v>
      </c>
      <c r="BA33" s="71">
        <v>891741.45750941802</v>
      </c>
      <c r="BB33" s="71">
        <v>891741.45750941802</v>
      </c>
      <c r="BC33" s="71">
        <v>0</v>
      </c>
      <c r="BD33" s="85">
        <v>21689036.933509</v>
      </c>
      <c r="BE33" s="71">
        <v>0</v>
      </c>
      <c r="BF33" s="72">
        <v>40678551.969231904</v>
      </c>
    </row>
    <row r="34" spans="1:58" ht="21.6" x14ac:dyDescent="0.25">
      <c r="A34" s="128"/>
      <c r="B34" s="53" t="s">
        <v>82</v>
      </c>
      <c r="C34" s="56" t="s">
        <v>32</v>
      </c>
      <c r="D34" s="55">
        <v>767866.27291258995</v>
      </c>
      <c r="E34" s="55">
        <v>136712.76462960101</v>
      </c>
      <c r="F34" s="55">
        <v>28483.4786058051</v>
      </c>
      <c r="G34" s="55">
        <v>39555.2327590926</v>
      </c>
      <c r="H34" s="55">
        <v>5924.7935314633096</v>
      </c>
      <c r="I34" s="55">
        <v>215253.65315689999</v>
      </c>
      <c r="J34" s="55">
        <v>226716.426076526</v>
      </c>
      <c r="K34" s="55">
        <v>132624.129456814</v>
      </c>
      <c r="L34" s="55">
        <v>238488.81530050599</v>
      </c>
      <c r="M34" s="55">
        <v>50165.433194638303</v>
      </c>
      <c r="N34" s="55">
        <v>339457.69367522199</v>
      </c>
      <c r="O34" s="55">
        <v>62322.093986348002</v>
      </c>
      <c r="P34" s="55">
        <v>93738.603114202997</v>
      </c>
      <c r="Q34" s="55">
        <v>162675.607305991</v>
      </c>
      <c r="R34" s="55">
        <v>95544.614739968194</v>
      </c>
      <c r="S34" s="55">
        <v>78767.820339656595</v>
      </c>
      <c r="T34" s="55">
        <v>112818.398974717</v>
      </c>
      <c r="U34" s="55">
        <v>310533.93412080401</v>
      </c>
      <c r="V34" s="55">
        <v>124690.040871795</v>
      </c>
      <c r="W34" s="55">
        <v>139887.315349785</v>
      </c>
      <c r="X34" s="55">
        <v>47393.878590150103</v>
      </c>
      <c r="Y34" s="55">
        <v>180123.420648795</v>
      </c>
      <c r="Z34" s="55">
        <v>667409.93998919497</v>
      </c>
      <c r="AA34" s="55">
        <v>89637.304741633401</v>
      </c>
      <c r="AB34" s="55">
        <v>2679712.7946501598</v>
      </c>
      <c r="AC34" s="55">
        <v>28595.2440077961</v>
      </c>
      <c r="AD34" s="55">
        <v>75522.733505083699</v>
      </c>
      <c r="AE34" s="55">
        <v>102777626.861809</v>
      </c>
      <c r="AF34" s="55">
        <v>1487150.4145561899</v>
      </c>
      <c r="AG34" s="55">
        <v>2015285.3911783299</v>
      </c>
      <c r="AH34" s="55">
        <v>901665.81305564696</v>
      </c>
      <c r="AI34" s="55">
        <v>954151.50461212103</v>
      </c>
      <c r="AJ34" s="55">
        <v>2489999.29194621</v>
      </c>
      <c r="AK34" s="55">
        <v>14193938.3943872</v>
      </c>
      <c r="AL34" s="55">
        <v>445793.24860177102</v>
      </c>
      <c r="AM34" s="55">
        <v>424334.51161238598</v>
      </c>
      <c r="AN34" s="55">
        <v>514616.38248372899</v>
      </c>
      <c r="AO34" s="55">
        <v>528902.69084494305</v>
      </c>
      <c r="AP34" s="55">
        <v>3319541.48031619</v>
      </c>
      <c r="AQ34" s="55">
        <v>1071607.6873737201</v>
      </c>
      <c r="AR34" s="55">
        <v>993565.57971969096</v>
      </c>
      <c r="AS34" s="55">
        <v>10876464.686654501</v>
      </c>
      <c r="AT34" s="55">
        <v>149992642.24792999</v>
      </c>
      <c r="AU34" s="55">
        <v>0</v>
      </c>
      <c r="AV34" s="55">
        <v>0</v>
      </c>
      <c r="AW34" s="55">
        <v>0</v>
      </c>
      <c r="AX34" s="55">
        <v>0</v>
      </c>
      <c r="AY34" s="55">
        <v>0</v>
      </c>
      <c r="AZ34" s="55">
        <v>2707176325.74966</v>
      </c>
      <c r="BA34" s="55">
        <v>0</v>
      </c>
      <c r="BB34" s="55">
        <v>2707176325.74966</v>
      </c>
      <c r="BC34" s="55">
        <v>8681061.2808516994</v>
      </c>
      <c r="BD34" s="55">
        <v>2715857387.03052</v>
      </c>
      <c r="BE34" s="55">
        <v>5545047.8637640001</v>
      </c>
      <c r="BF34" s="55">
        <v>2860304981.41468</v>
      </c>
    </row>
    <row r="35" spans="1:58" ht="21.6" x14ac:dyDescent="0.25">
      <c r="A35" s="128"/>
      <c r="B35" s="53" t="s">
        <v>83</v>
      </c>
      <c r="C35" s="56" t="s">
        <v>33</v>
      </c>
      <c r="D35" s="55">
        <v>32445341.8210967</v>
      </c>
      <c r="E35" s="55">
        <v>6037786.7320662104</v>
      </c>
      <c r="F35" s="55">
        <v>775392.27401589404</v>
      </c>
      <c r="G35" s="55">
        <v>4137179.2881825902</v>
      </c>
      <c r="H35" s="55">
        <v>811001.70867601898</v>
      </c>
      <c r="I35" s="55">
        <v>81687886.060643494</v>
      </c>
      <c r="J35" s="55">
        <v>49418319.526525803</v>
      </c>
      <c r="K35" s="55">
        <v>23952570.404968601</v>
      </c>
      <c r="L35" s="55">
        <v>51727062.722152598</v>
      </c>
      <c r="M35" s="55">
        <v>10885899.5352103</v>
      </c>
      <c r="N35" s="55">
        <v>35967199.2637394</v>
      </c>
      <c r="O35" s="55">
        <v>19903155.950842701</v>
      </c>
      <c r="P35" s="55">
        <v>19717113.371896099</v>
      </c>
      <c r="Q35" s="55">
        <v>37090632.127917603</v>
      </c>
      <c r="R35" s="55">
        <v>18088633.433522701</v>
      </c>
      <c r="S35" s="55">
        <v>13482091.1086585</v>
      </c>
      <c r="T35" s="55">
        <v>22175914.737617198</v>
      </c>
      <c r="U35" s="55">
        <v>27687169.007828999</v>
      </c>
      <c r="V35" s="55">
        <v>19596217.765617799</v>
      </c>
      <c r="W35" s="55">
        <v>54110905.513489</v>
      </c>
      <c r="X35" s="55">
        <v>10569374.970818</v>
      </c>
      <c r="Y35" s="55">
        <v>42723961.570809498</v>
      </c>
      <c r="Z35" s="55">
        <v>59473321.116125599</v>
      </c>
      <c r="AA35" s="55">
        <v>4006169.6424203599</v>
      </c>
      <c r="AB35" s="55">
        <v>15451656.157005301</v>
      </c>
      <c r="AC35" s="55">
        <v>2301900.8425521599</v>
      </c>
      <c r="AD35" s="55">
        <v>565625.06653206202</v>
      </c>
      <c r="AE35" s="55">
        <v>143079872.33824301</v>
      </c>
      <c r="AF35" s="55">
        <v>11226156.781745801</v>
      </c>
      <c r="AG35" s="55">
        <v>35456523.308043502</v>
      </c>
      <c r="AH35" s="55">
        <v>28035741.060201</v>
      </c>
      <c r="AI35" s="55">
        <v>15872913.5323215</v>
      </c>
      <c r="AJ35" s="55">
        <v>5735570.8359558098</v>
      </c>
      <c r="AK35" s="55">
        <v>3311533.5759604299</v>
      </c>
      <c r="AL35" s="55">
        <v>34868107.184738502</v>
      </c>
      <c r="AM35" s="55">
        <v>7310894.07936115</v>
      </c>
      <c r="AN35" s="55">
        <v>13897489.3645106</v>
      </c>
      <c r="AO35" s="55">
        <v>8483107.7031672597</v>
      </c>
      <c r="AP35" s="55">
        <v>6371391.4748348603</v>
      </c>
      <c r="AQ35" s="55">
        <v>34246220.181799702</v>
      </c>
      <c r="AR35" s="55">
        <v>4838226.8271174803</v>
      </c>
      <c r="AS35" s="55">
        <v>15105573.595953301</v>
      </c>
      <c r="AT35" s="55">
        <v>1008676233.15992</v>
      </c>
      <c r="AU35" s="55">
        <v>51457511.092132501</v>
      </c>
      <c r="AV35" s="55">
        <v>166522713.313402</v>
      </c>
      <c r="AW35" s="55">
        <v>217980224.405534</v>
      </c>
      <c r="AX35" s="55">
        <v>0</v>
      </c>
      <c r="AY35" s="55">
        <v>217980224.405534</v>
      </c>
      <c r="AZ35" s="55">
        <v>84921149.455762297</v>
      </c>
      <c r="BA35" s="55">
        <v>8345553.6658840599</v>
      </c>
      <c r="BB35" s="55">
        <v>93266703.121646494</v>
      </c>
      <c r="BC35" s="55">
        <v>178591537.87247801</v>
      </c>
      <c r="BD35" s="55">
        <v>489838465.39965898</v>
      </c>
      <c r="BE35" s="55">
        <v>0</v>
      </c>
      <c r="BF35" s="55">
        <v>1498514698.5595801</v>
      </c>
    </row>
    <row r="36" spans="1:58" ht="21.6" x14ac:dyDescent="0.25">
      <c r="A36" s="128"/>
      <c r="B36" s="53" t="s">
        <v>84</v>
      </c>
      <c r="C36" s="56" t="s">
        <v>34</v>
      </c>
      <c r="D36" s="55">
        <v>25502816.8995248</v>
      </c>
      <c r="E36" s="55">
        <v>5466615.4697256703</v>
      </c>
      <c r="F36" s="55">
        <v>662325.93177021295</v>
      </c>
      <c r="G36" s="55">
        <v>3705387.6243679901</v>
      </c>
      <c r="H36" s="55">
        <v>459922.389176214</v>
      </c>
      <c r="I36" s="55">
        <v>33568250.7764825</v>
      </c>
      <c r="J36" s="55">
        <v>30654371.8358142</v>
      </c>
      <c r="K36" s="55">
        <v>8982067.3529972397</v>
      </c>
      <c r="L36" s="55">
        <v>20843806.401541501</v>
      </c>
      <c r="M36" s="55">
        <v>11193285.5741792</v>
      </c>
      <c r="N36" s="55">
        <v>31172179.9123803</v>
      </c>
      <c r="O36" s="55">
        <v>11209228.5782545</v>
      </c>
      <c r="P36" s="55">
        <v>13733058.033603299</v>
      </c>
      <c r="Q36" s="55">
        <v>25345785.753468301</v>
      </c>
      <c r="R36" s="55">
        <v>19869246.551746801</v>
      </c>
      <c r="S36" s="55">
        <v>13197425.411509201</v>
      </c>
      <c r="T36" s="55">
        <v>15073279.3625574</v>
      </c>
      <c r="U36" s="55">
        <v>16500075.924443601</v>
      </c>
      <c r="V36" s="55">
        <v>14118443.387983499</v>
      </c>
      <c r="W36" s="55">
        <v>24769356.2474804</v>
      </c>
      <c r="X36" s="55">
        <v>4521511.0037380997</v>
      </c>
      <c r="Y36" s="55">
        <v>22153380.483358599</v>
      </c>
      <c r="Z36" s="55">
        <v>18528288.710067999</v>
      </c>
      <c r="AA36" s="55">
        <v>2444020.0275438898</v>
      </c>
      <c r="AB36" s="55">
        <v>12897844.057169201</v>
      </c>
      <c r="AC36" s="55">
        <v>1690453.88206179</v>
      </c>
      <c r="AD36" s="55">
        <v>399060.12304012902</v>
      </c>
      <c r="AE36" s="55">
        <v>77457881.624707803</v>
      </c>
      <c r="AF36" s="55">
        <v>90975726.641584098</v>
      </c>
      <c r="AG36" s="55">
        <v>173252511.26195401</v>
      </c>
      <c r="AH36" s="55">
        <v>15280892.5786233</v>
      </c>
      <c r="AI36" s="55">
        <v>13780271.547948699</v>
      </c>
      <c r="AJ36" s="55">
        <v>13542347.8239497</v>
      </c>
      <c r="AK36" s="55">
        <v>4279025.9934587199</v>
      </c>
      <c r="AL36" s="55">
        <v>57539641.480696499</v>
      </c>
      <c r="AM36" s="55">
        <v>9247844.2679492496</v>
      </c>
      <c r="AN36" s="55">
        <v>18900788.576480001</v>
      </c>
      <c r="AO36" s="55">
        <v>7465876.5164753599</v>
      </c>
      <c r="AP36" s="55">
        <v>12170731.8832801</v>
      </c>
      <c r="AQ36" s="55">
        <v>15774297.659290999</v>
      </c>
      <c r="AR36" s="55">
        <v>5216650.8288543904</v>
      </c>
      <c r="AS36" s="55">
        <v>30875236.414519198</v>
      </c>
      <c r="AT36" s="55">
        <v>925439145.45276201</v>
      </c>
      <c r="AU36" s="55">
        <v>30607379.101441901</v>
      </c>
      <c r="AV36" s="55">
        <v>107378578.754783</v>
      </c>
      <c r="AW36" s="55">
        <v>137985957.85622501</v>
      </c>
      <c r="AX36" s="55">
        <v>42787710.951599598</v>
      </c>
      <c r="AY36" s="55">
        <v>180773668.807825</v>
      </c>
      <c r="AZ36" s="55">
        <v>34380961.708352</v>
      </c>
      <c r="BA36" s="55">
        <v>2787948.9429763998</v>
      </c>
      <c r="BB36" s="55">
        <v>37168910.651328497</v>
      </c>
      <c r="BC36" s="55">
        <v>95111712.935939193</v>
      </c>
      <c r="BD36" s="55">
        <v>313054292.39509201</v>
      </c>
      <c r="BE36" s="55">
        <v>39322169.213351302</v>
      </c>
      <c r="BF36" s="55">
        <v>1199171268.6345</v>
      </c>
    </row>
    <row r="37" spans="1:58" ht="21.6" x14ac:dyDescent="0.25">
      <c r="A37" s="128"/>
      <c r="B37" s="53" t="s">
        <v>85</v>
      </c>
      <c r="C37" s="56" t="s">
        <v>35</v>
      </c>
      <c r="D37" s="55">
        <v>2365578.9880881701</v>
      </c>
      <c r="E37" s="55">
        <v>762175.49667994701</v>
      </c>
      <c r="F37" s="55">
        <v>199599.92691240201</v>
      </c>
      <c r="G37" s="55">
        <v>842149.98613457906</v>
      </c>
      <c r="H37" s="55">
        <v>109283.546670268</v>
      </c>
      <c r="I37" s="55">
        <v>5081633.5890060896</v>
      </c>
      <c r="J37" s="55">
        <v>2389261.74244902</v>
      </c>
      <c r="K37" s="55">
        <v>1133676.64022426</v>
      </c>
      <c r="L37" s="55">
        <v>3087924.9706234699</v>
      </c>
      <c r="M37" s="55">
        <v>858498.177586523</v>
      </c>
      <c r="N37" s="55">
        <v>3499576.9477412901</v>
      </c>
      <c r="O37" s="55">
        <v>3967101.9921749802</v>
      </c>
      <c r="P37" s="55">
        <v>1394763.17711906</v>
      </c>
      <c r="Q37" s="55">
        <v>4067231.6033907202</v>
      </c>
      <c r="R37" s="55">
        <v>2414344.96716937</v>
      </c>
      <c r="S37" s="55">
        <v>1033268.47012779</v>
      </c>
      <c r="T37" s="55">
        <v>2894258.5718172202</v>
      </c>
      <c r="U37" s="55">
        <v>2733036.73885831</v>
      </c>
      <c r="V37" s="55">
        <v>3475131.3451918298</v>
      </c>
      <c r="W37" s="55">
        <v>2884251.2143198401</v>
      </c>
      <c r="X37" s="55">
        <v>837981.49521439301</v>
      </c>
      <c r="Y37" s="55">
        <v>3803760.4041102901</v>
      </c>
      <c r="Z37" s="55">
        <v>4571761.3817649903</v>
      </c>
      <c r="AA37" s="55">
        <v>553103.52908509702</v>
      </c>
      <c r="AB37" s="55">
        <v>2051215.08631479</v>
      </c>
      <c r="AC37" s="55">
        <v>224739.51470622499</v>
      </c>
      <c r="AD37" s="55">
        <v>196672.810478203</v>
      </c>
      <c r="AE37" s="55">
        <v>14884407.391132699</v>
      </c>
      <c r="AF37" s="55">
        <v>7190141.5956000304</v>
      </c>
      <c r="AG37" s="55">
        <v>21824752.656176601</v>
      </c>
      <c r="AH37" s="55">
        <v>939543.14637547301</v>
      </c>
      <c r="AI37" s="55">
        <v>5890208.15955415</v>
      </c>
      <c r="AJ37" s="55">
        <v>28451801.880011</v>
      </c>
      <c r="AK37" s="55">
        <v>4188796.83246565</v>
      </c>
      <c r="AL37" s="55">
        <v>46050709.454658702</v>
      </c>
      <c r="AM37" s="55">
        <v>9505464.4839702006</v>
      </c>
      <c r="AN37" s="55">
        <v>17842364.908427902</v>
      </c>
      <c r="AO37" s="55">
        <v>3362199.60532963</v>
      </c>
      <c r="AP37" s="55">
        <v>12682565.3168176</v>
      </c>
      <c r="AQ37" s="55">
        <v>1987214.01266115</v>
      </c>
      <c r="AR37" s="55">
        <v>5104499.0634741597</v>
      </c>
      <c r="AS37" s="55">
        <v>38154941.923845701</v>
      </c>
      <c r="AT37" s="55">
        <v>274357916.10423601</v>
      </c>
      <c r="AU37" s="55">
        <v>26632162.7816424</v>
      </c>
      <c r="AV37" s="55">
        <v>156061116.80866599</v>
      </c>
      <c r="AW37" s="55">
        <v>182693279.59030801</v>
      </c>
      <c r="AX37" s="55">
        <v>0</v>
      </c>
      <c r="AY37" s="55">
        <v>182693279.59030801</v>
      </c>
      <c r="AZ37" s="55">
        <v>0</v>
      </c>
      <c r="BA37" s="55">
        <v>0</v>
      </c>
      <c r="BB37" s="55">
        <v>0</v>
      </c>
      <c r="BC37" s="55">
        <v>2705954.49598409</v>
      </c>
      <c r="BD37" s="55">
        <v>185399234.08629301</v>
      </c>
      <c r="BE37" s="55">
        <v>27767390.085102599</v>
      </c>
      <c r="BF37" s="55">
        <v>431989760.105425</v>
      </c>
    </row>
    <row r="38" spans="1:58" ht="32.4" x14ac:dyDescent="0.25">
      <c r="A38" s="128"/>
      <c r="B38" s="53" t="s">
        <v>86</v>
      </c>
      <c r="C38" s="56" t="s">
        <v>36</v>
      </c>
      <c r="D38" s="55">
        <v>2380372.7882407499</v>
      </c>
      <c r="E38" s="55">
        <v>321232.86135543702</v>
      </c>
      <c r="F38" s="55">
        <v>130830.941198361</v>
      </c>
      <c r="G38" s="55">
        <v>660885.16421326098</v>
      </c>
      <c r="H38" s="55">
        <v>51314.843354326003</v>
      </c>
      <c r="I38" s="55">
        <v>2985457.2071557702</v>
      </c>
      <c r="J38" s="55">
        <v>2795304.3033230598</v>
      </c>
      <c r="K38" s="55">
        <v>702160.28093722498</v>
      </c>
      <c r="L38" s="55">
        <v>2870632.0237698499</v>
      </c>
      <c r="M38" s="55">
        <v>297324.707152127</v>
      </c>
      <c r="N38" s="55">
        <v>2928437.6155691799</v>
      </c>
      <c r="O38" s="55">
        <v>1802778.23692655</v>
      </c>
      <c r="P38" s="55">
        <v>1073247.9677768799</v>
      </c>
      <c r="Q38" s="55">
        <v>1879832.34809695</v>
      </c>
      <c r="R38" s="55">
        <v>758487.52028575598</v>
      </c>
      <c r="S38" s="55">
        <v>759639.70492993901</v>
      </c>
      <c r="T38" s="55">
        <v>1666606.6070314299</v>
      </c>
      <c r="U38" s="55">
        <v>3216940.16125764</v>
      </c>
      <c r="V38" s="55">
        <v>2097447.4664449599</v>
      </c>
      <c r="W38" s="55">
        <v>2312784.1849024901</v>
      </c>
      <c r="X38" s="55">
        <v>739434.71481951897</v>
      </c>
      <c r="Y38" s="55">
        <v>3891181.9173671198</v>
      </c>
      <c r="Z38" s="55">
        <v>26849254.1742833</v>
      </c>
      <c r="AA38" s="55">
        <v>290368.47980838799</v>
      </c>
      <c r="AB38" s="55">
        <v>4714676.0832067998</v>
      </c>
      <c r="AC38" s="55">
        <v>378597.82045240502</v>
      </c>
      <c r="AD38" s="55">
        <v>364023.25841085502</v>
      </c>
      <c r="AE38" s="55">
        <v>39431330.986085199</v>
      </c>
      <c r="AF38" s="55">
        <v>11266280.2419986</v>
      </c>
      <c r="AG38" s="55">
        <v>36361881.152962402</v>
      </c>
      <c r="AH38" s="55">
        <v>3189231.6805301402</v>
      </c>
      <c r="AI38" s="55">
        <v>194104989.05070299</v>
      </c>
      <c r="AJ38" s="55">
        <v>41502192.8395724</v>
      </c>
      <c r="AK38" s="55">
        <v>8707730.9318200592</v>
      </c>
      <c r="AL38" s="55">
        <v>14421754.3457487</v>
      </c>
      <c r="AM38" s="55">
        <v>3120866.5165921198</v>
      </c>
      <c r="AN38" s="55">
        <v>11332785.543717699</v>
      </c>
      <c r="AO38" s="55">
        <v>1805080.1013281799</v>
      </c>
      <c r="AP38" s="55">
        <v>10760607.881895101</v>
      </c>
      <c r="AQ38" s="55">
        <v>10365566.128374999</v>
      </c>
      <c r="AR38" s="55">
        <v>2895577.2704651402</v>
      </c>
      <c r="AS38" s="55">
        <v>51257794.8407465</v>
      </c>
      <c r="AT38" s="55">
        <v>508740762.61387402</v>
      </c>
      <c r="AU38" s="55">
        <v>27729871.4639141</v>
      </c>
      <c r="AV38" s="55">
        <v>96992063.336868405</v>
      </c>
      <c r="AW38" s="55">
        <v>124721934.80078299</v>
      </c>
      <c r="AX38" s="55">
        <v>0</v>
      </c>
      <c r="AY38" s="55">
        <v>124721934.80078299</v>
      </c>
      <c r="AZ38" s="55">
        <v>328686630.65903503</v>
      </c>
      <c r="BA38" s="55">
        <v>0</v>
      </c>
      <c r="BB38" s="55">
        <v>328686630.65903503</v>
      </c>
      <c r="BC38" s="55">
        <v>30745009.333072402</v>
      </c>
      <c r="BD38" s="55">
        <v>484153574.79289001</v>
      </c>
      <c r="BE38" s="55">
        <v>27651547.580722298</v>
      </c>
      <c r="BF38" s="55">
        <v>965242789.82604098</v>
      </c>
    </row>
    <row r="39" spans="1:58" ht="21.6" x14ac:dyDescent="0.25">
      <c r="A39" s="128"/>
      <c r="B39" s="53" t="s">
        <v>89</v>
      </c>
      <c r="C39" s="56" t="s">
        <v>39</v>
      </c>
      <c r="D39" s="55">
        <v>15766818.180193</v>
      </c>
      <c r="E39" s="55">
        <v>11355297.9950202</v>
      </c>
      <c r="F39" s="55">
        <v>3523955.0546134901</v>
      </c>
      <c r="G39" s="55">
        <v>5093818.7846388901</v>
      </c>
      <c r="H39" s="55">
        <v>364840.56967419299</v>
      </c>
      <c r="I39" s="55">
        <v>6436987.4079373898</v>
      </c>
      <c r="J39" s="55">
        <v>6249925.8013545396</v>
      </c>
      <c r="K39" s="55">
        <v>2488537.4583907099</v>
      </c>
      <c r="L39" s="55">
        <v>8811327.1266631093</v>
      </c>
      <c r="M39" s="55">
        <v>5416578.4359622402</v>
      </c>
      <c r="N39" s="55">
        <v>13092551.2328758</v>
      </c>
      <c r="O39" s="55">
        <v>6602747.3756686496</v>
      </c>
      <c r="P39" s="55">
        <v>4242624.0443470702</v>
      </c>
      <c r="Q39" s="55">
        <v>14297153.9563694</v>
      </c>
      <c r="R39" s="55">
        <v>20570210.4352994</v>
      </c>
      <c r="S39" s="55">
        <v>12597606.312720601</v>
      </c>
      <c r="T39" s="55">
        <v>9590467.50565698</v>
      </c>
      <c r="U39" s="55">
        <v>7295027.1000640998</v>
      </c>
      <c r="V39" s="55">
        <v>7663645.7644708296</v>
      </c>
      <c r="W39" s="55">
        <v>5381052.8415667396</v>
      </c>
      <c r="X39" s="55">
        <v>1960594.08092552</v>
      </c>
      <c r="Y39" s="55">
        <v>9787171.45932322</v>
      </c>
      <c r="Z39" s="55">
        <v>19032060.787423901</v>
      </c>
      <c r="AA39" s="55">
        <v>1872017.3346531701</v>
      </c>
      <c r="AB39" s="55">
        <v>30701715.880519599</v>
      </c>
      <c r="AC39" s="55">
        <v>2949098.61340047</v>
      </c>
      <c r="AD39" s="55">
        <v>2337898.0729335099</v>
      </c>
      <c r="AE39" s="55">
        <v>104688408.690953</v>
      </c>
      <c r="AF39" s="55">
        <v>66615980.037014998</v>
      </c>
      <c r="AG39" s="55">
        <v>112449320.143672</v>
      </c>
      <c r="AH39" s="55">
        <v>4074223.4112146799</v>
      </c>
      <c r="AI39" s="55">
        <v>19132082.7698179</v>
      </c>
      <c r="AJ39" s="55">
        <v>88119497.319638893</v>
      </c>
      <c r="AK39" s="55">
        <v>120667640.234183</v>
      </c>
      <c r="AL39" s="55">
        <v>66178193.697203703</v>
      </c>
      <c r="AM39" s="55">
        <v>2215790.5328792399</v>
      </c>
      <c r="AN39" s="55">
        <v>20409284.7257853</v>
      </c>
      <c r="AO39" s="55">
        <v>3820089.7894017198</v>
      </c>
      <c r="AP39" s="55">
        <v>14202032.2973217</v>
      </c>
      <c r="AQ39" s="55">
        <v>3588207.51262978</v>
      </c>
      <c r="AR39" s="55">
        <v>3870128.1601535399</v>
      </c>
      <c r="AS39" s="55">
        <v>24922671.979609702</v>
      </c>
      <c r="AT39" s="55">
        <v>887946743.45575595</v>
      </c>
      <c r="AU39" s="55">
        <v>42322847.945521198</v>
      </c>
      <c r="AV39" s="55">
        <v>257666069.66063899</v>
      </c>
      <c r="AW39" s="55">
        <v>299988917.606161</v>
      </c>
      <c r="AX39" s="55">
        <v>45102452.991895698</v>
      </c>
      <c r="AY39" s="55">
        <v>345091370.59805697</v>
      </c>
      <c r="AZ39" s="55">
        <v>0</v>
      </c>
      <c r="BA39" s="55">
        <v>0</v>
      </c>
      <c r="BB39" s="55">
        <v>0</v>
      </c>
      <c r="BC39" s="55">
        <v>6895161.3437699499</v>
      </c>
      <c r="BD39" s="55">
        <v>351986531.94182599</v>
      </c>
      <c r="BE39" s="55">
        <v>10563119.925339</v>
      </c>
      <c r="BF39" s="55">
        <v>1229370155.47224</v>
      </c>
    </row>
    <row r="40" spans="1:58" x14ac:dyDescent="0.25">
      <c r="A40" s="128"/>
      <c r="B40" s="53" t="s">
        <v>90</v>
      </c>
      <c r="C40" s="56" t="s">
        <v>40</v>
      </c>
      <c r="D40" s="55">
        <v>20082.659692497</v>
      </c>
      <c r="E40" s="55">
        <v>154368.02123161001</v>
      </c>
      <c r="F40" s="55">
        <v>30567.8260411511</v>
      </c>
      <c r="G40" s="55">
        <v>19898.1266009709</v>
      </c>
      <c r="H40" s="55">
        <v>23226.7155544534</v>
      </c>
      <c r="I40" s="55">
        <v>368861.65740346297</v>
      </c>
      <c r="J40" s="55">
        <v>288885.35468097398</v>
      </c>
      <c r="K40" s="55">
        <v>231530.11877910901</v>
      </c>
      <c r="L40" s="55">
        <v>416231.79099395499</v>
      </c>
      <c r="M40" s="55">
        <v>11998.50796184</v>
      </c>
      <c r="N40" s="55">
        <v>162231.238773794</v>
      </c>
      <c r="O40" s="55">
        <v>83152.339185095101</v>
      </c>
      <c r="P40" s="55">
        <v>382335.98193726502</v>
      </c>
      <c r="Q40" s="55">
        <v>308749.03082849999</v>
      </c>
      <c r="R40" s="55">
        <v>13759.602691317399</v>
      </c>
      <c r="S40" s="55">
        <v>26366.781774939202</v>
      </c>
      <c r="T40" s="55">
        <v>274687.64752175601</v>
      </c>
      <c r="U40" s="55">
        <v>363253.37029321102</v>
      </c>
      <c r="V40" s="55">
        <v>219130.96665667699</v>
      </c>
      <c r="W40" s="55">
        <v>250810.52486964199</v>
      </c>
      <c r="X40" s="55">
        <v>146868.164765758</v>
      </c>
      <c r="Y40" s="55">
        <v>470907.96131708898</v>
      </c>
      <c r="Z40" s="55">
        <v>699524.37305979105</v>
      </c>
      <c r="AA40" s="55">
        <v>307943.65353746398</v>
      </c>
      <c r="AB40" s="55">
        <v>142396.25576479899</v>
      </c>
      <c r="AC40" s="55">
        <v>67003.995144613596</v>
      </c>
      <c r="AD40" s="55">
        <v>57196.021567538002</v>
      </c>
      <c r="AE40" s="55">
        <v>529996.06552817405</v>
      </c>
      <c r="AF40" s="55">
        <v>109562548.179287</v>
      </c>
      <c r="AG40" s="55">
        <v>15294260.5489939</v>
      </c>
      <c r="AH40" s="55">
        <v>18203225.337623</v>
      </c>
      <c r="AI40" s="55">
        <v>63369467.412171103</v>
      </c>
      <c r="AJ40" s="55">
        <v>74704849.541175306</v>
      </c>
      <c r="AK40" s="55">
        <v>44133548.918102302</v>
      </c>
      <c r="AL40" s="55">
        <v>58013520.616728298</v>
      </c>
      <c r="AM40" s="55">
        <v>3738744.5800551898</v>
      </c>
      <c r="AN40" s="55">
        <v>8758746.6943565309</v>
      </c>
      <c r="AO40" s="55">
        <v>30523399.633694999</v>
      </c>
      <c r="AP40" s="55">
        <v>21605085.831631999</v>
      </c>
      <c r="AQ40" s="55">
        <v>7425864.63189016</v>
      </c>
      <c r="AR40" s="55">
        <v>6106378.2433424303</v>
      </c>
      <c r="AS40" s="55">
        <v>16933128.687311999</v>
      </c>
      <c r="AT40" s="71">
        <v>484213203.49174303</v>
      </c>
      <c r="AU40" s="71">
        <v>106799901.48438001</v>
      </c>
      <c r="AV40" s="71">
        <v>442660375.35766399</v>
      </c>
      <c r="AW40" s="71">
        <v>549460276.842044</v>
      </c>
      <c r="AX40" s="71">
        <v>0</v>
      </c>
      <c r="AY40" s="71">
        <v>549460276.842044</v>
      </c>
      <c r="AZ40" s="71">
        <v>32960000</v>
      </c>
      <c r="BA40" s="71">
        <v>0</v>
      </c>
      <c r="BB40" s="71">
        <v>32960000</v>
      </c>
      <c r="BC40" s="71">
        <v>0</v>
      </c>
      <c r="BD40" s="85">
        <v>582420276.842044</v>
      </c>
      <c r="BE40" s="71">
        <v>0</v>
      </c>
      <c r="BF40" s="72">
        <v>1066633480.3337899</v>
      </c>
    </row>
    <row r="41" spans="1:58" ht="21.6" x14ac:dyDescent="0.25">
      <c r="A41" s="128"/>
      <c r="B41" s="53" t="s">
        <v>87</v>
      </c>
      <c r="C41" s="56" t="s">
        <v>37</v>
      </c>
      <c r="D41" s="55">
        <v>3129882.2488734</v>
      </c>
      <c r="E41" s="55">
        <v>7849725.1383739896</v>
      </c>
      <c r="F41" s="55">
        <v>1555028.2144507901</v>
      </c>
      <c r="G41" s="55">
        <v>4119545.5737890298</v>
      </c>
      <c r="H41" s="55">
        <v>372693.72858292999</v>
      </c>
      <c r="I41" s="55">
        <v>29453725.832132298</v>
      </c>
      <c r="J41" s="55">
        <v>13137051.9205012</v>
      </c>
      <c r="K41" s="55">
        <v>3192072.9113833299</v>
      </c>
      <c r="L41" s="55">
        <v>13280152.6862859</v>
      </c>
      <c r="M41" s="55">
        <v>5462401.4564253297</v>
      </c>
      <c r="N41" s="55">
        <v>12564972.5615984</v>
      </c>
      <c r="O41" s="55">
        <v>17577354.936966401</v>
      </c>
      <c r="P41" s="55">
        <v>7884997.0104298303</v>
      </c>
      <c r="Q41" s="55">
        <v>12561166.321784901</v>
      </c>
      <c r="R41" s="55">
        <v>4776147.5989378104</v>
      </c>
      <c r="S41" s="55">
        <v>2689490.4995318698</v>
      </c>
      <c r="T41" s="55">
        <v>8356979.5537029998</v>
      </c>
      <c r="U41" s="55">
        <v>11688945.121528801</v>
      </c>
      <c r="V41" s="55">
        <v>10242614.5158324</v>
      </c>
      <c r="W41" s="55">
        <v>17330624.9111703</v>
      </c>
      <c r="X41" s="55">
        <v>2164350.08201198</v>
      </c>
      <c r="Y41" s="55">
        <v>13481919.167808199</v>
      </c>
      <c r="Z41" s="55">
        <v>20098279.286866501</v>
      </c>
      <c r="AA41" s="55">
        <v>1727034.3058073199</v>
      </c>
      <c r="AB41" s="55">
        <v>4572205.4078474399</v>
      </c>
      <c r="AC41" s="55">
        <v>1778231.98856279</v>
      </c>
      <c r="AD41" s="55">
        <v>496311.83405932301</v>
      </c>
      <c r="AE41" s="55">
        <v>52549966.346371099</v>
      </c>
      <c r="AF41" s="55">
        <v>159935089.74753299</v>
      </c>
      <c r="AG41" s="55">
        <v>36186483.1966158</v>
      </c>
      <c r="AH41" s="55">
        <v>8687960.0839802604</v>
      </c>
      <c r="AI41" s="55">
        <v>74215811.333413094</v>
      </c>
      <c r="AJ41" s="55">
        <v>77042668.512262002</v>
      </c>
      <c r="AK41" s="55">
        <v>65627876.7691359</v>
      </c>
      <c r="AL41" s="55">
        <v>104609027.14887901</v>
      </c>
      <c r="AM41" s="55">
        <v>8846749.5698839799</v>
      </c>
      <c r="AN41" s="55">
        <v>27453542.088415399</v>
      </c>
      <c r="AO41" s="55">
        <v>7215213.4638893995</v>
      </c>
      <c r="AP41" s="55">
        <v>5708290.1259355703</v>
      </c>
      <c r="AQ41" s="55">
        <v>2729915.7078018002</v>
      </c>
      <c r="AR41" s="55">
        <v>7213133.8737245798</v>
      </c>
      <c r="AS41" s="55">
        <v>28124552.034899201</v>
      </c>
      <c r="AT41" s="55">
        <v>894498111.90660298</v>
      </c>
      <c r="AU41" s="55">
        <v>1757638.98538596</v>
      </c>
      <c r="AV41" s="55">
        <v>34063051.8751361</v>
      </c>
      <c r="AW41" s="55">
        <v>35820690.860522099</v>
      </c>
      <c r="AX41" s="55">
        <v>22155634.737713002</v>
      </c>
      <c r="AY41" s="55">
        <v>57976325.598235101</v>
      </c>
      <c r="AZ41" s="55">
        <v>0</v>
      </c>
      <c r="BA41" s="55">
        <v>0</v>
      </c>
      <c r="BB41" s="55">
        <v>0</v>
      </c>
      <c r="BC41" s="55">
        <v>40525349.164613903</v>
      </c>
      <c r="BD41" s="55">
        <v>98501674.762849003</v>
      </c>
      <c r="BE41" s="55">
        <v>30437186.0607545</v>
      </c>
      <c r="BF41" s="55">
        <v>962562600.60869706</v>
      </c>
    </row>
    <row r="42" spans="1:58" ht="21.6" x14ac:dyDescent="0.25">
      <c r="A42" s="128"/>
      <c r="B42" s="53" t="s">
        <v>88</v>
      </c>
      <c r="C42" s="56" t="s">
        <v>216</v>
      </c>
      <c r="D42" s="55">
        <v>0</v>
      </c>
      <c r="E42" s="55">
        <v>0</v>
      </c>
      <c r="F42" s="55">
        <v>0</v>
      </c>
      <c r="G42" s="55">
        <v>0</v>
      </c>
      <c r="H42" s="55">
        <v>0</v>
      </c>
      <c r="I42" s="55">
        <v>0</v>
      </c>
      <c r="J42" s="55">
        <v>0</v>
      </c>
      <c r="K42" s="55">
        <v>0</v>
      </c>
      <c r="L42" s="55">
        <v>0</v>
      </c>
      <c r="M42" s="55">
        <v>0</v>
      </c>
      <c r="N42" s="55">
        <v>0</v>
      </c>
      <c r="O42" s="55">
        <v>0</v>
      </c>
      <c r="P42" s="55">
        <v>0</v>
      </c>
      <c r="Q42" s="55">
        <v>0</v>
      </c>
      <c r="R42" s="55">
        <v>0</v>
      </c>
      <c r="S42" s="55">
        <v>0</v>
      </c>
      <c r="T42" s="55">
        <v>0</v>
      </c>
      <c r="U42" s="55">
        <v>0</v>
      </c>
      <c r="V42" s="55">
        <v>0</v>
      </c>
      <c r="W42" s="55">
        <v>0</v>
      </c>
      <c r="X42" s="55">
        <v>0</v>
      </c>
      <c r="Y42" s="55">
        <v>0</v>
      </c>
      <c r="Z42" s="55">
        <v>0</v>
      </c>
      <c r="AA42" s="55">
        <v>0</v>
      </c>
      <c r="AB42" s="55">
        <v>0</v>
      </c>
      <c r="AC42" s="55">
        <v>0</v>
      </c>
      <c r="AD42" s="55">
        <v>0</v>
      </c>
      <c r="AE42" s="55">
        <v>0</v>
      </c>
      <c r="AF42" s="55">
        <v>0</v>
      </c>
      <c r="AG42" s="55">
        <v>0</v>
      </c>
      <c r="AH42" s="55">
        <v>0</v>
      </c>
      <c r="AI42" s="55">
        <v>0</v>
      </c>
      <c r="AJ42" s="55">
        <v>0</v>
      </c>
      <c r="AK42" s="55">
        <v>0</v>
      </c>
      <c r="AL42" s="55">
        <v>0</v>
      </c>
      <c r="AM42" s="55">
        <v>860250.38824139803</v>
      </c>
      <c r="AN42" s="55">
        <v>0</v>
      </c>
      <c r="AO42" s="55">
        <v>0</v>
      </c>
      <c r="AP42" s="55">
        <v>0</v>
      </c>
      <c r="AQ42" s="55">
        <v>0</v>
      </c>
      <c r="AR42" s="55">
        <v>0</v>
      </c>
      <c r="AS42" s="55">
        <v>0</v>
      </c>
      <c r="AT42" s="71">
        <v>860250.38824139803</v>
      </c>
      <c r="AU42" s="71">
        <v>0</v>
      </c>
      <c r="AV42" s="71">
        <v>0</v>
      </c>
      <c r="AW42" s="71">
        <v>0</v>
      </c>
      <c r="AX42" s="71">
        <v>60926779.103685901</v>
      </c>
      <c r="AY42" s="71">
        <v>60926779.103685901</v>
      </c>
      <c r="AZ42" s="71">
        <v>187839985.89905101</v>
      </c>
      <c r="BA42" s="71">
        <v>0</v>
      </c>
      <c r="BB42" s="71">
        <v>187839985.89905101</v>
      </c>
      <c r="BC42" s="71">
        <v>9676778.9460403305</v>
      </c>
      <c r="BD42" s="85">
        <v>258443543.94877699</v>
      </c>
      <c r="BE42" s="71">
        <v>27747226.1777905</v>
      </c>
      <c r="BF42" s="72">
        <v>231556568.159228</v>
      </c>
    </row>
    <row r="43" spans="1:58" ht="21.6" x14ac:dyDescent="0.25">
      <c r="A43" s="128"/>
      <c r="B43" s="53" t="s">
        <v>91</v>
      </c>
      <c r="C43" s="56" t="s">
        <v>41</v>
      </c>
      <c r="D43" s="55">
        <v>8183686.4984879</v>
      </c>
      <c r="E43" s="55">
        <v>2051462.5413861801</v>
      </c>
      <c r="F43" s="55">
        <v>439977.22522319399</v>
      </c>
      <c r="G43" s="55">
        <v>2152967.3999973601</v>
      </c>
      <c r="H43" s="55">
        <v>231921.08252613299</v>
      </c>
      <c r="I43" s="55">
        <v>1676472.6376771899</v>
      </c>
      <c r="J43" s="55">
        <v>1471681.3707582799</v>
      </c>
      <c r="K43" s="55">
        <v>953469.34393643099</v>
      </c>
      <c r="L43" s="55">
        <v>2297490.7446818901</v>
      </c>
      <c r="M43" s="55">
        <v>231164.630889436</v>
      </c>
      <c r="N43" s="55">
        <v>7275667.2874377202</v>
      </c>
      <c r="O43" s="55">
        <v>1930217.26939713</v>
      </c>
      <c r="P43" s="55">
        <v>1274308.3404329901</v>
      </c>
      <c r="Q43" s="55">
        <v>2805612.4768574801</v>
      </c>
      <c r="R43" s="55">
        <v>2192418.97039587</v>
      </c>
      <c r="S43" s="55">
        <v>1092155.93932901</v>
      </c>
      <c r="T43" s="55">
        <v>2353821.5669880202</v>
      </c>
      <c r="U43" s="55">
        <v>2501260.76717408</v>
      </c>
      <c r="V43" s="55">
        <v>3941338.7136013</v>
      </c>
      <c r="W43" s="55">
        <v>7517546.71555347</v>
      </c>
      <c r="X43" s="55">
        <v>1917876.8857104699</v>
      </c>
      <c r="Y43" s="55">
        <v>3565826.6950027798</v>
      </c>
      <c r="Z43" s="55">
        <v>10154751.005095899</v>
      </c>
      <c r="AA43" s="55">
        <v>228523.154110395</v>
      </c>
      <c r="AB43" s="55">
        <v>3652469.7056428902</v>
      </c>
      <c r="AC43" s="55">
        <v>10048.662790447601</v>
      </c>
      <c r="AD43" s="55">
        <v>43760.738152455699</v>
      </c>
      <c r="AE43" s="55">
        <v>240915312.73825899</v>
      </c>
      <c r="AF43" s="55">
        <v>11282048.0261098</v>
      </c>
      <c r="AG43" s="55">
        <v>3801996.45327027</v>
      </c>
      <c r="AH43" s="55">
        <v>167826.700410252</v>
      </c>
      <c r="AI43" s="55">
        <v>3281325.0035332399</v>
      </c>
      <c r="AJ43" s="55">
        <v>841145.41304402298</v>
      </c>
      <c r="AK43" s="55">
        <v>886848.71732186596</v>
      </c>
      <c r="AL43" s="55">
        <v>123358.933337507</v>
      </c>
      <c r="AM43" s="55">
        <v>13591265.8409639</v>
      </c>
      <c r="AN43" s="55">
        <v>72827591.494632795</v>
      </c>
      <c r="AO43" s="55">
        <v>14101.0968310876</v>
      </c>
      <c r="AP43" s="55">
        <v>1373597.44737479</v>
      </c>
      <c r="AQ43" s="55">
        <v>250745.104060527</v>
      </c>
      <c r="AR43" s="55">
        <v>31778.2614969229</v>
      </c>
      <c r="AS43" s="55">
        <v>690117.10367164598</v>
      </c>
      <c r="AT43" s="55">
        <v>421273487.35961699</v>
      </c>
      <c r="AU43" s="55">
        <v>845712.72625391802</v>
      </c>
      <c r="AV43" s="55">
        <v>3554225.2271068501</v>
      </c>
      <c r="AW43" s="55">
        <v>4399937.9533607699</v>
      </c>
      <c r="AX43" s="55">
        <v>85393018.048174903</v>
      </c>
      <c r="AY43" s="55">
        <v>89792956.001535699</v>
      </c>
      <c r="AZ43" s="55">
        <v>8718585.0500000007</v>
      </c>
      <c r="BA43" s="55">
        <v>0</v>
      </c>
      <c r="BB43" s="55">
        <v>8718585.0500000007</v>
      </c>
      <c r="BC43" s="55">
        <v>1387.71592662749</v>
      </c>
      <c r="BD43" s="55">
        <v>98512928.767462298</v>
      </c>
      <c r="BE43" s="55">
        <v>546.59866212170198</v>
      </c>
      <c r="BF43" s="55">
        <v>519785869.52841699</v>
      </c>
    </row>
    <row r="44" spans="1:58" ht="32.4" x14ac:dyDescent="0.25">
      <c r="A44" s="128"/>
      <c r="B44" s="53" t="s">
        <v>96</v>
      </c>
      <c r="C44" s="54" t="s">
        <v>46</v>
      </c>
      <c r="D44" s="55">
        <v>1162397.39834427</v>
      </c>
      <c r="E44" s="55">
        <v>1569830.502662</v>
      </c>
      <c r="F44" s="55">
        <v>159386.41042071499</v>
      </c>
      <c r="G44" s="55">
        <v>318946.29647918901</v>
      </c>
      <c r="H44" s="55">
        <v>31443.2389671735</v>
      </c>
      <c r="I44" s="55">
        <v>1801970.03318312</v>
      </c>
      <c r="J44" s="55">
        <v>1266265.8232640999</v>
      </c>
      <c r="K44" s="55">
        <v>748904.04015807004</v>
      </c>
      <c r="L44" s="55">
        <v>1959896.55437019</v>
      </c>
      <c r="M44" s="55">
        <v>696299.77172118402</v>
      </c>
      <c r="N44" s="55">
        <v>1882933.6113621099</v>
      </c>
      <c r="O44" s="55">
        <v>1374331.9906798201</v>
      </c>
      <c r="P44" s="55">
        <v>1144520.54790092</v>
      </c>
      <c r="Q44" s="55">
        <v>2152188.0837502601</v>
      </c>
      <c r="R44" s="55">
        <v>1142727.12728802</v>
      </c>
      <c r="S44" s="55">
        <v>369600.17646541999</v>
      </c>
      <c r="T44" s="55">
        <v>1871053.2094211699</v>
      </c>
      <c r="U44" s="55">
        <v>2177435.0947761</v>
      </c>
      <c r="V44" s="55">
        <v>1440596.56517176</v>
      </c>
      <c r="W44" s="55">
        <v>3661165.3887218498</v>
      </c>
      <c r="X44" s="55">
        <v>475779.72318513901</v>
      </c>
      <c r="Y44" s="55">
        <v>2650589.9530470702</v>
      </c>
      <c r="Z44" s="55">
        <v>3183056.1609925302</v>
      </c>
      <c r="AA44" s="55">
        <v>353088.74108188797</v>
      </c>
      <c r="AB44" s="55">
        <v>2395782.91856207</v>
      </c>
      <c r="AC44" s="55">
        <v>247361.96540363299</v>
      </c>
      <c r="AD44" s="55">
        <v>377392.45383433398</v>
      </c>
      <c r="AE44" s="55">
        <v>18589278.348517202</v>
      </c>
      <c r="AF44" s="55">
        <v>10936817.248268301</v>
      </c>
      <c r="AG44" s="55">
        <v>17956064.926748902</v>
      </c>
      <c r="AH44" s="55">
        <v>2370048.7500258801</v>
      </c>
      <c r="AI44" s="55">
        <v>2165345.5165395201</v>
      </c>
      <c r="AJ44" s="55">
        <v>3686570.7058681101</v>
      </c>
      <c r="AK44" s="55">
        <v>1817217.87257167</v>
      </c>
      <c r="AL44" s="55">
        <v>7553140.62261423</v>
      </c>
      <c r="AM44" s="55">
        <v>3501305.2251438298</v>
      </c>
      <c r="AN44" s="55">
        <v>6088183.5300455596</v>
      </c>
      <c r="AO44" s="55">
        <v>5478387.8782970803</v>
      </c>
      <c r="AP44" s="55">
        <v>6387727.0345332203</v>
      </c>
      <c r="AQ44" s="55">
        <v>3728248.68452788</v>
      </c>
      <c r="AR44" s="55">
        <v>2160584.8214631998</v>
      </c>
      <c r="AS44" s="55">
        <v>21334218.202364098</v>
      </c>
      <c r="AT44" s="55">
        <v>149619179.108585</v>
      </c>
      <c r="AU44" s="55">
        <v>25532574.6362359</v>
      </c>
      <c r="AV44" s="55">
        <v>126223906.314163</v>
      </c>
      <c r="AW44" s="55">
        <v>151756480.95039901</v>
      </c>
      <c r="AX44" s="55">
        <v>0</v>
      </c>
      <c r="AY44" s="55">
        <v>151756480.95039901</v>
      </c>
      <c r="AZ44" s="55">
        <v>0</v>
      </c>
      <c r="BA44" s="55">
        <v>0</v>
      </c>
      <c r="BB44" s="55">
        <v>0</v>
      </c>
      <c r="BC44" s="55">
        <v>97675.720235379995</v>
      </c>
      <c r="BD44" s="55">
        <v>151854156.670634</v>
      </c>
      <c r="BE44" s="55">
        <v>1135747.05678996</v>
      </c>
      <c r="BF44" s="55">
        <v>300337588.72242898</v>
      </c>
    </row>
    <row r="45" spans="1:58" x14ac:dyDescent="0.25">
      <c r="A45" s="128"/>
      <c r="B45" s="53" t="s">
        <v>93</v>
      </c>
      <c r="C45" s="54" t="s">
        <v>43</v>
      </c>
      <c r="D45" s="55">
        <v>167081.06331998101</v>
      </c>
      <c r="E45" s="55">
        <v>84289.854237092994</v>
      </c>
      <c r="F45" s="55">
        <v>10224.641401065899</v>
      </c>
      <c r="G45" s="55">
        <v>24879.367741705501</v>
      </c>
      <c r="H45" s="55">
        <v>2741.1637729004301</v>
      </c>
      <c r="I45" s="55">
        <v>142405.141809283</v>
      </c>
      <c r="J45" s="55">
        <v>107412.081915253</v>
      </c>
      <c r="K45" s="55">
        <v>64124.256356654798</v>
      </c>
      <c r="L45" s="55">
        <v>108319.73984558</v>
      </c>
      <c r="M45" s="55">
        <v>38711.843107244502</v>
      </c>
      <c r="N45" s="55">
        <v>101524.864179033</v>
      </c>
      <c r="O45" s="55">
        <v>107005.794391859</v>
      </c>
      <c r="P45" s="55">
        <v>53348.195398323602</v>
      </c>
      <c r="Q45" s="55">
        <v>126924.069557151</v>
      </c>
      <c r="R45" s="55">
        <v>33654.308581612502</v>
      </c>
      <c r="S45" s="55">
        <v>28190.028241189699</v>
      </c>
      <c r="T45" s="55">
        <v>113665.885247161</v>
      </c>
      <c r="U45" s="55">
        <v>153989.56078336501</v>
      </c>
      <c r="V45" s="55">
        <v>99155.720747533502</v>
      </c>
      <c r="W45" s="55">
        <v>104298.948935405</v>
      </c>
      <c r="X45" s="55">
        <v>28793.430408637301</v>
      </c>
      <c r="Y45" s="55">
        <v>91487.399886738101</v>
      </c>
      <c r="Z45" s="55">
        <v>136697.887802376</v>
      </c>
      <c r="AA45" s="55">
        <v>37989.488503676097</v>
      </c>
      <c r="AB45" s="55">
        <v>21622.444301002401</v>
      </c>
      <c r="AC45" s="55">
        <v>20627.188815816298</v>
      </c>
      <c r="AD45" s="55">
        <v>25220.108459746101</v>
      </c>
      <c r="AE45" s="55">
        <v>864553.12834388402</v>
      </c>
      <c r="AF45" s="55">
        <v>1556026.8212163199</v>
      </c>
      <c r="AG45" s="55">
        <v>1314848.2779828501</v>
      </c>
      <c r="AH45" s="55">
        <v>298521.32652886497</v>
      </c>
      <c r="AI45" s="55">
        <v>578304.51939634897</v>
      </c>
      <c r="AJ45" s="55">
        <v>3102120.9427249501</v>
      </c>
      <c r="AK45" s="55">
        <v>274596.44974074</v>
      </c>
      <c r="AL45" s="55">
        <v>576898.76788159704</v>
      </c>
      <c r="AM45" s="55">
        <v>142839.265608974</v>
      </c>
      <c r="AN45" s="55">
        <v>492632.15666866698</v>
      </c>
      <c r="AO45" s="55">
        <v>189130.321780453</v>
      </c>
      <c r="AP45" s="55">
        <v>7696008.6095650997</v>
      </c>
      <c r="AQ45" s="55">
        <v>792734.63606964098</v>
      </c>
      <c r="AR45" s="55">
        <v>245179.80757904201</v>
      </c>
      <c r="AS45" s="55">
        <v>7577069.9852550402</v>
      </c>
      <c r="AT45" s="71">
        <v>27671725.2377332</v>
      </c>
      <c r="AU45" s="71">
        <v>51147978.3054616</v>
      </c>
      <c r="AV45" s="71">
        <v>183950274.18251199</v>
      </c>
      <c r="AW45" s="71">
        <v>235098252.48797399</v>
      </c>
      <c r="AX45" s="71">
        <v>269717581.40908903</v>
      </c>
      <c r="AY45" s="71">
        <v>504815833.89706302</v>
      </c>
      <c r="AZ45" s="71">
        <v>0</v>
      </c>
      <c r="BA45" s="71">
        <v>0</v>
      </c>
      <c r="BB45" s="71">
        <v>0</v>
      </c>
      <c r="BC45" s="71">
        <v>0</v>
      </c>
      <c r="BD45" s="85">
        <v>504815833.89706302</v>
      </c>
      <c r="BE45" s="71">
        <v>0</v>
      </c>
      <c r="BF45" s="72">
        <v>532487559.13479602</v>
      </c>
    </row>
    <row r="46" spans="1:58" ht="21.6" x14ac:dyDescent="0.25">
      <c r="A46" s="128"/>
      <c r="B46" s="53" t="s">
        <v>94</v>
      </c>
      <c r="C46" s="54" t="s">
        <v>44</v>
      </c>
      <c r="D46" s="55">
        <v>106215.237680217</v>
      </c>
      <c r="E46" s="55">
        <v>145358.06994113699</v>
      </c>
      <c r="F46" s="55">
        <v>13148.4182333425</v>
      </c>
      <c r="G46" s="55">
        <v>97022.232795075601</v>
      </c>
      <c r="H46" s="55">
        <v>0</v>
      </c>
      <c r="I46" s="55">
        <v>74031.800856356902</v>
      </c>
      <c r="J46" s="55">
        <v>124131.532760006</v>
      </c>
      <c r="K46" s="55">
        <v>48373.441422995304</v>
      </c>
      <c r="L46" s="55">
        <v>136284.37427054701</v>
      </c>
      <c r="M46" s="55">
        <v>838032.64446160104</v>
      </c>
      <c r="N46" s="55">
        <v>95879.754534086795</v>
      </c>
      <c r="O46" s="55">
        <v>62106.358939058096</v>
      </c>
      <c r="P46" s="55">
        <v>11596.239364290401</v>
      </c>
      <c r="Q46" s="55">
        <v>239737.57158259401</v>
      </c>
      <c r="R46" s="55">
        <v>295395.38169873803</v>
      </c>
      <c r="S46" s="55">
        <v>97498.299766050404</v>
      </c>
      <c r="T46" s="55">
        <v>270233.491610175</v>
      </c>
      <c r="U46" s="55">
        <v>412737.91321225301</v>
      </c>
      <c r="V46" s="55">
        <v>261703.144700056</v>
      </c>
      <c r="W46" s="55">
        <v>235573.381728295</v>
      </c>
      <c r="X46" s="55">
        <v>109811.424117341</v>
      </c>
      <c r="Y46" s="55">
        <v>307450.819624611</v>
      </c>
      <c r="Z46" s="55">
        <v>179407.08534904299</v>
      </c>
      <c r="AA46" s="55">
        <v>18328.046797860901</v>
      </c>
      <c r="AB46" s="55">
        <v>352667.83560781798</v>
      </c>
      <c r="AC46" s="55">
        <v>37394.683584889899</v>
      </c>
      <c r="AD46" s="55">
        <v>1848.0922850486199</v>
      </c>
      <c r="AE46" s="55">
        <v>1215493.8554378501</v>
      </c>
      <c r="AF46" s="55">
        <v>406174.54678361397</v>
      </c>
      <c r="AG46" s="55">
        <v>587224.05550180702</v>
      </c>
      <c r="AH46" s="55">
        <v>11028.5522628691</v>
      </c>
      <c r="AI46" s="55">
        <v>25143.2503734001</v>
      </c>
      <c r="AJ46" s="55">
        <v>276897.04805117298</v>
      </c>
      <c r="AK46" s="55">
        <v>2491.9250806641799</v>
      </c>
      <c r="AL46" s="55">
        <v>6425.4900946637299</v>
      </c>
      <c r="AM46" s="55">
        <v>19498.6720649739</v>
      </c>
      <c r="AN46" s="55">
        <v>42542.071286025603</v>
      </c>
      <c r="AO46" s="55">
        <v>73930.962060457401</v>
      </c>
      <c r="AP46" s="55">
        <v>205486.83568988601</v>
      </c>
      <c r="AQ46" s="55">
        <v>2877366.5264608702</v>
      </c>
      <c r="AR46" s="55">
        <v>50119.284817291198</v>
      </c>
      <c r="AS46" s="55">
        <v>2428769.2972212601</v>
      </c>
      <c r="AT46" s="55">
        <v>12752186.2086873</v>
      </c>
      <c r="AU46" s="55">
        <v>42485967.983507901</v>
      </c>
      <c r="AV46" s="55">
        <v>129168822.75693101</v>
      </c>
      <c r="AW46" s="55">
        <v>171654790.740439</v>
      </c>
      <c r="AX46" s="55">
        <v>316703292.12673497</v>
      </c>
      <c r="AY46" s="55">
        <v>488358082.86717498</v>
      </c>
      <c r="AZ46" s="55">
        <v>0</v>
      </c>
      <c r="BA46" s="55">
        <v>0</v>
      </c>
      <c r="BB46" s="55">
        <v>0</v>
      </c>
      <c r="BC46" s="55">
        <v>156974.417010226</v>
      </c>
      <c r="BD46" s="55">
        <v>488515057.28418499</v>
      </c>
      <c r="BE46" s="55">
        <v>1195045.7535647999</v>
      </c>
      <c r="BF46" s="55">
        <v>500072197.73930699</v>
      </c>
    </row>
    <row r="47" spans="1:58" ht="21.6" x14ac:dyDescent="0.25">
      <c r="A47" s="129"/>
      <c r="B47" s="53" t="s">
        <v>95</v>
      </c>
      <c r="C47" s="54" t="s">
        <v>45</v>
      </c>
      <c r="D47" s="55">
        <v>101045.02514810501</v>
      </c>
      <c r="E47" s="55">
        <v>272786.24574653298</v>
      </c>
      <c r="F47" s="55">
        <v>124921.03606311799</v>
      </c>
      <c r="G47" s="55">
        <v>173463.23050387</v>
      </c>
      <c r="H47" s="55">
        <v>14812.9162275039</v>
      </c>
      <c r="I47" s="55">
        <v>892690.76597648195</v>
      </c>
      <c r="J47" s="55">
        <v>884858.03298067697</v>
      </c>
      <c r="K47" s="55">
        <v>293822.58571970498</v>
      </c>
      <c r="L47" s="55">
        <v>602336.95172100305</v>
      </c>
      <c r="M47" s="55">
        <v>314077.591861205</v>
      </c>
      <c r="N47" s="55">
        <v>651094.05702456005</v>
      </c>
      <c r="O47" s="55">
        <v>589693.41626355704</v>
      </c>
      <c r="P47" s="55">
        <v>512136.73889198498</v>
      </c>
      <c r="Q47" s="55">
        <v>908100.80465258402</v>
      </c>
      <c r="R47" s="55">
        <v>616659.72771512298</v>
      </c>
      <c r="S47" s="55">
        <v>354148.93016056699</v>
      </c>
      <c r="T47" s="55">
        <v>453650.45673186501</v>
      </c>
      <c r="U47" s="55">
        <v>1050252.89346804</v>
      </c>
      <c r="V47" s="55">
        <v>537971.46867107402</v>
      </c>
      <c r="W47" s="55">
        <v>1486140.9349438499</v>
      </c>
      <c r="X47" s="55">
        <v>118962.458864416</v>
      </c>
      <c r="Y47" s="55">
        <v>840454.18709472299</v>
      </c>
      <c r="Z47" s="55">
        <v>1170344.7401956799</v>
      </c>
      <c r="AA47" s="55">
        <v>133269.637445689</v>
      </c>
      <c r="AB47" s="55">
        <v>1003080.19417144</v>
      </c>
      <c r="AC47" s="55">
        <v>100502.293601321</v>
      </c>
      <c r="AD47" s="55">
        <v>133827.511142723</v>
      </c>
      <c r="AE47" s="55">
        <v>2820755.1566284001</v>
      </c>
      <c r="AF47" s="55">
        <v>1726967.78773693</v>
      </c>
      <c r="AG47" s="55">
        <v>2556352.1957594301</v>
      </c>
      <c r="AH47" s="55">
        <v>673854.67137308198</v>
      </c>
      <c r="AI47" s="55">
        <v>3618427.7880632998</v>
      </c>
      <c r="AJ47" s="55">
        <v>10689187.563694401</v>
      </c>
      <c r="AK47" s="55">
        <v>1317653.5526413701</v>
      </c>
      <c r="AL47" s="55">
        <v>3954591.75091724</v>
      </c>
      <c r="AM47" s="55">
        <v>1136981.26714152</v>
      </c>
      <c r="AN47" s="55">
        <v>1310351.5431092801</v>
      </c>
      <c r="AO47" s="55">
        <v>1135591.42365731</v>
      </c>
      <c r="AP47" s="55">
        <v>2393374.7948408402</v>
      </c>
      <c r="AQ47" s="55">
        <v>320154.61876981898</v>
      </c>
      <c r="AR47" s="55">
        <v>9232824.9229271002</v>
      </c>
      <c r="AS47" s="55">
        <v>7009132.01954374</v>
      </c>
      <c r="AT47" s="55">
        <v>63937483.304071501</v>
      </c>
      <c r="AU47" s="55">
        <v>6949619.4697179999</v>
      </c>
      <c r="AV47" s="55">
        <v>46077777.730733201</v>
      </c>
      <c r="AW47" s="55">
        <v>53027397.2004513</v>
      </c>
      <c r="AX47" s="55">
        <v>42038587.777548403</v>
      </c>
      <c r="AY47" s="55">
        <v>95065984.977999702</v>
      </c>
      <c r="AZ47" s="55">
        <v>5234595.2386050001</v>
      </c>
      <c r="BA47" s="55">
        <v>0</v>
      </c>
      <c r="BB47" s="55">
        <v>5234595.2386050001</v>
      </c>
      <c r="BC47" s="55">
        <v>2845384.0510386499</v>
      </c>
      <c r="BD47" s="55">
        <v>103145964.267643</v>
      </c>
      <c r="BE47" s="55">
        <v>11240037.806422999</v>
      </c>
      <c r="BF47" s="55">
        <v>155843409.76529199</v>
      </c>
    </row>
    <row r="48" spans="1:58" ht="64.8" x14ac:dyDescent="0.25">
      <c r="A48" s="129"/>
      <c r="B48" s="57" t="s">
        <v>92</v>
      </c>
      <c r="C48" s="58" t="s">
        <v>42</v>
      </c>
      <c r="D48" s="55">
        <v>2218338.16994897</v>
      </c>
      <c r="E48" s="55">
        <v>170589.800633999</v>
      </c>
      <c r="F48" s="55">
        <v>68564.346294652496</v>
      </c>
      <c r="G48" s="55">
        <v>381286.092953121</v>
      </c>
      <c r="H48" s="55">
        <v>6404.45782702217</v>
      </c>
      <c r="I48" s="55">
        <v>744385.28616053297</v>
      </c>
      <c r="J48" s="55">
        <v>1061636.42096733</v>
      </c>
      <c r="K48" s="55">
        <v>206439.772357999</v>
      </c>
      <c r="L48" s="55">
        <v>1142978.60926435</v>
      </c>
      <c r="M48" s="55">
        <v>311356.10523940402</v>
      </c>
      <c r="N48" s="55">
        <v>791949.19199301605</v>
      </c>
      <c r="O48" s="55">
        <v>435720.76876894699</v>
      </c>
      <c r="P48" s="55">
        <v>309871.61828668701</v>
      </c>
      <c r="Q48" s="55">
        <v>856417.18560591305</v>
      </c>
      <c r="R48" s="55">
        <v>784447.27819461201</v>
      </c>
      <c r="S48" s="55">
        <v>306087.66247642698</v>
      </c>
      <c r="T48" s="55">
        <v>464907.68478573702</v>
      </c>
      <c r="U48" s="55">
        <v>572919.98814629402</v>
      </c>
      <c r="V48" s="55">
        <v>527225.18052168202</v>
      </c>
      <c r="W48" s="55">
        <v>475969.02719961503</v>
      </c>
      <c r="X48" s="55">
        <v>150409.71021635999</v>
      </c>
      <c r="Y48" s="55">
        <v>491132.18928094301</v>
      </c>
      <c r="Z48" s="55">
        <v>693755.09776254999</v>
      </c>
      <c r="AA48" s="55">
        <v>255387.07343101999</v>
      </c>
      <c r="AB48" s="55">
        <v>2290386.2312107701</v>
      </c>
      <c r="AC48" s="55">
        <v>42898.682570969402</v>
      </c>
      <c r="AD48" s="55">
        <v>2249050.71523877</v>
      </c>
      <c r="AE48" s="55">
        <v>1559132.3260945501</v>
      </c>
      <c r="AF48" s="55">
        <v>2371629.7879335298</v>
      </c>
      <c r="AG48" s="55">
        <v>2600955.7611404499</v>
      </c>
      <c r="AH48" s="55">
        <v>438174.50092017598</v>
      </c>
      <c r="AI48" s="55">
        <v>1620394.8104171399</v>
      </c>
      <c r="AJ48" s="55">
        <v>2570161.0492694802</v>
      </c>
      <c r="AK48" s="55">
        <v>1739467.0457202799</v>
      </c>
      <c r="AL48" s="55">
        <v>5069918.3359142998</v>
      </c>
      <c r="AM48" s="55">
        <v>882539.290159881</v>
      </c>
      <c r="AN48" s="55">
        <v>1181929.4120684301</v>
      </c>
      <c r="AO48" s="55">
        <v>698723.42318731395</v>
      </c>
      <c r="AP48" s="55">
        <v>1484594.00087425</v>
      </c>
      <c r="AQ48" s="55">
        <v>564644.29917350505</v>
      </c>
      <c r="AR48" s="55">
        <v>505031.57338165899</v>
      </c>
      <c r="AS48" s="55">
        <v>26343336.572392602</v>
      </c>
      <c r="AT48" s="55">
        <v>67434706.763627201</v>
      </c>
      <c r="AU48" s="55">
        <v>1372114.9414001999</v>
      </c>
      <c r="AV48" s="55">
        <v>10228084.0427323</v>
      </c>
      <c r="AW48" s="55">
        <v>11600198.9841325</v>
      </c>
      <c r="AX48" s="55">
        <v>831789109.69228995</v>
      </c>
      <c r="AY48" s="55">
        <v>843389308.67642295</v>
      </c>
      <c r="AZ48" s="55">
        <v>0</v>
      </c>
      <c r="BA48" s="55">
        <v>0</v>
      </c>
      <c r="BB48" s="55">
        <v>0</v>
      </c>
      <c r="BC48" s="55">
        <v>2027457.97120951</v>
      </c>
      <c r="BD48" s="55">
        <v>845416766.647632</v>
      </c>
      <c r="BE48" s="55">
        <v>5145286.0546714598</v>
      </c>
      <c r="BF48" s="55">
        <v>907706187.35658896</v>
      </c>
    </row>
    <row r="49" spans="1:58" ht="21.6" x14ac:dyDescent="0.25">
      <c r="A49" s="130"/>
      <c r="B49" s="53" t="s">
        <v>131</v>
      </c>
      <c r="C49" s="59" t="s">
        <v>132</v>
      </c>
      <c r="D49" s="55">
        <v>509936007.83290499</v>
      </c>
      <c r="E49" s="60">
        <v>115074114.182427</v>
      </c>
      <c r="F49" s="60">
        <v>39965777.405821703</v>
      </c>
      <c r="G49" s="55">
        <v>89225006.090691999</v>
      </c>
      <c r="H49" s="60">
        <v>11697851.3445873</v>
      </c>
      <c r="I49" s="55">
        <v>944349112.04855895</v>
      </c>
      <c r="J49" s="55">
        <v>612910570.17605805</v>
      </c>
      <c r="K49" s="55">
        <v>209811561.58664599</v>
      </c>
      <c r="L49" s="55">
        <v>532655360.11431199</v>
      </c>
      <c r="M49" s="55">
        <v>308742520.01074702</v>
      </c>
      <c r="N49" s="55">
        <v>657082874.06989598</v>
      </c>
      <c r="O49" s="60">
        <v>214220106.74311599</v>
      </c>
      <c r="P49" s="55">
        <v>271752322.20946503</v>
      </c>
      <c r="Q49" s="55">
        <v>502451885.34110802</v>
      </c>
      <c r="R49" s="55">
        <v>527215627.05245101</v>
      </c>
      <c r="S49" s="55">
        <v>405092577.33342397</v>
      </c>
      <c r="T49" s="60">
        <v>392283911.70928401</v>
      </c>
      <c r="U49" s="55">
        <v>408823033.829274</v>
      </c>
      <c r="V49" s="55">
        <v>289399787.58034599</v>
      </c>
      <c r="W49" s="55">
        <v>560981019.69476998</v>
      </c>
      <c r="X49" s="55">
        <v>123772340.76138601</v>
      </c>
      <c r="Y49" s="55">
        <v>576339416.35805202</v>
      </c>
      <c r="Z49" s="55">
        <v>997209171.28219903</v>
      </c>
      <c r="AA49" s="55">
        <v>67374684.173955798</v>
      </c>
      <c r="AB49" s="60">
        <v>481153559.47209102</v>
      </c>
      <c r="AC49" s="60">
        <v>61699158.676141098</v>
      </c>
      <c r="AD49" s="60">
        <v>20179486.0771177</v>
      </c>
      <c r="AE49" s="55">
        <v>2140212041.6698599</v>
      </c>
      <c r="AF49" s="55">
        <v>544911283.67056894</v>
      </c>
      <c r="AG49" s="55">
        <v>742396331.70950198</v>
      </c>
      <c r="AH49" s="55">
        <v>286469176.51749498</v>
      </c>
      <c r="AI49" s="55">
        <v>517228345.932208</v>
      </c>
      <c r="AJ49" s="55">
        <v>393198764.34313899</v>
      </c>
      <c r="AK49" s="60">
        <v>296965938.19792998</v>
      </c>
      <c r="AL49" s="55">
        <v>644035496.54548001</v>
      </c>
      <c r="AM49" s="60">
        <v>135629401.96656099</v>
      </c>
      <c r="AN49" s="55">
        <v>334643313.50259602</v>
      </c>
      <c r="AO49" s="55">
        <v>143060914.191484</v>
      </c>
      <c r="AP49" s="60">
        <v>159195396.710307</v>
      </c>
      <c r="AQ49" s="55">
        <v>291866517.47499102</v>
      </c>
      <c r="AR49" s="55">
        <v>77833015.035403907</v>
      </c>
      <c r="AS49" s="55">
        <v>396824813.745969</v>
      </c>
      <c r="AT49" s="60">
        <v>16826058032.783701</v>
      </c>
      <c r="AU49" s="60">
        <v>816642871.61719298</v>
      </c>
      <c r="AV49" s="60">
        <v>3023440277.9689298</v>
      </c>
      <c r="AW49" s="60">
        <v>3840083149.5861201</v>
      </c>
      <c r="AX49" s="60">
        <v>1736253794.41957</v>
      </c>
      <c r="AY49" s="60">
        <v>5576336944.0056896</v>
      </c>
      <c r="AZ49" s="60">
        <v>4243704003.37183</v>
      </c>
      <c r="BA49" s="60">
        <v>91509937.677221596</v>
      </c>
      <c r="BB49" s="60">
        <v>4335213941.0490599</v>
      </c>
      <c r="BC49" s="60">
        <v>1879260657.23314</v>
      </c>
      <c r="BD49" s="60">
        <v>11790811542.287901</v>
      </c>
      <c r="BE49" s="60">
        <v>1626591529.6393001</v>
      </c>
      <c r="BF49" s="91">
        <v>26990278045.432301</v>
      </c>
    </row>
    <row r="50" spans="1:58" x14ac:dyDescent="0.25">
      <c r="A50" s="131" t="s">
        <v>133</v>
      </c>
      <c r="B50" s="61" t="s">
        <v>134</v>
      </c>
      <c r="C50" s="62" t="s">
        <v>135</v>
      </c>
      <c r="D50" s="55">
        <v>821109376.63205099</v>
      </c>
      <c r="E50" s="55">
        <v>49156975.956210703</v>
      </c>
      <c r="F50" s="55">
        <v>10684586.807827801</v>
      </c>
      <c r="G50" s="55">
        <v>34146732.260801703</v>
      </c>
      <c r="H50" s="55">
        <v>9070894.7857753504</v>
      </c>
      <c r="I50" s="55">
        <v>92288059.905675799</v>
      </c>
      <c r="J50" s="55">
        <v>78070178.610044703</v>
      </c>
      <c r="K50" s="55">
        <v>25339700.688776899</v>
      </c>
      <c r="L50" s="55">
        <v>70607744.963608101</v>
      </c>
      <c r="M50" s="55">
        <v>12815275.321341099</v>
      </c>
      <c r="N50" s="55">
        <v>47509590.242770404</v>
      </c>
      <c r="O50" s="55">
        <v>30588660.7146926</v>
      </c>
      <c r="P50" s="55">
        <v>35944267.486501202</v>
      </c>
      <c r="Q50" s="55">
        <v>74959951.978375494</v>
      </c>
      <c r="R50" s="55">
        <v>39116758.517672099</v>
      </c>
      <c r="S50" s="55">
        <v>35418933.993041903</v>
      </c>
      <c r="T50" s="55">
        <v>57488356.150157198</v>
      </c>
      <c r="U50" s="55">
        <v>46988959.725912601</v>
      </c>
      <c r="V50" s="55">
        <v>51031136.414665803</v>
      </c>
      <c r="W50" s="55">
        <v>36758514.018456601</v>
      </c>
      <c r="X50" s="55">
        <v>17700419.379848599</v>
      </c>
      <c r="Y50" s="55">
        <v>47111753.584501401</v>
      </c>
      <c r="Z50" s="55">
        <v>100330129.04252701</v>
      </c>
      <c r="AA50" s="55">
        <v>25541967.525668599</v>
      </c>
      <c r="AB50" s="55">
        <v>61395231.162410103</v>
      </c>
      <c r="AC50" s="55">
        <v>7256304.22228311</v>
      </c>
      <c r="AD50" s="55">
        <v>8632889.7918775491</v>
      </c>
      <c r="AE50" s="55">
        <v>469645429.01066202</v>
      </c>
      <c r="AF50" s="55">
        <v>519792503.26379198</v>
      </c>
      <c r="AG50" s="55">
        <v>230523925.74021101</v>
      </c>
      <c r="AH50" s="55">
        <v>85067117.100898802</v>
      </c>
      <c r="AI50" s="55">
        <v>206973736.679317</v>
      </c>
      <c r="AJ50" s="55">
        <v>215281976.520711</v>
      </c>
      <c r="AK50" s="55">
        <v>192733122.55735001</v>
      </c>
      <c r="AL50" s="55">
        <v>252757212.79392499</v>
      </c>
      <c r="AM50" s="55">
        <v>65841576.822612002</v>
      </c>
      <c r="AN50" s="55">
        <v>115418456.21231601</v>
      </c>
      <c r="AO50" s="55">
        <v>127689767.85801201</v>
      </c>
      <c r="AP50" s="55">
        <v>281650493.11452001</v>
      </c>
      <c r="AQ50" s="55">
        <v>171783188.52536699</v>
      </c>
      <c r="AR50" s="55">
        <v>51172539.734950997</v>
      </c>
      <c r="AS50" s="55">
        <v>407600705.01487601</v>
      </c>
      <c r="AT50" s="72">
        <v>5295655400.1442204</v>
      </c>
      <c r="AU50" s="73"/>
      <c r="AV50" s="73"/>
      <c r="AW50" s="73"/>
      <c r="AX50" s="73"/>
      <c r="AY50" s="73"/>
      <c r="AZ50" s="73"/>
      <c r="BA50" s="73"/>
      <c r="BB50" s="73"/>
      <c r="BC50" s="73"/>
      <c r="BD50" s="86"/>
      <c r="BE50" s="73"/>
      <c r="BF50" s="73"/>
    </row>
    <row r="51" spans="1:58" x14ac:dyDescent="0.25">
      <c r="A51" s="132"/>
      <c r="B51" s="61" t="s">
        <v>136</v>
      </c>
      <c r="C51" s="63" t="s">
        <v>137</v>
      </c>
      <c r="D51" s="55">
        <v>-45528240.6524828</v>
      </c>
      <c r="E51" s="55">
        <v>23728883.970035002</v>
      </c>
      <c r="F51" s="55">
        <v>26393586.367127001</v>
      </c>
      <c r="G51" s="55">
        <v>29203561.313999999</v>
      </c>
      <c r="H51" s="55">
        <v>1127941.29772883</v>
      </c>
      <c r="I51" s="55">
        <v>82927929.567150205</v>
      </c>
      <c r="J51" s="55">
        <v>1055456.5261335</v>
      </c>
      <c r="K51" s="55">
        <v>5439494.6023760298</v>
      </c>
      <c r="L51" s="55">
        <v>11735859.5567258</v>
      </c>
      <c r="M51" s="55">
        <v>49155195.521414101</v>
      </c>
      <c r="N51" s="55">
        <v>37768625.129487202</v>
      </c>
      <c r="O51" s="55">
        <v>11543781.6746586</v>
      </c>
      <c r="P51" s="55">
        <v>9432919.72683331</v>
      </c>
      <c r="Q51" s="55">
        <v>23472866.7779206</v>
      </c>
      <c r="R51" s="55">
        <v>16809803.985219501</v>
      </c>
      <c r="S51" s="55">
        <v>20103752.8548938</v>
      </c>
      <c r="T51" s="55">
        <v>11219546.986150701</v>
      </c>
      <c r="U51" s="55">
        <v>16723537.968313601</v>
      </c>
      <c r="V51" s="55">
        <v>14548976.722464001</v>
      </c>
      <c r="W51" s="55">
        <v>41488605.881302997</v>
      </c>
      <c r="X51" s="55">
        <v>2028721.9790923099</v>
      </c>
      <c r="Y51" s="55">
        <v>4541468.4707145998</v>
      </c>
      <c r="Z51" s="55">
        <v>-3678836.27294552</v>
      </c>
      <c r="AA51" s="55">
        <v>13432368.474347601</v>
      </c>
      <c r="AB51" s="55">
        <v>20698377.631525099</v>
      </c>
      <c r="AC51" s="55">
        <v>1010550.4523641299</v>
      </c>
      <c r="AD51" s="55">
        <v>1860447.1837464201</v>
      </c>
      <c r="AE51" s="55">
        <v>98116385.596828699</v>
      </c>
      <c r="AF51" s="55">
        <v>95383190.280476794</v>
      </c>
      <c r="AG51" s="55">
        <v>8513567.4421984609</v>
      </c>
      <c r="AH51" s="55">
        <v>1360038.6625977701</v>
      </c>
      <c r="AI51" s="55">
        <v>13092894.4785477</v>
      </c>
      <c r="AJ51" s="55">
        <v>82718115.887338698</v>
      </c>
      <c r="AK51" s="55">
        <v>123442718.311865</v>
      </c>
      <c r="AL51" s="55">
        <v>27690530.6917165</v>
      </c>
      <c r="AM51" s="55">
        <v>1588413.5683403399</v>
      </c>
      <c r="AN51" s="55">
        <v>11715874.608684899</v>
      </c>
      <c r="AO51" s="55">
        <v>5023484.24607627</v>
      </c>
      <c r="AP51" s="55">
        <v>625840.58906758903</v>
      </c>
      <c r="AQ51" s="55">
        <v>119102.009382813</v>
      </c>
      <c r="AR51" s="55">
        <v>1590021.0493161599</v>
      </c>
      <c r="AS51" s="55">
        <v>2016363.5215086001</v>
      </c>
      <c r="AT51" s="72">
        <v>895802230.037866</v>
      </c>
      <c r="AU51" s="74"/>
      <c r="AV51" s="74"/>
      <c r="AW51" s="74"/>
      <c r="AX51" s="74"/>
      <c r="AY51" s="74"/>
      <c r="AZ51" s="74"/>
      <c r="BA51" s="74"/>
      <c r="BB51" s="74"/>
      <c r="BC51" s="74"/>
      <c r="BD51" s="87"/>
      <c r="BE51" s="74"/>
      <c r="BF51" s="74"/>
    </row>
    <row r="52" spans="1:58" ht="21.6" x14ac:dyDescent="0.25">
      <c r="A52" s="132"/>
      <c r="B52" s="61" t="s">
        <v>138</v>
      </c>
      <c r="C52" s="63" t="s">
        <v>139</v>
      </c>
      <c r="D52" s="55">
        <v>23048579.701509301</v>
      </c>
      <c r="E52" s="55">
        <v>11857466.9359743</v>
      </c>
      <c r="F52" s="55">
        <v>23934531.664067499</v>
      </c>
      <c r="G52" s="55">
        <v>14045534.8444722</v>
      </c>
      <c r="H52" s="55">
        <v>881427.48909159401</v>
      </c>
      <c r="I52" s="55">
        <v>30616039.479662899</v>
      </c>
      <c r="J52" s="55">
        <v>17159912.398409501</v>
      </c>
      <c r="K52" s="55">
        <v>7115541.1852337504</v>
      </c>
      <c r="L52" s="55">
        <v>23476685.1205348</v>
      </c>
      <c r="M52" s="55">
        <v>11540322.9497796</v>
      </c>
      <c r="N52" s="55">
        <v>37261752.784207501</v>
      </c>
      <c r="O52" s="55">
        <v>7442373.4576655598</v>
      </c>
      <c r="P52" s="55">
        <v>13681348.159869701</v>
      </c>
      <c r="Q52" s="55">
        <v>36252424.842486702</v>
      </c>
      <c r="R52" s="55">
        <v>31732255.920472398</v>
      </c>
      <c r="S52" s="55">
        <v>20256127.164829802</v>
      </c>
      <c r="T52" s="55">
        <v>17451919.758611701</v>
      </c>
      <c r="U52" s="55">
        <v>16689439.146307001</v>
      </c>
      <c r="V52" s="55">
        <v>12133972.5831076</v>
      </c>
      <c r="W52" s="55">
        <v>15404029.9075229</v>
      </c>
      <c r="X52" s="55">
        <v>3816835.0280198702</v>
      </c>
      <c r="Y52" s="55">
        <v>15983410.4130126</v>
      </c>
      <c r="Z52" s="55">
        <v>35286959.999098003</v>
      </c>
      <c r="AA52" s="55">
        <v>6722131.4276251802</v>
      </c>
      <c r="AB52" s="55">
        <v>97784316.348265097</v>
      </c>
      <c r="AC52" s="55">
        <v>5463403.9663039697</v>
      </c>
      <c r="AD52" s="55">
        <v>6900167.0847543897</v>
      </c>
      <c r="AE52" s="55">
        <v>27714363.679958399</v>
      </c>
      <c r="AF52" s="55">
        <v>118467134.625324</v>
      </c>
      <c r="AG52" s="55">
        <v>200221941.68550199</v>
      </c>
      <c r="AH52" s="55">
        <v>46183808.013787799</v>
      </c>
      <c r="AI52" s="55">
        <v>126694176.647774</v>
      </c>
      <c r="AJ52" s="55">
        <v>36197643.623248503</v>
      </c>
      <c r="AK52" s="55">
        <v>70284261.245119199</v>
      </c>
      <c r="AL52" s="55">
        <v>35220354.322564296</v>
      </c>
      <c r="AM52" s="55">
        <v>20894697.107667901</v>
      </c>
      <c r="AN52" s="55">
        <v>47257245.823209397</v>
      </c>
      <c r="AO52" s="55">
        <v>18811000.584729899</v>
      </c>
      <c r="AP52" s="55">
        <v>77784703.209432706</v>
      </c>
      <c r="AQ52" s="55">
        <v>31476065.1203941</v>
      </c>
      <c r="AR52" s="55">
        <v>19443051.9030816</v>
      </c>
      <c r="AS52" s="55">
        <v>92345943.103720903</v>
      </c>
      <c r="AT52" s="72">
        <v>1505819759.2711799</v>
      </c>
      <c r="AU52" s="74"/>
      <c r="AV52" s="74"/>
      <c r="AW52" s="74"/>
      <c r="AX52" s="74"/>
      <c r="AY52" s="74"/>
      <c r="AZ52" s="74"/>
      <c r="BA52" s="74"/>
      <c r="BB52" s="74"/>
      <c r="BC52" s="74"/>
      <c r="BD52" s="88"/>
      <c r="BE52" s="74"/>
      <c r="BF52" s="74"/>
    </row>
    <row r="53" spans="1:58" x14ac:dyDescent="0.25">
      <c r="A53" s="132"/>
      <c r="B53" s="61" t="s">
        <v>140</v>
      </c>
      <c r="C53" s="63" t="s">
        <v>141</v>
      </c>
      <c r="D53" s="55">
        <v>23117526.7569887</v>
      </c>
      <c r="E53" s="55">
        <v>35255170.9583124</v>
      </c>
      <c r="F53" s="55">
        <v>6711085.0313259903</v>
      </c>
      <c r="G53" s="55">
        <v>26913764.728313699</v>
      </c>
      <c r="H53" s="55">
        <v>-2541340.4945982499</v>
      </c>
      <c r="I53" s="55">
        <v>101181657.170058</v>
      </c>
      <c r="J53" s="55">
        <v>48190809.103463501</v>
      </c>
      <c r="K53" s="55">
        <v>17706881.846517999</v>
      </c>
      <c r="L53" s="55">
        <v>55330296.5377042</v>
      </c>
      <c r="M53" s="55">
        <v>27079970.671574298</v>
      </c>
      <c r="N53" s="55">
        <v>75473750.700666696</v>
      </c>
      <c r="O53" s="55">
        <v>36261214.213117696</v>
      </c>
      <c r="P53" s="55">
        <v>27380721.776728999</v>
      </c>
      <c r="Q53" s="55">
        <v>95894757.611015007</v>
      </c>
      <c r="R53" s="55">
        <v>68635495.434864804</v>
      </c>
      <c r="S53" s="55">
        <v>43798631.409793504</v>
      </c>
      <c r="T53" s="55">
        <v>41037939.512259103</v>
      </c>
      <c r="U53" s="55">
        <v>43686015.758966699</v>
      </c>
      <c r="V53" s="55">
        <v>20237210.504032802</v>
      </c>
      <c r="W53" s="55">
        <v>51825291.161202297</v>
      </c>
      <c r="X53" s="55">
        <v>8695606.8842817899</v>
      </c>
      <c r="Y53" s="55">
        <v>53690205.760876298</v>
      </c>
      <c r="Z53" s="55">
        <v>59374527.431741104</v>
      </c>
      <c r="AA53" s="55">
        <v>51110402.078424901</v>
      </c>
      <c r="AB53" s="55">
        <v>38471081.088682704</v>
      </c>
      <c r="AC53" s="55">
        <v>5841588.0152542796</v>
      </c>
      <c r="AD53" s="55">
        <v>3105561.8317358401</v>
      </c>
      <c r="AE53" s="55">
        <v>124616761.457381</v>
      </c>
      <c r="AF53" s="55">
        <v>219960586.71941301</v>
      </c>
      <c r="AG53" s="55">
        <v>17515502.057090301</v>
      </c>
      <c r="AH53" s="55">
        <v>12909619.810646201</v>
      </c>
      <c r="AI53" s="55">
        <v>101253636.088194</v>
      </c>
      <c r="AJ53" s="55">
        <v>501973655.09780598</v>
      </c>
      <c r="AK53" s="55">
        <v>383207440.02152199</v>
      </c>
      <c r="AL53" s="55">
        <v>2859006.25501044</v>
      </c>
      <c r="AM53" s="55">
        <v>7602478.6940469798</v>
      </c>
      <c r="AN53" s="55">
        <v>10750979.3816108</v>
      </c>
      <c r="AO53" s="55">
        <v>5752421.8421264105</v>
      </c>
      <c r="AP53" s="55">
        <v>13231125.5114678</v>
      </c>
      <c r="AQ53" s="55">
        <v>4827324.6091729896</v>
      </c>
      <c r="AR53" s="55">
        <v>5804782.0425391896</v>
      </c>
      <c r="AS53" s="55">
        <v>8918361.9705148209</v>
      </c>
      <c r="AT53" s="72">
        <v>2466942623.1953301</v>
      </c>
      <c r="AU53" s="74"/>
      <c r="AV53" s="74"/>
      <c r="AW53" s="74"/>
      <c r="AX53" s="74"/>
      <c r="AY53" s="74"/>
      <c r="AZ53" s="74"/>
      <c r="BA53" s="74"/>
      <c r="BB53" s="74"/>
      <c r="BC53" s="74"/>
      <c r="BD53" s="88"/>
      <c r="BE53" s="74"/>
      <c r="BF53" s="74"/>
    </row>
    <row r="54" spans="1:58" x14ac:dyDescent="0.25">
      <c r="A54" s="132"/>
      <c r="B54" s="61" t="s">
        <v>142</v>
      </c>
      <c r="C54" s="63" t="s">
        <v>143</v>
      </c>
      <c r="D54" s="55">
        <v>821747242.43806601</v>
      </c>
      <c r="E54" s="55">
        <v>119998497.82053199</v>
      </c>
      <c r="F54" s="55">
        <v>67723789.870348305</v>
      </c>
      <c r="G54" s="55">
        <v>104309593.147588</v>
      </c>
      <c r="H54" s="55">
        <v>8538923.0779975299</v>
      </c>
      <c r="I54" s="55">
        <v>307013686.12254697</v>
      </c>
      <c r="J54" s="55">
        <v>144476356.638051</v>
      </c>
      <c r="K54" s="55">
        <v>55601618.322904602</v>
      </c>
      <c r="L54" s="55">
        <v>161150586.17857301</v>
      </c>
      <c r="M54" s="55">
        <v>100590764.464109</v>
      </c>
      <c r="N54" s="55">
        <v>198013718.85713199</v>
      </c>
      <c r="O54" s="55">
        <v>85836030.0601345</v>
      </c>
      <c r="P54" s="55">
        <v>86439257.149933204</v>
      </c>
      <c r="Q54" s="55">
        <v>230580001.20979801</v>
      </c>
      <c r="R54" s="55">
        <v>156294313.85822901</v>
      </c>
      <c r="S54" s="55">
        <v>119577445.42255899</v>
      </c>
      <c r="T54" s="55">
        <v>127197762.407179</v>
      </c>
      <c r="U54" s="55">
        <v>124087952.5995</v>
      </c>
      <c r="V54" s="55">
        <v>97951296.224270299</v>
      </c>
      <c r="W54" s="55">
        <v>145476440.968485</v>
      </c>
      <c r="X54" s="55">
        <v>32241583.2712426</v>
      </c>
      <c r="Y54" s="55">
        <v>121326838.229105</v>
      </c>
      <c r="Z54" s="55">
        <v>191312780.20041999</v>
      </c>
      <c r="AA54" s="55">
        <v>96806869.506066203</v>
      </c>
      <c r="AB54" s="55">
        <v>218349006.230883</v>
      </c>
      <c r="AC54" s="55">
        <v>19571846.656205501</v>
      </c>
      <c r="AD54" s="55">
        <v>20499065.8921142</v>
      </c>
      <c r="AE54" s="55">
        <v>720092939.74483001</v>
      </c>
      <c r="AF54" s="55">
        <v>953603414.88900602</v>
      </c>
      <c r="AG54" s="55">
        <v>456774936.92500198</v>
      </c>
      <c r="AH54" s="55">
        <v>145520583.58793101</v>
      </c>
      <c r="AI54" s="55">
        <v>448014443.89383298</v>
      </c>
      <c r="AJ54" s="55">
        <v>836171391.12910402</v>
      </c>
      <c r="AK54" s="55">
        <v>769667542.13585603</v>
      </c>
      <c r="AL54" s="55">
        <v>318527104.06321698</v>
      </c>
      <c r="AM54" s="55">
        <v>95927166.192667201</v>
      </c>
      <c r="AN54" s="55">
        <v>185142556.025821</v>
      </c>
      <c r="AO54" s="55">
        <v>157276674.530945</v>
      </c>
      <c r="AP54" s="55">
        <v>373292162.42448801</v>
      </c>
      <c r="AQ54" s="55">
        <v>208205680.26431701</v>
      </c>
      <c r="AR54" s="55">
        <v>78010394.729888007</v>
      </c>
      <c r="AS54" s="55">
        <v>510881373.61062002</v>
      </c>
      <c r="AT54" s="72">
        <v>10164220012.6486</v>
      </c>
      <c r="AU54" s="75"/>
      <c r="AV54" s="74"/>
      <c r="AW54" s="74"/>
      <c r="AX54" s="74"/>
      <c r="AY54" s="74"/>
      <c r="AZ54" s="74"/>
      <c r="BA54" s="74"/>
      <c r="BB54" s="74"/>
      <c r="BC54" s="74"/>
      <c r="BD54" s="88"/>
      <c r="BE54" s="74"/>
      <c r="BF54" s="74"/>
    </row>
    <row r="55" spans="1:58" x14ac:dyDescent="0.25">
      <c r="A55" s="126" t="s">
        <v>144</v>
      </c>
      <c r="B55" s="127"/>
      <c r="C55" s="64" t="s">
        <v>145</v>
      </c>
      <c r="D55" s="55">
        <v>1331683250.2709701</v>
      </c>
      <c r="E55" s="65">
        <v>235072612.00295901</v>
      </c>
      <c r="F55" s="65">
        <v>107689567.27617</v>
      </c>
      <c r="G55" s="55">
        <v>193534599.23827901</v>
      </c>
      <c r="H55" s="65">
        <v>20236774.422584798</v>
      </c>
      <c r="I55" s="55">
        <v>1251362798.1711099</v>
      </c>
      <c r="J55" s="55">
        <v>757386926.81410897</v>
      </c>
      <c r="K55" s="55">
        <v>265413179.90955001</v>
      </c>
      <c r="L55" s="55">
        <v>693805946.29288495</v>
      </c>
      <c r="M55" s="55">
        <v>409333284.47485602</v>
      </c>
      <c r="N55" s="55">
        <v>855096592.92702794</v>
      </c>
      <c r="O55" s="65">
        <v>300056136.80325001</v>
      </c>
      <c r="P55" s="55">
        <v>358191579.35939801</v>
      </c>
      <c r="Q55" s="55">
        <v>733031886.55090594</v>
      </c>
      <c r="R55" s="55">
        <v>683509940.91067898</v>
      </c>
      <c r="S55" s="55">
        <v>524670022.755983</v>
      </c>
      <c r="T55" s="65">
        <v>519481674.11646301</v>
      </c>
      <c r="U55" s="55">
        <v>532910986.428774</v>
      </c>
      <c r="V55" s="55">
        <v>387351083.80461699</v>
      </c>
      <c r="W55" s="55">
        <v>706457460.66325498</v>
      </c>
      <c r="X55" s="55">
        <v>156013924.032628</v>
      </c>
      <c r="Y55" s="55">
        <v>697666254.58715701</v>
      </c>
      <c r="Z55" s="55">
        <v>1188521951.48262</v>
      </c>
      <c r="AA55" s="55">
        <v>164181553.680022</v>
      </c>
      <c r="AB55" s="65">
        <v>699502565.70297396</v>
      </c>
      <c r="AC55" s="65">
        <v>81271005.332346603</v>
      </c>
      <c r="AD55" s="65">
        <v>40678551.969231904</v>
      </c>
      <c r="AE55" s="55">
        <v>2860304981.41469</v>
      </c>
      <c r="AF55" s="55">
        <v>1498514698.5595801</v>
      </c>
      <c r="AG55" s="55">
        <v>1199171268.6345</v>
      </c>
      <c r="AH55" s="55">
        <v>431989760.105425</v>
      </c>
      <c r="AI55" s="55">
        <v>965242789.82604098</v>
      </c>
      <c r="AJ55" s="55">
        <v>1229370155.47224</v>
      </c>
      <c r="AK55" s="65">
        <v>1066633480.3337899</v>
      </c>
      <c r="AL55" s="55">
        <v>962562600.60869706</v>
      </c>
      <c r="AM55" s="65">
        <v>231556568.159228</v>
      </c>
      <c r="AN55" s="55">
        <v>519785869.52841699</v>
      </c>
      <c r="AO55" s="55">
        <v>300337588.72242802</v>
      </c>
      <c r="AP55" s="65">
        <v>532487559.13479602</v>
      </c>
      <c r="AQ55" s="55">
        <v>500072197.73930699</v>
      </c>
      <c r="AR55" s="55">
        <v>155843409.76529199</v>
      </c>
      <c r="AS55" s="55">
        <v>907706187.35658896</v>
      </c>
      <c r="AT55" s="76">
        <v>26990278045.432301</v>
      </c>
      <c r="AU55" s="77"/>
      <c r="AV55" s="77"/>
      <c r="AW55" s="77"/>
      <c r="AX55" s="77"/>
      <c r="AY55" s="77"/>
      <c r="AZ55" s="77"/>
      <c r="BA55" s="77"/>
      <c r="BB55" s="77"/>
      <c r="BC55" s="77"/>
      <c r="BD55" s="89"/>
      <c r="BE55" s="77"/>
      <c r="BF55" s="77"/>
    </row>
  </sheetData>
  <mergeCells count="10">
    <mergeCell ref="BF4:BF5"/>
    <mergeCell ref="A4:B5"/>
    <mergeCell ref="AU3:BC3"/>
    <mergeCell ref="D4:AT4"/>
    <mergeCell ref="AU4:BD4"/>
    <mergeCell ref="A55:B55"/>
    <mergeCell ref="A7:A49"/>
    <mergeCell ref="A50:A54"/>
    <mergeCell ref="C4:C5"/>
    <mergeCell ref="BE4:BE5"/>
  </mergeCells>
  <phoneticPr fontId="16" type="noConversion"/>
  <conditionalFormatting sqref="T8:X9 T11:X11 T18:X18 T23:X23 T31:X33 T40:X40 T42:X42 T45:X45 U49:X55">
    <cfRule type="cellIs" dxfId="0" priority="1" operator="lessThan">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B96"/>
  <sheetViews>
    <sheetView workbookViewId="0">
      <pane xSplit="4" ySplit="5" topLeftCell="E66" activePane="bottomRight" state="frozen"/>
      <selection pane="topRight"/>
      <selection pane="bottomLeft"/>
      <selection pane="bottomRight" activeCell="AQ95" sqref="AQ95"/>
    </sheetView>
  </sheetViews>
  <sheetFormatPr defaultColWidth="9" defaultRowHeight="14.4" x14ac:dyDescent="0.25"/>
  <cols>
    <col min="1" max="2" width="9" style="1"/>
    <col min="3" max="3" width="25.44140625" style="1" customWidth="1"/>
    <col min="4" max="4" width="9" style="1"/>
    <col min="5" max="5" width="10.6640625" style="1" customWidth="1"/>
    <col min="6" max="9" width="9.77734375" style="1" customWidth="1"/>
    <col min="10" max="10" width="10.6640625" style="1" customWidth="1"/>
    <col min="11" max="15" width="9.77734375" style="1" customWidth="1"/>
    <col min="16" max="16" width="10.6640625" style="1" customWidth="1"/>
    <col min="17" max="17" width="9.77734375" style="1" customWidth="1"/>
    <col min="18" max="18" width="10.6640625" style="1" customWidth="1"/>
    <col min="19" max="23" width="9.77734375" style="1" customWidth="1"/>
    <col min="24" max="24" width="10.6640625" style="1" customWidth="1"/>
    <col min="25" max="25" width="8.88671875" style="1" customWidth="1"/>
    <col min="26" max="26" width="9.77734375" style="1" customWidth="1"/>
    <col min="27" max="27" width="9" style="1"/>
    <col min="28" max="28" width="9.77734375" style="1" customWidth="1"/>
    <col min="29" max="30" width="9" style="1"/>
    <col min="31" max="33" width="10.6640625" style="1" customWidth="1"/>
    <col min="34" max="35" width="9.77734375" style="1" customWidth="1"/>
    <col min="36" max="37" width="10.6640625" style="1" customWidth="1"/>
    <col min="38" max="46" width="9.77734375" style="1" customWidth="1"/>
    <col min="47" max="47" width="11.6640625" style="1" customWidth="1"/>
    <col min="48" max="49" width="10.6640625" style="1" customWidth="1"/>
    <col min="50" max="50" width="9.33203125" style="1" customWidth="1"/>
    <col min="51" max="51" width="10.6640625" style="1" customWidth="1"/>
    <col min="52" max="52" width="11.6640625" style="1" customWidth="1"/>
    <col min="53" max="53" width="10.6640625" style="1" customWidth="1"/>
    <col min="54" max="54" width="11.6640625" style="1" customWidth="1"/>
    <col min="55" max="16384" width="9" style="1"/>
  </cols>
  <sheetData>
    <row r="1" spans="1:54" ht="15.6" x14ac:dyDescent="0.25">
      <c r="A1" s="3"/>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18"/>
      <c r="AV1" s="4"/>
      <c r="AW1" s="4"/>
      <c r="AX1" s="4"/>
      <c r="AY1" s="4"/>
      <c r="AZ1" s="18"/>
    </row>
    <row r="2" spans="1:54" ht="15.6" x14ac:dyDescent="0.25">
      <c r="A2" s="5" t="s">
        <v>100</v>
      </c>
      <c r="B2" s="5"/>
      <c r="C2" s="6"/>
      <c r="D2" s="6"/>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18"/>
      <c r="AV2" s="6"/>
      <c r="AW2" s="6"/>
      <c r="AX2" s="6"/>
      <c r="AY2" s="6"/>
      <c r="AZ2" s="22"/>
    </row>
    <row r="3" spans="1:54" ht="15.6" x14ac:dyDescent="0.25">
      <c r="A3" s="122" t="s">
        <v>101</v>
      </c>
      <c r="B3" s="122"/>
      <c r="C3" s="123"/>
      <c r="D3" s="118" t="s">
        <v>102</v>
      </c>
      <c r="E3" s="109" t="s">
        <v>146</v>
      </c>
      <c r="F3" s="110"/>
      <c r="G3" s="110"/>
      <c r="H3" s="110"/>
      <c r="I3" s="110"/>
      <c r="J3" s="110"/>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0"/>
      <c r="AU3" s="111"/>
      <c r="AV3" s="109" t="s">
        <v>103</v>
      </c>
      <c r="AW3" s="110"/>
      <c r="AX3" s="110"/>
      <c r="AY3" s="110"/>
      <c r="AZ3" s="111"/>
      <c r="BA3" s="120" t="s">
        <v>104</v>
      </c>
      <c r="BB3" s="120" t="s">
        <v>105</v>
      </c>
    </row>
    <row r="4" spans="1:54" ht="32.4" x14ac:dyDescent="0.25">
      <c r="A4" s="124"/>
      <c r="B4" s="124"/>
      <c r="C4" s="125"/>
      <c r="D4" s="119"/>
      <c r="E4" s="8" t="s">
        <v>55</v>
      </c>
      <c r="F4" s="8" t="s">
        <v>147</v>
      </c>
      <c r="G4" s="8" t="s">
        <v>57</v>
      </c>
      <c r="H4" s="8" t="s">
        <v>148</v>
      </c>
      <c r="I4" s="8" t="s">
        <v>149</v>
      </c>
      <c r="J4" s="17" t="s">
        <v>60</v>
      </c>
      <c r="K4" s="17" t="s">
        <v>150</v>
      </c>
      <c r="L4" s="17" t="s">
        <v>151</v>
      </c>
      <c r="M4" s="17" t="s">
        <v>62</v>
      </c>
      <c r="N4" s="17" t="s">
        <v>63</v>
      </c>
      <c r="O4" s="17" t="s">
        <v>64</v>
      </c>
      <c r="P4" s="17" t="s">
        <v>152</v>
      </c>
      <c r="Q4" s="17" t="s">
        <v>68</v>
      </c>
      <c r="R4" s="17" t="s">
        <v>153</v>
      </c>
      <c r="S4" s="17" t="s">
        <v>72</v>
      </c>
      <c r="T4" s="17" t="s">
        <v>75</v>
      </c>
      <c r="U4" s="17" t="s">
        <v>69</v>
      </c>
      <c r="V4" s="17" t="s">
        <v>154</v>
      </c>
      <c r="W4" s="17" t="s">
        <v>74</v>
      </c>
      <c r="X4" s="17" t="s">
        <v>155</v>
      </c>
      <c r="Y4" s="17" t="s">
        <v>156</v>
      </c>
      <c r="Z4" s="17" t="s">
        <v>157</v>
      </c>
      <c r="AA4" s="17" t="s">
        <v>158</v>
      </c>
      <c r="AB4" s="17" t="s">
        <v>159</v>
      </c>
      <c r="AC4" s="17" t="s">
        <v>80</v>
      </c>
      <c r="AD4" s="17" t="s">
        <v>81</v>
      </c>
      <c r="AE4" s="17" t="s">
        <v>82</v>
      </c>
      <c r="AF4" s="17" t="s">
        <v>83</v>
      </c>
      <c r="AG4" s="17" t="s">
        <v>84</v>
      </c>
      <c r="AH4" s="17" t="s">
        <v>85</v>
      </c>
      <c r="AI4" s="17" t="s">
        <v>86</v>
      </c>
      <c r="AJ4" s="17" t="s">
        <v>89</v>
      </c>
      <c r="AK4" s="17" t="s">
        <v>90</v>
      </c>
      <c r="AL4" s="17" t="s">
        <v>87</v>
      </c>
      <c r="AM4" s="17" t="s">
        <v>88</v>
      </c>
      <c r="AN4" s="17" t="s">
        <v>91</v>
      </c>
      <c r="AO4" s="17" t="s">
        <v>160</v>
      </c>
      <c r="AP4" s="17" t="s">
        <v>96</v>
      </c>
      <c r="AQ4" s="17" t="s">
        <v>93</v>
      </c>
      <c r="AR4" s="17" t="s">
        <v>94</v>
      </c>
      <c r="AS4" s="17" t="s">
        <v>95</v>
      </c>
      <c r="AT4" s="17" t="s">
        <v>161</v>
      </c>
      <c r="AU4" s="19" t="s">
        <v>106</v>
      </c>
      <c r="AV4" s="17" t="s">
        <v>111</v>
      </c>
      <c r="AW4" s="17" t="s">
        <v>112</v>
      </c>
      <c r="AX4" s="17" t="s">
        <v>113</v>
      </c>
      <c r="AY4" s="8" t="s">
        <v>115</v>
      </c>
      <c r="AZ4" s="19" t="s">
        <v>116</v>
      </c>
      <c r="BA4" s="121"/>
      <c r="BB4" s="121"/>
    </row>
    <row r="5" spans="1:54" x14ac:dyDescent="0.25">
      <c r="A5" s="112" t="s">
        <v>102</v>
      </c>
      <c r="B5" s="112"/>
      <c r="C5" s="113"/>
      <c r="D5" s="9" t="s">
        <v>117</v>
      </c>
      <c r="E5" s="10" t="s">
        <v>162</v>
      </c>
      <c r="F5" s="10" t="s">
        <v>163</v>
      </c>
      <c r="G5" s="10" t="s">
        <v>164</v>
      </c>
      <c r="H5" s="10" t="s">
        <v>165</v>
      </c>
      <c r="I5" s="10" t="s">
        <v>166</v>
      </c>
      <c r="J5" s="10" t="s">
        <v>167</v>
      </c>
      <c r="K5" s="10" t="s">
        <v>168</v>
      </c>
      <c r="L5" s="10" t="s">
        <v>169</v>
      </c>
      <c r="M5" s="10" t="s">
        <v>170</v>
      </c>
      <c r="N5" s="10" t="s">
        <v>171</v>
      </c>
      <c r="O5" s="10" t="s">
        <v>172</v>
      </c>
      <c r="P5" s="10" t="s">
        <v>173</v>
      </c>
      <c r="Q5" s="10" t="s">
        <v>174</v>
      </c>
      <c r="R5" s="10" t="s">
        <v>175</v>
      </c>
      <c r="S5" s="10" t="s">
        <v>176</v>
      </c>
      <c r="T5" s="10" t="s">
        <v>177</v>
      </c>
      <c r="U5" s="10" t="s">
        <v>178</v>
      </c>
      <c r="V5" s="10" t="s">
        <v>179</v>
      </c>
      <c r="W5" s="10" t="s">
        <v>180</v>
      </c>
      <c r="X5" s="10" t="s">
        <v>181</v>
      </c>
      <c r="Y5" s="10" t="s">
        <v>182</v>
      </c>
      <c r="Z5" s="10" t="s">
        <v>183</v>
      </c>
      <c r="AA5" s="10" t="s">
        <v>184</v>
      </c>
      <c r="AB5" s="10" t="s">
        <v>185</v>
      </c>
      <c r="AC5" s="10" t="s">
        <v>186</v>
      </c>
      <c r="AD5" s="10" t="s">
        <v>187</v>
      </c>
      <c r="AE5" s="10" t="s">
        <v>188</v>
      </c>
      <c r="AF5" s="10" t="s">
        <v>189</v>
      </c>
      <c r="AG5" s="10" t="s">
        <v>190</v>
      </c>
      <c r="AH5" s="10" t="s">
        <v>191</v>
      </c>
      <c r="AI5" s="10" t="s">
        <v>192</v>
      </c>
      <c r="AJ5" s="10" t="s">
        <v>193</v>
      </c>
      <c r="AK5" s="10" t="s">
        <v>194</v>
      </c>
      <c r="AL5" s="10" t="s">
        <v>195</v>
      </c>
      <c r="AM5" s="10" t="s">
        <v>196</v>
      </c>
      <c r="AN5" s="10" t="s">
        <v>197</v>
      </c>
      <c r="AO5" s="10" t="s">
        <v>198</v>
      </c>
      <c r="AP5" s="10" t="s">
        <v>199</v>
      </c>
      <c r="AQ5" s="10" t="s">
        <v>200</v>
      </c>
      <c r="AR5" s="10" t="s">
        <v>201</v>
      </c>
      <c r="AS5" s="10" t="s">
        <v>202</v>
      </c>
      <c r="AT5" s="10" t="s">
        <v>203</v>
      </c>
      <c r="AU5" s="20" t="s">
        <v>118</v>
      </c>
      <c r="AV5" s="10" t="s">
        <v>123</v>
      </c>
      <c r="AW5" s="10" t="s">
        <v>124</v>
      </c>
      <c r="AX5" s="10" t="s">
        <v>125</v>
      </c>
      <c r="AY5" s="9" t="s">
        <v>127</v>
      </c>
      <c r="AZ5" s="23" t="s">
        <v>128</v>
      </c>
      <c r="BA5" s="24" t="s">
        <v>204</v>
      </c>
      <c r="BB5" s="25" t="s">
        <v>130</v>
      </c>
    </row>
    <row r="6" spans="1:54" x14ac:dyDescent="0.25">
      <c r="A6" s="114" t="s">
        <v>205</v>
      </c>
      <c r="B6" s="115" t="s">
        <v>206</v>
      </c>
      <c r="C6" s="11" t="s">
        <v>55</v>
      </c>
      <c r="D6" s="9" t="s">
        <v>162</v>
      </c>
      <c r="E6" s="12">
        <v>179170246.202905</v>
      </c>
      <c r="F6" s="12">
        <v>203217.62055934701</v>
      </c>
      <c r="G6" s="12">
        <v>2228.1415195502</v>
      </c>
      <c r="H6" s="12">
        <v>16034.3485240024</v>
      </c>
      <c r="I6" s="12">
        <v>14407.081297523</v>
      </c>
      <c r="J6" s="12">
        <v>435065090.31795597</v>
      </c>
      <c r="K6" s="12">
        <v>71798943.834072903</v>
      </c>
      <c r="L6" s="12">
        <v>6572301.98796786</v>
      </c>
      <c r="M6" s="12">
        <v>26540751.274167199</v>
      </c>
      <c r="N6" s="12">
        <v>21627436.6855359</v>
      </c>
      <c r="O6" s="12">
        <v>15784.7239614428</v>
      </c>
      <c r="P6" s="12">
        <v>62113372.209725298</v>
      </c>
      <c r="Q6" s="12">
        <v>218511.12031228701</v>
      </c>
      <c r="R6" s="12">
        <v>36576.588823787199</v>
      </c>
      <c r="S6" s="12">
        <v>97183.200370062405</v>
      </c>
      <c r="T6" s="12">
        <v>26410.0467710351</v>
      </c>
      <c r="U6" s="12">
        <v>76667.300611543003</v>
      </c>
      <c r="V6" s="12">
        <v>37652.080848059602</v>
      </c>
      <c r="W6" s="12">
        <v>67986.2032369222</v>
      </c>
      <c r="X6" s="12">
        <v>2169.07625067036</v>
      </c>
      <c r="Y6" s="12">
        <v>0</v>
      </c>
      <c r="Z6" s="12">
        <v>3448438.2371545299</v>
      </c>
      <c r="AA6" s="12">
        <v>0</v>
      </c>
      <c r="AB6" s="12">
        <v>101651.917138258</v>
      </c>
      <c r="AC6" s="12">
        <v>1309.3711845410701</v>
      </c>
      <c r="AD6" s="12">
        <v>0</v>
      </c>
      <c r="AE6" s="12">
        <v>18534883.1364596</v>
      </c>
      <c r="AF6" s="12">
        <v>13750.402020531399</v>
      </c>
      <c r="AG6" s="12">
        <v>154246.34887587599</v>
      </c>
      <c r="AH6" s="12">
        <v>53819717.609366603</v>
      </c>
      <c r="AI6" s="12">
        <v>509184.055979695</v>
      </c>
      <c r="AJ6" s="12">
        <v>67181.715695140403</v>
      </c>
      <c r="AK6" s="12">
        <v>336728.55575919902</v>
      </c>
      <c r="AL6" s="12">
        <v>7358379.0281942701</v>
      </c>
      <c r="AM6" s="12">
        <v>4228332.0044321204</v>
      </c>
      <c r="AN6" s="12">
        <v>1149055.1881448601</v>
      </c>
      <c r="AO6" s="12">
        <v>9513266.8285971396</v>
      </c>
      <c r="AP6" s="12">
        <v>2266920.5387236299</v>
      </c>
      <c r="AQ6" s="12">
        <v>611871.81314339105</v>
      </c>
      <c r="AR6" s="12">
        <v>605248.453166369</v>
      </c>
      <c r="AS6" s="12">
        <v>477452.89460585703</v>
      </c>
      <c r="AT6" s="12">
        <v>0</v>
      </c>
      <c r="AU6" s="21">
        <v>906900588.14405799</v>
      </c>
      <c r="AV6" s="12">
        <v>337552514.669837</v>
      </c>
      <c r="AW6" s="12">
        <v>17159643.335271299</v>
      </c>
      <c r="AX6" s="12">
        <v>51905816.491104797</v>
      </c>
      <c r="AY6" s="12">
        <v>18164687.630699199</v>
      </c>
      <c r="AZ6" s="21">
        <v>424782662.12691301</v>
      </c>
      <c r="BA6" s="21">
        <v>0</v>
      </c>
      <c r="BB6" s="26">
        <v>1331683250.2709701</v>
      </c>
    </row>
    <row r="7" spans="1:54" x14ac:dyDescent="0.25">
      <c r="A7" s="114"/>
      <c r="B7" s="115"/>
      <c r="C7" s="11" t="s">
        <v>147</v>
      </c>
      <c r="D7" s="9" t="s">
        <v>163</v>
      </c>
      <c r="E7" s="12">
        <v>601617.89767650398</v>
      </c>
      <c r="F7" s="12">
        <v>35226641.270002902</v>
      </c>
      <c r="G7" s="12">
        <v>63780.039191469703</v>
      </c>
      <c r="H7" s="12">
        <v>391026.44456730701</v>
      </c>
      <c r="I7" s="12">
        <v>1221705.3226979501</v>
      </c>
      <c r="J7" s="12">
        <v>2167278.5307479198</v>
      </c>
      <c r="K7" s="12">
        <v>1388906.3507986299</v>
      </c>
      <c r="L7" s="12">
        <v>420436.10235428897</v>
      </c>
      <c r="M7" s="12">
        <v>280063.95701121999</v>
      </c>
      <c r="N7" s="12">
        <v>3244712.0186659801</v>
      </c>
      <c r="O7" s="12">
        <v>18942514.774640098</v>
      </c>
      <c r="P7" s="12">
        <v>22750106.6431081</v>
      </c>
      <c r="Q7" s="12">
        <v>33972638.617549904</v>
      </c>
      <c r="R7" s="12">
        <v>23357619.254986402</v>
      </c>
      <c r="S7" s="12">
        <v>494688.33184499101</v>
      </c>
      <c r="T7" s="12">
        <v>360679.22283725702</v>
      </c>
      <c r="U7" s="12">
        <v>252487.680755582</v>
      </c>
      <c r="V7" s="12">
        <v>98080.408668113596</v>
      </c>
      <c r="W7" s="12">
        <v>214213.246863092</v>
      </c>
      <c r="X7" s="12">
        <v>567.31485225329095</v>
      </c>
      <c r="Y7" s="12">
        <v>19501.715176068101</v>
      </c>
      <c r="Z7" s="12">
        <v>118118.65185771701</v>
      </c>
      <c r="AA7" s="12">
        <v>59952.382460066001</v>
      </c>
      <c r="AB7" s="12">
        <v>84805045.464752793</v>
      </c>
      <c r="AC7" s="12">
        <v>2360328.5781367701</v>
      </c>
      <c r="AD7" s="12">
        <v>0</v>
      </c>
      <c r="AE7" s="12">
        <v>843176.45504131797</v>
      </c>
      <c r="AF7" s="12">
        <v>10157.089446649299</v>
      </c>
      <c r="AG7" s="12">
        <v>128080.37644720099</v>
      </c>
      <c r="AH7" s="12">
        <v>50425.817342134796</v>
      </c>
      <c r="AI7" s="12">
        <v>0</v>
      </c>
      <c r="AJ7" s="12">
        <v>17216.866280635299</v>
      </c>
      <c r="AK7" s="12">
        <v>63302.676884121101</v>
      </c>
      <c r="AL7" s="12">
        <v>64.296835921489802</v>
      </c>
      <c r="AM7" s="12">
        <v>234530.696247021</v>
      </c>
      <c r="AN7" s="12">
        <v>170068.470193574</v>
      </c>
      <c r="AO7" s="12">
        <v>81789.675113759396</v>
      </c>
      <c r="AP7" s="12">
        <v>326731.85497633601</v>
      </c>
      <c r="AQ7" s="12">
        <v>607737.69052574702</v>
      </c>
      <c r="AR7" s="12">
        <v>360731.82714928797</v>
      </c>
      <c r="AS7" s="12">
        <v>41609.390195267901</v>
      </c>
      <c r="AT7" s="12">
        <v>521844.669804401</v>
      </c>
      <c r="AU7" s="21">
        <v>236270178.074687</v>
      </c>
      <c r="AV7" s="12">
        <v>1222279.5795815799</v>
      </c>
      <c r="AW7" s="12">
        <v>0</v>
      </c>
      <c r="AX7" s="12">
        <v>-2652681.9805569998</v>
      </c>
      <c r="AY7" s="12">
        <v>232836.329247649</v>
      </c>
      <c r="AZ7" s="21">
        <v>-1197566.0717277699</v>
      </c>
      <c r="BA7" s="21">
        <v>0</v>
      </c>
      <c r="BB7" s="26">
        <v>235072612.00295901</v>
      </c>
    </row>
    <row r="8" spans="1:54" x14ac:dyDescent="0.25">
      <c r="A8" s="114"/>
      <c r="B8" s="115"/>
      <c r="C8" s="11" t="s">
        <v>57</v>
      </c>
      <c r="D8" s="9" t="s">
        <v>164</v>
      </c>
      <c r="E8" s="12">
        <v>0</v>
      </c>
      <c r="F8" s="12">
        <v>33782.5040270018</v>
      </c>
      <c r="G8" s="12">
        <v>153030.20084664199</v>
      </c>
      <c r="H8" s="12">
        <v>16517.439283866701</v>
      </c>
      <c r="I8" s="12">
        <v>19405.589487975099</v>
      </c>
      <c r="J8" s="12">
        <v>0</v>
      </c>
      <c r="K8" s="12">
        <v>0</v>
      </c>
      <c r="L8" s="12">
        <v>0</v>
      </c>
      <c r="M8" s="12">
        <v>0</v>
      </c>
      <c r="N8" s="12">
        <v>45113.422758540597</v>
      </c>
      <c r="O8" s="12">
        <v>80149567.655944198</v>
      </c>
      <c r="P8" s="12">
        <v>13266312.60902</v>
      </c>
      <c r="Q8" s="12">
        <v>1000297.90301492</v>
      </c>
      <c r="R8" s="12">
        <v>856198.23360975401</v>
      </c>
      <c r="S8" s="12">
        <v>446827.25765208702</v>
      </c>
      <c r="T8" s="12">
        <v>429708.38865001302</v>
      </c>
      <c r="U8" s="12">
        <v>283543.16280099802</v>
      </c>
      <c r="V8" s="12">
        <v>433248.70064771199</v>
      </c>
      <c r="W8" s="12">
        <v>51816.620535023503</v>
      </c>
      <c r="X8" s="12">
        <v>0</v>
      </c>
      <c r="Y8" s="12">
        <v>0</v>
      </c>
      <c r="Z8" s="12">
        <v>0</v>
      </c>
      <c r="AA8" s="12">
        <v>0</v>
      </c>
      <c r="AB8" s="12">
        <v>983410.18845927797</v>
      </c>
      <c r="AC8" s="12">
        <v>14728548.7394992</v>
      </c>
      <c r="AD8" s="12">
        <v>0</v>
      </c>
      <c r="AE8" s="12">
        <v>0</v>
      </c>
      <c r="AF8" s="12">
        <v>0</v>
      </c>
      <c r="AG8" s="12">
        <v>371.430953871128</v>
      </c>
      <c r="AH8" s="12">
        <v>0</v>
      </c>
      <c r="AI8" s="12">
        <v>0</v>
      </c>
      <c r="AJ8" s="12">
        <v>0</v>
      </c>
      <c r="AK8" s="12">
        <v>0</v>
      </c>
      <c r="AL8" s="12">
        <v>0</v>
      </c>
      <c r="AM8" s="12">
        <v>1908.5847706553</v>
      </c>
      <c r="AN8" s="12">
        <v>0</v>
      </c>
      <c r="AO8" s="12">
        <v>0</v>
      </c>
      <c r="AP8" s="12">
        <v>0</v>
      </c>
      <c r="AQ8" s="12">
        <v>0</v>
      </c>
      <c r="AR8" s="12">
        <v>26324.0983864966</v>
      </c>
      <c r="AS8" s="12">
        <v>1336.7825493917501</v>
      </c>
      <c r="AT8" s="12">
        <v>36774.602021523497</v>
      </c>
      <c r="AU8" s="21">
        <v>112964044.11491901</v>
      </c>
      <c r="AV8" s="12">
        <v>0</v>
      </c>
      <c r="AW8" s="12">
        <v>0</v>
      </c>
      <c r="AX8" s="12">
        <v>-5545806.1970734904</v>
      </c>
      <c r="AY8" s="12">
        <v>271329.35832490999</v>
      </c>
      <c r="AZ8" s="21">
        <v>-5274476.8387485798</v>
      </c>
      <c r="BA8" s="21">
        <v>0</v>
      </c>
      <c r="BB8" s="26">
        <v>107689567.276171</v>
      </c>
    </row>
    <row r="9" spans="1:54" x14ac:dyDescent="0.25">
      <c r="A9" s="114"/>
      <c r="B9" s="115"/>
      <c r="C9" s="11" t="s">
        <v>148</v>
      </c>
      <c r="D9" s="10" t="s">
        <v>165</v>
      </c>
      <c r="E9" s="12">
        <v>0</v>
      </c>
      <c r="F9" s="12">
        <v>0</v>
      </c>
      <c r="G9" s="12">
        <v>0</v>
      </c>
      <c r="H9" s="12">
        <v>1202119.5008077601</v>
      </c>
      <c r="I9" s="12">
        <v>0</v>
      </c>
      <c r="J9" s="12">
        <v>0</v>
      </c>
      <c r="K9" s="12">
        <v>0</v>
      </c>
      <c r="L9" s="12">
        <v>0</v>
      </c>
      <c r="M9" s="12">
        <v>0</v>
      </c>
      <c r="N9" s="12">
        <v>0</v>
      </c>
      <c r="O9" s="12">
        <v>277126.04610637802</v>
      </c>
      <c r="P9" s="12">
        <v>3552837.3544160398</v>
      </c>
      <c r="Q9" s="12">
        <v>1409391.8403259499</v>
      </c>
      <c r="R9" s="12">
        <v>99316334.352719903</v>
      </c>
      <c r="S9" s="12">
        <v>2812170.41742608</v>
      </c>
      <c r="T9" s="12">
        <v>0</v>
      </c>
      <c r="U9" s="12">
        <v>0</v>
      </c>
      <c r="V9" s="12">
        <v>0</v>
      </c>
      <c r="W9" s="12">
        <v>0</v>
      </c>
      <c r="X9" s="12">
        <v>0.38662645551279001</v>
      </c>
      <c r="Y9" s="12">
        <v>0</v>
      </c>
      <c r="Z9" s="12">
        <v>10351.315330728599</v>
      </c>
      <c r="AA9" s="12">
        <v>0</v>
      </c>
      <c r="AB9" s="12">
        <v>0</v>
      </c>
      <c r="AC9" s="12">
        <v>0</v>
      </c>
      <c r="AD9" s="12">
        <v>0</v>
      </c>
      <c r="AE9" s="12">
        <v>0</v>
      </c>
      <c r="AF9" s="12">
        <v>0</v>
      </c>
      <c r="AG9" s="12">
        <v>0</v>
      </c>
      <c r="AH9" s="12">
        <v>0</v>
      </c>
      <c r="AI9" s="12">
        <v>0</v>
      </c>
      <c r="AJ9" s="12">
        <v>0</v>
      </c>
      <c r="AK9" s="12">
        <v>0</v>
      </c>
      <c r="AL9" s="12">
        <v>0</v>
      </c>
      <c r="AM9" s="12">
        <v>234561.94825456201</v>
      </c>
      <c r="AN9" s="12">
        <v>0</v>
      </c>
      <c r="AO9" s="12">
        <v>0</v>
      </c>
      <c r="AP9" s="12">
        <v>0</v>
      </c>
      <c r="AQ9" s="12">
        <v>0</v>
      </c>
      <c r="AR9" s="12">
        <v>0</v>
      </c>
      <c r="AS9" s="12">
        <v>0</v>
      </c>
      <c r="AT9" s="12">
        <v>0</v>
      </c>
      <c r="AU9" s="21">
        <v>108814893.16201399</v>
      </c>
      <c r="AV9" s="12">
        <v>0</v>
      </c>
      <c r="AW9" s="12">
        <v>0</v>
      </c>
      <c r="AX9" s="12">
        <v>967878.64977613499</v>
      </c>
      <c r="AY9" s="12">
        <v>394270.089915558</v>
      </c>
      <c r="AZ9" s="21">
        <v>1362148.7396916901</v>
      </c>
      <c r="BA9" s="21">
        <v>0</v>
      </c>
      <c r="BB9" s="26">
        <v>110177041.901706</v>
      </c>
    </row>
    <row r="10" spans="1:54" x14ac:dyDescent="0.25">
      <c r="A10" s="114"/>
      <c r="B10" s="115"/>
      <c r="C10" s="11" t="s">
        <v>149</v>
      </c>
      <c r="D10" s="10" t="s">
        <v>166</v>
      </c>
      <c r="E10" s="12">
        <v>1787.2344750304701</v>
      </c>
      <c r="F10" s="12">
        <v>1416291.9425935401</v>
      </c>
      <c r="G10" s="12">
        <v>16962449.860877201</v>
      </c>
      <c r="H10" s="12">
        <v>368077.90179746703</v>
      </c>
      <c r="I10" s="12">
        <v>1528725.2453083701</v>
      </c>
      <c r="J10" s="12">
        <v>526803.28443385696</v>
      </c>
      <c r="K10" s="12">
        <v>11014.510161120999</v>
      </c>
      <c r="L10" s="12">
        <v>6510.11999266564</v>
      </c>
      <c r="M10" s="12">
        <v>12579.3859408218</v>
      </c>
      <c r="N10" s="12">
        <v>353125.33193177398</v>
      </c>
      <c r="O10" s="12">
        <v>31032.397206381698</v>
      </c>
      <c r="P10" s="12">
        <v>7876240.2152618403</v>
      </c>
      <c r="Q10" s="12">
        <v>46411463.164484903</v>
      </c>
      <c r="R10" s="12">
        <v>495334.58150361199</v>
      </c>
      <c r="S10" s="12">
        <v>148139.26695835899</v>
      </c>
      <c r="T10" s="12">
        <v>62466.090637925598</v>
      </c>
      <c r="U10" s="12">
        <v>118747.369343627</v>
      </c>
      <c r="V10" s="12">
        <v>201417.27409392601</v>
      </c>
      <c r="W10" s="12">
        <v>365564.08892205002</v>
      </c>
      <c r="X10" s="12">
        <v>81910.466676723197</v>
      </c>
      <c r="Y10" s="12">
        <v>1447.86501208098</v>
      </c>
      <c r="Z10" s="12">
        <v>7699.0704018336901</v>
      </c>
      <c r="AA10" s="12">
        <v>22348.899879734101</v>
      </c>
      <c r="AB10" s="12">
        <v>334659.359221205</v>
      </c>
      <c r="AC10" s="12">
        <v>0</v>
      </c>
      <c r="AD10" s="12">
        <v>0</v>
      </c>
      <c r="AE10" s="12">
        <v>22596602.082063999</v>
      </c>
      <c r="AF10" s="12">
        <v>58148.764286736303</v>
      </c>
      <c r="AG10" s="12">
        <v>174360.59429078299</v>
      </c>
      <c r="AH10" s="12">
        <v>3905.1298456322502</v>
      </c>
      <c r="AI10" s="12">
        <v>84.729024094135596</v>
      </c>
      <c r="AJ10" s="12">
        <v>726.33355182693504</v>
      </c>
      <c r="AK10" s="12">
        <v>366.49797793203101</v>
      </c>
      <c r="AL10" s="12">
        <v>1632.6414977525999</v>
      </c>
      <c r="AM10" s="12">
        <v>20300.344108027199</v>
      </c>
      <c r="AN10" s="12">
        <v>3773.8970430813702</v>
      </c>
      <c r="AO10" s="12">
        <v>7106.2968361144003</v>
      </c>
      <c r="AP10" s="12">
        <v>3624.7075784342101</v>
      </c>
      <c r="AQ10" s="12">
        <v>2883.4310738422701</v>
      </c>
      <c r="AR10" s="12">
        <v>994.84326750146897</v>
      </c>
      <c r="AS10" s="12">
        <v>5285.13684189989</v>
      </c>
      <c r="AT10" s="12">
        <v>20894.0534911836</v>
      </c>
      <c r="AU10" s="21">
        <v>100246524.409895</v>
      </c>
      <c r="AV10" s="12">
        <v>0</v>
      </c>
      <c r="AW10" s="12">
        <v>0</v>
      </c>
      <c r="AX10" s="12">
        <v>1556447.9123493801</v>
      </c>
      <c r="AY10" s="12">
        <v>1791359.43691485</v>
      </c>
      <c r="AZ10" s="21">
        <v>3347807.3492642301</v>
      </c>
      <c r="BA10" s="21">
        <v>0</v>
      </c>
      <c r="BB10" s="26">
        <v>103594331.759159</v>
      </c>
    </row>
    <row r="11" spans="1:54" x14ac:dyDescent="0.25">
      <c r="A11" s="114"/>
      <c r="B11" s="115"/>
      <c r="C11" s="11" t="s">
        <v>60</v>
      </c>
      <c r="D11" s="9" t="s">
        <v>167</v>
      </c>
      <c r="E11" s="12">
        <v>107762674.595338</v>
      </c>
      <c r="F11" s="12">
        <v>412630.201737992</v>
      </c>
      <c r="G11" s="12">
        <v>79284.893988629105</v>
      </c>
      <c r="H11" s="12">
        <v>536210.75314044801</v>
      </c>
      <c r="I11" s="12">
        <v>420250.88579245697</v>
      </c>
      <c r="J11" s="12">
        <v>226904219.21671799</v>
      </c>
      <c r="K11" s="12">
        <v>915942.45041371603</v>
      </c>
      <c r="L11" s="12">
        <v>12571512.9777143</v>
      </c>
      <c r="M11" s="12">
        <v>1245988.6052965799</v>
      </c>
      <c r="N11" s="12">
        <v>1765754.4737583401</v>
      </c>
      <c r="O11" s="12">
        <v>3255066.1371466001</v>
      </c>
      <c r="P11" s="12">
        <v>32599559.3432138</v>
      </c>
      <c r="Q11" s="12">
        <v>1763518.8846152399</v>
      </c>
      <c r="R11" s="12">
        <v>7992400.9999274397</v>
      </c>
      <c r="S11" s="12">
        <v>2844635.3319858098</v>
      </c>
      <c r="T11" s="12">
        <v>4400876.3002045304</v>
      </c>
      <c r="U11" s="12">
        <v>2449313.4480165699</v>
      </c>
      <c r="V11" s="12">
        <v>3400368.0802052701</v>
      </c>
      <c r="W11" s="12">
        <v>4521641.7863686103</v>
      </c>
      <c r="X11" s="12">
        <v>6650685.77837124</v>
      </c>
      <c r="Y11" s="12">
        <v>650020.30186105706</v>
      </c>
      <c r="Z11" s="12">
        <v>586883.37369117199</v>
      </c>
      <c r="AA11" s="12">
        <v>29779.677011830499</v>
      </c>
      <c r="AB11" s="12">
        <v>5004110.9710087497</v>
      </c>
      <c r="AC11" s="12">
        <v>538052.46542991605</v>
      </c>
      <c r="AD11" s="12">
        <v>431836.34448805201</v>
      </c>
      <c r="AE11" s="12">
        <v>5733044.9268451296</v>
      </c>
      <c r="AF11" s="12">
        <v>2299913.4869095199</v>
      </c>
      <c r="AG11" s="12">
        <v>7642261.5093628904</v>
      </c>
      <c r="AH11" s="12">
        <v>127019204.58915199</v>
      </c>
      <c r="AI11" s="12">
        <v>5591128.6745443204</v>
      </c>
      <c r="AJ11" s="12">
        <v>2852744.5169629999</v>
      </c>
      <c r="AK11" s="12">
        <v>4668503.4630510397</v>
      </c>
      <c r="AL11" s="12">
        <v>16504732.946090801</v>
      </c>
      <c r="AM11" s="12">
        <v>4771848.70985022</v>
      </c>
      <c r="AN11" s="12">
        <v>3285314.5807399</v>
      </c>
      <c r="AO11" s="12">
        <v>2334103.1806747299</v>
      </c>
      <c r="AP11" s="12">
        <v>7499178.4197350601</v>
      </c>
      <c r="AQ11" s="12">
        <v>12475782.518035101</v>
      </c>
      <c r="AR11" s="12">
        <v>6998524.9262186196</v>
      </c>
      <c r="AS11" s="12">
        <v>9657326.4736511596</v>
      </c>
      <c r="AT11" s="12">
        <v>5305069.00654417</v>
      </c>
      <c r="AU11" s="21">
        <v>654371900.20581305</v>
      </c>
      <c r="AV11" s="12">
        <v>555608964.74559903</v>
      </c>
      <c r="AW11" s="12">
        <v>0</v>
      </c>
      <c r="AX11" s="12">
        <v>5627711.1236522105</v>
      </c>
      <c r="AY11" s="12">
        <v>35754222.096042499</v>
      </c>
      <c r="AZ11" s="21">
        <v>596990897.96529305</v>
      </c>
      <c r="BA11" s="21">
        <v>0</v>
      </c>
      <c r="BB11" s="26">
        <v>1251362798.1711099</v>
      </c>
    </row>
    <row r="12" spans="1:54" x14ac:dyDescent="0.25">
      <c r="A12" s="114"/>
      <c r="B12" s="115"/>
      <c r="C12" s="11" t="s">
        <v>150</v>
      </c>
      <c r="D12" s="9" t="s">
        <v>168</v>
      </c>
      <c r="E12" s="12">
        <v>43488.087096733303</v>
      </c>
      <c r="F12" s="12">
        <v>87424.206506111004</v>
      </c>
      <c r="G12" s="12">
        <v>14575.170933396001</v>
      </c>
      <c r="H12" s="12">
        <v>27494.563841929801</v>
      </c>
      <c r="I12" s="12">
        <v>196961.071458611</v>
      </c>
      <c r="J12" s="12">
        <v>559172.82834169001</v>
      </c>
      <c r="K12" s="12">
        <v>132312864.108199</v>
      </c>
      <c r="L12" s="12">
        <v>120678892.28164101</v>
      </c>
      <c r="M12" s="12">
        <v>3178377.9498835499</v>
      </c>
      <c r="N12" s="12">
        <v>10030261.0187726</v>
      </c>
      <c r="O12" s="12">
        <v>78510.412323689496</v>
      </c>
      <c r="P12" s="12">
        <v>6447199.03407156</v>
      </c>
      <c r="Q12" s="12">
        <v>206449.05298107001</v>
      </c>
      <c r="R12" s="12">
        <v>169682.430284025</v>
      </c>
      <c r="S12" s="12">
        <v>977033.02505046595</v>
      </c>
      <c r="T12" s="12">
        <v>306926.58226637502</v>
      </c>
      <c r="U12" s="12">
        <v>310475.83717982599</v>
      </c>
      <c r="V12" s="12">
        <v>974387.13872156199</v>
      </c>
      <c r="W12" s="12">
        <v>770012.31035878905</v>
      </c>
      <c r="X12" s="12">
        <v>453207.638915752</v>
      </c>
      <c r="Y12" s="12">
        <v>183476.749947887</v>
      </c>
      <c r="Z12" s="12">
        <v>3249332.1654572301</v>
      </c>
      <c r="AA12" s="12">
        <v>55299.188073754398</v>
      </c>
      <c r="AB12" s="12">
        <v>7118.2065622112696</v>
      </c>
      <c r="AC12" s="12">
        <v>3052.1557244773899</v>
      </c>
      <c r="AD12" s="12">
        <v>10030.4196094855</v>
      </c>
      <c r="AE12" s="12">
        <v>99853.876197625694</v>
      </c>
      <c r="AF12" s="12">
        <v>388343.62399719399</v>
      </c>
      <c r="AG12" s="12">
        <v>1753307.82486331</v>
      </c>
      <c r="AH12" s="12">
        <v>1422872.17656315</v>
      </c>
      <c r="AI12" s="12">
        <v>104287.31972925299</v>
      </c>
      <c r="AJ12" s="12">
        <v>9621.6707261034207</v>
      </c>
      <c r="AK12" s="12">
        <v>3644.3219769839302</v>
      </c>
      <c r="AL12" s="12">
        <v>1003000.81347277</v>
      </c>
      <c r="AM12" s="12">
        <v>1487777.0253113301</v>
      </c>
      <c r="AN12" s="12">
        <v>145816.90609532499</v>
      </c>
      <c r="AO12" s="12">
        <v>525050.84856533504</v>
      </c>
      <c r="AP12" s="12">
        <v>1059328.8852919899</v>
      </c>
      <c r="AQ12" s="12">
        <v>989513.12243038404</v>
      </c>
      <c r="AR12" s="12">
        <v>5931787.5110720396</v>
      </c>
      <c r="AS12" s="12">
        <v>180096.11683984901</v>
      </c>
      <c r="AT12" s="12">
        <v>2377857.0591223799</v>
      </c>
      <c r="AU12" s="21">
        <v>298813862.73645902</v>
      </c>
      <c r="AV12" s="12">
        <v>7886762.7028063796</v>
      </c>
      <c r="AW12" s="12">
        <v>0</v>
      </c>
      <c r="AX12" s="12">
        <v>-3937756.3414757801</v>
      </c>
      <c r="AY12" s="12">
        <v>84065465.377447993</v>
      </c>
      <c r="AZ12" s="21">
        <v>88014471.738778606</v>
      </c>
      <c r="BA12" s="21">
        <v>0</v>
      </c>
      <c r="BB12" s="26">
        <v>386828334.47523701</v>
      </c>
    </row>
    <row r="13" spans="1:54" x14ac:dyDescent="0.25">
      <c r="A13" s="114"/>
      <c r="B13" s="115"/>
      <c r="C13" s="11" t="s">
        <v>151</v>
      </c>
      <c r="D13" s="9" t="s">
        <v>169</v>
      </c>
      <c r="E13" s="12">
        <v>210633.46669332701</v>
      </c>
      <c r="F13" s="12">
        <v>1448307.5238203499</v>
      </c>
      <c r="G13" s="12">
        <v>158164.76679781501</v>
      </c>
      <c r="H13" s="12">
        <v>184684.31703215101</v>
      </c>
      <c r="I13" s="12">
        <v>319292.95218914398</v>
      </c>
      <c r="J13" s="12">
        <v>3133192.3474496799</v>
      </c>
      <c r="K13" s="12">
        <v>2267846.1262476202</v>
      </c>
      <c r="L13" s="12">
        <v>51891198.7710061</v>
      </c>
      <c r="M13" s="12">
        <v>4497521.0206137504</v>
      </c>
      <c r="N13" s="12">
        <v>2861528.1761001698</v>
      </c>
      <c r="O13" s="12">
        <v>813538.18581904401</v>
      </c>
      <c r="P13" s="12">
        <v>4580011.3497843398</v>
      </c>
      <c r="Q13" s="12">
        <v>3841310.2754128901</v>
      </c>
      <c r="R13" s="12">
        <v>924068.22819465201</v>
      </c>
      <c r="S13" s="12">
        <v>1041386.27271097</v>
      </c>
      <c r="T13" s="12">
        <v>1575858.35066951</v>
      </c>
      <c r="U13" s="12">
        <v>1566622.14015286</v>
      </c>
      <c r="V13" s="12">
        <v>5887523.4186304295</v>
      </c>
      <c r="W13" s="12">
        <v>2217390.1459807898</v>
      </c>
      <c r="X13" s="12">
        <v>1933974.2938552001</v>
      </c>
      <c r="Y13" s="12">
        <v>403676.60292473901</v>
      </c>
      <c r="Z13" s="12">
        <v>661879.45414062496</v>
      </c>
      <c r="AA13" s="12">
        <v>173353.44390431</v>
      </c>
      <c r="AB13" s="12">
        <v>857468.91938040697</v>
      </c>
      <c r="AC13" s="12">
        <v>340524.52679834701</v>
      </c>
      <c r="AD13" s="12">
        <v>381727.24573167303</v>
      </c>
      <c r="AE13" s="12">
        <v>4440887.5373324798</v>
      </c>
      <c r="AF13" s="12">
        <v>2829126.4676867402</v>
      </c>
      <c r="AG13" s="12">
        <v>3342867.30009754</v>
      </c>
      <c r="AH13" s="12">
        <v>2070923.9391043901</v>
      </c>
      <c r="AI13" s="12">
        <v>894034.85582512396</v>
      </c>
      <c r="AJ13" s="12">
        <v>4698326.0930128703</v>
      </c>
      <c r="AK13" s="12">
        <v>2102069.9175709402</v>
      </c>
      <c r="AL13" s="12">
        <v>15666105.4001952</v>
      </c>
      <c r="AM13" s="12">
        <v>1109490.2606053001</v>
      </c>
      <c r="AN13" s="12">
        <v>1377059.6224104101</v>
      </c>
      <c r="AO13" s="12">
        <v>917893.81020704203</v>
      </c>
      <c r="AP13" s="12">
        <v>1436099.67101483</v>
      </c>
      <c r="AQ13" s="12">
        <v>558356.13544417603</v>
      </c>
      <c r="AR13" s="12">
        <v>3573065.3025101</v>
      </c>
      <c r="AS13" s="12">
        <v>4548449.5310165696</v>
      </c>
      <c r="AT13" s="12">
        <v>21465210.1520692</v>
      </c>
      <c r="AU13" s="21">
        <v>165202648.31814399</v>
      </c>
      <c r="AV13" s="12">
        <v>102290086.728282</v>
      </c>
      <c r="AW13" s="12">
        <v>0</v>
      </c>
      <c r="AX13" s="12">
        <v>330182.30283937103</v>
      </c>
      <c r="AY13" s="12">
        <v>102735674.98960701</v>
      </c>
      <c r="AZ13" s="21">
        <v>205355944.02072799</v>
      </c>
      <c r="BA13" s="21">
        <v>0</v>
      </c>
      <c r="BB13" s="26">
        <v>370558592.33887202</v>
      </c>
    </row>
    <row r="14" spans="1:54" x14ac:dyDescent="0.25">
      <c r="A14" s="114"/>
      <c r="B14" s="115"/>
      <c r="C14" s="11" t="s">
        <v>62</v>
      </c>
      <c r="D14" s="9" t="s">
        <v>170</v>
      </c>
      <c r="E14" s="12">
        <v>332130.94199406699</v>
      </c>
      <c r="F14" s="12">
        <v>3550330.8513525999</v>
      </c>
      <c r="G14" s="12">
        <v>156719.312837601</v>
      </c>
      <c r="H14" s="12">
        <v>198051.27595556801</v>
      </c>
      <c r="I14" s="12">
        <v>62167.204233645898</v>
      </c>
      <c r="J14" s="12">
        <v>843310.18127068202</v>
      </c>
      <c r="K14" s="12">
        <v>467472.32425939001</v>
      </c>
      <c r="L14" s="12">
        <v>448837.70167637803</v>
      </c>
      <c r="M14" s="12">
        <v>76271555.844886497</v>
      </c>
      <c r="N14" s="12">
        <v>7247944.9264201596</v>
      </c>
      <c r="O14" s="12">
        <v>186390.62772228301</v>
      </c>
      <c r="P14" s="12">
        <v>2120037.4897344299</v>
      </c>
      <c r="Q14" s="12">
        <v>1952322.4866080701</v>
      </c>
      <c r="R14" s="12">
        <v>233763.181633976</v>
      </c>
      <c r="S14" s="12">
        <v>4780108.7314938297</v>
      </c>
      <c r="T14" s="12">
        <v>926925.34376364597</v>
      </c>
      <c r="U14" s="12">
        <v>634753.78210018901</v>
      </c>
      <c r="V14" s="12">
        <v>6342214.8668317404</v>
      </c>
      <c r="W14" s="12">
        <v>1042253.91139207</v>
      </c>
      <c r="X14" s="12">
        <v>836533.27615367097</v>
      </c>
      <c r="Y14" s="12">
        <v>179508.29927213301</v>
      </c>
      <c r="Z14" s="12">
        <v>1226495.54499967</v>
      </c>
      <c r="AA14" s="12">
        <v>61080.558815210701</v>
      </c>
      <c r="AB14" s="12">
        <v>201342.02418594601</v>
      </c>
      <c r="AC14" s="12">
        <v>4006.0181302180099</v>
      </c>
      <c r="AD14" s="12">
        <v>3311.2822548806298</v>
      </c>
      <c r="AE14" s="12">
        <v>56675496.210032903</v>
      </c>
      <c r="AF14" s="12">
        <v>423015.44156675501</v>
      </c>
      <c r="AG14" s="12">
        <v>933685.93344286003</v>
      </c>
      <c r="AH14" s="12">
        <v>195764.86517384899</v>
      </c>
      <c r="AI14" s="12">
        <v>921453.45173362701</v>
      </c>
      <c r="AJ14" s="12">
        <v>474218.70927434199</v>
      </c>
      <c r="AK14" s="12">
        <v>545892.77063340798</v>
      </c>
      <c r="AL14" s="12">
        <v>599129.68595912098</v>
      </c>
      <c r="AM14" s="12">
        <v>50502.958944722297</v>
      </c>
      <c r="AN14" s="12">
        <v>400653.75025428698</v>
      </c>
      <c r="AO14" s="12">
        <v>277773.49174430798</v>
      </c>
      <c r="AP14" s="12">
        <v>614957.75863953505</v>
      </c>
      <c r="AQ14" s="12">
        <v>342369.87398908602</v>
      </c>
      <c r="AR14" s="12">
        <v>75000.566355592193</v>
      </c>
      <c r="AS14" s="12">
        <v>319061.64086877397</v>
      </c>
      <c r="AT14" s="12">
        <v>3700725.2342387699</v>
      </c>
      <c r="AU14" s="21">
        <v>176859270.332831</v>
      </c>
      <c r="AV14" s="12">
        <v>20775877.1968778</v>
      </c>
      <c r="AW14" s="12">
        <v>21433220.094952401</v>
      </c>
      <c r="AX14" s="12">
        <v>1628055.0045753301</v>
      </c>
      <c r="AY14" s="12">
        <v>44716757.280314401</v>
      </c>
      <c r="AZ14" s="21">
        <v>88553909.576719895</v>
      </c>
      <c r="BA14" s="21">
        <v>0</v>
      </c>
      <c r="BB14" s="26">
        <v>265413179.90955001</v>
      </c>
    </row>
    <row r="15" spans="1:54" x14ac:dyDescent="0.25">
      <c r="A15" s="114"/>
      <c r="B15" s="115"/>
      <c r="C15" s="11" t="s">
        <v>63</v>
      </c>
      <c r="D15" s="9" t="s">
        <v>171</v>
      </c>
      <c r="E15" s="12">
        <v>1022496.5479551801</v>
      </c>
      <c r="F15" s="12">
        <v>30868.9850854955</v>
      </c>
      <c r="G15" s="12">
        <v>9609.9249538734093</v>
      </c>
      <c r="H15" s="12">
        <v>125389.01406380501</v>
      </c>
      <c r="I15" s="12">
        <v>203568.73188948099</v>
      </c>
      <c r="J15" s="12">
        <v>12906419.093399599</v>
      </c>
      <c r="K15" s="12">
        <v>1361001.47197193</v>
      </c>
      <c r="L15" s="12">
        <v>2063602.8650952301</v>
      </c>
      <c r="M15" s="12">
        <v>2464017.9199943598</v>
      </c>
      <c r="N15" s="12">
        <v>88553261.385209605</v>
      </c>
      <c r="O15" s="12">
        <v>355036.628508555</v>
      </c>
      <c r="P15" s="12">
        <v>10161959.132871101</v>
      </c>
      <c r="Q15" s="12">
        <v>8734267.0529968496</v>
      </c>
      <c r="R15" s="12">
        <v>417716.70712236298</v>
      </c>
      <c r="S15" s="12">
        <v>1889707.1288928201</v>
      </c>
      <c r="T15" s="12">
        <v>1884090.19679022</v>
      </c>
      <c r="U15" s="12">
        <v>1781517.0740938301</v>
      </c>
      <c r="V15" s="12">
        <v>1890921.8845356801</v>
      </c>
      <c r="W15" s="12">
        <v>5344053.9156028302</v>
      </c>
      <c r="X15" s="12">
        <v>4608187.3929498596</v>
      </c>
      <c r="Y15" s="12">
        <v>421461.90787199303</v>
      </c>
      <c r="Z15" s="12">
        <v>771772.27599371399</v>
      </c>
      <c r="AA15" s="12">
        <v>13315.011220139</v>
      </c>
      <c r="AB15" s="12">
        <v>457287.87242355401</v>
      </c>
      <c r="AC15" s="12">
        <v>12994.950063914201</v>
      </c>
      <c r="AD15" s="12">
        <v>21056.999761886502</v>
      </c>
      <c r="AE15" s="12">
        <v>5227867.0652352404</v>
      </c>
      <c r="AF15" s="12">
        <v>8764359.4935700204</v>
      </c>
      <c r="AG15" s="12">
        <v>4300950.8319742503</v>
      </c>
      <c r="AH15" s="12">
        <v>1708148.2368874999</v>
      </c>
      <c r="AI15" s="12">
        <v>27363936.425371401</v>
      </c>
      <c r="AJ15" s="12">
        <v>19939323.829039101</v>
      </c>
      <c r="AK15" s="12">
        <v>5315785.6366313295</v>
      </c>
      <c r="AL15" s="12">
        <v>68827943.962768406</v>
      </c>
      <c r="AM15" s="12">
        <v>2588639.5531612001</v>
      </c>
      <c r="AN15" s="12">
        <v>5439646.4386550803</v>
      </c>
      <c r="AO15" s="12">
        <v>1042583.06663861</v>
      </c>
      <c r="AP15" s="12">
        <v>1726186.5247065199</v>
      </c>
      <c r="AQ15" s="12">
        <v>12542494.859938599</v>
      </c>
      <c r="AR15" s="12">
        <v>286946.11814451503</v>
      </c>
      <c r="AS15" s="12">
        <v>7224086.0885693599</v>
      </c>
      <c r="AT15" s="12">
        <v>18858988.514762599</v>
      </c>
      <c r="AU15" s="21">
        <v>338663468.71737099</v>
      </c>
      <c r="AV15" s="12">
        <v>28657312.794743299</v>
      </c>
      <c r="AW15" s="12">
        <v>3814474.5853156201</v>
      </c>
      <c r="AX15" s="12">
        <v>-8388396.3492028601</v>
      </c>
      <c r="AY15" s="12">
        <v>65645906.635106698</v>
      </c>
      <c r="AZ15" s="21">
        <v>89729297.665962696</v>
      </c>
      <c r="BA15" s="21">
        <v>0</v>
      </c>
      <c r="BB15" s="26">
        <v>428392766.38333398</v>
      </c>
    </row>
    <row r="16" spans="1:54" x14ac:dyDescent="0.25">
      <c r="A16" s="114"/>
      <c r="B16" s="115"/>
      <c r="C16" s="11" t="s">
        <v>64</v>
      </c>
      <c r="D16" s="9" t="s">
        <v>172</v>
      </c>
      <c r="E16" s="12">
        <v>4960667.8395781703</v>
      </c>
      <c r="F16" s="12">
        <v>699976.67527332995</v>
      </c>
      <c r="G16" s="12">
        <v>108440.97980356</v>
      </c>
      <c r="H16" s="12">
        <v>3644928.4592551999</v>
      </c>
      <c r="I16" s="12">
        <v>4925874.2562187798</v>
      </c>
      <c r="J16" s="12">
        <v>1014363.14503297</v>
      </c>
      <c r="K16" s="12">
        <v>514658.90550954401</v>
      </c>
      <c r="L16" s="12">
        <v>591987.09938864398</v>
      </c>
      <c r="M16" s="12">
        <v>1003761.87735367</v>
      </c>
      <c r="N16" s="12">
        <v>691591.52706194401</v>
      </c>
      <c r="O16" s="12">
        <v>19043682.443677898</v>
      </c>
      <c r="P16" s="12">
        <v>59323182.659615003</v>
      </c>
      <c r="Q16" s="12">
        <v>19288552.784813698</v>
      </c>
      <c r="R16" s="12">
        <v>46663768.6303683</v>
      </c>
      <c r="S16" s="12">
        <v>3073329.48735369</v>
      </c>
      <c r="T16" s="12">
        <v>1912452.7758857301</v>
      </c>
      <c r="U16" s="12">
        <v>924059.06686005695</v>
      </c>
      <c r="V16" s="12">
        <v>1239212.5563159001</v>
      </c>
      <c r="W16" s="12">
        <v>1119900.1122238201</v>
      </c>
      <c r="X16" s="12">
        <v>732962.71635055903</v>
      </c>
      <c r="Y16" s="12">
        <v>264213.98017587402</v>
      </c>
      <c r="Z16" s="12">
        <v>551859.19970378198</v>
      </c>
      <c r="AA16" s="12">
        <v>254526.57750866801</v>
      </c>
      <c r="AB16" s="12">
        <v>10106707.367388699</v>
      </c>
      <c r="AC16" s="12">
        <v>1260421.33703691</v>
      </c>
      <c r="AD16" s="12">
        <v>38446.011742537397</v>
      </c>
      <c r="AE16" s="12">
        <v>36611750.945189103</v>
      </c>
      <c r="AF16" s="12">
        <v>3294124.3769538798</v>
      </c>
      <c r="AG16" s="12">
        <v>96255239.886357799</v>
      </c>
      <c r="AH16" s="12">
        <v>1028558.01889026</v>
      </c>
      <c r="AI16" s="12">
        <v>1115623.32772243</v>
      </c>
      <c r="AJ16" s="12">
        <v>3727565.8293950302</v>
      </c>
      <c r="AK16" s="12">
        <v>1527462.8733138801</v>
      </c>
      <c r="AL16" s="12">
        <v>19247081.029904801</v>
      </c>
      <c r="AM16" s="12">
        <v>1474687.18748983</v>
      </c>
      <c r="AN16" s="12">
        <v>12369335.3093623</v>
      </c>
      <c r="AO16" s="12">
        <v>1244053.8144755799</v>
      </c>
      <c r="AP16" s="12">
        <v>1110772.20325558</v>
      </c>
      <c r="AQ16" s="12">
        <v>2784873.9149243999</v>
      </c>
      <c r="AR16" s="12">
        <v>239595.58873397199</v>
      </c>
      <c r="AS16" s="12">
        <v>468840.74262112897</v>
      </c>
      <c r="AT16" s="12">
        <v>4520617.8843366597</v>
      </c>
      <c r="AU16" s="21">
        <v>370973711.40442401</v>
      </c>
      <c r="AV16" s="12">
        <v>31195286.198248498</v>
      </c>
      <c r="AW16" s="12">
        <v>0</v>
      </c>
      <c r="AX16" s="12">
        <v>-6679552.9915345302</v>
      </c>
      <c r="AY16" s="12">
        <v>13843839.863717999</v>
      </c>
      <c r="AZ16" s="21">
        <v>38359573.070432</v>
      </c>
      <c r="BA16" s="21">
        <v>0</v>
      </c>
      <c r="BB16" s="26">
        <v>409333284.47485602</v>
      </c>
    </row>
    <row r="17" spans="1:54" x14ac:dyDescent="0.25">
      <c r="A17" s="114"/>
      <c r="B17" s="115"/>
      <c r="C17" s="11" t="s">
        <v>152</v>
      </c>
      <c r="D17" s="9" t="s">
        <v>173</v>
      </c>
      <c r="E17" s="12">
        <v>89670082.830780506</v>
      </c>
      <c r="F17" s="12">
        <v>3259253.26387722</v>
      </c>
      <c r="G17" s="12">
        <v>3451485.8963134601</v>
      </c>
      <c r="H17" s="12">
        <v>4140765.9403228401</v>
      </c>
      <c r="I17" s="12">
        <v>8012296.9637088003</v>
      </c>
      <c r="J17" s="12">
        <v>16509361.205845</v>
      </c>
      <c r="K17" s="12">
        <v>40278014.465268299</v>
      </c>
      <c r="L17" s="12">
        <v>21654400.163505901</v>
      </c>
      <c r="M17" s="12">
        <v>19015340.503869001</v>
      </c>
      <c r="N17" s="12">
        <v>48400073.806330301</v>
      </c>
      <c r="O17" s="12">
        <v>13647639.2736884</v>
      </c>
      <c r="P17" s="12">
        <v>469154603.64737201</v>
      </c>
      <c r="Q17" s="12">
        <v>37002604.956774503</v>
      </c>
      <c r="R17" s="12">
        <v>13476319.2853863</v>
      </c>
      <c r="S17" s="12">
        <v>15681412.0950939</v>
      </c>
      <c r="T17" s="12">
        <v>11722314.3153424</v>
      </c>
      <c r="U17" s="12">
        <v>11204181.879200799</v>
      </c>
      <c r="V17" s="12">
        <v>34388009.339229099</v>
      </c>
      <c r="W17" s="12">
        <v>47326113.834646702</v>
      </c>
      <c r="X17" s="12">
        <v>25815771.250845902</v>
      </c>
      <c r="Y17" s="12">
        <v>1716763.29057478</v>
      </c>
      <c r="Z17" s="12">
        <v>7285541.89998978</v>
      </c>
      <c r="AA17" s="12">
        <v>363727.09513967298</v>
      </c>
      <c r="AB17" s="12">
        <v>263731.21509564202</v>
      </c>
      <c r="AC17" s="12">
        <v>80180.882537108497</v>
      </c>
      <c r="AD17" s="12">
        <v>3071514.8924285602</v>
      </c>
      <c r="AE17" s="12">
        <v>110545355.439298</v>
      </c>
      <c r="AF17" s="12">
        <v>2761408.2568544801</v>
      </c>
      <c r="AG17" s="12">
        <v>12358589.7610247</v>
      </c>
      <c r="AH17" s="12">
        <v>3597338.2086708499</v>
      </c>
      <c r="AI17" s="12">
        <v>2929183.7955412199</v>
      </c>
      <c r="AJ17" s="12">
        <v>448289.86140875402</v>
      </c>
      <c r="AK17" s="12">
        <v>728858.81344597705</v>
      </c>
      <c r="AL17" s="12">
        <v>7607179.8718524901</v>
      </c>
      <c r="AM17" s="12">
        <v>15479755.295953801</v>
      </c>
      <c r="AN17" s="12">
        <v>23738608.4011117</v>
      </c>
      <c r="AO17" s="12">
        <v>7991999.8678956302</v>
      </c>
      <c r="AP17" s="12">
        <v>16180214.401518101</v>
      </c>
      <c r="AQ17" s="12">
        <v>8190649.0030261697</v>
      </c>
      <c r="AR17" s="12">
        <v>161950670.41359401</v>
      </c>
      <c r="AS17" s="12">
        <v>1755663.87606937</v>
      </c>
      <c r="AT17" s="12">
        <v>2790590.0852562198</v>
      </c>
      <c r="AU17" s="21">
        <v>1325645859.5456901</v>
      </c>
      <c r="AV17" s="12">
        <v>62694982.7102402</v>
      </c>
      <c r="AW17" s="12">
        <v>0</v>
      </c>
      <c r="AX17" s="12">
        <v>-20698405.6748368</v>
      </c>
      <c r="AY17" s="12">
        <v>145701872.50858399</v>
      </c>
      <c r="AZ17" s="21">
        <v>187698449.54398701</v>
      </c>
      <c r="BA17" s="21">
        <v>0</v>
      </c>
      <c r="BB17" s="26">
        <v>1513344309.08968</v>
      </c>
    </row>
    <row r="18" spans="1:54" x14ac:dyDescent="0.25">
      <c r="A18" s="114"/>
      <c r="B18" s="115"/>
      <c r="C18" s="11" t="s">
        <v>68</v>
      </c>
      <c r="D18" s="9" t="s">
        <v>174</v>
      </c>
      <c r="E18" s="12">
        <v>526987.91462481895</v>
      </c>
      <c r="F18" s="12">
        <v>635523.52826554899</v>
      </c>
      <c r="G18" s="12">
        <v>37755.329436104301</v>
      </c>
      <c r="H18" s="12">
        <v>292329.41191924002</v>
      </c>
      <c r="I18" s="12">
        <v>1918421.07593629</v>
      </c>
      <c r="J18" s="12">
        <v>4860795.3101303298</v>
      </c>
      <c r="K18" s="12">
        <v>389193.27531337499</v>
      </c>
      <c r="L18" s="12">
        <v>169652.31173128099</v>
      </c>
      <c r="M18" s="12">
        <v>1826943.8602432699</v>
      </c>
      <c r="N18" s="12">
        <v>718768.88424694794</v>
      </c>
      <c r="O18" s="12">
        <v>2701727.6102220002</v>
      </c>
      <c r="P18" s="12">
        <v>8005893.9930620501</v>
      </c>
      <c r="Q18" s="12">
        <v>134978313.02776301</v>
      </c>
      <c r="R18" s="12">
        <v>15032339.2262532</v>
      </c>
      <c r="S18" s="12">
        <v>6656897.7038886696</v>
      </c>
      <c r="T18" s="12">
        <v>2734823.3427960798</v>
      </c>
      <c r="U18" s="12">
        <v>3800896.9352790201</v>
      </c>
      <c r="V18" s="12">
        <v>10053978.497127499</v>
      </c>
      <c r="W18" s="12">
        <v>18641450.263674598</v>
      </c>
      <c r="X18" s="12">
        <v>13269342.606778501</v>
      </c>
      <c r="Y18" s="12">
        <v>2556673.79785182</v>
      </c>
      <c r="Z18" s="12">
        <v>350345.10343630501</v>
      </c>
      <c r="AA18" s="12">
        <v>100343.305453597</v>
      </c>
      <c r="AB18" s="12">
        <v>1957304.52982455</v>
      </c>
      <c r="AC18" s="12">
        <v>7322.5089526535503</v>
      </c>
      <c r="AD18" s="12">
        <v>22818.423283494001</v>
      </c>
      <c r="AE18" s="12">
        <v>453311323.819565</v>
      </c>
      <c r="AF18" s="12">
        <v>178172.303354351</v>
      </c>
      <c r="AG18" s="12">
        <v>460559.44771953102</v>
      </c>
      <c r="AH18" s="12">
        <v>357391.98436557199</v>
      </c>
      <c r="AI18" s="12">
        <v>90804.452104925294</v>
      </c>
      <c r="AJ18" s="12">
        <v>23646.8269902508</v>
      </c>
      <c r="AK18" s="12">
        <v>32569.889832888701</v>
      </c>
      <c r="AL18" s="12">
        <v>258306.189897495</v>
      </c>
      <c r="AM18" s="12">
        <v>2224772.81724654</v>
      </c>
      <c r="AN18" s="12">
        <v>198112.827442865</v>
      </c>
      <c r="AO18" s="12">
        <v>808793.48282249796</v>
      </c>
      <c r="AP18" s="12">
        <v>95123.652511526496</v>
      </c>
      <c r="AQ18" s="12">
        <v>1123412.4450629801</v>
      </c>
      <c r="AR18" s="12">
        <v>318440.43154752802</v>
      </c>
      <c r="AS18" s="12">
        <v>4786.0371365153196</v>
      </c>
      <c r="AT18" s="12">
        <v>12841.0511251525</v>
      </c>
      <c r="AU18" s="21">
        <v>691745899.43622005</v>
      </c>
      <c r="AV18" s="12">
        <v>4940391.86334679</v>
      </c>
      <c r="AW18" s="12">
        <v>0</v>
      </c>
      <c r="AX18" s="12">
        <v>2132017.2582675698</v>
      </c>
      <c r="AY18" s="12">
        <v>34213577.993072599</v>
      </c>
      <c r="AZ18" s="21">
        <v>41285987.114687003</v>
      </c>
      <c r="BA18" s="21">
        <v>0</v>
      </c>
      <c r="BB18" s="26">
        <v>733031886.55090702</v>
      </c>
    </row>
    <row r="19" spans="1:54" x14ac:dyDescent="0.25">
      <c r="A19" s="114"/>
      <c r="B19" s="115"/>
      <c r="C19" s="11" t="s">
        <v>153</v>
      </c>
      <c r="D19" s="9" t="s">
        <v>175</v>
      </c>
      <c r="E19" s="12">
        <v>238949.91236898501</v>
      </c>
      <c r="F19" s="12">
        <v>5969829.1557777803</v>
      </c>
      <c r="G19" s="12">
        <v>1019747.33900893</v>
      </c>
      <c r="H19" s="12">
        <v>511109.78744535299</v>
      </c>
      <c r="I19" s="12">
        <v>1520124.88214349</v>
      </c>
      <c r="J19" s="12">
        <v>370198.61382949702</v>
      </c>
      <c r="K19" s="12">
        <v>385267.87493335298</v>
      </c>
      <c r="L19" s="12">
        <v>212993.279329782</v>
      </c>
      <c r="M19" s="12">
        <v>3119187.2072533201</v>
      </c>
      <c r="N19" s="12">
        <v>18368240.981742401</v>
      </c>
      <c r="O19" s="12">
        <v>144063.53925921</v>
      </c>
      <c r="P19" s="12">
        <v>11899075.6814302</v>
      </c>
      <c r="Q19" s="12">
        <v>20620676.355399199</v>
      </c>
      <c r="R19" s="12">
        <v>298508186.20156097</v>
      </c>
      <c r="S19" s="12">
        <v>154356537.94607201</v>
      </c>
      <c r="T19" s="12">
        <v>80716490.463773802</v>
      </c>
      <c r="U19" s="12">
        <v>35484158.607526198</v>
      </c>
      <c r="V19" s="12">
        <v>65901025.733045302</v>
      </c>
      <c r="W19" s="12">
        <v>137892988.50594601</v>
      </c>
      <c r="X19" s="12">
        <v>29584610.336497098</v>
      </c>
      <c r="Y19" s="12">
        <v>4337084.9021449797</v>
      </c>
      <c r="Z19" s="12">
        <v>4051108.6290452601</v>
      </c>
      <c r="AA19" s="12">
        <v>2086485.2628873</v>
      </c>
      <c r="AB19" s="12">
        <v>273936.15503248002</v>
      </c>
      <c r="AC19" s="12">
        <v>115228.848965784</v>
      </c>
      <c r="AD19" s="12">
        <v>77339.121156764202</v>
      </c>
      <c r="AE19" s="12">
        <v>287735550.22341502</v>
      </c>
      <c r="AF19" s="12">
        <v>28748.567042914099</v>
      </c>
      <c r="AG19" s="12">
        <v>669931.146620685</v>
      </c>
      <c r="AH19" s="12">
        <v>5490.0440931888797</v>
      </c>
      <c r="AI19" s="12">
        <v>6177.8910039560296</v>
      </c>
      <c r="AJ19" s="12">
        <v>11.2671481767521</v>
      </c>
      <c r="AK19" s="12">
        <v>1863.42379877804</v>
      </c>
      <c r="AL19" s="12">
        <v>2850.3913061979301</v>
      </c>
      <c r="AM19" s="12">
        <v>346676.91005308001</v>
      </c>
      <c r="AN19" s="12">
        <v>422997.74155570101</v>
      </c>
      <c r="AO19" s="12">
        <v>139999.06439075101</v>
      </c>
      <c r="AP19" s="12">
        <v>151837.36805233499</v>
      </c>
      <c r="AQ19" s="12">
        <v>72140.977859645194</v>
      </c>
      <c r="AR19" s="12">
        <v>1448.4310403226</v>
      </c>
      <c r="AS19" s="12">
        <v>1159.3173473999</v>
      </c>
      <c r="AT19" s="12">
        <v>202.87449556097499</v>
      </c>
      <c r="AU19" s="21">
        <v>1167351730.9628</v>
      </c>
      <c r="AV19" s="12">
        <v>0</v>
      </c>
      <c r="AW19" s="12">
        <v>0</v>
      </c>
      <c r="AX19" s="12">
        <v>-3340242.1699583498</v>
      </c>
      <c r="AY19" s="12">
        <v>44168474.873820797</v>
      </c>
      <c r="AZ19" s="21">
        <v>40828232.703862503</v>
      </c>
      <c r="BA19" s="21">
        <v>0</v>
      </c>
      <c r="BB19" s="26">
        <v>1208179963.6666601</v>
      </c>
    </row>
    <row r="20" spans="1:54" x14ac:dyDescent="0.25">
      <c r="A20" s="114"/>
      <c r="B20" s="115"/>
      <c r="C20" s="11" t="s">
        <v>72</v>
      </c>
      <c r="D20" s="9" t="s">
        <v>176</v>
      </c>
      <c r="E20" s="12">
        <v>821835.17175748397</v>
      </c>
      <c r="F20" s="12">
        <v>6804873.2146491203</v>
      </c>
      <c r="G20" s="12">
        <v>43184.270948724698</v>
      </c>
      <c r="H20" s="12">
        <v>2174856.30768095</v>
      </c>
      <c r="I20" s="12">
        <v>2564786.0469241799</v>
      </c>
      <c r="J20" s="12">
        <v>3512565.2069439902</v>
      </c>
      <c r="K20" s="12">
        <v>975423.82128884702</v>
      </c>
      <c r="L20" s="12">
        <v>1126429.2703454499</v>
      </c>
      <c r="M20" s="12">
        <v>5840167.8152224803</v>
      </c>
      <c r="N20" s="12">
        <v>3535223.2754633902</v>
      </c>
      <c r="O20" s="12">
        <v>353032.96467860602</v>
      </c>
      <c r="P20" s="12">
        <v>9340314.1252818201</v>
      </c>
      <c r="Q20" s="12">
        <v>16885201.712819099</v>
      </c>
      <c r="R20" s="12">
        <v>2074016.0319145501</v>
      </c>
      <c r="S20" s="12">
        <v>68828689.972720101</v>
      </c>
      <c r="T20" s="12">
        <v>26819665.038677599</v>
      </c>
      <c r="U20" s="12">
        <v>15795982.6586169</v>
      </c>
      <c r="V20" s="12">
        <v>18746028.155656599</v>
      </c>
      <c r="W20" s="12">
        <v>25054695.489997301</v>
      </c>
      <c r="X20" s="12">
        <v>13566853.4686363</v>
      </c>
      <c r="Y20" s="12">
        <v>3037417.4723741701</v>
      </c>
      <c r="Z20" s="12">
        <v>1309750.27488563</v>
      </c>
      <c r="AA20" s="12">
        <v>1203333.1264339499</v>
      </c>
      <c r="AB20" s="12">
        <v>255138.55689643</v>
      </c>
      <c r="AC20" s="12">
        <v>36777.7474507433</v>
      </c>
      <c r="AD20" s="12">
        <v>841924.53502306796</v>
      </c>
      <c r="AE20" s="12">
        <v>131793777.347618</v>
      </c>
      <c r="AF20" s="12">
        <v>236965.79995063299</v>
      </c>
      <c r="AG20" s="12">
        <v>3122904.1436291798</v>
      </c>
      <c r="AH20" s="12">
        <v>378261.25355980499</v>
      </c>
      <c r="AI20" s="12">
        <v>598378.37192342198</v>
      </c>
      <c r="AJ20" s="12">
        <v>86635.973527460999</v>
      </c>
      <c r="AK20" s="12">
        <v>1194691.5688168199</v>
      </c>
      <c r="AL20" s="12">
        <v>25068274.085951898</v>
      </c>
      <c r="AM20" s="12">
        <v>5673772.9008280002</v>
      </c>
      <c r="AN20" s="12">
        <v>13333871.9849106</v>
      </c>
      <c r="AO20" s="12">
        <v>1101674.58127656</v>
      </c>
      <c r="AP20" s="12">
        <v>3290957.77284458</v>
      </c>
      <c r="AQ20" s="12">
        <v>757682.153307628</v>
      </c>
      <c r="AR20" s="12">
        <v>53670.547183413197</v>
      </c>
      <c r="AS20" s="12">
        <v>141245.81398819701</v>
      </c>
      <c r="AT20" s="12">
        <v>1009987.6852565</v>
      </c>
      <c r="AU20" s="21">
        <v>419390917.71785998</v>
      </c>
      <c r="AV20" s="12">
        <v>4359947.0291454298</v>
      </c>
      <c r="AW20" s="12">
        <v>24003935.0615803</v>
      </c>
      <c r="AX20" s="12">
        <v>9482441.64612744</v>
      </c>
      <c r="AY20" s="12">
        <v>62244432.661749698</v>
      </c>
      <c r="AZ20" s="21">
        <v>100090756.39860301</v>
      </c>
      <c r="BA20" s="21">
        <v>0</v>
      </c>
      <c r="BB20" s="26">
        <v>519481674.11646301</v>
      </c>
    </row>
    <row r="21" spans="1:54" x14ac:dyDescent="0.25">
      <c r="A21" s="114"/>
      <c r="B21" s="115"/>
      <c r="C21" s="11" t="s">
        <v>75</v>
      </c>
      <c r="D21" s="9" t="s">
        <v>177</v>
      </c>
      <c r="E21" s="12">
        <v>765685.72709676402</v>
      </c>
      <c r="F21" s="12">
        <v>2787837.2437553899</v>
      </c>
      <c r="G21" s="12">
        <v>684356.01794319297</v>
      </c>
      <c r="H21" s="12">
        <v>1510046.2409929801</v>
      </c>
      <c r="I21" s="12">
        <v>1103870.6626541901</v>
      </c>
      <c r="J21" s="12">
        <v>1401144.06576524</v>
      </c>
      <c r="K21" s="12">
        <v>1270120.92189984</v>
      </c>
      <c r="L21" s="12">
        <v>527290.05462612503</v>
      </c>
      <c r="M21" s="12">
        <v>1255666.7066522101</v>
      </c>
      <c r="N21" s="12">
        <v>1107750.28040138</v>
      </c>
      <c r="O21" s="12">
        <v>2417295.1097288998</v>
      </c>
      <c r="P21" s="12">
        <v>5902827.6939892396</v>
      </c>
      <c r="Q21" s="12">
        <v>11054751.2677917</v>
      </c>
      <c r="R21" s="12">
        <v>8410424.32085534</v>
      </c>
      <c r="S21" s="12">
        <v>12903756.514663501</v>
      </c>
      <c r="T21" s="12">
        <v>103068053.87789001</v>
      </c>
      <c r="U21" s="12">
        <v>31018541.638179999</v>
      </c>
      <c r="V21" s="12">
        <v>26804930.885549199</v>
      </c>
      <c r="W21" s="12">
        <v>22599427.736605901</v>
      </c>
      <c r="X21" s="12">
        <v>5658859.8581895297</v>
      </c>
      <c r="Y21" s="12">
        <v>2415968.7243705899</v>
      </c>
      <c r="Z21" s="12">
        <v>663358.69776392495</v>
      </c>
      <c r="AA21" s="12">
        <v>1182209.2913895</v>
      </c>
      <c r="AB21" s="12">
        <v>2511743.4195273099</v>
      </c>
      <c r="AC21" s="12">
        <v>146411.47028599301</v>
      </c>
      <c r="AD21" s="12">
        <v>103720.34806936599</v>
      </c>
      <c r="AE21" s="12">
        <v>20300975.845230699</v>
      </c>
      <c r="AF21" s="12">
        <v>225009.675145288</v>
      </c>
      <c r="AG21" s="12">
        <v>10011098.6250058</v>
      </c>
      <c r="AH21" s="12">
        <v>288492.78696357302</v>
      </c>
      <c r="AI21" s="12">
        <v>375965.11510357301</v>
      </c>
      <c r="AJ21" s="12">
        <v>532313.40456835495</v>
      </c>
      <c r="AK21" s="12">
        <v>252084.09014122401</v>
      </c>
      <c r="AL21" s="12">
        <v>268026.36764000199</v>
      </c>
      <c r="AM21" s="12">
        <v>207713.065986139</v>
      </c>
      <c r="AN21" s="12">
        <v>710556.65716474305</v>
      </c>
      <c r="AO21" s="12">
        <v>235014.52282643001</v>
      </c>
      <c r="AP21" s="12">
        <v>112174.010237936</v>
      </c>
      <c r="AQ21" s="12">
        <v>629542.16345826595</v>
      </c>
      <c r="AR21" s="12">
        <v>106063.225832624</v>
      </c>
      <c r="AS21" s="12">
        <v>44744.022512962903</v>
      </c>
      <c r="AT21" s="12">
        <v>101659.89011133301</v>
      </c>
      <c r="AU21" s="21">
        <v>283677482.24456698</v>
      </c>
      <c r="AV21" s="12">
        <v>1275196.88573934</v>
      </c>
      <c r="AW21" s="12">
        <v>147262953.851482</v>
      </c>
      <c r="AX21" s="12">
        <v>9210788.7387783509</v>
      </c>
      <c r="AY21" s="12">
        <v>91484564.708207801</v>
      </c>
      <c r="AZ21" s="21">
        <v>249233504.18420699</v>
      </c>
      <c r="BA21" s="21">
        <v>0</v>
      </c>
      <c r="BB21" s="26">
        <v>532910986.428774</v>
      </c>
    </row>
    <row r="22" spans="1:54" x14ac:dyDescent="0.25">
      <c r="A22" s="114"/>
      <c r="B22" s="115"/>
      <c r="C22" s="11" t="s">
        <v>69</v>
      </c>
      <c r="D22" s="9" t="s">
        <v>178</v>
      </c>
      <c r="E22" s="12">
        <v>9391955.9852521196</v>
      </c>
      <c r="F22" s="12">
        <v>4355719.6962758396</v>
      </c>
      <c r="G22" s="12">
        <v>2837644.3053129702</v>
      </c>
      <c r="H22" s="12">
        <v>2506937.5287428699</v>
      </c>
      <c r="I22" s="12">
        <v>4721870.7427100698</v>
      </c>
      <c r="J22" s="12">
        <v>533638.35084889701</v>
      </c>
      <c r="K22" s="12">
        <v>622012.239219954</v>
      </c>
      <c r="L22" s="12">
        <v>519227.92064984801</v>
      </c>
      <c r="M22" s="12">
        <v>801783.08054977795</v>
      </c>
      <c r="N22" s="12">
        <v>1892033.9589286</v>
      </c>
      <c r="O22" s="12">
        <v>829366.84318290802</v>
      </c>
      <c r="P22" s="12">
        <v>4680003.6194612402</v>
      </c>
      <c r="Q22" s="12">
        <v>3229860.3444961798</v>
      </c>
      <c r="R22" s="12">
        <v>8703720.2781087905</v>
      </c>
      <c r="S22" s="12">
        <v>3707128.8458755501</v>
      </c>
      <c r="T22" s="12">
        <v>3589935.2344979499</v>
      </c>
      <c r="U22" s="12">
        <v>42027155.747984096</v>
      </c>
      <c r="V22" s="12">
        <v>4838577.7971500903</v>
      </c>
      <c r="W22" s="12">
        <v>3927199.26957773</v>
      </c>
      <c r="X22" s="12">
        <v>17362301.709032599</v>
      </c>
      <c r="Y22" s="12">
        <v>1100463.9603698901</v>
      </c>
      <c r="Z22" s="12">
        <v>119174.977504717</v>
      </c>
      <c r="AA22" s="12">
        <v>539156.24831256096</v>
      </c>
      <c r="AB22" s="12">
        <v>168044.920541464</v>
      </c>
      <c r="AC22" s="12">
        <v>8461.6554676852302</v>
      </c>
      <c r="AD22" s="12">
        <v>101596.99644514199</v>
      </c>
      <c r="AE22" s="12">
        <v>17232686.3013505</v>
      </c>
      <c r="AF22" s="12">
        <v>17736.628691140198</v>
      </c>
      <c r="AG22" s="12">
        <v>1292121.17942977</v>
      </c>
      <c r="AH22" s="12">
        <v>133281.77220823299</v>
      </c>
      <c r="AI22" s="12">
        <v>95507.686928077499</v>
      </c>
      <c r="AJ22" s="12">
        <v>862474.14341873396</v>
      </c>
      <c r="AK22" s="12">
        <v>7744.0698062806796</v>
      </c>
      <c r="AL22" s="12">
        <v>520342.630446486</v>
      </c>
      <c r="AM22" s="12">
        <v>39547.812666473998</v>
      </c>
      <c r="AN22" s="12">
        <v>150029.644583855</v>
      </c>
      <c r="AO22" s="12">
        <v>234303.94142737001</v>
      </c>
      <c r="AP22" s="12">
        <v>149547.388990251</v>
      </c>
      <c r="AQ22" s="12">
        <v>124430.07570921299</v>
      </c>
      <c r="AR22" s="12">
        <v>13904045.389319099</v>
      </c>
      <c r="AS22" s="12">
        <v>10549.1226279231</v>
      </c>
      <c r="AT22" s="12">
        <v>21527.1764430238</v>
      </c>
      <c r="AU22" s="21">
        <v>157910847.22054601</v>
      </c>
      <c r="AV22" s="12">
        <v>2830656.6556748399</v>
      </c>
      <c r="AW22" s="12">
        <v>163259808.89594501</v>
      </c>
      <c r="AX22" s="12">
        <v>4471706.39978592</v>
      </c>
      <c r="AY22" s="12">
        <v>58878064.632664703</v>
      </c>
      <c r="AZ22" s="21">
        <v>229440236.58407101</v>
      </c>
      <c r="BA22" s="21">
        <v>0</v>
      </c>
      <c r="BB22" s="26">
        <v>387351083.80461597</v>
      </c>
    </row>
    <row r="23" spans="1:54" x14ac:dyDescent="0.25">
      <c r="A23" s="114"/>
      <c r="B23" s="115"/>
      <c r="C23" s="11" t="s">
        <v>154</v>
      </c>
      <c r="D23" s="9" t="s">
        <v>179</v>
      </c>
      <c r="E23" s="12">
        <v>3035582.59883415</v>
      </c>
      <c r="F23" s="12">
        <v>329258.25272504898</v>
      </c>
      <c r="G23" s="12">
        <v>20930.4697042886</v>
      </c>
      <c r="H23" s="12">
        <v>485334.38679023</v>
      </c>
      <c r="I23" s="12">
        <v>738975.15652784205</v>
      </c>
      <c r="J23" s="12">
        <v>237505.522013621</v>
      </c>
      <c r="K23" s="12">
        <v>127195.935358167</v>
      </c>
      <c r="L23" s="12">
        <v>195148.314294515</v>
      </c>
      <c r="M23" s="12">
        <v>187809.637252819</v>
      </c>
      <c r="N23" s="12">
        <v>228540.01675650099</v>
      </c>
      <c r="O23" s="12">
        <v>53823.766854524598</v>
      </c>
      <c r="P23" s="12">
        <v>780270.43211760197</v>
      </c>
      <c r="Q23" s="12">
        <v>2425513.4846394099</v>
      </c>
      <c r="R23" s="12">
        <v>286651.28578385501</v>
      </c>
      <c r="S23" s="12">
        <v>658128.36686179799</v>
      </c>
      <c r="T23" s="12">
        <v>9488139.64890825</v>
      </c>
      <c r="U23" s="12">
        <v>10151650.8447352</v>
      </c>
      <c r="V23" s="12">
        <v>242303547.722092</v>
      </c>
      <c r="W23" s="12">
        <v>1735058.8157671001</v>
      </c>
      <c r="X23" s="12">
        <v>563364.34238746599</v>
      </c>
      <c r="Y23" s="12">
        <v>407546.510941463</v>
      </c>
      <c r="Z23" s="12">
        <v>64357.560315582698</v>
      </c>
      <c r="AA23" s="12">
        <v>2399470.9925335702</v>
      </c>
      <c r="AB23" s="12">
        <v>60984.130212663498</v>
      </c>
      <c r="AC23" s="12">
        <v>13473.737811049899</v>
      </c>
      <c r="AD23" s="12">
        <v>13597.586130256101</v>
      </c>
      <c r="AE23" s="12">
        <v>2448126.1437701401</v>
      </c>
      <c r="AF23" s="12">
        <v>152297.40067619699</v>
      </c>
      <c r="AG23" s="12">
        <v>86553402.855765194</v>
      </c>
      <c r="AH23" s="12">
        <v>476733.87691365002</v>
      </c>
      <c r="AI23" s="12">
        <v>269138.66230858798</v>
      </c>
      <c r="AJ23" s="12">
        <v>326214.517048318</v>
      </c>
      <c r="AK23" s="12">
        <v>30409.6690324753</v>
      </c>
      <c r="AL23" s="12">
        <v>32296429.690517101</v>
      </c>
      <c r="AM23" s="12">
        <v>435051.10583089601</v>
      </c>
      <c r="AN23" s="12">
        <v>3579197.04936177</v>
      </c>
      <c r="AO23" s="12">
        <v>1899082.7989269099</v>
      </c>
      <c r="AP23" s="12">
        <v>12236889.423134999</v>
      </c>
      <c r="AQ23" s="12">
        <v>132962.98926115301</v>
      </c>
      <c r="AR23" s="12">
        <v>255379.44100719699</v>
      </c>
      <c r="AS23" s="12">
        <v>109654.22128213401</v>
      </c>
      <c r="AT23" s="12">
        <v>2801196.37735121</v>
      </c>
      <c r="AU23" s="21">
        <v>420994025.74053597</v>
      </c>
      <c r="AV23" s="12">
        <v>147257726.865392</v>
      </c>
      <c r="AW23" s="12">
        <v>217884404.231637</v>
      </c>
      <c r="AX23" s="12">
        <v>16274764.238180401</v>
      </c>
      <c r="AY23" s="12">
        <v>60060463.620136</v>
      </c>
      <c r="AZ23" s="21">
        <v>441477358.95534599</v>
      </c>
      <c r="BA23" s="21">
        <v>0</v>
      </c>
      <c r="BB23" s="26">
        <v>862471384.69588196</v>
      </c>
    </row>
    <row r="24" spans="1:54" x14ac:dyDescent="0.25">
      <c r="A24" s="114"/>
      <c r="B24" s="115"/>
      <c r="C24" s="11" t="s">
        <v>74</v>
      </c>
      <c r="D24" s="9" t="s">
        <v>180</v>
      </c>
      <c r="E24" s="12">
        <v>194915.33928712999</v>
      </c>
      <c r="F24" s="12">
        <v>871028.26882606605</v>
      </c>
      <c r="G24" s="12">
        <v>96096.199789939594</v>
      </c>
      <c r="H24" s="12">
        <v>386694.83377052599</v>
      </c>
      <c r="I24" s="12">
        <v>687082.97634450404</v>
      </c>
      <c r="J24" s="12">
        <v>637854.03998508805</v>
      </c>
      <c r="K24" s="12">
        <v>313623.646495427</v>
      </c>
      <c r="L24" s="12">
        <v>164548.223918378</v>
      </c>
      <c r="M24" s="12">
        <v>267393.58760814602</v>
      </c>
      <c r="N24" s="12">
        <v>1337859.5623584201</v>
      </c>
      <c r="O24" s="12">
        <v>178249.80864091599</v>
      </c>
      <c r="P24" s="12">
        <v>2035752.6642357099</v>
      </c>
      <c r="Q24" s="12">
        <v>1416775.2070136999</v>
      </c>
      <c r="R24" s="12">
        <v>822781.28438633098</v>
      </c>
      <c r="S24" s="12">
        <v>1156375.72754449</v>
      </c>
      <c r="T24" s="12">
        <v>28479041.1032397</v>
      </c>
      <c r="U24" s="12">
        <v>15386644.7997308</v>
      </c>
      <c r="V24" s="12">
        <v>24915707.946259499</v>
      </c>
      <c r="W24" s="12">
        <v>104036303.276025</v>
      </c>
      <c r="X24" s="12">
        <v>42907870.656548403</v>
      </c>
      <c r="Y24" s="12">
        <v>4479912.0900013</v>
      </c>
      <c r="Z24" s="12">
        <v>513403.14699191501</v>
      </c>
      <c r="AA24" s="12">
        <v>1450947.2883915701</v>
      </c>
      <c r="AB24" s="12">
        <v>41724608.180067196</v>
      </c>
      <c r="AC24" s="12">
        <v>77587.802254914306</v>
      </c>
      <c r="AD24" s="12">
        <v>79123.302286894206</v>
      </c>
      <c r="AE24" s="12">
        <v>92348818.992828801</v>
      </c>
      <c r="AF24" s="12">
        <v>14187159.2403563</v>
      </c>
      <c r="AG24" s="12">
        <v>5153138.2964328798</v>
      </c>
      <c r="AH24" s="12">
        <v>505557.79575092503</v>
      </c>
      <c r="AI24" s="12">
        <v>10493849.592418401</v>
      </c>
      <c r="AJ24" s="12">
        <v>106389.966022785</v>
      </c>
      <c r="AK24" s="12">
        <v>57669.484399495297</v>
      </c>
      <c r="AL24" s="12">
        <v>12737631.800893901</v>
      </c>
      <c r="AM24" s="12">
        <v>7298436.1902710097</v>
      </c>
      <c r="AN24" s="12">
        <v>9856260.3450769391</v>
      </c>
      <c r="AO24" s="12">
        <v>1434496.5258728899</v>
      </c>
      <c r="AP24" s="12">
        <v>3229465.1548400498</v>
      </c>
      <c r="AQ24" s="12">
        <v>93143.564190782694</v>
      </c>
      <c r="AR24" s="12">
        <v>479793.647401558</v>
      </c>
      <c r="AS24" s="12">
        <v>101301.13428847</v>
      </c>
      <c r="AT24" s="12">
        <v>1801309.1575179501</v>
      </c>
      <c r="AU24" s="21">
        <v>434502601.85056502</v>
      </c>
      <c r="AV24" s="12">
        <v>36576959.971002199</v>
      </c>
      <c r="AW24" s="12">
        <v>56830909.263847001</v>
      </c>
      <c r="AX24" s="12">
        <v>632923.15800003801</v>
      </c>
      <c r="AY24" s="12">
        <v>169122860.343743</v>
      </c>
      <c r="AZ24" s="21">
        <v>263163652.73659199</v>
      </c>
      <c r="BA24" s="21">
        <v>0</v>
      </c>
      <c r="BB24" s="26">
        <v>697666254.58715701</v>
      </c>
    </row>
    <row r="25" spans="1:54" x14ac:dyDescent="0.25">
      <c r="A25" s="114"/>
      <c r="B25" s="115"/>
      <c r="C25" s="11" t="s">
        <v>155</v>
      </c>
      <c r="D25" s="9" t="s">
        <v>181</v>
      </c>
      <c r="E25" s="12">
        <v>280685.69033788302</v>
      </c>
      <c r="F25" s="12">
        <v>297761.42268133198</v>
      </c>
      <c r="G25" s="12">
        <v>15221.0417301827</v>
      </c>
      <c r="H25" s="12">
        <v>12637.8918361426</v>
      </c>
      <c r="I25" s="12">
        <v>54190.797813862999</v>
      </c>
      <c r="J25" s="12">
        <v>560215.12274125696</v>
      </c>
      <c r="K25" s="12">
        <v>108108.13631651401</v>
      </c>
      <c r="L25" s="12">
        <v>98277.508257349997</v>
      </c>
      <c r="M25" s="12">
        <v>84368.096724372706</v>
      </c>
      <c r="N25" s="12">
        <v>1110974.52779357</v>
      </c>
      <c r="O25" s="12">
        <v>121527.578410587</v>
      </c>
      <c r="P25" s="12">
        <v>2008316.13916615</v>
      </c>
      <c r="Q25" s="12">
        <v>567949.30003790394</v>
      </c>
      <c r="R25" s="12">
        <v>719900.83895718702</v>
      </c>
      <c r="S25" s="12">
        <v>759885.39217058802</v>
      </c>
      <c r="T25" s="12">
        <v>17760579.282426599</v>
      </c>
      <c r="U25" s="12">
        <v>20176493.462877601</v>
      </c>
      <c r="V25" s="12">
        <v>16743071.6614582</v>
      </c>
      <c r="W25" s="12">
        <v>31753974.849403199</v>
      </c>
      <c r="X25" s="12">
        <v>293442908.64546603</v>
      </c>
      <c r="Y25" s="12">
        <v>13732423.1147306</v>
      </c>
      <c r="Z25" s="12">
        <v>848198.40709384601</v>
      </c>
      <c r="AA25" s="12">
        <v>924097.150313747</v>
      </c>
      <c r="AB25" s="12">
        <v>1532784.3743197201</v>
      </c>
      <c r="AC25" s="12">
        <v>48669.453541988398</v>
      </c>
      <c r="AD25" s="12">
        <v>44021.254768209699</v>
      </c>
      <c r="AE25" s="12">
        <v>10085469.647127301</v>
      </c>
      <c r="AF25" s="12">
        <v>8055932.0156924799</v>
      </c>
      <c r="AG25" s="12">
        <v>6589334.7063347204</v>
      </c>
      <c r="AH25" s="12">
        <v>1153233.49647901</v>
      </c>
      <c r="AI25" s="12">
        <v>53896837.702608101</v>
      </c>
      <c r="AJ25" s="12">
        <v>1037338.85421241</v>
      </c>
      <c r="AK25" s="12">
        <v>404619.35138469498</v>
      </c>
      <c r="AL25" s="12">
        <v>20547919.2773205</v>
      </c>
      <c r="AM25" s="12">
        <v>6993152.7314405898</v>
      </c>
      <c r="AN25" s="12">
        <v>23904316.976907302</v>
      </c>
      <c r="AO25" s="12">
        <v>1396177.1549713099</v>
      </c>
      <c r="AP25" s="12">
        <v>11472584.887473701</v>
      </c>
      <c r="AQ25" s="12">
        <v>827063.06971192302</v>
      </c>
      <c r="AR25" s="12">
        <v>829632.31271762401</v>
      </c>
      <c r="AS25" s="12">
        <v>750004.23294120806</v>
      </c>
      <c r="AT25" s="12">
        <v>4092526.9094706802</v>
      </c>
      <c r="AU25" s="21">
        <v>555843384.46816802</v>
      </c>
      <c r="AV25" s="12">
        <v>59743043.835699797</v>
      </c>
      <c r="AW25" s="12">
        <v>77828192.529739395</v>
      </c>
      <c r="AX25" s="12">
        <v>7078359.2409353796</v>
      </c>
      <c r="AY25" s="12">
        <v>390866311.572945</v>
      </c>
      <c r="AZ25" s="21">
        <v>535515907.17931998</v>
      </c>
      <c r="BA25" s="21">
        <v>0</v>
      </c>
      <c r="BB25" s="26">
        <v>1091359291.64749</v>
      </c>
    </row>
    <row r="26" spans="1:54" x14ac:dyDescent="0.25">
      <c r="A26" s="114"/>
      <c r="B26" s="115"/>
      <c r="C26" s="11" t="s">
        <v>156</v>
      </c>
      <c r="D26" s="9" t="s">
        <v>182</v>
      </c>
      <c r="E26" s="12">
        <v>31772.156264677698</v>
      </c>
      <c r="F26" s="12">
        <v>50309.445342716303</v>
      </c>
      <c r="G26" s="12">
        <v>661263.81526726997</v>
      </c>
      <c r="H26" s="12">
        <v>69335.861471847107</v>
      </c>
      <c r="I26" s="12">
        <v>297577.80813740502</v>
      </c>
      <c r="J26" s="12">
        <v>143919.04370277</v>
      </c>
      <c r="K26" s="12">
        <v>19262.309962396699</v>
      </c>
      <c r="L26" s="12">
        <v>138123.33444723001</v>
      </c>
      <c r="M26" s="12">
        <v>10264.4694686987</v>
      </c>
      <c r="N26" s="12">
        <v>50033.992673466098</v>
      </c>
      <c r="O26" s="12">
        <v>822824.33643961197</v>
      </c>
      <c r="P26" s="12">
        <v>470127.82961865602</v>
      </c>
      <c r="Q26" s="12">
        <v>475050.03546679701</v>
      </c>
      <c r="R26" s="12">
        <v>297112.42978023802</v>
      </c>
      <c r="S26" s="12">
        <v>98761.637334104802</v>
      </c>
      <c r="T26" s="12">
        <v>1838415.42986749</v>
      </c>
      <c r="U26" s="12">
        <v>2382471.9386164499</v>
      </c>
      <c r="V26" s="12">
        <v>2914585.7734426502</v>
      </c>
      <c r="W26" s="12">
        <v>3766459.6848262101</v>
      </c>
      <c r="X26" s="12">
        <v>2410483.17108698</v>
      </c>
      <c r="Y26" s="12">
        <v>8200709.4662135998</v>
      </c>
      <c r="Z26" s="12">
        <v>147519.58092651601</v>
      </c>
      <c r="AA26" s="12">
        <v>49050.2233899524</v>
      </c>
      <c r="AB26" s="12">
        <v>13071002.379718401</v>
      </c>
      <c r="AC26" s="12">
        <v>108083.564496049</v>
      </c>
      <c r="AD26" s="12">
        <v>64925.316508511401</v>
      </c>
      <c r="AE26" s="12">
        <v>2620840.3179186299</v>
      </c>
      <c r="AF26" s="12">
        <v>7979.7072119080203</v>
      </c>
      <c r="AG26" s="12">
        <v>135895.74015023801</v>
      </c>
      <c r="AH26" s="12">
        <v>5865.7651493435897</v>
      </c>
      <c r="AI26" s="12">
        <v>892394.894138237</v>
      </c>
      <c r="AJ26" s="12">
        <v>10415.7006807668</v>
      </c>
      <c r="AK26" s="12">
        <v>11974.0918121051</v>
      </c>
      <c r="AL26" s="12">
        <v>147807.717701396</v>
      </c>
      <c r="AM26" s="12">
        <v>6928826.1823465498</v>
      </c>
      <c r="AN26" s="12">
        <v>18481934.098597601</v>
      </c>
      <c r="AO26" s="12">
        <v>475861.254110371</v>
      </c>
      <c r="AP26" s="12">
        <v>878133.201685142</v>
      </c>
      <c r="AQ26" s="12">
        <v>4110220.9424730502</v>
      </c>
      <c r="AR26" s="12">
        <v>117828.570960033</v>
      </c>
      <c r="AS26" s="12">
        <v>258916.994536824</v>
      </c>
      <c r="AT26" s="12">
        <v>193930.835630285</v>
      </c>
      <c r="AU26" s="21">
        <v>73868271.049573198</v>
      </c>
      <c r="AV26" s="12">
        <v>675931.55873562198</v>
      </c>
      <c r="AW26" s="12">
        <v>3226838.1200740798</v>
      </c>
      <c r="AX26" s="12">
        <v>-3553221.6650762102</v>
      </c>
      <c r="AY26" s="12">
        <v>22944840.771825399</v>
      </c>
      <c r="AZ26" s="21">
        <v>23294388.785558801</v>
      </c>
      <c r="BA26" s="21">
        <v>0</v>
      </c>
      <c r="BB26" s="26">
        <v>97162659.835132003</v>
      </c>
    </row>
    <row r="27" spans="1:54" x14ac:dyDescent="0.25">
      <c r="A27" s="114"/>
      <c r="B27" s="115"/>
      <c r="C27" s="11" t="s">
        <v>157</v>
      </c>
      <c r="D27" s="9" t="s">
        <v>183</v>
      </c>
      <c r="E27" s="12">
        <v>57185.699340194697</v>
      </c>
      <c r="F27" s="12">
        <v>283030.31085237302</v>
      </c>
      <c r="G27" s="12">
        <v>72001.994978795396</v>
      </c>
      <c r="H27" s="12">
        <v>61185.167169885499</v>
      </c>
      <c r="I27" s="12">
        <v>117946.625471758</v>
      </c>
      <c r="J27" s="12">
        <v>448841.94881781598</v>
      </c>
      <c r="K27" s="12">
        <v>160147.87353158701</v>
      </c>
      <c r="L27" s="12">
        <v>994472.50184132496</v>
      </c>
      <c r="M27" s="12">
        <v>164852.20778726201</v>
      </c>
      <c r="N27" s="12">
        <v>11581860.715588801</v>
      </c>
      <c r="O27" s="12">
        <v>323681.08365539298</v>
      </c>
      <c r="P27" s="12">
        <v>4234574.1741014197</v>
      </c>
      <c r="Q27" s="12">
        <v>2085495.6525395301</v>
      </c>
      <c r="R27" s="12">
        <v>63061314.672020197</v>
      </c>
      <c r="S27" s="12">
        <v>8181930.58582401</v>
      </c>
      <c r="T27" s="12">
        <v>377062.12527121999</v>
      </c>
      <c r="U27" s="12">
        <v>155581.366006481</v>
      </c>
      <c r="V27" s="12">
        <v>874973.94420602603</v>
      </c>
      <c r="W27" s="12">
        <v>638924.53227179905</v>
      </c>
      <c r="X27" s="12">
        <v>955885.709226773</v>
      </c>
      <c r="Y27" s="12">
        <v>39787.513500303903</v>
      </c>
      <c r="Z27" s="12">
        <v>12260698.0058848</v>
      </c>
      <c r="AA27" s="12">
        <v>55581.764107916897</v>
      </c>
      <c r="AB27" s="12">
        <v>672745.59957143595</v>
      </c>
      <c r="AC27" s="12">
        <v>38815.5111225656</v>
      </c>
      <c r="AD27" s="12">
        <v>17191.116530408399</v>
      </c>
      <c r="AE27" s="12">
        <v>1585952.2858354901</v>
      </c>
      <c r="AF27" s="12">
        <v>72097.821848712396</v>
      </c>
      <c r="AG27" s="12">
        <v>339314.86553821497</v>
      </c>
      <c r="AH27" s="12">
        <v>185226.50302663399</v>
      </c>
      <c r="AI27" s="12">
        <v>192768.58634680501</v>
      </c>
      <c r="AJ27" s="12">
        <v>47175.949557012602</v>
      </c>
      <c r="AK27" s="12">
        <v>1184879.22014647</v>
      </c>
      <c r="AL27" s="12">
        <v>7902010.3155329498</v>
      </c>
      <c r="AM27" s="12">
        <v>1601264.68360347</v>
      </c>
      <c r="AN27" s="12">
        <v>5262280.8834700603</v>
      </c>
      <c r="AO27" s="12">
        <v>685107.05306282802</v>
      </c>
      <c r="AP27" s="12">
        <v>2113129.2974994299</v>
      </c>
      <c r="AQ27" s="12">
        <v>209050.29081900101</v>
      </c>
      <c r="AR27" s="12">
        <v>181825.58417052199</v>
      </c>
      <c r="AS27" s="12">
        <v>580530.91633895505</v>
      </c>
      <c r="AT27" s="12">
        <v>160320.77726040699</v>
      </c>
      <c r="AU27" s="21">
        <v>130218703.435277</v>
      </c>
      <c r="AV27" s="12">
        <v>4175858.4966593599</v>
      </c>
      <c r="AW27" s="12">
        <v>0</v>
      </c>
      <c r="AX27" s="12">
        <v>-2257677.2348076901</v>
      </c>
      <c r="AY27" s="12">
        <v>11347608.835623801</v>
      </c>
      <c r="AZ27" s="21">
        <v>13265790.097475501</v>
      </c>
      <c r="BA27" s="21">
        <v>0</v>
      </c>
      <c r="BB27" s="26">
        <v>143484493.53275299</v>
      </c>
    </row>
    <row r="28" spans="1:54" x14ac:dyDescent="0.25">
      <c r="A28" s="114"/>
      <c r="B28" s="115"/>
      <c r="C28" s="11" t="s">
        <v>158</v>
      </c>
      <c r="D28" s="9" t="s">
        <v>184</v>
      </c>
      <c r="E28" s="12">
        <v>97091.192680797307</v>
      </c>
      <c r="F28" s="12">
        <v>120869.74089397299</v>
      </c>
      <c r="G28" s="12">
        <v>74403.790442858997</v>
      </c>
      <c r="H28" s="12">
        <v>90872.713959047003</v>
      </c>
      <c r="I28" s="12">
        <v>61628.024210691699</v>
      </c>
      <c r="J28" s="12">
        <v>188360.72063312601</v>
      </c>
      <c r="K28" s="12">
        <v>56378.196439062602</v>
      </c>
      <c r="L28" s="12">
        <v>77873.678788546604</v>
      </c>
      <c r="M28" s="12">
        <v>68204.660241062898</v>
      </c>
      <c r="N28" s="12">
        <v>155123.44734045901</v>
      </c>
      <c r="O28" s="12">
        <v>222850.62117169</v>
      </c>
      <c r="P28" s="12">
        <v>696689.37395353999</v>
      </c>
      <c r="Q28" s="12">
        <v>1357799.3393783099</v>
      </c>
      <c r="R28" s="12">
        <v>540629.44588091096</v>
      </c>
      <c r="S28" s="12">
        <v>162320.26721931301</v>
      </c>
      <c r="T28" s="12">
        <v>464180.39537375601</v>
      </c>
      <c r="U28" s="12">
        <v>659380.04882977903</v>
      </c>
      <c r="V28" s="12">
        <v>547510.60044705297</v>
      </c>
      <c r="W28" s="12">
        <v>276692.699921839</v>
      </c>
      <c r="X28" s="12">
        <v>365316.36824909202</v>
      </c>
      <c r="Y28" s="12">
        <v>26222.5877995712</v>
      </c>
      <c r="Z28" s="12">
        <v>36338.3271290107</v>
      </c>
      <c r="AA28" s="12">
        <v>16787.566288248501</v>
      </c>
      <c r="AB28" s="12">
        <v>2983860.2774588899</v>
      </c>
      <c r="AC28" s="12">
        <v>115669.41441914599</v>
      </c>
      <c r="AD28" s="12">
        <v>71695.969978213601</v>
      </c>
      <c r="AE28" s="12">
        <v>2288366.4415065399</v>
      </c>
      <c r="AF28" s="12">
        <v>32302.234537542899</v>
      </c>
      <c r="AG28" s="12">
        <v>519773.20527344599</v>
      </c>
      <c r="AH28" s="12">
        <v>18774.099193337501</v>
      </c>
      <c r="AI28" s="12">
        <v>236889.94446844701</v>
      </c>
      <c r="AJ28" s="12">
        <v>24550.977779285298</v>
      </c>
      <c r="AK28" s="12">
        <v>95469.172471623606</v>
      </c>
      <c r="AL28" s="12">
        <v>1005899.4278059501</v>
      </c>
      <c r="AM28" s="12">
        <v>162462.19488583901</v>
      </c>
      <c r="AN28" s="12">
        <v>144995.72937391201</v>
      </c>
      <c r="AO28" s="12">
        <v>98286.062922172903</v>
      </c>
      <c r="AP28" s="12">
        <v>18524.9084136616</v>
      </c>
      <c r="AQ28" s="12">
        <v>55837.740967115598</v>
      </c>
      <c r="AR28" s="12">
        <v>33203.546453753603</v>
      </c>
      <c r="AS28" s="12">
        <v>42397.926831149402</v>
      </c>
      <c r="AT28" s="12">
        <v>436609.98434995901</v>
      </c>
      <c r="AU28" s="21">
        <v>14749093.066361699</v>
      </c>
      <c r="AV28" s="12">
        <v>0</v>
      </c>
      <c r="AW28" s="12">
        <v>668248.06872131</v>
      </c>
      <c r="AX28" s="12">
        <v>0</v>
      </c>
      <c r="AY28" s="12">
        <v>5279719.0121863401</v>
      </c>
      <c r="AZ28" s="21">
        <v>5947967.0809076503</v>
      </c>
      <c r="BA28" s="21">
        <v>0</v>
      </c>
      <c r="BB28" s="26">
        <v>20697060.147269402</v>
      </c>
    </row>
    <row r="29" spans="1:54" x14ac:dyDescent="0.25">
      <c r="A29" s="114"/>
      <c r="B29" s="115"/>
      <c r="C29" s="11" t="s">
        <v>159</v>
      </c>
      <c r="D29" s="9" t="s">
        <v>185</v>
      </c>
      <c r="E29" s="12">
        <v>10632509.685994901</v>
      </c>
      <c r="F29" s="12">
        <v>8492039.3265241291</v>
      </c>
      <c r="G29" s="12">
        <v>3827929.6782418001</v>
      </c>
      <c r="H29" s="12">
        <v>8067969.6378460303</v>
      </c>
      <c r="I29" s="12">
        <v>7006501.24747587</v>
      </c>
      <c r="J29" s="12">
        <v>8337210.0737607097</v>
      </c>
      <c r="K29" s="12">
        <v>6391995.72662153</v>
      </c>
      <c r="L29" s="12">
        <v>2879310.4393085502</v>
      </c>
      <c r="M29" s="12">
        <v>5198622.9815821303</v>
      </c>
      <c r="N29" s="12">
        <v>7451577.9431561697</v>
      </c>
      <c r="O29" s="12">
        <v>8918733.7900041603</v>
      </c>
      <c r="P29" s="12">
        <v>52407925.786071502</v>
      </c>
      <c r="Q29" s="12">
        <v>36511483.283643097</v>
      </c>
      <c r="R29" s="12">
        <v>63464174.457672298</v>
      </c>
      <c r="S29" s="12">
        <v>23642420.6271042</v>
      </c>
      <c r="T29" s="12">
        <v>9037398.2731788307</v>
      </c>
      <c r="U29" s="12">
        <v>5826705.6488526901</v>
      </c>
      <c r="V29" s="12">
        <v>7397984.5676116999</v>
      </c>
      <c r="W29" s="12">
        <v>8301003.1445472101</v>
      </c>
      <c r="X29" s="12">
        <v>10268411.774078</v>
      </c>
      <c r="Y29" s="12">
        <v>1234822.53492378</v>
      </c>
      <c r="Z29" s="12">
        <v>1487574.0645422</v>
      </c>
      <c r="AA29" s="12">
        <v>536766.37947230903</v>
      </c>
      <c r="AB29" s="12">
        <v>207700782.73947299</v>
      </c>
      <c r="AC29" s="12">
        <v>1989258.6932657999</v>
      </c>
      <c r="AD29" s="12">
        <v>5177395.5040959297</v>
      </c>
      <c r="AE29" s="12">
        <v>41785891.453726597</v>
      </c>
      <c r="AF29" s="12">
        <v>12653101.4524859</v>
      </c>
      <c r="AG29" s="12">
        <v>16559627.487119701</v>
      </c>
      <c r="AH29" s="12">
        <v>4171232.3615359901</v>
      </c>
      <c r="AI29" s="12">
        <v>9487206.2947387192</v>
      </c>
      <c r="AJ29" s="12">
        <v>4342106.1335527599</v>
      </c>
      <c r="AK29" s="12">
        <v>4550954.1046263101</v>
      </c>
      <c r="AL29" s="12">
        <v>3785533.7397023598</v>
      </c>
      <c r="AM29" s="12">
        <v>3096348.0609721499</v>
      </c>
      <c r="AN29" s="12">
        <v>2489328.2551162899</v>
      </c>
      <c r="AO29" s="12">
        <v>3039421.5974896299</v>
      </c>
      <c r="AP29" s="12">
        <v>3425610.48251737</v>
      </c>
      <c r="AQ29" s="12">
        <v>3442352.6814395399</v>
      </c>
      <c r="AR29" s="12">
        <v>3190635.0215070802</v>
      </c>
      <c r="AS29" s="12">
        <v>1566849.4882740499</v>
      </c>
      <c r="AT29" s="12">
        <v>7218318.0637192903</v>
      </c>
      <c r="AU29" s="21">
        <v>636993024.68757296</v>
      </c>
      <c r="AV29" s="12">
        <v>61464501.267002299</v>
      </c>
      <c r="AW29" s="12">
        <v>0</v>
      </c>
      <c r="AX29" s="12">
        <v>0</v>
      </c>
      <c r="AY29" s="12">
        <v>1045039.7484</v>
      </c>
      <c r="AZ29" s="21">
        <v>62509541.015402302</v>
      </c>
      <c r="BA29" s="21">
        <v>0</v>
      </c>
      <c r="BB29" s="26">
        <v>699502565.70297503</v>
      </c>
    </row>
    <row r="30" spans="1:54" x14ac:dyDescent="0.25">
      <c r="A30" s="114"/>
      <c r="B30" s="115"/>
      <c r="C30" s="11" t="s">
        <v>80</v>
      </c>
      <c r="D30" s="9" t="s">
        <v>186</v>
      </c>
      <c r="E30" s="12">
        <v>158734.702636481</v>
      </c>
      <c r="F30" s="12">
        <v>28901.4549832347</v>
      </c>
      <c r="G30" s="12">
        <v>21479.904192603601</v>
      </c>
      <c r="H30" s="12">
        <v>3944.2868949939402</v>
      </c>
      <c r="I30" s="12">
        <v>85683.695369753506</v>
      </c>
      <c r="J30" s="12">
        <v>443352.99437906401</v>
      </c>
      <c r="K30" s="12">
        <v>87132.893125472299</v>
      </c>
      <c r="L30" s="12">
        <v>100671.449565334</v>
      </c>
      <c r="M30" s="12">
        <v>26205.230886828998</v>
      </c>
      <c r="N30" s="12">
        <v>429659.53674388101</v>
      </c>
      <c r="O30" s="12">
        <v>817644.24839578895</v>
      </c>
      <c r="P30" s="12">
        <v>2018899.15322738</v>
      </c>
      <c r="Q30" s="12">
        <v>240915.818847029</v>
      </c>
      <c r="R30" s="12">
        <v>303683.68896428298</v>
      </c>
      <c r="S30" s="12">
        <v>440098.52054863202</v>
      </c>
      <c r="T30" s="12">
        <v>183042.98405176101</v>
      </c>
      <c r="U30" s="12">
        <v>306402.22007457301</v>
      </c>
      <c r="V30" s="12">
        <v>240529.244571249</v>
      </c>
      <c r="W30" s="12">
        <v>250330.61046927501</v>
      </c>
      <c r="X30" s="12">
        <v>127836.966398901</v>
      </c>
      <c r="Y30" s="12">
        <v>11832.239155679001</v>
      </c>
      <c r="Z30" s="12">
        <v>267809.25848894502</v>
      </c>
      <c r="AA30" s="12">
        <v>153532.239563007</v>
      </c>
      <c r="AB30" s="12">
        <v>1999455.2125124999</v>
      </c>
      <c r="AC30" s="12">
        <v>9988214.6152514108</v>
      </c>
      <c r="AD30" s="12">
        <v>577.10973224771101</v>
      </c>
      <c r="AE30" s="12">
        <v>43646.7161920363</v>
      </c>
      <c r="AF30" s="12">
        <v>108729.406380966</v>
      </c>
      <c r="AG30" s="12">
        <v>19661653.7984179</v>
      </c>
      <c r="AH30" s="12">
        <v>2563138.31292585</v>
      </c>
      <c r="AI30" s="12">
        <v>79885.205672357595</v>
      </c>
      <c r="AJ30" s="12">
        <v>29927.4073905187</v>
      </c>
      <c r="AK30" s="12">
        <v>2003956.33127242</v>
      </c>
      <c r="AL30" s="12">
        <v>461291.884655495</v>
      </c>
      <c r="AM30" s="12">
        <v>181897.00048366399</v>
      </c>
      <c r="AN30" s="12">
        <v>211884.969231725</v>
      </c>
      <c r="AO30" s="12">
        <v>132626.74819930299</v>
      </c>
      <c r="AP30" s="12">
        <v>1107430.7801409401</v>
      </c>
      <c r="AQ30" s="12">
        <v>533949.62356846302</v>
      </c>
      <c r="AR30" s="12">
        <v>253896.226234584</v>
      </c>
      <c r="AS30" s="12">
        <v>279996.55674751702</v>
      </c>
      <c r="AT30" s="12">
        <v>214558.988018203</v>
      </c>
      <c r="AU30" s="21">
        <v>46605040.234562203</v>
      </c>
      <c r="AV30" s="12">
        <v>33772556.457338803</v>
      </c>
      <c r="AW30" s="12">
        <v>0</v>
      </c>
      <c r="AX30" s="12">
        <v>893408.64044541295</v>
      </c>
      <c r="AY30" s="12">
        <v>0</v>
      </c>
      <c r="AZ30" s="21">
        <v>34665965.097784303</v>
      </c>
      <c r="BA30" s="21">
        <v>0</v>
      </c>
      <c r="BB30" s="26">
        <v>81271005.332346499</v>
      </c>
    </row>
    <row r="31" spans="1:54" x14ac:dyDescent="0.25">
      <c r="A31" s="114"/>
      <c r="B31" s="115"/>
      <c r="C31" s="11" t="s">
        <v>81</v>
      </c>
      <c r="D31" s="9" t="s">
        <v>187</v>
      </c>
      <c r="E31" s="12">
        <v>41316.588252533198</v>
      </c>
      <c r="F31" s="12">
        <v>56861.257707942998</v>
      </c>
      <c r="G31" s="12">
        <v>66724.691130288003</v>
      </c>
      <c r="H31" s="12">
        <v>27322.385702707899</v>
      </c>
      <c r="I31" s="12">
        <v>63468.406833393303</v>
      </c>
      <c r="J31" s="12">
        <v>1176862.5578435501</v>
      </c>
      <c r="K31" s="12">
        <v>119225.33636118501</v>
      </c>
      <c r="L31" s="12">
        <v>161357.329684461</v>
      </c>
      <c r="M31" s="12">
        <v>118367.57321422199</v>
      </c>
      <c r="N31" s="12">
        <v>323800.34428201098</v>
      </c>
      <c r="O31" s="12">
        <v>149328.75506023099</v>
      </c>
      <c r="P31" s="12">
        <v>866935.639053914</v>
      </c>
      <c r="Q31" s="12">
        <v>532732.64514070202</v>
      </c>
      <c r="R31" s="12">
        <v>424363.79323871899</v>
      </c>
      <c r="S31" s="12">
        <v>157179.32835927201</v>
      </c>
      <c r="T31" s="12">
        <v>340480.59486597299</v>
      </c>
      <c r="U31" s="12">
        <v>185550.30952927901</v>
      </c>
      <c r="V31" s="12">
        <v>288510.04738478002</v>
      </c>
      <c r="W31" s="12">
        <v>405654.938503351</v>
      </c>
      <c r="X31" s="12">
        <v>465653.48851716699</v>
      </c>
      <c r="Y31" s="12">
        <v>66994.547314566895</v>
      </c>
      <c r="Z31" s="12">
        <v>158571.523824406</v>
      </c>
      <c r="AA31" s="12">
        <v>23583.168053814799</v>
      </c>
      <c r="AB31" s="12">
        <v>1234128.68752964</v>
      </c>
      <c r="AC31" s="12">
        <v>36613.344005373401</v>
      </c>
      <c r="AD31" s="12">
        <v>2092918.6371561601</v>
      </c>
      <c r="AE31" s="12">
        <v>2894162.0483027301</v>
      </c>
      <c r="AF31" s="12">
        <v>552057.35316751699</v>
      </c>
      <c r="AG31" s="12">
        <v>496240.20191985503</v>
      </c>
      <c r="AH31" s="12">
        <v>1161758.0917028401</v>
      </c>
      <c r="AI31" s="12">
        <v>269693.69170390099</v>
      </c>
      <c r="AJ31" s="12">
        <v>367635.55861132202</v>
      </c>
      <c r="AK31" s="12">
        <v>556423.34696311899</v>
      </c>
      <c r="AL31" s="12">
        <v>119223.28508387999</v>
      </c>
      <c r="AM31" s="12">
        <v>505701.343195469</v>
      </c>
      <c r="AN31" s="12">
        <v>125838.583104519</v>
      </c>
      <c r="AO31" s="12">
        <v>309231.43569874298</v>
      </c>
      <c r="AP31" s="12">
        <v>426824.19165027101</v>
      </c>
      <c r="AQ31" s="12">
        <v>435482.55695067899</v>
      </c>
      <c r="AR31" s="12">
        <v>316913.101361849</v>
      </c>
      <c r="AS31" s="12">
        <v>273234.61167785601</v>
      </c>
      <c r="AT31" s="12">
        <v>594589.71607874299</v>
      </c>
      <c r="AU31" s="21">
        <v>18989515.0357229</v>
      </c>
      <c r="AV31" s="12">
        <v>20797295.475999601</v>
      </c>
      <c r="AW31" s="12">
        <v>0</v>
      </c>
      <c r="AX31" s="12">
        <v>891741.45750941802</v>
      </c>
      <c r="AY31" s="12">
        <v>0</v>
      </c>
      <c r="AZ31" s="21">
        <v>21689036.933509</v>
      </c>
      <c r="BA31" s="21">
        <v>0</v>
      </c>
      <c r="BB31" s="26">
        <v>40678551.969231904</v>
      </c>
    </row>
    <row r="32" spans="1:54" x14ac:dyDescent="0.25">
      <c r="A32" s="114"/>
      <c r="B32" s="115"/>
      <c r="C32" s="11" t="s">
        <v>82</v>
      </c>
      <c r="D32" s="9" t="s">
        <v>188</v>
      </c>
      <c r="E32" s="12">
        <v>767866.27291258995</v>
      </c>
      <c r="F32" s="12">
        <v>136712.76462960101</v>
      </c>
      <c r="G32" s="12">
        <v>28483.4786058051</v>
      </c>
      <c r="H32" s="12">
        <v>20018.209541896002</v>
      </c>
      <c r="I32" s="12">
        <v>25461.816748659901</v>
      </c>
      <c r="J32" s="12">
        <v>215253.65315689999</v>
      </c>
      <c r="K32" s="12">
        <v>123367.434465288</v>
      </c>
      <c r="L32" s="12">
        <v>103348.991611238</v>
      </c>
      <c r="M32" s="12">
        <v>132624.129456814</v>
      </c>
      <c r="N32" s="12">
        <v>105864.685843691</v>
      </c>
      <c r="O32" s="12">
        <v>50165.433194638303</v>
      </c>
      <c r="P32" s="12">
        <v>495518.39077577298</v>
      </c>
      <c r="Q32" s="12">
        <v>162675.607305991</v>
      </c>
      <c r="R32" s="12">
        <v>174312.43507962499</v>
      </c>
      <c r="S32" s="12">
        <v>112818.398974717</v>
      </c>
      <c r="T32" s="12">
        <v>310533.93412080401</v>
      </c>
      <c r="U32" s="12">
        <v>124690.040871795</v>
      </c>
      <c r="V32" s="12">
        <v>187281.19393993501</v>
      </c>
      <c r="W32" s="12">
        <v>180123.42064879599</v>
      </c>
      <c r="X32" s="12">
        <v>638082.05049670301</v>
      </c>
      <c r="Y32" s="12">
        <v>29327.889492491999</v>
      </c>
      <c r="Z32" s="12">
        <v>66899.249316716596</v>
      </c>
      <c r="AA32" s="12">
        <v>22738.055424916802</v>
      </c>
      <c r="AB32" s="12">
        <v>2679712.7946501598</v>
      </c>
      <c r="AC32" s="12">
        <v>28595.2440077961</v>
      </c>
      <c r="AD32" s="12">
        <v>75522.733505083699</v>
      </c>
      <c r="AE32" s="12">
        <v>102777626.861809</v>
      </c>
      <c r="AF32" s="12">
        <v>1487150.4145561899</v>
      </c>
      <c r="AG32" s="12">
        <v>2015285.3911783299</v>
      </c>
      <c r="AH32" s="12">
        <v>901665.81305564696</v>
      </c>
      <c r="AI32" s="12">
        <v>954151.50461212103</v>
      </c>
      <c r="AJ32" s="12">
        <v>2489999.29194621</v>
      </c>
      <c r="AK32" s="12">
        <v>14193938.3943872</v>
      </c>
      <c r="AL32" s="12">
        <v>445793.24860177102</v>
      </c>
      <c r="AM32" s="12">
        <v>424334.51161238598</v>
      </c>
      <c r="AN32" s="12">
        <v>514616.38248372899</v>
      </c>
      <c r="AO32" s="12">
        <v>1053219.23666961</v>
      </c>
      <c r="AP32" s="12">
        <v>528902.69084494305</v>
      </c>
      <c r="AQ32" s="12">
        <v>3319541.48031619</v>
      </c>
      <c r="AR32" s="12">
        <v>1071607.6873737201</v>
      </c>
      <c r="AS32" s="12">
        <v>993565.57971969096</v>
      </c>
      <c r="AT32" s="12">
        <v>9823245.4499848895</v>
      </c>
      <c r="AU32" s="21">
        <v>149992642.24792999</v>
      </c>
      <c r="AV32" s="12">
        <v>0</v>
      </c>
      <c r="AW32" s="12">
        <v>2701631277.88591</v>
      </c>
      <c r="AX32" s="12">
        <v>0</v>
      </c>
      <c r="AY32" s="12">
        <v>8681061.2808516994</v>
      </c>
      <c r="AZ32" s="21">
        <v>2710312339.16676</v>
      </c>
      <c r="BA32" s="21">
        <v>0</v>
      </c>
      <c r="BB32" s="26">
        <v>2860304981.41469</v>
      </c>
    </row>
    <row r="33" spans="1:54" x14ac:dyDescent="0.25">
      <c r="A33" s="114"/>
      <c r="B33" s="115"/>
      <c r="C33" s="11" t="s">
        <v>83</v>
      </c>
      <c r="D33" s="9" t="s">
        <v>189</v>
      </c>
      <c r="E33" s="12">
        <v>32445341.8210967</v>
      </c>
      <c r="F33" s="12">
        <v>6037786.7320662104</v>
      </c>
      <c r="G33" s="12">
        <v>775392.27401589404</v>
      </c>
      <c r="H33" s="12">
        <v>2076263.91341929</v>
      </c>
      <c r="I33" s="12">
        <v>2871917.0834393199</v>
      </c>
      <c r="J33" s="12">
        <v>81687886.060643494</v>
      </c>
      <c r="K33" s="12">
        <v>18767501.037588499</v>
      </c>
      <c r="L33" s="12">
        <v>30650818.4889373</v>
      </c>
      <c r="M33" s="12">
        <v>23952570.404968701</v>
      </c>
      <c r="N33" s="12">
        <v>27774492.317183901</v>
      </c>
      <c r="O33" s="12">
        <v>10885899.5352103</v>
      </c>
      <c r="P33" s="12">
        <v>75587468.586478204</v>
      </c>
      <c r="Q33" s="12">
        <v>37090632.127917603</v>
      </c>
      <c r="R33" s="12">
        <v>31570724.542181302</v>
      </c>
      <c r="S33" s="12">
        <v>22175914.737617198</v>
      </c>
      <c r="T33" s="12">
        <v>27687169.0078291</v>
      </c>
      <c r="U33" s="12">
        <v>19596217.765617799</v>
      </c>
      <c r="V33" s="12">
        <v>64680280.484306902</v>
      </c>
      <c r="W33" s="12">
        <v>42723961.570809498</v>
      </c>
      <c r="X33" s="12">
        <v>54704533.322910801</v>
      </c>
      <c r="Y33" s="12">
        <v>4768787.7932146899</v>
      </c>
      <c r="Z33" s="12">
        <v>2841536.6296926001</v>
      </c>
      <c r="AA33" s="12">
        <v>1164633.01272776</v>
      </c>
      <c r="AB33" s="12">
        <v>15451656.1570052</v>
      </c>
      <c r="AC33" s="12">
        <v>2301900.8425521599</v>
      </c>
      <c r="AD33" s="12">
        <v>565625.06653206202</v>
      </c>
      <c r="AE33" s="12">
        <v>143079872.33824399</v>
      </c>
      <c r="AF33" s="12">
        <v>11226156.781745801</v>
      </c>
      <c r="AG33" s="12">
        <v>35456523.308043398</v>
      </c>
      <c r="AH33" s="12">
        <v>28035741.060201</v>
      </c>
      <c r="AI33" s="12">
        <v>15872913.5323215</v>
      </c>
      <c r="AJ33" s="12">
        <v>5735570.8359558098</v>
      </c>
      <c r="AK33" s="12">
        <v>3311533.5759604299</v>
      </c>
      <c r="AL33" s="12">
        <v>34868107.184738599</v>
      </c>
      <c r="AM33" s="12">
        <v>7310894.07936115</v>
      </c>
      <c r="AN33" s="12">
        <v>13897489.3645106</v>
      </c>
      <c r="AO33" s="12">
        <v>3485095.9495662102</v>
      </c>
      <c r="AP33" s="12">
        <v>8483107.7031672597</v>
      </c>
      <c r="AQ33" s="12">
        <v>6371391.4748348603</v>
      </c>
      <c r="AR33" s="12">
        <v>34246220.181799702</v>
      </c>
      <c r="AS33" s="12">
        <v>4838226.8271174803</v>
      </c>
      <c r="AT33" s="12">
        <v>11620477.6463871</v>
      </c>
      <c r="AU33" s="21">
        <v>1008676233.15992</v>
      </c>
      <c r="AV33" s="12">
        <v>217980224.40553501</v>
      </c>
      <c r="AW33" s="12">
        <v>84921149.455762401</v>
      </c>
      <c r="AX33" s="12">
        <v>8345553.6658840599</v>
      </c>
      <c r="AY33" s="12">
        <v>178591537.87247801</v>
      </c>
      <c r="AZ33" s="21">
        <v>489838465.39965898</v>
      </c>
      <c r="BA33" s="21">
        <v>0</v>
      </c>
      <c r="BB33" s="26">
        <v>1498514698.5595801</v>
      </c>
    </row>
    <row r="34" spans="1:54" x14ac:dyDescent="0.25">
      <c r="A34" s="114"/>
      <c r="B34" s="115"/>
      <c r="C34" s="11" t="s">
        <v>84</v>
      </c>
      <c r="D34" s="9" t="s">
        <v>190</v>
      </c>
      <c r="E34" s="12">
        <v>25123824.423871201</v>
      </c>
      <c r="F34" s="12">
        <v>5455225.1555693503</v>
      </c>
      <c r="G34" s="12">
        <v>653013.28481087298</v>
      </c>
      <c r="H34" s="12">
        <v>1765585.28934801</v>
      </c>
      <c r="I34" s="12">
        <v>2363709.3270258098</v>
      </c>
      <c r="J34" s="12">
        <v>33384301.831162501</v>
      </c>
      <c r="K34" s="12">
        <v>13492270.646255899</v>
      </c>
      <c r="L34" s="12">
        <v>16909853.338309702</v>
      </c>
      <c r="M34" s="12">
        <v>8901566.2538465206</v>
      </c>
      <c r="N34" s="12">
        <v>11779316.799612399</v>
      </c>
      <c r="O34" s="12">
        <v>11178574.541531499</v>
      </c>
      <c r="P34" s="12">
        <v>55535296.706309199</v>
      </c>
      <c r="Q34" s="12">
        <v>25176585.674786899</v>
      </c>
      <c r="R34" s="12">
        <v>33009290.106160499</v>
      </c>
      <c r="S34" s="12">
        <v>14908347.772959501</v>
      </c>
      <c r="T34" s="12">
        <v>16334382.0073181</v>
      </c>
      <c r="U34" s="12">
        <v>13849701.706976499</v>
      </c>
      <c r="V34" s="12">
        <v>28994271.6957746</v>
      </c>
      <c r="W34" s="12">
        <v>21913899.8465917</v>
      </c>
      <c r="X34" s="12">
        <v>15739004.7272854</v>
      </c>
      <c r="Y34" s="12">
        <v>2426736.9397058799</v>
      </c>
      <c r="Z34" s="12">
        <v>1867138.07545509</v>
      </c>
      <c r="AA34" s="12">
        <v>549100.77940791298</v>
      </c>
      <c r="AB34" s="12">
        <v>12694081.0836141</v>
      </c>
      <c r="AC34" s="12">
        <v>1682236.53955492</v>
      </c>
      <c r="AD34" s="12">
        <v>393289.18093850702</v>
      </c>
      <c r="AE34" s="12">
        <v>76442473.260078296</v>
      </c>
      <c r="AF34" s="12">
        <v>89871625.018933207</v>
      </c>
      <c r="AG34" s="12">
        <v>169809119.51778099</v>
      </c>
      <c r="AH34" s="12">
        <v>15002776.9135719</v>
      </c>
      <c r="AI34" s="12">
        <v>11936810.6325674</v>
      </c>
      <c r="AJ34" s="12">
        <v>12728208.3327439</v>
      </c>
      <c r="AK34" s="12">
        <v>3848157.7894978202</v>
      </c>
      <c r="AL34" s="12">
        <v>48571211.824049696</v>
      </c>
      <c r="AM34" s="12">
        <v>8381453.4244968304</v>
      </c>
      <c r="AN34" s="12">
        <v>17298564.837313302</v>
      </c>
      <c r="AO34" s="12">
        <v>4290832.2145023504</v>
      </c>
      <c r="AP34" s="12">
        <v>7071678.5881710304</v>
      </c>
      <c r="AQ34" s="12">
        <v>9945132.4612192102</v>
      </c>
      <c r="AR34" s="12">
        <v>15547472.227899</v>
      </c>
      <c r="AS34" s="12">
        <v>4815397.9549155999</v>
      </c>
      <c r="AT34" s="12">
        <v>21807990.358486399</v>
      </c>
      <c r="AU34" s="21">
        <v>893449509.09040999</v>
      </c>
      <c r="AV34" s="12">
        <v>173441135.956826</v>
      </c>
      <c r="AW34" s="12">
        <v>34380961.708352</v>
      </c>
      <c r="AX34" s="12">
        <v>2787948.94297641</v>
      </c>
      <c r="AY34" s="12">
        <v>95111712.935939193</v>
      </c>
      <c r="AZ34" s="21">
        <v>305721759.54409301</v>
      </c>
      <c r="BA34" s="21">
        <v>0</v>
      </c>
      <c r="BB34" s="26">
        <v>1199171268.6345</v>
      </c>
    </row>
    <row r="35" spans="1:54" x14ac:dyDescent="0.25">
      <c r="A35" s="114"/>
      <c r="B35" s="115"/>
      <c r="C35" s="11" t="s">
        <v>85</v>
      </c>
      <c r="D35" s="10" t="s">
        <v>191</v>
      </c>
      <c r="E35" s="12">
        <v>2192069.5805517202</v>
      </c>
      <c r="F35" s="12">
        <v>717298.33506640303</v>
      </c>
      <c r="G35" s="12">
        <v>175745.14674784901</v>
      </c>
      <c r="H35" s="12">
        <v>447105.63478766702</v>
      </c>
      <c r="I35" s="12">
        <v>435270.97205412301</v>
      </c>
      <c r="J35" s="12">
        <v>4728123.6390756601</v>
      </c>
      <c r="K35" s="12">
        <v>1005621.73539828</v>
      </c>
      <c r="L35" s="12">
        <v>1199356.18257301</v>
      </c>
      <c r="M35" s="12">
        <v>1068753.35895676</v>
      </c>
      <c r="N35" s="12">
        <v>1812054.78834419</v>
      </c>
      <c r="O35" s="12">
        <v>770703.40691954002</v>
      </c>
      <c r="P35" s="12">
        <v>8295344.8103042003</v>
      </c>
      <c r="Q35" s="12">
        <v>3825187.88747423</v>
      </c>
      <c r="R35" s="12">
        <v>3081714.4951223498</v>
      </c>
      <c r="S35" s="12">
        <v>2729306.7462894502</v>
      </c>
      <c r="T35" s="12">
        <v>2551069.2115367302</v>
      </c>
      <c r="U35" s="12">
        <v>3236950.0456908401</v>
      </c>
      <c r="V35" s="12">
        <v>3458508.6159290001</v>
      </c>
      <c r="W35" s="12">
        <v>3579986.7976779202</v>
      </c>
      <c r="X35" s="12">
        <v>3512385.5421504001</v>
      </c>
      <c r="Y35" s="12">
        <v>795075.41584733198</v>
      </c>
      <c r="Z35" s="12">
        <v>303260.528030193</v>
      </c>
      <c r="AA35" s="12">
        <v>219603.18562598099</v>
      </c>
      <c r="AB35" s="12">
        <v>1865193.88579761</v>
      </c>
      <c r="AC35" s="12">
        <v>213935.072103504</v>
      </c>
      <c r="AD35" s="12">
        <v>186913.83944282599</v>
      </c>
      <c r="AE35" s="12">
        <v>14043735.4123825</v>
      </c>
      <c r="AF35" s="12">
        <v>6621433.0604503099</v>
      </c>
      <c r="AG35" s="12">
        <v>20676368.984103799</v>
      </c>
      <c r="AH35" s="12">
        <v>876364.93423086195</v>
      </c>
      <c r="AI35" s="12">
        <v>5385375.3910292601</v>
      </c>
      <c r="AJ35" s="12">
        <v>26183133.492812902</v>
      </c>
      <c r="AK35" s="12">
        <v>3889360.4352582698</v>
      </c>
      <c r="AL35" s="12">
        <v>42598819.2155433</v>
      </c>
      <c r="AM35" s="12">
        <v>8795142.3746990506</v>
      </c>
      <c r="AN35" s="12">
        <v>16630347.9654868</v>
      </c>
      <c r="AO35" s="12">
        <v>1289326.04839013</v>
      </c>
      <c r="AP35" s="12">
        <v>3158365.5377190602</v>
      </c>
      <c r="AQ35" s="12">
        <v>11738374.488810999</v>
      </c>
      <c r="AR35" s="12">
        <v>1857559.5194890101</v>
      </c>
      <c r="AS35" s="12">
        <v>4686185.3586877398</v>
      </c>
      <c r="AT35" s="12">
        <v>32654008.298631899</v>
      </c>
      <c r="AU35" s="21">
        <v>253490439.377224</v>
      </c>
      <c r="AV35" s="12">
        <v>175793366.232218</v>
      </c>
      <c r="AW35" s="12">
        <v>0</v>
      </c>
      <c r="AX35" s="12">
        <v>0</v>
      </c>
      <c r="AY35" s="12">
        <v>2705954.49598409</v>
      </c>
      <c r="AZ35" s="21">
        <v>178499320.72820199</v>
      </c>
      <c r="BA35" s="21">
        <v>0</v>
      </c>
      <c r="BB35" s="26">
        <v>431989760.10542601</v>
      </c>
    </row>
    <row r="36" spans="1:54" x14ac:dyDescent="0.25">
      <c r="A36" s="114"/>
      <c r="B36" s="115"/>
      <c r="C36" s="11" t="s">
        <v>86</v>
      </c>
      <c r="D36" s="10" t="s">
        <v>192</v>
      </c>
      <c r="E36" s="12">
        <v>2379309.1256092801</v>
      </c>
      <c r="F36" s="12">
        <v>320855.965520903</v>
      </c>
      <c r="G36" s="12">
        <v>130708.43798631401</v>
      </c>
      <c r="H36" s="12">
        <v>386680.16207786702</v>
      </c>
      <c r="I36" s="12">
        <v>324557.29243201797</v>
      </c>
      <c r="J36" s="12">
        <v>2969049.42272641</v>
      </c>
      <c r="K36" s="12">
        <v>1041243.1022097</v>
      </c>
      <c r="L36" s="12">
        <v>1737945.96372209</v>
      </c>
      <c r="M36" s="12">
        <v>699529.16038970801</v>
      </c>
      <c r="N36" s="12">
        <v>2154992.83176301</v>
      </c>
      <c r="O36" s="12">
        <v>295991.16704089101</v>
      </c>
      <c r="P36" s="12">
        <v>5773508.9540277096</v>
      </c>
      <c r="Q36" s="12">
        <v>1875441.0703632999</v>
      </c>
      <c r="R36" s="12">
        <v>1510025.63894721</v>
      </c>
      <c r="S36" s="12">
        <v>1661430.2889580501</v>
      </c>
      <c r="T36" s="12">
        <v>3196507.6618560199</v>
      </c>
      <c r="U36" s="12">
        <v>2088953.19210808</v>
      </c>
      <c r="V36" s="12">
        <v>3033404.3312563901</v>
      </c>
      <c r="W36" s="12">
        <v>3869429.2858231501</v>
      </c>
      <c r="X36" s="12">
        <v>25948542.105782799</v>
      </c>
      <c r="Y36" s="12">
        <v>688905.29631920101</v>
      </c>
      <c r="Z36" s="12">
        <v>159311.86343194699</v>
      </c>
      <c r="AA36" s="12">
        <v>130337.15639138001</v>
      </c>
      <c r="AB36" s="12">
        <v>4713795.5160632199</v>
      </c>
      <c r="AC36" s="12">
        <v>378464.948873649</v>
      </c>
      <c r="AD36" s="12">
        <v>363897.23383297899</v>
      </c>
      <c r="AE36" s="12">
        <v>39429878.304486901</v>
      </c>
      <c r="AF36" s="12">
        <v>11147979.0024991</v>
      </c>
      <c r="AG36" s="12">
        <v>36252449.967442498</v>
      </c>
      <c r="AH36" s="12">
        <v>3183975.1514905002</v>
      </c>
      <c r="AI36" s="12">
        <v>191026777.57739899</v>
      </c>
      <c r="AJ36" s="12">
        <v>41395430.214504898</v>
      </c>
      <c r="AK36" s="12">
        <v>8705827.1182148606</v>
      </c>
      <c r="AL36" s="12">
        <v>14215990.157968299</v>
      </c>
      <c r="AM36" s="12">
        <v>3106717.8599664499</v>
      </c>
      <c r="AN36" s="12">
        <v>11273708.3500193</v>
      </c>
      <c r="AO36" s="12">
        <v>1864095.0007976</v>
      </c>
      <c r="AP36" s="12">
        <v>1797019.8833781199</v>
      </c>
      <c r="AQ36" s="12">
        <v>10752555.267615</v>
      </c>
      <c r="AR36" s="12">
        <v>10365032.7633809</v>
      </c>
      <c r="AS36" s="12">
        <v>2861412.5756078502</v>
      </c>
      <c r="AT36" s="12">
        <v>49313847.216244601</v>
      </c>
      <c r="AU36" s="21">
        <v>504525513.58652902</v>
      </c>
      <c r="AV36" s="12">
        <v>124209293.060866</v>
      </c>
      <c r="AW36" s="12">
        <v>305762973.84557301</v>
      </c>
      <c r="AX36" s="12">
        <v>0</v>
      </c>
      <c r="AY36" s="12">
        <v>30745009.333072402</v>
      </c>
      <c r="AZ36" s="21">
        <v>460717276.23951203</v>
      </c>
      <c r="BA36" s="21">
        <v>0</v>
      </c>
      <c r="BB36" s="26">
        <v>965242789.82604098</v>
      </c>
    </row>
    <row r="37" spans="1:54" x14ac:dyDescent="0.25">
      <c r="A37" s="114"/>
      <c r="B37" s="115"/>
      <c r="C37" s="11" t="s">
        <v>89</v>
      </c>
      <c r="D37" s="10" t="s">
        <v>193</v>
      </c>
      <c r="E37" s="12">
        <v>15705548.4079751</v>
      </c>
      <c r="F37" s="12">
        <v>11313884.6352449</v>
      </c>
      <c r="G37" s="12">
        <v>3511730.0742700999</v>
      </c>
      <c r="H37" s="12">
        <v>2619393.87080506</v>
      </c>
      <c r="I37" s="12">
        <v>2820191.6094139698</v>
      </c>
      <c r="J37" s="12">
        <v>6398945.8213005401</v>
      </c>
      <c r="K37" s="12">
        <v>4026326.3809309001</v>
      </c>
      <c r="L37" s="12">
        <v>2185766.6929237898</v>
      </c>
      <c r="M37" s="12">
        <v>2474140.4057481601</v>
      </c>
      <c r="N37" s="12">
        <v>6283243.53586346</v>
      </c>
      <c r="O37" s="12">
        <v>5382924.7366965804</v>
      </c>
      <c r="P37" s="12">
        <v>23788437.434066601</v>
      </c>
      <c r="Q37" s="12">
        <v>14208427.7739389</v>
      </c>
      <c r="R37" s="12">
        <v>32953021.055473</v>
      </c>
      <c r="S37" s="12">
        <v>9530442.6230949797</v>
      </c>
      <c r="T37" s="12">
        <v>7250673.4307575095</v>
      </c>
      <c r="U37" s="12">
        <v>7615375.5706404196</v>
      </c>
      <c r="V37" s="12">
        <v>7297379.8772415202</v>
      </c>
      <c r="W37" s="12">
        <v>9726032.3565133903</v>
      </c>
      <c r="X37" s="12">
        <v>17365176.203292299</v>
      </c>
      <c r="Y37" s="12">
        <v>1546278.73473804</v>
      </c>
      <c r="Z37" s="12">
        <v>1578359.69219133</v>
      </c>
      <c r="AA37" s="12">
        <v>282331.604994361</v>
      </c>
      <c r="AB37" s="12">
        <v>30604571.1719409</v>
      </c>
      <c r="AC37" s="12">
        <v>2939429.4453152702</v>
      </c>
      <c r="AD37" s="12">
        <v>2330199.7406393401</v>
      </c>
      <c r="AE37" s="12">
        <v>104174712.075721</v>
      </c>
      <c r="AF37" s="12">
        <v>66311456.906628601</v>
      </c>
      <c r="AG37" s="12">
        <v>112106945.93487801</v>
      </c>
      <c r="AH37" s="12">
        <v>4062902.51368709</v>
      </c>
      <c r="AI37" s="12">
        <v>19062233.198822401</v>
      </c>
      <c r="AJ37" s="12">
        <v>83595197.725496694</v>
      </c>
      <c r="AK37" s="12">
        <v>120180471.737371</v>
      </c>
      <c r="AL37" s="12">
        <v>65773378.4793735</v>
      </c>
      <c r="AM37" s="12">
        <v>2207710.7506609298</v>
      </c>
      <c r="AN37" s="12">
        <v>20323735.3695843</v>
      </c>
      <c r="AO37" s="12">
        <v>4891766.9668323603</v>
      </c>
      <c r="AP37" s="12">
        <v>3791001.3168669199</v>
      </c>
      <c r="AQ37" s="12">
        <v>14161181.460796401</v>
      </c>
      <c r="AR37" s="12">
        <v>3575014.46633917</v>
      </c>
      <c r="AS37" s="12">
        <v>3860896.1817209399</v>
      </c>
      <c r="AT37" s="12">
        <v>19859586.447171699</v>
      </c>
      <c r="AU37" s="21">
        <v>879676424.41796196</v>
      </c>
      <c r="AV37" s="12">
        <v>342798569.71051002</v>
      </c>
      <c r="AW37" s="12">
        <v>0</v>
      </c>
      <c r="AX37" s="12">
        <v>0</v>
      </c>
      <c r="AY37" s="12">
        <v>6895161.3437699499</v>
      </c>
      <c r="AZ37" s="21">
        <v>349693731.05427998</v>
      </c>
      <c r="BA37" s="21">
        <v>0</v>
      </c>
      <c r="BB37" s="26">
        <v>1229370155.47224</v>
      </c>
    </row>
    <row r="38" spans="1:54" x14ac:dyDescent="0.25">
      <c r="A38" s="114"/>
      <c r="B38" s="115"/>
      <c r="C38" s="11" t="s">
        <v>90</v>
      </c>
      <c r="D38" s="10" t="s">
        <v>194</v>
      </c>
      <c r="E38" s="12">
        <v>20082.659692497</v>
      </c>
      <c r="F38" s="12">
        <v>154368.02123161001</v>
      </c>
      <c r="G38" s="12">
        <v>30567.8260411511</v>
      </c>
      <c r="H38" s="12">
        <v>739.60405053348302</v>
      </c>
      <c r="I38" s="12">
        <v>42385.238104890799</v>
      </c>
      <c r="J38" s="12">
        <v>368861.65740346297</v>
      </c>
      <c r="K38" s="12">
        <v>115144.42347683301</v>
      </c>
      <c r="L38" s="12">
        <v>173740.931204141</v>
      </c>
      <c r="M38" s="12">
        <v>231530.11877910901</v>
      </c>
      <c r="N38" s="12">
        <v>184701.672214847</v>
      </c>
      <c r="O38" s="12">
        <v>11998.50796184</v>
      </c>
      <c r="P38" s="12">
        <v>627719.55989615503</v>
      </c>
      <c r="Q38" s="12">
        <v>308749.030828499</v>
      </c>
      <c r="R38" s="12">
        <v>40126.384466256597</v>
      </c>
      <c r="S38" s="12">
        <v>274687.64752175601</v>
      </c>
      <c r="T38" s="12">
        <v>363253.37029321102</v>
      </c>
      <c r="U38" s="12">
        <v>219130.96665667699</v>
      </c>
      <c r="V38" s="12">
        <v>397678.68963540101</v>
      </c>
      <c r="W38" s="12">
        <v>470907.96131708898</v>
      </c>
      <c r="X38" s="12">
        <v>582046.95401444798</v>
      </c>
      <c r="Y38" s="12">
        <v>117477.41904534301</v>
      </c>
      <c r="Z38" s="12">
        <v>36983.0332392083</v>
      </c>
      <c r="AA38" s="12">
        <v>270960.62029825599</v>
      </c>
      <c r="AB38" s="12">
        <v>142396.25576479899</v>
      </c>
      <c r="AC38" s="12">
        <v>67003.995144613596</v>
      </c>
      <c r="AD38" s="12">
        <v>57196.021567538002</v>
      </c>
      <c r="AE38" s="12">
        <v>529996.06552817405</v>
      </c>
      <c r="AF38" s="12">
        <v>109562548.179287</v>
      </c>
      <c r="AG38" s="12">
        <v>15294260.5489939</v>
      </c>
      <c r="AH38" s="12">
        <v>18203225.337623</v>
      </c>
      <c r="AI38" s="12">
        <v>63369467.412171103</v>
      </c>
      <c r="AJ38" s="12">
        <v>74704849.541175395</v>
      </c>
      <c r="AK38" s="12">
        <v>44133548.918102302</v>
      </c>
      <c r="AL38" s="12">
        <v>58013520.616728298</v>
      </c>
      <c r="AM38" s="12">
        <v>3738744.5800551898</v>
      </c>
      <c r="AN38" s="12">
        <v>8758746.6943565309</v>
      </c>
      <c r="AO38" s="12">
        <v>1332312.20653033</v>
      </c>
      <c r="AP38" s="12">
        <v>30523399.633694999</v>
      </c>
      <c r="AQ38" s="12">
        <v>21605085.831631999</v>
      </c>
      <c r="AR38" s="12">
        <v>7425864.63189016</v>
      </c>
      <c r="AS38" s="12">
        <v>6106378.2433424303</v>
      </c>
      <c r="AT38" s="12">
        <v>15600816.4807817</v>
      </c>
      <c r="AU38" s="21">
        <v>484213203.49174303</v>
      </c>
      <c r="AV38" s="12">
        <v>549460276.842044</v>
      </c>
      <c r="AW38" s="12">
        <v>32960000</v>
      </c>
      <c r="AX38" s="12">
        <v>0</v>
      </c>
      <c r="AY38" s="12">
        <v>0</v>
      </c>
      <c r="AZ38" s="21">
        <v>582420276.842044</v>
      </c>
      <c r="BA38" s="21">
        <v>0</v>
      </c>
      <c r="BB38" s="26">
        <v>1066633480.3337899</v>
      </c>
    </row>
    <row r="39" spans="1:54" x14ac:dyDescent="0.25">
      <c r="A39" s="114"/>
      <c r="B39" s="115"/>
      <c r="C39" s="11" t="s">
        <v>87</v>
      </c>
      <c r="D39" s="9" t="s">
        <v>195</v>
      </c>
      <c r="E39" s="12">
        <v>3103242.6648500799</v>
      </c>
      <c r="F39" s="12">
        <v>7808156.2603411004</v>
      </c>
      <c r="G39" s="12">
        <v>1547786.48331892</v>
      </c>
      <c r="H39" s="12">
        <v>2166829.2236904898</v>
      </c>
      <c r="I39" s="12">
        <v>2302285.6050760802</v>
      </c>
      <c r="J39" s="12">
        <v>27575811.8573214</v>
      </c>
      <c r="K39" s="12">
        <v>3099030.54645473</v>
      </c>
      <c r="L39" s="12">
        <v>9220337.34842024</v>
      </c>
      <c r="M39" s="12">
        <v>2993379.5607675901</v>
      </c>
      <c r="N39" s="12">
        <v>9452055.4280067794</v>
      </c>
      <c r="O39" s="12">
        <v>5118520.4585019303</v>
      </c>
      <c r="P39" s="12">
        <v>35584026.473067403</v>
      </c>
      <c r="Q39" s="12">
        <v>11794135.3365531</v>
      </c>
      <c r="R39" s="12">
        <v>6998034.9256398901</v>
      </c>
      <c r="S39" s="12">
        <v>7834972.3601353699</v>
      </c>
      <c r="T39" s="12">
        <v>10976996.591336399</v>
      </c>
      <c r="U39" s="12">
        <v>9600923.0016899202</v>
      </c>
      <c r="V39" s="12">
        <v>18261820.048095699</v>
      </c>
      <c r="W39" s="12">
        <v>12659225.3805403</v>
      </c>
      <c r="X39" s="12">
        <v>17530856.820982601</v>
      </c>
      <c r="Y39" s="12">
        <v>1317326.4541343399</v>
      </c>
      <c r="Z39" s="12">
        <v>1175486.69873236</v>
      </c>
      <c r="AA39" s="12">
        <v>460979.26237928501</v>
      </c>
      <c r="AB39" s="12">
        <v>4496305.0471500102</v>
      </c>
      <c r="AC39" s="12">
        <v>1748921.8950384101</v>
      </c>
      <c r="AD39" s="12">
        <v>489487.30520862201</v>
      </c>
      <c r="AE39" s="12">
        <v>52292679.094436102</v>
      </c>
      <c r="AF39" s="12">
        <v>155473925.07891601</v>
      </c>
      <c r="AG39" s="12">
        <v>35123659.6758883</v>
      </c>
      <c r="AH39" s="12">
        <v>8362200.7613156</v>
      </c>
      <c r="AI39" s="12">
        <v>72407108.665131703</v>
      </c>
      <c r="AJ39" s="12">
        <v>76439002.602361903</v>
      </c>
      <c r="AK39" s="12">
        <v>65237186.454602003</v>
      </c>
      <c r="AL39" s="12">
        <v>100151536.97956</v>
      </c>
      <c r="AM39" s="12">
        <v>8635049.3868837692</v>
      </c>
      <c r="AN39" s="12">
        <v>26753571.657624401</v>
      </c>
      <c r="AO39" s="12">
        <v>3701737.34216295</v>
      </c>
      <c r="AP39" s="12">
        <v>7005180.2672984097</v>
      </c>
      <c r="AQ39" s="12">
        <v>5540214.2905254504</v>
      </c>
      <c r="AR39" s="12">
        <v>2657450.2941090902</v>
      </c>
      <c r="AS39" s="12">
        <v>6727967.2820898397</v>
      </c>
      <c r="AT39" s="12">
        <v>23328140.375184398</v>
      </c>
      <c r="AU39" s="21">
        <v>865153543.24552298</v>
      </c>
      <c r="AV39" s="12">
        <v>56883708.198560998</v>
      </c>
      <c r="AW39" s="12">
        <v>0</v>
      </c>
      <c r="AX39" s="12">
        <v>0</v>
      </c>
      <c r="AY39" s="12">
        <v>40525349.164613903</v>
      </c>
      <c r="AZ39" s="21">
        <v>97409057.3631749</v>
      </c>
      <c r="BA39" s="21">
        <v>0</v>
      </c>
      <c r="BB39" s="26">
        <v>962562600.60869706</v>
      </c>
    </row>
    <row r="40" spans="1:54" x14ac:dyDescent="0.25">
      <c r="A40" s="114"/>
      <c r="B40" s="115"/>
      <c r="C40" s="11" t="s">
        <v>88</v>
      </c>
      <c r="D40" s="9" t="s">
        <v>196</v>
      </c>
      <c r="E40" s="12">
        <v>0</v>
      </c>
      <c r="F40" s="12">
        <v>0</v>
      </c>
      <c r="G40" s="12">
        <v>0</v>
      </c>
      <c r="H40" s="12">
        <v>0</v>
      </c>
      <c r="I40" s="12">
        <v>0</v>
      </c>
      <c r="J40" s="12">
        <v>0</v>
      </c>
      <c r="K40" s="12">
        <v>0</v>
      </c>
      <c r="L40" s="12">
        <v>0</v>
      </c>
      <c r="M40" s="12">
        <v>0</v>
      </c>
      <c r="N40" s="12">
        <v>0</v>
      </c>
      <c r="O40" s="12">
        <v>0</v>
      </c>
      <c r="P40" s="12">
        <v>0</v>
      </c>
      <c r="Q40" s="12">
        <v>0</v>
      </c>
      <c r="R40" s="12">
        <v>0</v>
      </c>
      <c r="S40" s="12">
        <v>0</v>
      </c>
      <c r="T40" s="12">
        <v>0</v>
      </c>
      <c r="U40" s="12">
        <v>0</v>
      </c>
      <c r="V40" s="12">
        <v>0</v>
      </c>
      <c r="W40" s="12">
        <v>0</v>
      </c>
      <c r="X40" s="12">
        <v>0</v>
      </c>
      <c r="Y40" s="12">
        <v>0</v>
      </c>
      <c r="Z40" s="12">
        <v>0</v>
      </c>
      <c r="AA40" s="12">
        <v>0</v>
      </c>
      <c r="AB40" s="12">
        <v>0</v>
      </c>
      <c r="AC40" s="12">
        <v>0</v>
      </c>
      <c r="AD40" s="12">
        <v>0</v>
      </c>
      <c r="AE40" s="12">
        <v>0</v>
      </c>
      <c r="AF40" s="12">
        <v>0</v>
      </c>
      <c r="AG40" s="12">
        <v>0</v>
      </c>
      <c r="AH40" s="12">
        <v>0</v>
      </c>
      <c r="AI40" s="12">
        <v>0</v>
      </c>
      <c r="AJ40" s="12">
        <v>0</v>
      </c>
      <c r="AK40" s="12">
        <v>0</v>
      </c>
      <c r="AL40" s="12">
        <v>0</v>
      </c>
      <c r="AM40" s="12">
        <v>860250.38824139803</v>
      </c>
      <c r="AN40" s="12">
        <v>0</v>
      </c>
      <c r="AO40" s="12">
        <v>0</v>
      </c>
      <c r="AP40" s="12">
        <v>0</v>
      </c>
      <c r="AQ40" s="12">
        <v>0</v>
      </c>
      <c r="AR40" s="12">
        <v>0</v>
      </c>
      <c r="AS40" s="12">
        <v>0</v>
      </c>
      <c r="AT40" s="12">
        <v>0</v>
      </c>
      <c r="AU40" s="21">
        <v>860250.38824139803</v>
      </c>
      <c r="AV40" s="12">
        <v>60926779.103685901</v>
      </c>
      <c r="AW40" s="12">
        <v>160092759.72126099</v>
      </c>
      <c r="AX40" s="12">
        <v>0</v>
      </c>
      <c r="AY40" s="12">
        <v>9676778.9460403305</v>
      </c>
      <c r="AZ40" s="21">
        <v>230696317.770987</v>
      </c>
      <c r="BA40" s="21">
        <v>0</v>
      </c>
      <c r="BB40" s="26">
        <v>231556568.159228</v>
      </c>
    </row>
    <row r="41" spans="1:54" x14ac:dyDescent="0.25">
      <c r="A41" s="114"/>
      <c r="B41" s="115"/>
      <c r="C41" s="11" t="s">
        <v>91</v>
      </c>
      <c r="D41" s="9" t="s">
        <v>197</v>
      </c>
      <c r="E41" s="12">
        <v>8183686.4753515003</v>
      </c>
      <c r="F41" s="12">
        <v>2051462.52983747</v>
      </c>
      <c r="G41" s="12">
        <v>439977.22278940701</v>
      </c>
      <c r="H41" s="12">
        <v>1040033.01440777</v>
      </c>
      <c r="I41" s="12">
        <v>1344855.4582430399</v>
      </c>
      <c r="J41" s="12">
        <v>1676472.6353910901</v>
      </c>
      <c r="K41" s="12">
        <v>369115.52426100499</v>
      </c>
      <c r="L41" s="12">
        <v>1102565.38936739</v>
      </c>
      <c r="M41" s="12">
        <v>953469.33963108005</v>
      </c>
      <c r="N41" s="12">
        <v>1344021.39502401</v>
      </c>
      <c r="O41" s="12">
        <v>231164.630408414</v>
      </c>
      <c r="P41" s="12">
        <v>10480192.892596999</v>
      </c>
      <c r="Q41" s="12">
        <v>2805612.4696148699</v>
      </c>
      <c r="R41" s="12">
        <v>3284574.9022261598</v>
      </c>
      <c r="S41" s="12">
        <v>2353821.5562738702</v>
      </c>
      <c r="T41" s="12">
        <v>2501260.76386193</v>
      </c>
      <c r="U41" s="12">
        <v>3941338.70858884</v>
      </c>
      <c r="V41" s="12">
        <v>9435421.6271442808</v>
      </c>
      <c r="W41" s="12">
        <v>3565826.6881805798</v>
      </c>
      <c r="X41" s="12">
        <v>9339696.4032374602</v>
      </c>
      <c r="Y41" s="12">
        <v>815054.57961822301</v>
      </c>
      <c r="Z41" s="12">
        <v>138277.38417546399</v>
      </c>
      <c r="AA41" s="12">
        <v>90245.769569325697</v>
      </c>
      <c r="AB41" s="12">
        <v>3652469.69495684</v>
      </c>
      <c r="AC41" s="12">
        <v>10048.662733187201</v>
      </c>
      <c r="AD41" s="12">
        <v>43760.737903093301</v>
      </c>
      <c r="AE41" s="12">
        <v>240915311.38904899</v>
      </c>
      <c r="AF41" s="12">
        <v>11282047.979978301</v>
      </c>
      <c r="AG41" s="12">
        <v>3801996.4393645502</v>
      </c>
      <c r="AH41" s="12">
        <v>167826.69945392199</v>
      </c>
      <c r="AI41" s="12">
        <v>3281324.9996913499</v>
      </c>
      <c r="AJ41" s="12">
        <v>841145.40919515199</v>
      </c>
      <c r="AK41" s="12">
        <v>886848.71279822895</v>
      </c>
      <c r="AL41" s="12">
        <v>123358.933278369</v>
      </c>
      <c r="AM41" s="12">
        <v>13591265.803873099</v>
      </c>
      <c r="AN41" s="12">
        <v>72827591.102414295</v>
      </c>
      <c r="AO41" s="12">
        <v>330590.59312223399</v>
      </c>
      <c r="AP41" s="12">
        <v>14101.096811064201</v>
      </c>
      <c r="AQ41" s="12">
        <v>1373597.4473432701</v>
      </c>
      <c r="AR41" s="12">
        <v>250745.103421687</v>
      </c>
      <c r="AS41" s="12">
        <v>31778.261398341001</v>
      </c>
      <c r="AT41" s="12">
        <v>359526.50676885201</v>
      </c>
      <c r="AU41" s="21">
        <v>421273482.93335497</v>
      </c>
      <c r="AV41" s="12">
        <v>89792956.001535699</v>
      </c>
      <c r="AW41" s="12">
        <v>8718042.8775999993</v>
      </c>
      <c r="AX41" s="12">
        <v>0</v>
      </c>
      <c r="AY41" s="12">
        <v>1387.71592662749</v>
      </c>
      <c r="AZ41" s="21">
        <v>98512386.595062301</v>
      </c>
      <c r="BA41" s="21">
        <v>0</v>
      </c>
      <c r="BB41" s="26">
        <v>519785869.52841699</v>
      </c>
    </row>
    <row r="42" spans="1:54" x14ac:dyDescent="0.25">
      <c r="A42" s="114"/>
      <c r="B42" s="115"/>
      <c r="C42" s="11" t="s">
        <v>160</v>
      </c>
      <c r="D42" s="9" t="s">
        <v>198</v>
      </c>
      <c r="E42" s="12">
        <v>1804720.4273141101</v>
      </c>
      <c r="F42" s="12">
        <v>104835.095841473</v>
      </c>
      <c r="G42" s="12">
        <v>46216.539473192897</v>
      </c>
      <c r="H42" s="12">
        <v>120233.050455365</v>
      </c>
      <c r="I42" s="12">
        <v>202999.527349165</v>
      </c>
      <c r="J42" s="12">
        <v>486591.51272665599</v>
      </c>
      <c r="K42" s="12">
        <v>647942.02388478897</v>
      </c>
      <c r="L42" s="12">
        <v>133623.45467805301</v>
      </c>
      <c r="M42" s="12">
        <v>129229.021100692</v>
      </c>
      <c r="N42" s="12">
        <v>810323.67291635904</v>
      </c>
      <c r="O42" s="12">
        <v>248577.47783911499</v>
      </c>
      <c r="P42" s="12">
        <v>945183.49392604595</v>
      </c>
      <c r="Q42" s="12">
        <v>432033.12874723203</v>
      </c>
      <c r="R42" s="12">
        <v>880733.61068522802</v>
      </c>
      <c r="S42" s="12">
        <v>228949.64826210999</v>
      </c>
      <c r="T42" s="12">
        <v>346354.539984804</v>
      </c>
      <c r="U42" s="12">
        <v>339637.17634544498</v>
      </c>
      <c r="V42" s="12">
        <v>405660.70947940502</v>
      </c>
      <c r="W42" s="12">
        <v>339894.21100795898</v>
      </c>
      <c r="X42" s="12">
        <v>362711.194002659</v>
      </c>
      <c r="Y42" s="12">
        <v>59066.613571686998</v>
      </c>
      <c r="Z42" s="12">
        <v>83086.420518133105</v>
      </c>
      <c r="AA42" s="12">
        <v>37890.690973860699</v>
      </c>
      <c r="AB42" s="12">
        <v>2064770.98537225</v>
      </c>
      <c r="AC42" s="12">
        <v>20418.755367972499</v>
      </c>
      <c r="AD42" s="12">
        <v>2213869.0697251698</v>
      </c>
      <c r="AE42" s="12">
        <v>1128697.8473312301</v>
      </c>
      <c r="AF42" s="12">
        <v>2092562.40191657</v>
      </c>
      <c r="AG42" s="12">
        <v>1996027.54194567</v>
      </c>
      <c r="AH42" s="12">
        <v>308947.22543373099</v>
      </c>
      <c r="AI42" s="12">
        <v>1046321.2564034</v>
      </c>
      <c r="AJ42" s="12">
        <v>1901971.7982049801</v>
      </c>
      <c r="AK42" s="12">
        <v>429532.12060296902</v>
      </c>
      <c r="AL42" s="12">
        <v>3740750.9173309999</v>
      </c>
      <c r="AM42" s="12">
        <v>697437.240516347</v>
      </c>
      <c r="AN42" s="12">
        <v>644089.88392050401</v>
      </c>
      <c r="AO42" s="12">
        <v>3562655.5064207902</v>
      </c>
      <c r="AP42" s="12">
        <v>531212.88479377201</v>
      </c>
      <c r="AQ42" s="12">
        <v>573175.86499862501</v>
      </c>
      <c r="AR42" s="12">
        <v>421600.36071658198</v>
      </c>
      <c r="AS42" s="12">
        <v>345057.50199791603</v>
      </c>
      <c r="AT42" s="12">
        <v>1693874.2494999999</v>
      </c>
      <c r="AU42" s="21">
        <v>34609466.653582998</v>
      </c>
      <c r="AV42" s="12">
        <v>78261301.754629895</v>
      </c>
      <c r="AW42" s="12">
        <v>0</v>
      </c>
      <c r="AX42" s="12">
        <v>0</v>
      </c>
      <c r="AY42" s="12">
        <v>293213.8001929</v>
      </c>
      <c r="AZ42" s="21">
        <v>78554515.554822803</v>
      </c>
      <c r="BA42" s="21">
        <v>0</v>
      </c>
      <c r="BB42" s="26">
        <v>113163982.208406</v>
      </c>
    </row>
    <row r="43" spans="1:54" x14ac:dyDescent="0.25">
      <c r="A43" s="114"/>
      <c r="B43" s="115"/>
      <c r="C43" s="11" t="s">
        <v>96</v>
      </c>
      <c r="D43" s="9" t="s">
        <v>199</v>
      </c>
      <c r="E43" s="12">
        <v>1162397.39834427</v>
      </c>
      <c r="F43" s="12">
        <v>1569830.502662</v>
      </c>
      <c r="G43" s="12">
        <v>159386.41042071499</v>
      </c>
      <c r="H43" s="12">
        <v>94113.663384315994</v>
      </c>
      <c r="I43" s="12">
        <v>256275.87206204701</v>
      </c>
      <c r="J43" s="12">
        <v>1801970.03318312</v>
      </c>
      <c r="K43" s="12">
        <v>672458.24495171697</v>
      </c>
      <c r="L43" s="12">
        <v>593807.57831238699</v>
      </c>
      <c r="M43" s="12">
        <v>748904.04015807004</v>
      </c>
      <c r="N43" s="12">
        <v>1210992.5142121201</v>
      </c>
      <c r="O43" s="12">
        <v>696299.77172118402</v>
      </c>
      <c r="P43" s="12">
        <v>4401786.1499428498</v>
      </c>
      <c r="Q43" s="12">
        <v>2152188.0837502601</v>
      </c>
      <c r="R43" s="12">
        <v>1512327.30375344</v>
      </c>
      <c r="S43" s="12">
        <v>1871053.2094211699</v>
      </c>
      <c r="T43" s="12">
        <v>2177435.0947761</v>
      </c>
      <c r="U43" s="12">
        <v>1440596.56517176</v>
      </c>
      <c r="V43" s="12">
        <v>4136945.1119069899</v>
      </c>
      <c r="W43" s="12">
        <v>2650589.9530470702</v>
      </c>
      <c r="X43" s="12">
        <v>2854633.2428029301</v>
      </c>
      <c r="Y43" s="12">
        <v>328422.91818959097</v>
      </c>
      <c r="Z43" s="12">
        <v>253839.289963719</v>
      </c>
      <c r="AA43" s="12">
        <v>99249.451118168901</v>
      </c>
      <c r="AB43" s="12">
        <v>2395782.91856207</v>
      </c>
      <c r="AC43" s="12">
        <v>247361.96540363299</v>
      </c>
      <c r="AD43" s="12">
        <v>377392.45383433398</v>
      </c>
      <c r="AE43" s="12">
        <v>18589278.348517101</v>
      </c>
      <c r="AF43" s="12">
        <v>10936817.248268301</v>
      </c>
      <c r="AG43" s="12">
        <v>17956064.926748998</v>
      </c>
      <c r="AH43" s="12">
        <v>2370048.7500258801</v>
      </c>
      <c r="AI43" s="12">
        <v>2165345.5165395201</v>
      </c>
      <c r="AJ43" s="12">
        <v>3686570.7058681101</v>
      </c>
      <c r="AK43" s="12">
        <v>1817217.87257167</v>
      </c>
      <c r="AL43" s="12">
        <v>7553140.62261423</v>
      </c>
      <c r="AM43" s="12">
        <v>3501305.2251438298</v>
      </c>
      <c r="AN43" s="12">
        <v>6088183.5300455596</v>
      </c>
      <c r="AO43" s="12">
        <v>4397041.8478408298</v>
      </c>
      <c r="AP43" s="12">
        <v>5478387.8782970803</v>
      </c>
      <c r="AQ43" s="12">
        <v>6387727.0345332203</v>
      </c>
      <c r="AR43" s="12">
        <v>3728248.68452788</v>
      </c>
      <c r="AS43" s="12">
        <v>2160584.8214631998</v>
      </c>
      <c r="AT43" s="12">
        <v>16937176.354523301</v>
      </c>
      <c r="AU43" s="21">
        <v>149619179.108585</v>
      </c>
      <c r="AV43" s="12">
        <v>150620733.893608</v>
      </c>
      <c r="AW43" s="12">
        <v>0</v>
      </c>
      <c r="AX43" s="12">
        <v>0</v>
      </c>
      <c r="AY43" s="12">
        <v>97675.720235379995</v>
      </c>
      <c r="AZ43" s="21">
        <v>150718409.61384401</v>
      </c>
      <c r="BA43" s="21">
        <v>0</v>
      </c>
      <c r="BB43" s="26">
        <v>300337588.72242898</v>
      </c>
    </row>
    <row r="44" spans="1:54" x14ac:dyDescent="0.25">
      <c r="A44" s="114"/>
      <c r="B44" s="115"/>
      <c r="C44" s="11" t="s">
        <v>93</v>
      </c>
      <c r="D44" s="9" t="s">
        <v>200</v>
      </c>
      <c r="E44" s="12">
        <v>167081.06331998101</v>
      </c>
      <c r="F44" s="12">
        <v>84289.854237092994</v>
      </c>
      <c r="G44" s="12">
        <v>10224.641401065899</v>
      </c>
      <c r="H44" s="12">
        <v>12130.5338738886</v>
      </c>
      <c r="I44" s="12">
        <v>15489.9976407173</v>
      </c>
      <c r="J44" s="12">
        <v>142405.141809283</v>
      </c>
      <c r="K44" s="12">
        <v>46922.118665360598</v>
      </c>
      <c r="L44" s="12">
        <v>60489.963249892899</v>
      </c>
      <c r="M44" s="12">
        <v>64124.256356654798</v>
      </c>
      <c r="N44" s="12">
        <v>44195.483488925303</v>
      </c>
      <c r="O44" s="12">
        <v>38711.843107244502</v>
      </c>
      <c r="P44" s="12">
        <v>261878.853969216</v>
      </c>
      <c r="Q44" s="12">
        <v>126924.069557151</v>
      </c>
      <c r="R44" s="12">
        <v>61844.336822802201</v>
      </c>
      <c r="S44" s="12">
        <v>113665.885247161</v>
      </c>
      <c r="T44" s="12">
        <v>153989.56078336501</v>
      </c>
      <c r="U44" s="12">
        <v>99155.720747533502</v>
      </c>
      <c r="V44" s="12">
        <v>133092.37934404201</v>
      </c>
      <c r="W44" s="12">
        <v>91487.399886738101</v>
      </c>
      <c r="X44" s="12">
        <v>111090.70883859201</v>
      </c>
      <c r="Y44" s="12">
        <v>25607.178963784001</v>
      </c>
      <c r="Z44" s="12">
        <v>16701.818559953801</v>
      </c>
      <c r="AA44" s="12">
        <v>21287.6699437223</v>
      </c>
      <c r="AB44" s="12">
        <v>21622.444301002401</v>
      </c>
      <c r="AC44" s="12">
        <v>20627.188815816298</v>
      </c>
      <c r="AD44" s="12">
        <v>25220.108459746101</v>
      </c>
      <c r="AE44" s="12">
        <v>864553.12834388402</v>
      </c>
      <c r="AF44" s="12">
        <v>1556026.8212163199</v>
      </c>
      <c r="AG44" s="12">
        <v>1314848.2779828501</v>
      </c>
      <c r="AH44" s="12">
        <v>298521.32652886497</v>
      </c>
      <c r="AI44" s="12">
        <v>578304.51939634897</v>
      </c>
      <c r="AJ44" s="12">
        <v>3102120.9427249501</v>
      </c>
      <c r="AK44" s="12">
        <v>274596.44974074</v>
      </c>
      <c r="AL44" s="12">
        <v>576898.76788159704</v>
      </c>
      <c r="AM44" s="12">
        <v>142839.265608974</v>
      </c>
      <c r="AN44" s="12">
        <v>492632.15666866698</v>
      </c>
      <c r="AO44" s="12">
        <v>85348.553748797203</v>
      </c>
      <c r="AP44" s="12">
        <v>189130.321780453</v>
      </c>
      <c r="AQ44" s="12">
        <v>7696008.6095650997</v>
      </c>
      <c r="AR44" s="12">
        <v>792734.63606964098</v>
      </c>
      <c r="AS44" s="12">
        <v>245179.80757904201</v>
      </c>
      <c r="AT44" s="12">
        <v>7491721.4315062398</v>
      </c>
      <c r="AU44" s="21">
        <v>27671725.2377332</v>
      </c>
      <c r="AV44" s="12">
        <v>504815833.89706302</v>
      </c>
      <c r="AW44" s="12">
        <v>0</v>
      </c>
      <c r="AX44" s="12">
        <v>0</v>
      </c>
      <c r="AY44" s="12">
        <v>0</v>
      </c>
      <c r="AZ44" s="21">
        <v>504815833.89706302</v>
      </c>
      <c r="BA44" s="21">
        <v>0</v>
      </c>
      <c r="BB44" s="26">
        <v>532487559.13479602</v>
      </c>
    </row>
    <row r="45" spans="1:54" x14ac:dyDescent="0.25">
      <c r="A45" s="114"/>
      <c r="B45" s="115"/>
      <c r="C45" s="11" t="s">
        <v>94</v>
      </c>
      <c r="D45" s="9" t="s">
        <v>201</v>
      </c>
      <c r="E45" s="12">
        <v>105942.681287745</v>
      </c>
      <c r="F45" s="12">
        <v>144985.070058774</v>
      </c>
      <c r="G45" s="12">
        <v>13114.678390372101</v>
      </c>
      <c r="H45" s="12">
        <v>49092.497412144003</v>
      </c>
      <c r="I45" s="12">
        <v>47680.768941413502</v>
      </c>
      <c r="J45" s="12">
        <v>73841.829614844595</v>
      </c>
      <c r="K45" s="12">
        <v>46509.785468213398</v>
      </c>
      <c r="L45" s="12">
        <v>77303.216321095097</v>
      </c>
      <c r="M45" s="12">
        <v>48249.311486710401</v>
      </c>
      <c r="N45" s="12">
        <v>87685.346695893095</v>
      </c>
      <c r="O45" s="12">
        <v>835882.18884584203</v>
      </c>
      <c r="P45" s="12">
        <v>169147.191599502</v>
      </c>
      <c r="Q45" s="12">
        <v>239122.386708203</v>
      </c>
      <c r="R45" s="12">
        <v>391885.48634340998</v>
      </c>
      <c r="S45" s="12">
        <v>269540.05188149703</v>
      </c>
      <c r="T45" s="12">
        <v>411678.79628027102</v>
      </c>
      <c r="U45" s="12">
        <v>261031.59449148001</v>
      </c>
      <c r="V45" s="12">
        <v>344498.52211881801</v>
      </c>
      <c r="W45" s="12">
        <v>306661.87739664299</v>
      </c>
      <c r="X45" s="12">
        <v>140815.63220728899</v>
      </c>
      <c r="Y45" s="12">
        <v>38131.080891644699</v>
      </c>
      <c r="Z45" s="12">
        <v>11704.9530922022</v>
      </c>
      <c r="AA45" s="12">
        <v>6576.0625411535802</v>
      </c>
      <c r="AB45" s="12">
        <v>351762.86307173298</v>
      </c>
      <c r="AC45" s="12">
        <v>37298.725977693903</v>
      </c>
      <c r="AD45" s="12">
        <v>1843.34993943823</v>
      </c>
      <c r="AE45" s="12">
        <v>1212374.80559579</v>
      </c>
      <c r="AF45" s="12">
        <v>405132.27194995299</v>
      </c>
      <c r="AG45" s="12">
        <v>585717.19383453403</v>
      </c>
      <c r="AH45" s="12">
        <v>11000.252157492399</v>
      </c>
      <c r="AI45" s="12">
        <v>25078.7308772668</v>
      </c>
      <c r="AJ45" s="12">
        <v>276186.509128968</v>
      </c>
      <c r="AK45" s="12">
        <v>2485.5306110463498</v>
      </c>
      <c r="AL45" s="12">
        <v>6409.0017975199498</v>
      </c>
      <c r="AM45" s="12">
        <v>19448.636986842899</v>
      </c>
      <c r="AN45" s="12">
        <v>42432.905089806802</v>
      </c>
      <c r="AO45" s="12">
        <v>28021.422407185401</v>
      </c>
      <c r="AP45" s="12">
        <v>73741.249578978299</v>
      </c>
      <c r="AQ45" s="12">
        <v>204959.540813375</v>
      </c>
      <c r="AR45" s="12">
        <v>2869982.9847261701</v>
      </c>
      <c r="AS45" s="12">
        <v>49990.674913839997</v>
      </c>
      <c r="AT45" s="12">
        <v>2394515.4677484198</v>
      </c>
      <c r="AU45" s="21">
        <v>12719463.1272812</v>
      </c>
      <c r="AV45" s="12">
        <v>487195760.19501603</v>
      </c>
      <c r="AW45" s="12">
        <v>0</v>
      </c>
      <c r="AX45" s="12">
        <v>0</v>
      </c>
      <c r="AY45" s="12">
        <v>156974.417010226</v>
      </c>
      <c r="AZ45" s="21">
        <v>487352734.61202598</v>
      </c>
      <c r="BA45" s="21">
        <v>0</v>
      </c>
      <c r="BB45" s="26">
        <v>500072197.73930699</v>
      </c>
    </row>
    <row r="46" spans="1:54" x14ac:dyDescent="0.25">
      <c r="A46" s="114"/>
      <c r="B46" s="115"/>
      <c r="C46" s="11" t="s">
        <v>95</v>
      </c>
      <c r="D46" s="9" t="s">
        <v>202</v>
      </c>
      <c r="E46" s="12">
        <v>98700.766259728494</v>
      </c>
      <c r="F46" s="12">
        <v>262860.66976514499</v>
      </c>
      <c r="G46" s="12">
        <v>120201.94904597101</v>
      </c>
      <c r="H46" s="12">
        <v>113972.63276507601</v>
      </c>
      <c r="I46" s="12">
        <v>67742.683707967197</v>
      </c>
      <c r="J46" s="12">
        <v>857428.80068127206</v>
      </c>
      <c r="K46" s="12">
        <v>419740.96008265403</v>
      </c>
      <c r="L46" s="12">
        <v>410484.99543559202</v>
      </c>
      <c r="M46" s="12">
        <v>276981.43329442898</v>
      </c>
      <c r="N46" s="12">
        <v>289048.588531252</v>
      </c>
      <c r="O46" s="12">
        <v>297921.984115428</v>
      </c>
      <c r="P46" s="12">
        <v>1652642.7065379999</v>
      </c>
      <c r="Q46" s="12">
        <v>850982.41968404804</v>
      </c>
      <c r="R46" s="12">
        <v>903046.30592236505</v>
      </c>
      <c r="S46" s="12">
        <v>428783.93384118797</v>
      </c>
      <c r="T46" s="12">
        <v>976780.31150547904</v>
      </c>
      <c r="U46" s="12">
        <v>502087.84915221098</v>
      </c>
      <c r="V46" s="12">
        <v>1571647.05748046</v>
      </c>
      <c r="W46" s="12">
        <v>775066.48431247403</v>
      </c>
      <c r="X46" s="12">
        <v>989894.99590551795</v>
      </c>
      <c r="Y46" s="12">
        <v>81714.467803983294</v>
      </c>
      <c r="Z46" s="12">
        <v>91615.748375488998</v>
      </c>
      <c r="AA46" s="12">
        <v>33491.955042021204</v>
      </c>
      <c r="AB46" s="12">
        <v>958573.766897236</v>
      </c>
      <c r="AC46" s="12">
        <v>92755.890385497798</v>
      </c>
      <c r="AD46" s="12">
        <v>123424.03022925201</v>
      </c>
      <c r="AE46" s="12">
        <v>2763485.8789463802</v>
      </c>
      <c r="AF46" s="12">
        <v>1674835.5405604099</v>
      </c>
      <c r="AG46" s="12">
        <v>2490358.0257051298</v>
      </c>
      <c r="AH46" s="12">
        <v>637490.53270558</v>
      </c>
      <c r="AI46" s="12">
        <v>3499170.0765521098</v>
      </c>
      <c r="AJ46" s="12">
        <v>10457951.397807799</v>
      </c>
      <c r="AK46" s="12">
        <v>1268639.42272128</v>
      </c>
      <c r="AL46" s="12">
        <v>3884785.22302939</v>
      </c>
      <c r="AM46" s="12">
        <v>1059899.8499864701</v>
      </c>
      <c r="AN46" s="12">
        <v>1251022.35195853</v>
      </c>
      <c r="AO46" s="12">
        <v>398984.54288414901</v>
      </c>
      <c r="AP46" s="12">
        <v>1118329.30445223</v>
      </c>
      <c r="AQ46" s="12">
        <v>2079357.3229048499</v>
      </c>
      <c r="AR46" s="12">
        <v>303134.188313986</v>
      </c>
      <c r="AS46" s="12">
        <v>7882986.4298833897</v>
      </c>
      <c r="AT46" s="12">
        <v>6199300.16819127</v>
      </c>
      <c r="AU46" s="21">
        <v>60217323.643362701</v>
      </c>
      <c r="AV46" s="12">
        <v>87876147.967337102</v>
      </c>
      <c r="AW46" s="12">
        <v>4904554.1035533398</v>
      </c>
      <c r="AX46" s="12">
        <v>0</v>
      </c>
      <c r="AY46" s="12">
        <v>2845384.0510386401</v>
      </c>
      <c r="AZ46" s="21">
        <v>95626086.121929005</v>
      </c>
      <c r="BA46" s="21">
        <v>0</v>
      </c>
      <c r="BB46" s="26">
        <v>155843409.76529199</v>
      </c>
    </row>
    <row r="47" spans="1:54" x14ac:dyDescent="0.25">
      <c r="A47" s="114"/>
      <c r="B47" s="116"/>
      <c r="C47" s="13" t="s">
        <v>161</v>
      </c>
      <c r="D47" s="14" t="s">
        <v>203</v>
      </c>
      <c r="E47" s="12">
        <v>412974.89772691001</v>
      </c>
      <c r="F47" s="12">
        <v>65743.862773228902</v>
      </c>
      <c r="G47" s="12">
        <v>22347.2172025377</v>
      </c>
      <c r="H47" s="12">
        <v>28375.532151406402</v>
      </c>
      <c r="I47" s="12">
        <v>36069.177887926802</v>
      </c>
      <c r="J47" s="12">
        <v>254121.49558719201</v>
      </c>
      <c r="K47" s="12">
        <v>152277.223335947</v>
      </c>
      <c r="L47" s="12">
        <v>124060.397313254</v>
      </c>
      <c r="M47" s="12">
        <v>76383.151059547803</v>
      </c>
      <c r="N47" s="12">
        <v>124585.275978865</v>
      </c>
      <c r="O47" s="12">
        <v>62260.664584710503</v>
      </c>
      <c r="P47" s="12">
        <v>583445.55746325699</v>
      </c>
      <c r="Q47" s="12">
        <v>417731.789168683</v>
      </c>
      <c r="R47" s="12">
        <v>207787.184866647</v>
      </c>
      <c r="S47" s="12">
        <v>232464.64085494299</v>
      </c>
      <c r="T47" s="12">
        <v>223677.46330976801</v>
      </c>
      <c r="U47" s="12">
        <v>184715.29312569799</v>
      </c>
      <c r="V47" s="12">
        <v>218431.05520487</v>
      </c>
      <c r="W47" s="12">
        <v>149584.817913996</v>
      </c>
      <c r="X47" s="12">
        <v>248419.19205551699</v>
      </c>
      <c r="Y47" s="12">
        <v>21026.1993896735</v>
      </c>
      <c r="Z47" s="12">
        <v>114116.380592806</v>
      </c>
      <c r="AA47" s="12">
        <v>19669.2879349629</v>
      </c>
      <c r="AB47" s="12">
        <v>225574.62759103099</v>
      </c>
      <c r="AC47" s="12">
        <v>22478.456511560598</v>
      </c>
      <c r="AD47" s="12">
        <v>35179.289415612802</v>
      </c>
      <c r="AE47" s="12">
        <v>429940.97682015598</v>
      </c>
      <c r="AF47" s="12">
        <v>269257.79344190302</v>
      </c>
      <c r="AG47" s="12">
        <v>582867.27868777397</v>
      </c>
      <c r="AH47" s="12">
        <v>129226.20418694901</v>
      </c>
      <c r="AI47" s="12">
        <v>475134.93011830701</v>
      </c>
      <c r="AJ47" s="12">
        <v>668175.12457681005</v>
      </c>
      <c r="AK47" s="12">
        <v>1309921.9893509501</v>
      </c>
      <c r="AL47" s="12">
        <v>1300375.97782443</v>
      </c>
      <c r="AM47" s="12">
        <v>184314.68513394601</v>
      </c>
      <c r="AN47" s="12">
        <v>535713.24691205099</v>
      </c>
      <c r="AO47" s="12">
        <v>125873.88473880501</v>
      </c>
      <c r="AP47" s="12">
        <v>165905.709159658</v>
      </c>
      <c r="AQ47" s="12">
        <v>910963.87214259605</v>
      </c>
      <c r="AR47" s="12">
        <v>142966.22059798599</v>
      </c>
      <c r="AS47" s="12">
        <v>159954.50652763899</v>
      </c>
      <c r="AT47" s="12">
        <v>18709624.528478701</v>
      </c>
      <c r="AU47" s="21">
        <v>30363717.059699301</v>
      </c>
      <c r="AV47" s="12">
        <v>762444243.917467</v>
      </c>
      <c r="AW47" s="12">
        <v>0</v>
      </c>
      <c r="AX47" s="12">
        <v>0</v>
      </c>
      <c r="AY47" s="12">
        <v>1734244.17101661</v>
      </c>
      <c r="AZ47" s="21">
        <v>764178488.08848298</v>
      </c>
      <c r="BA47" s="21">
        <v>0</v>
      </c>
      <c r="BB47" s="26">
        <v>794542205.14818299</v>
      </c>
    </row>
    <row r="48" spans="1:54" x14ac:dyDescent="0.25">
      <c r="A48" s="114"/>
      <c r="B48" s="117" t="s">
        <v>207</v>
      </c>
      <c r="C48" s="15" t="s">
        <v>55</v>
      </c>
      <c r="D48" s="16" t="s">
        <v>162</v>
      </c>
      <c r="E48" s="12">
        <v>3963522.80567721</v>
      </c>
      <c r="F48" s="12">
        <v>273.06352508607398</v>
      </c>
      <c r="G48" s="12">
        <v>2.9851004259007401</v>
      </c>
      <c r="H48" s="12">
        <v>23.010678984351099</v>
      </c>
      <c r="I48" s="12">
        <v>20.226381488055701</v>
      </c>
      <c r="J48" s="12">
        <v>32521629.9685065</v>
      </c>
      <c r="K48" s="12">
        <v>3574299.6175975101</v>
      </c>
      <c r="L48" s="12">
        <v>60624.046729374502</v>
      </c>
      <c r="M48" s="12">
        <v>5432711.5738387704</v>
      </c>
      <c r="N48" s="12">
        <v>135167.14427784699</v>
      </c>
      <c r="O48" s="12">
        <v>19.636456728296</v>
      </c>
      <c r="P48" s="12">
        <v>1903059.69738538</v>
      </c>
      <c r="Q48" s="12">
        <v>370.06738621417497</v>
      </c>
      <c r="R48" s="12">
        <v>48.698973113580301</v>
      </c>
      <c r="S48" s="12">
        <v>128.56166574152601</v>
      </c>
      <c r="T48" s="12">
        <v>1001.83428008308</v>
      </c>
      <c r="U48" s="12">
        <v>2872.38446488207</v>
      </c>
      <c r="V48" s="12">
        <v>1543.3510524912199</v>
      </c>
      <c r="W48" s="12">
        <v>87.557591379315397</v>
      </c>
      <c r="X48" s="12">
        <v>6.4973378282044703</v>
      </c>
      <c r="Y48" s="12">
        <v>0</v>
      </c>
      <c r="Z48" s="12">
        <v>2596.9449717525299</v>
      </c>
      <c r="AA48" s="12">
        <v>0</v>
      </c>
      <c r="AB48" s="12">
        <v>69.314798183875297</v>
      </c>
      <c r="AC48" s="12">
        <v>1.4157450366293201</v>
      </c>
      <c r="AD48" s="12">
        <v>0</v>
      </c>
      <c r="AE48" s="12">
        <v>299288.82008615002</v>
      </c>
      <c r="AF48" s="12">
        <v>18.191226300891302</v>
      </c>
      <c r="AG48" s="12">
        <v>143.616767490939</v>
      </c>
      <c r="AH48" s="12">
        <v>37360.9762600904</v>
      </c>
      <c r="AI48" s="12">
        <v>350.85922142586998</v>
      </c>
      <c r="AJ48" s="12">
        <v>98.023465679731302</v>
      </c>
      <c r="AK48" s="12">
        <v>212.573058111097</v>
      </c>
      <c r="AL48" s="12">
        <v>4804.3508610101098</v>
      </c>
      <c r="AM48" s="12">
        <v>2059.8217676157901</v>
      </c>
      <c r="AN48" s="12">
        <v>704.380898710829</v>
      </c>
      <c r="AO48" s="12">
        <v>6348.84069614688</v>
      </c>
      <c r="AP48" s="12">
        <v>1570.57058358264</v>
      </c>
      <c r="AQ48" s="12">
        <v>397.57430473130103</v>
      </c>
      <c r="AR48" s="12">
        <v>361.15158575984702</v>
      </c>
      <c r="AS48" s="12">
        <v>302.97623764814</v>
      </c>
      <c r="AT48" s="12">
        <v>0</v>
      </c>
      <c r="AU48" s="21">
        <v>47954103.131442502</v>
      </c>
      <c r="AV48" s="12">
        <v>12887568.736739</v>
      </c>
      <c r="AW48" s="12">
        <v>417696.23128772399</v>
      </c>
      <c r="AX48" s="12">
        <v>2995685.13062021</v>
      </c>
      <c r="AY48" s="12">
        <v>6984.3998958564398</v>
      </c>
      <c r="AZ48" s="21">
        <v>16307934.498542801</v>
      </c>
      <c r="BA48" s="21">
        <v>64262037.629985198</v>
      </c>
      <c r="BB48" s="26">
        <v>0</v>
      </c>
    </row>
    <row r="49" spans="1:54" x14ac:dyDescent="0.25">
      <c r="A49" s="114"/>
      <c r="B49" s="115"/>
      <c r="C49" s="11" t="s">
        <v>147</v>
      </c>
      <c r="D49" s="9" t="s">
        <v>163</v>
      </c>
      <c r="E49" s="12">
        <v>47.640724520663397</v>
      </c>
      <c r="F49" s="12">
        <v>978152.41243681405</v>
      </c>
      <c r="G49" s="12">
        <v>5.05059322332822</v>
      </c>
      <c r="H49" s="12">
        <v>173138.137908681</v>
      </c>
      <c r="I49" s="12">
        <v>96.744008030455404</v>
      </c>
      <c r="J49" s="12">
        <v>171.62175500707701</v>
      </c>
      <c r="K49" s="12">
        <v>109.984269249544</v>
      </c>
      <c r="L49" s="12">
        <v>33.293358804914497</v>
      </c>
      <c r="M49" s="12">
        <v>22.177614521888401</v>
      </c>
      <c r="N49" s="12">
        <v>174047.73878714399</v>
      </c>
      <c r="O49" s="12">
        <v>3058605.0541060502</v>
      </c>
      <c r="P49" s="12">
        <v>42685.733369948699</v>
      </c>
      <c r="Q49" s="12">
        <v>195245.639583843</v>
      </c>
      <c r="R49" s="12">
        <v>1226225.0111635299</v>
      </c>
      <c r="S49" s="12">
        <v>39.173220464405297</v>
      </c>
      <c r="T49" s="12">
        <v>28.561350255500901</v>
      </c>
      <c r="U49" s="12">
        <v>19.9939132299648</v>
      </c>
      <c r="V49" s="12">
        <v>141.771908386738</v>
      </c>
      <c r="W49" s="12">
        <v>16.9630496730483</v>
      </c>
      <c r="X49" s="12">
        <v>4.4924345996123799E-2</v>
      </c>
      <c r="Y49" s="12">
        <v>1.54429554701026</v>
      </c>
      <c r="Z49" s="12">
        <v>9.3535418005989097</v>
      </c>
      <c r="AA49" s="12">
        <v>4.74748997356666</v>
      </c>
      <c r="AB49" s="12">
        <v>8995276.8816458099</v>
      </c>
      <c r="AC49" s="12">
        <v>186.90894004906599</v>
      </c>
      <c r="AD49" s="12">
        <v>0</v>
      </c>
      <c r="AE49" s="12">
        <v>66.769185843823607</v>
      </c>
      <c r="AF49" s="12">
        <v>35406.771718480799</v>
      </c>
      <c r="AG49" s="12">
        <v>10.142387642372</v>
      </c>
      <c r="AH49" s="12">
        <v>3.9931034000216599</v>
      </c>
      <c r="AI49" s="12">
        <v>0</v>
      </c>
      <c r="AJ49" s="12">
        <v>1.3633636677908301</v>
      </c>
      <c r="AK49" s="12">
        <v>5.0127920105172699</v>
      </c>
      <c r="AL49" s="12">
        <v>5.0915171565143096E-3</v>
      </c>
      <c r="AM49" s="12">
        <v>18.5719413180618</v>
      </c>
      <c r="AN49" s="12">
        <v>13.467327300989499</v>
      </c>
      <c r="AO49" s="12">
        <v>6.4767344784419398</v>
      </c>
      <c r="AP49" s="12">
        <v>25.873137011330702</v>
      </c>
      <c r="AQ49" s="12">
        <v>48.125336707867703</v>
      </c>
      <c r="AR49" s="12">
        <v>28.565515868837402</v>
      </c>
      <c r="AS49" s="12">
        <v>3.2949510036542402</v>
      </c>
      <c r="AT49" s="12">
        <v>41.323667817635503</v>
      </c>
      <c r="AU49" s="21">
        <v>14879991.940213</v>
      </c>
      <c r="AV49" s="12">
        <v>0</v>
      </c>
      <c r="AW49" s="12">
        <v>0</v>
      </c>
      <c r="AX49" s="12">
        <v>25067.339010108801</v>
      </c>
      <c r="AY49" s="12">
        <v>27959.206376919799</v>
      </c>
      <c r="AZ49" s="21">
        <v>53026.5453870286</v>
      </c>
      <c r="BA49" s="21">
        <v>14933018.4856</v>
      </c>
      <c r="BB49" s="26">
        <v>0</v>
      </c>
    </row>
    <row r="50" spans="1:54" x14ac:dyDescent="0.25">
      <c r="A50" s="114"/>
      <c r="B50" s="115"/>
      <c r="C50" s="11" t="s">
        <v>57</v>
      </c>
      <c r="D50" s="10" t="s">
        <v>164</v>
      </c>
      <c r="E50" s="12">
        <v>0</v>
      </c>
      <c r="F50" s="12">
        <v>10594.9051737507</v>
      </c>
      <c r="G50" s="12">
        <v>382424.18760650401</v>
      </c>
      <c r="H50" s="12">
        <v>5180.2170373717099</v>
      </c>
      <c r="I50" s="12">
        <v>6086.0018044102699</v>
      </c>
      <c r="J50" s="12">
        <v>0</v>
      </c>
      <c r="K50" s="12">
        <v>0</v>
      </c>
      <c r="L50" s="12">
        <v>0</v>
      </c>
      <c r="M50" s="12">
        <v>0</v>
      </c>
      <c r="N50" s="12">
        <v>14148.5200684955</v>
      </c>
      <c r="O50" s="12">
        <v>107736726.0961</v>
      </c>
      <c r="P50" s="12">
        <v>4472628.8925334699</v>
      </c>
      <c r="Q50" s="12">
        <v>363427.28185598599</v>
      </c>
      <c r="R50" s="12">
        <v>268521.80903397902</v>
      </c>
      <c r="S50" s="12">
        <v>140134.444151537</v>
      </c>
      <c r="T50" s="12">
        <v>134765.60608038999</v>
      </c>
      <c r="U50" s="12">
        <v>88925.111061655101</v>
      </c>
      <c r="V50" s="12">
        <v>135875.922529139</v>
      </c>
      <c r="W50" s="12">
        <v>16250.7841501032</v>
      </c>
      <c r="X50" s="12">
        <v>0</v>
      </c>
      <c r="Y50" s="12">
        <v>0</v>
      </c>
      <c r="Z50" s="12">
        <v>0</v>
      </c>
      <c r="AA50" s="12">
        <v>0</v>
      </c>
      <c r="AB50" s="12">
        <v>5751875.9587036297</v>
      </c>
      <c r="AC50" s="12">
        <v>19097015.071965199</v>
      </c>
      <c r="AD50" s="12">
        <v>0</v>
      </c>
      <c r="AE50" s="12">
        <v>0</v>
      </c>
      <c r="AF50" s="12">
        <v>0</v>
      </c>
      <c r="AG50" s="12">
        <v>116.488574432345</v>
      </c>
      <c r="AH50" s="12">
        <v>0</v>
      </c>
      <c r="AI50" s="12">
        <v>0</v>
      </c>
      <c r="AJ50" s="12">
        <v>0</v>
      </c>
      <c r="AK50" s="12">
        <v>0</v>
      </c>
      <c r="AL50" s="12">
        <v>0</v>
      </c>
      <c r="AM50" s="12">
        <v>598.57240437225198</v>
      </c>
      <c r="AN50" s="12">
        <v>0</v>
      </c>
      <c r="AO50" s="12">
        <v>0</v>
      </c>
      <c r="AP50" s="12">
        <v>0</v>
      </c>
      <c r="AQ50" s="12">
        <v>0</v>
      </c>
      <c r="AR50" s="12">
        <v>8255.7919912181496</v>
      </c>
      <c r="AS50" s="12">
        <v>419.24317798970799</v>
      </c>
      <c r="AT50" s="12">
        <v>11533.290158392199</v>
      </c>
      <c r="AU50" s="21">
        <v>138645504.19616199</v>
      </c>
      <c r="AV50" s="12">
        <v>0</v>
      </c>
      <c r="AW50" s="12">
        <v>0</v>
      </c>
      <c r="AX50" s="12">
        <v>5834447.1053392896</v>
      </c>
      <c r="AY50" s="12">
        <v>813988.07497473096</v>
      </c>
      <c r="AZ50" s="21">
        <v>6648435.1803140203</v>
      </c>
      <c r="BA50" s="21">
        <v>145293939.37647599</v>
      </c>
      <c r="BB50" s="26">
        <v>0</v>
      </c>
    </row>
    <row r="51" spans="1:54" x14ac:dyDescent="0.25">
      <c r="A51" s="114"/>
      <c r="B51" s="115"/>
      <c r="C51" s="11" t="s">
        <v>148</v>
      </c>
      <c r="D51" s="10" t="s">
        <v>165</v>
      </c>
      <c r="E51" s="12">
        <v>0</v>
      </c>
      <c r="F51" s="12">
        <v>0</v>
      </c>
      <c r="G51" s="12">
        <v>0</v>
      </c>
      <c r="H51" s="12">
        <v>9770150.6102376003</v>
      </c>
      <c r="I51" s="12">
        <v>0</v>
      </c>
      <c r="J51" s="12">
        <v>0</v>
      </c>
      <c r="K51" s="12">
        <v>0</v>
      </c>
      <c r="L51" s="12">
        <v>0</v>
      </c>
      <c r="M51" s="12">
        <v>0</v>
      </c>
      <c r="N51" s="12">
        <v>0</v>
      </c>
      <c r="O51" s="12">
        <v>42630.6922203902</v>
      </c>
      <c r="P51" s="12">
        <v>1339759.5384995199</v>
      </c>
      <c r="Q51" s="12">
        <v>450173.08997623099</v>
      </c>
      <c r="R51" s="12">
        <v>111100907.446887</v>
      </c>
      <c r="S51" s="12">
        <v>3538835.27878572</v>
      </c>
      <c r="T51" s="12">
        <v>0</v>
      </c>
      <c r="U51" s="12">
        <v>0</v>
      </c>
      <c r="V51" s="12">
        <v>0</v>
      </c>
      <c r="W51" s="12">
        <v>0</v>
      </c>
      <c r="X51" s="12">
        <v>5.9566952524171102E-2</v>
      </c>
      <c r="Y51" s="12">
        <v>0</v>
      </c>
      <c r="Z51" s="12">
        <v>1594.71750385168</v>
      </c>
      <c r="AA51" s="12">
        <v>0</v>
      </c>
      <c r="AB51" s="12">
        <v>0</v>
      </c>
      <c r="AC51" s="12">
        <v>0</v>
      </c>
      <c r="AD51" s="12">
        <v>0</v>
      </c>
      <c r="AE51" s="12">
        <v>0</v>
      </c>
      <c r="AF51" s="12">
        <v>0</v>
      </c>
      <c r="AG51" s="12">
        <v>0</v>
      </c>
      <c r="AH51" s="12">
        <v>0</v>
      </c>
      <c r="AI51" s="12">
        <v>0</v>
      </c>
      <c r="AJ51" s="12">
        <v>0</v>
      </c>
      <c r="AK51" s="12">
        <v>0</v>
      </c>
      <c r="AL51" s="12">
        <v>0</v>
      </c>
      <c r="AM51" s="12">
        <v>78114.0082974283</v>
      </c>
      <c r="AN51" s="12">
        <v>0</v>
      </c>
      <c r="AO51" s="12">
        <v>0</v>
      </c>
      <c r="AP51" s="12">
        <v>0</v>
      </c>
      <c r="AQ51" s="12">
        <v>0</v>
      </c>
      <c r="AR51" s="12">
        <v>0</v>
      </c>
      <c r="AS51" s="12">
        <v>0</v>
      </c>
      <c r="AT51" s="12">
        <v>0</v>
      </c>
      <c r="AU51" s="21">
        <v>126322165.441974</v>
      </c>
      <c r="AV51" s="12">
        <v>0</v>
      </c>
      <c r="AW51" s="12">
        <v>0</v>
      </c>
      <c r="AX51" s="12">
        <v>276865.74991052703</v>
      </c>
      <c r="AY51" s="12">
        <v>1108905.52043298</v>
      </c>
      <c r="AZ51" s="21">
        <v>1385771.27034351</v>
      </c>
      <c r="BA51" s="21">
        <v>127707936.712318</v>
      </c>
      <c r="BB51" s="26">
        <v>0</v>
      </c>
    </row>
    <row r="52" spans="1:54" x14ac:dyDescent="0.25">
      <c r="A52" s="114"/>
      <c r="B52" s="115"/>
      <c r="C52" s="11" t="s">
        <v>149</v>
      </c>
      <c r="D52" s="10" t="s">
        <v>166</v>
      </c>
      <c r="E52" s="12">
        <v>520.57704354427597</v>
      </c>
      <c r="F52" s="12">
        <v>1250.6990995441899</v>
      </c>
      <c r="G52" s="12">
        <v>567.56330405110498</v>
      </c>
      <c r="H52" s="12">
        <v>1828.98504413409</v>
      </c>
      <c r="I52" s="12">
        <v>488101.27584224002</v>
      </c>
      <c r="J52" s="12">
        <v>1729.6079412049901</v>
      </c>
      <c r="K52" s="12">
        <v>3131.9981015225799</v>
      </c>
      <c r="L52" s="12">
        <v>259.294144410586</v>
      </c>
      <c r="M52" s="12">
        <v>1551.2149987692701</v>
      </c>
      <c r="N52" s="12">
        <v>550560.95526128903</v>
      </c>
      <c r="O52" s="12">
        <v>876.93657858410495</v>
      </c>
      <c r="P52" s="12">
        <v>1171426.4536940299</v>
      </c>
      <c r="Q52" s="12">
        <v>2820520.4790392998</v>
      </c>
      <c r="R52" s="12">
        <v>29205.410062871499</v>
      </c>
      <c r="S52" s="12">
        <v>4627.55233337133</v>
      </c>
      <c r="T52" s="12">
        <v>2373.3218445088701</v>
      </c>
      <c r="U52" s="12">
        <v>3765.6310670968101</v>
      </c>
      <c r="V52" s="12">
        <v>15455.414002264501</v>
      </c>
      <c r="W52" s="12">
        <v>249313.76260201901</v>
      </c>
      <c r="X52" s="12">
        <v>2718.8454713282699</v>
      </c>
      <c r="Y52" s="12">
        <v>4455.2983059307498</v>
      </c>
      <c r="Z52" s="12">
        <v>14124.340548951501</v>
      </c>
      <c r="AA52" s="12">
        <v>629.63532034039804</v>
      </c>
      <c r="AB52" s="12">
        <v>2934.3659776592199</v>
      </c>
      <c r="AC52" s="12">
        <v>0</v>
      </c>
      <c r="AD52" s="12">
        <v>0</v>
      </c>
      <c r="AE52" s="12">
        <v>1517216.41914288</v>
      </c>
      <c r="AF52" s="12">
        <v>2406.6931782993802</v>
      </c>
      <c r="AG52" s="12">
        <v>4907.5540625583899</v>
      </c>
      <c r="AH52" s="12">
        <v>111.722981120187</v>
      </c>
      <c r="AI52" s="12">
        <v>2.3846478462182401</v>
      </c>
      <c r="AJ52" s="12">
        <v>20.905276736186501</v>
      </c>
      <c r="AK52" s="12">
        <v>10.3772606071028</v>
      </c>
      <c r="AL52" s="12">
        <v>46.209888207745401</v>
      </c>
      <c r="AM52" s="12">
        <v>574.25480200325603</v>
      </c>
      <c r="AN52" s="12">
        <v>106.695274299643</v>
      </c>
      <c r="AO52" s="12">
        <v>2948.1114552302902</v>
      </c>
      <c r="AP52" s="12">
        <v>102.936148481158</v>
      </c>
      <c r="AQ52" s="12">
        <v>81.6866589253017</v>
      </c>
      <c r="AR52" s="12">
        <v>28.212175313444501</v>
      </c>
      <c r="AS52" s="12">
        <v>149.891215693812</v>
      </c>
      <c r="AT52" s="12">
        <v>593.09245767657603</v>
      </c>
      <c r="AU52" s="21">
        <v>6901236.7642548401</v>
      </c>
      <c r="AV52" s="12">
        <v>0</v>
      </c>
      <c r="AW52" s="12">
        <v>0</v>
      </c>
      <c r="AX52" s="12">
        <v>0</v>
      </c>
      <c r="AY52" s="12">
        <v>38568.851274035602</v>
      </c>
      <c r="AZ52" s="21">
        <v>38568.851274035602</v>
      </c>
      <c r="BA52" s="21">
        <v>6939805.6155288797</v>
      </c>
      <c r="BB52" s="26">
        <v>0</v>
      </c>
    </row>
    <row r="53" spans="1:54" x14ac:dyDescent="0.25">
      <c r="A53" s="114"/>
      <c r="B53" s="115"/>
      <c r="C53" s="11" t="s">
        <v>60</v>
      </c>
      <c r="D53" s="10" t="s">
        <v>167</v>
      </c>
      <c r="E53" s="12">
        <v>422192.927074757</v>
      </c>
      <c r="F53" s="12">
        <v>641.45670537563001</v>
      </c>
      <c r="G53" s="12">
        <v>43.233300281323999</v>
      </c>
      <c r="H53" s="12">
        <v>661.90551869376202</v>
      </c>
      <c r="I53" s="12">
        <v>358.14448172100498</v>
      </c>
      <c r="J53" s="12">
        <v>22468274.4803124</v>
      </c>
      <c r="K53" s="12">
        <v>1619.4520828244599</v>
      </c>
      <c r="L53" s="12">
        <v>639616.69362152799</v>
      </c>
      <c r="M53" s="12">
        <v>1449.03356728945</v>
      </c>
      <c r="N53" s="12">
        <v>2898.0582368809801</v>
      </c>
      <c r="O53" s="12">
        <v>936.41668751573002</v>
      </c>
      <c r="P53" s="12">
        <v>826216.07538213697</v>
      </c>
      <c r="Q53" s="12">
        <v>2514.1979286649398</v>
      </c>
      <c r="R53" s="12">
        <v>1843.8539203712701</v>
      </c>
      <c r="S53" s="12">
        <v>2192.3601705009</v>
      </c>
      <c r="T53" s="12">
        <v>1980.5838246214701</v>
      </c>
      <c r="U53" s="12">
        <v>1828.1205026620401</v>
      </c>
      <c r="V53" s="12">
        <v>2243.4706302191698</v>
      </c>
      <c r="W53" s="12">
        <v>2450.8529304629401</v>
      </c>
      <c r="X53" s="12">
        <v>2651.0748995490999</v>
      </c>
      <c r="Y53" s="12">
        <v>327.14197931204899</v>
      </c>
      <c r="Z53" s="12">
        <v>1494.4655214929101</v>
      </c>
      <c r="AA53" s="12">
        <v>112.385848296059</v>
      </c>
      <c r="AB53" s="12">
        <v>2348.12085793608</v>
      </c>
      <c r="AC53" s="12">
        <v>217.043196151258</v>
      </c>
      <c r="AD53" s="12">
        <v>618.20299920660602</v>
      </c>
      <c r="AE53" s="12">
        <v>10062.4997149791</v>
      </c>
      <c r="AF53" s="12">
        <v>1750.5570745866801</v>
      </c>
      <c r="AG53" s="12">
        <v>8851.2885641478097</v>
      </c>
      <c r="AH53" s="12">
        <v>724548.11497280502</v>
      </c>
      <c r="AI53" s="12">
        <v>4284.0647571474201</v>
      </c>
      <c r="AJ53" s="12">
        <v>3495.3333831500299</v>
      </c>
      <c r="AK53" s="12">
        <v>5085.2657165397804</v>
      </c>
      <c r="AL53" s="12">
        <v>64208.054730402997</v>
      </c>
      <c r="AM53" s="12">
        <v>11022.89782183</v>
      </c>
      <c r="AN53" s="12">
        <v>4536.7829021539901</v>
      </c>
      <c r="AO53" s="12">
        <v>5394.5517738570898</v>
      </c>
      <c r="AP53" s="12">
        <v>14019.2891038628</v>
      </c>
      <c r="AQ53" s="12">
        <v>27388.3372311518</v>
      </c>
      <c r="AR53" s="12">
        <v>7632.7437027124997</v>
      </c>
      <c r="AS53" s="12">
        <v>14241.1262335886</v>
      </c>
      <c r="AT53" s="12">
        <v>2986.7740915423501</v>
      </c>
      <c r="AU53" s="21">
        <v>25297237.433955301</v>
      </c>
      <c r="AV53" s="12">
        <v>52906201.009349503</v>
      </c>
      <c r="AW53" s="12">
        <v>0</v>
      </c>
      <c r="AX53" s="12">
        <v>2897929.1090941601</v>
      </c>
      <c r="AY53" s="12">
        <v>79272.377675821001</v>
      </c>
      <c r="AZ53" s="21">
        <v>55883402.496119402</v>
      </c>
      <c r="BA53" s="21">
        <v>81180639.930074707</v>
      </c>
      <c r="BB53" s="26">
        <v>0</v>
      </c>
    </row>
    <row r="54" spans="1:54" x14ac:dyDescent="0.25">
      <c r="A54" s="114"/>
      <c r="B54" s="115"/>
      <c r="C54" s="11" t="s">
        <v>150</v>
      </c>
      <c r="D54" s="10" t="s">
        <v>168</v>
      </c>
      <c r="E54" s="12">
        <v>301.048360833647</v>
      </c>
      <c r="F54" s="12">
        <v>840.68622455051195</v>
      </c>
      <c r="G54" s="12">
        <v>138.24361739276199</v>
      </c>
      <c r="H54" s="12">
        <v>254.46784486199499</v>
      </c>
      <c r="I54" s="12">
        <v>1728.7694184734401</v>
      </c>
      <c r="J54" s="12">
        <v>4053.3997867223702</v>
      </c>
      <c r="K54" s="12">
        <v>4502513.3732091896</v>
      </c>
      <c r="L54" s="12">
        <v>1948489.07059527</v>
      </c>
      <c r="M54" s="12">
        <v>271326.16897493001</v>
      </c>
      <c r="N54" s="12">
        <v>121570.76920783801</v>
      </c>
      <c r="O54" s="12">
        <v>452.93549163247201</v>
      </c>
      <c r="P54" s="12">
        <v>94786.222152730203</v>
      </c>
      <c r="Q54" s="12">
        <v>2357.8312085299599</v>
      </c>
      <c r="R54" s="12">
        <v>1092.55363175717</v>
      </c>
      <c r="S54" s="12">
        <v>3318.3196580836998</v>
      </c>
      <c r="T54" s="12">
        <v>68631.136051807</v>
      </c>
      <c r="U54" s="12">
        <v>82292.306035421498</v>
      </c>
      <c r="V54" s="12">
        <v>97195.262866965393</v>
      </c>
      <c r="W54" s="12">
        <v>50164.128780446597</v>
      </c>
      <c r="X54" s="12">
        <v>29887.1497602075</v>
      </c>
      <c r="Y54" s="12">
        <v>10085.1705484781</v>
      </c>
      <c r="Z54" s="12">
        <v>44964.412891636901</v>
      </c>
      <c r="AA54" s="12">
        <v>595.24386609264798</v>
      </c>
      <c r="AB54" s="12">
        <v>76.352061737343107</v>
      </c>
      <c r="AC54" s="12">
        <v>30.3316224962856</v>
      </c>
      <c r="AD54" s="12">
        <v>102.926017743835</v>
      </c>
      <c r="AE54" s="12">
        <v>189.75582157368299</v>
      </c>
      <c r="AF54" s="12">
        <v>1661.19905272306</v>
      </c>
      <c r="AG54" s="12">
        <v>18174.621993259301</v>
      </c>
      <c r="AH54" s="12">
        <v>15657.7115997277</v>
      </c>
      <c r="AI54" s="12">
        <v>1043.6960478266301</v>
      </c>
      <c r="AJ54" s="12">
        <v>93.671213644442503</v>
      </c>
      <c r="AK54" s="12">
        <v>28.055075569471001</v>
      </c>
      <c r="AL54" s="12">
        <v>10793.6792097325</v>
      </c>
      <c r="AM54" s="12">
        <v>9423.0985389913894</v>
      </c>
      <c r="AN54" s="12">
        <v>1561.5351848657899</v>
      </c>
      <c r="AO54" s="12">
        <v>1781.1732521060301</v>
      </c>
      <c r="AP54" s="12">
        <v>7569.5482048774602</v>
      </c>
      <c r="AQ54" s="12">
        <v>1893.4247919373499</v>
      </c>
      <c r="AR54" s="12">
        <v>28783.8030745625</v>
      </c>
      <c r="AS54" s="12">
        <v>5017.46476578892</v>
      </c>
      <c r="AT54" s="12">
        <v>20847.399544956599</v>
      </c>
      <c r="AU54" s="21">
        <v>7461768.1172579797</v>
      </c>
      <c r="AV54" s="12">
        <v>2902030.1981730098</v>
      </c>
      <c r="AW54" s="12">
        <v>0</v>
      </c>
      <c r="AX54" s="12">
        <v>28840.896441168799</v>
      </c>
      <c r="AY54" s="12">
        <v>0</v>
      </c>
      <c r="AZ54" s="21">
        <v>2930871.0946141798</v>
      </c>
      <c r="BA54" s="21">
        <v>10392639.2118722</v>
      </c>
      <c r="BB54" s="26">
        <v>0</v>
      </c>
    </row>
    <row r="55" spans="1:54" x14ac:dyDescent="0.25">
      <c r="A55" s="114"/>
      <c r="B55" s="115"/>
      <c r="C55" s="11" t="s">
        <v>151</v>
      </c>
      <c r="D55" s="9" t="s">
        <v>169</v>
      </c>
      <c r="E55" s="12">
        <v>599.94128839509904</v>
      </c>
      <c r="F55" s="12">
        <v>144.04501843396599</v>
      </c>
      <c r="G55" s="12">
        <v>12.965850938120299</v>
      </c>
      <c r="H55" s="12">
        <v>8.8228692815957004</v>
      </c>
      <c r="I55" s="12">
        <v>12.914266834441699</v>
      </c>
      <c r="J55" s="12">
        <v>145.59966281641101</v>
      </c>
      <c r="K55" s="12">
        <v>1030.5203419586301</v>
      </c>
      <c r="L55" s="12">
        <v>1243338.0665867999</v>
      </c>
      <c r="M55" s="12">
        <v>162350.76736845201</v>
      </c>
      <c r="N55" s="12">
        <v>18474.4941728995</v>
      </c>
      <c r="O55" s="12">
        <v>66.763064835243497</v>
      </c>
      <c r="P55" s="12">
        <v>3353.4974944606201</v>
      </c>
      <c r="Q55" s="12">
        <v>181.73842256412499</v>
      </c>
      <c r="R55" s="12">
        <v>75.996887351719707</v>
      </c>
      <c r="S55" s="12">
        <v>3795.3306036501699</v>
      </c>
      <c r="T55" s="12">
        <v>492.54691101246601</v>
      </c>
      <c r="U55" s="12">
        <v>1102.9486076841699</v>
      </c>
      <c r="V55" s="12">
        <v>55134.106448695296</v>
      </c>
      <c r="W55" s="12">
        <v>2086.4551395224198</v>
      </c>
      <c r="X55" s="12">
        <v>861.002644578174</v>
      </c>
      <c r="Y55" s="12">
        <v>20796.9224042483</v>
      </c>
      <c r="Z55" s="12">
        <v>1942.5024601596101</v>
      </c>
      <c r="AA55" s="12">
        <v>15.3961419075146</v>
      </c>
      <c r="AB55" s="12">
        <v>97.691077076254899</v>
      </c>
      <c r="AC55" s="12">
        <v>15.0719291421536</v>
      </c>
      <c r="AD55" s="12">
        <v>10.691060883733099</v>
      </c>
      <c r="AE55" s="12">
        <v>146.330820855361</v>
      </c>
      <c r="AF55" s="12">
        <v>363.98237102889402</v>
      </c>
      <c r="AG55" s="12">
        <v>378.86683868731899</v>
      </c>
      <c r="AH55" s="12">
        <v>251.40636982883399</v>
      </c>
      <c r="AI55" s="12">
        <v>129.11638786602299</v>
      </c>
      <c r="AJ55" s="12">
        <v>168.936090466808</v>
      </c>
      <c r="AK55" s="12">
        <v>323.54332175012502</v>
      </c>
      <c r="AL55" s="12">
        <v>734.78484281110502</v>
      </c>
      <c r="AM55" s="12">
        <v>102.745307795522</v>
      </c>
      <c r="AN55" s="12">
        <v>160.237953162396</v>
      </c>
      <c r="AO55" s="12">
        <v>145.043432980841</v>
      </c>
      <c r="AP55" s="12">
        <v>392.498868472293</v>
      </c>
      <c r="AQ55" s="12">
        <v>47.684561524488601</v>
      </c>
      <c r="AR55" s="12">
        <v>182.227452410805</v>
      </c>
      <c r="AS55" s="12">
        <v>616.15814810343602</v>
      </c>
      <c r="AT55" s="12">
        <v>6298.8778840432196</v>
      </c>
      <c r="AU55" s="21">
        <v>1526589.2393763701</v>
      </c>
      <c r="AV55" s="12">
        <v>18128647.166619599</v>
      </c>
      <c r="AW55" s="12">
        <v>0</v>
      </c>
      <c r="AX55" s="12">
        <v>7621.9600592049001</v>
      </c>
      <c r="AY55" s="12">
        <v>0</v>
      </c>
      <c r="AZ55" s="21">
        <v>18136269.126678798</v>
      </c>
      <c r="BA55" s="21">
        <v>19662858.366055202</v>
      </c>
      <c r="BB55" s="26">
        <v>0</v>
      </c>
    </row>
    <row r="56" spans="1:54" x14ac:dyDescent="0.25">
      <c r="A56" s="114"/>
      <c r="B56" s="115"/>
      <c r="C56" s="11" t="s">
        <v>62</v>
      </c>
      <c r="D56" s="9" t="s">
        <v>170</v>
      </c>
      <c r="E56" s="12">
        <v>4058.0065211132601</v>
      </c>
      <c r="F56" s="12">
        <v>8706.6141573847908</v>
      </c>
      <c r="G56" s="12">
        <v>171.982171683205</v>
      </c>
      <c r="H56" s="12">
        <v>570.69276901144303</v>
      </c>
      <c r="I56" s="12">
        <v>162.91300293402799</v>
      </c>
      <c r="J56" s="12">
        <v>1929.85691088365</v>
      </c>
      <c r="K56" s="12">
        <v>1047.15467031351</v>
      </c>
      <c r="L56" s="12">
        <v>1123.8404705498399</v>
      </c>
      <c r="M56" s="12">
        <v>5509110.9415202904</v>
      </c>
      <c r="N56" s="12">
        <v>1056358.3398037001</v>
      </c>
      <c r="O56" s="12">
        <v>299.575040046933</v>
      </c>
      <c r="P56" s="12">
        <v>5405.5303097334699</v>
      </c>
      <c r="Q56" s="12">
        <v>4904.7262250961203</v>
      </c>
      <c r="R56" s="12">
        <v>567.33790250366803</v>
      </c>
      <c r="S56" s="12">
        <v>12369.1043893474</v>
      </c>
      <c r="T56" s="12">
        <v>4591.88664310482</v>
      </c>
      <c r="U56" s="12">
        <v>2403.0317737673299</v>
      </c>
      <c r="V56" s="12">
        <v>237201.041870927</v>
      </c>
      <c r="W56" s="12">
        <v>135494.92803132601</v>
      </c>
      <c r="X56" s="12">
        <v>2873.4658391750399</v>
      </c>
      <c r="Y56" s="12">
        <v>734.96567128707295</v>
      </c>
      <c r="Z56" s="12">
        <v>7842.1121792242102</v>
      </c>
      <c r="AA56" s="12">
        <v>106.032553441909</v>
      </c>
      <c r="AB56" s="12">
        <v>375.77622559013503</v>
      </c>
      <c r="AC56" s="12">
        <v>5.8417050251420903</v>
      </c>
      <c r="AD56" s="12">
        <v>5.2262073965923497</v>
      </c>
      <c r="AE56" s="12">
        <v>571112.97613445099</v>
      </c>
      <c r="AF56" s="12">
        <v>636.04146329873697</v>
      </c>
      <c r="AG56" s="12">
        <v>1233.9384830209599</v>
      </c>
      <c r="AH56" s="12">
        <v>267.56176009977099</v>
      </c>
      <c r="AI56" s="12">
        <v>1002.29324207158</v>
      </c>
      <c r="AJ56" s="12">
        <v>525.329504949392</v>
      </c>
      <c r="AK56" s="12">
        <v>593.59044892768895</v>
      </c>
      <c r="AL56" s="12">
        <v>652.26472653451799</v>
      </c>
      <c r="AM56" s="12">
        <v>59.244626849059003</v>
      </c>
      <c r="AN56" s="12">
        <v>448.395075111935</v>
      </c>
      <c r="AO56" s="12">
        <v>490.95519397392502</v>
      </c>
      <c r="AP56" s="12">
        <v>20937.835645616098</v>
      </c>
      <c r="AQ56" s="12">
        <v>509.84566425281503</v>
      </c>
      <c r="AR56" s="12">
        <v>135.45990521316301</v>
      </c>
      <c r="AS56" s="12">
        <v>685.74344320444698</v>
      </c>
      <c r="AT56" s="12">
        <v>4073.4269451728901</v>
      </c>
      <c r="AU56" s="21">
        <v>7601785.8268276099</v>
      </c>
      <c r="AV56" s="12">
        <v>1877967.9168366599</v>
      </c>
      <c r="AW56" s="12">
        <v>162569.17033000299</v>
      </c>
      <c r="AX56" s="12">
        <v>46008.127731670204</v>
      </c>
      <c r="AY56" s="12">
        <v>48539.618909999997</v>
      </c>
      <c r="AZ56" s="21">
        <v>2135084.8338083401</v>
      </c>
      <c r="BA56" s="21">
        <v>9736870.6606359407</v>
      </c>
      <c r="BB56" s="26">
        <v>0</v>
      </c>
    </row>
    <row r="57" spans="1:54" x14ac:dyDescent="0.25">
      <c r="A57" s="114"/>
      <c r="B57" s="115"/>
      <c r="C57" s="11" t="s">
        <v>63</v>
      </c>
      <c r="D57" s="9" t="s">
        <v>171</v>
      </c>
      <c r="E57" s="12">
        <v>3185.7610106092402</v>
      </c>
      <c r="F57" s="12">
        <v>199.89671041934801</v>
      </c>
      <c r="G57" s="12">
        <v>78.710415454063195</v>
      </c>
      <c r="H57" s="12">
        <v>598.84787878786199</v>
      </c>
      <c r="I57" s="12">
        <v>3619.8470002099398</v>
      </c>
      <c r="J57" s="12">
        <v>308020.46061756799</v>
      </c>
      <c r="K57" s="12">
        <v>52290.815323765302</v>
      </c>
      <c r="L57" s="12">
        <v>122410.25726678599</v>
      </c>
      <c r="M57" s="12">
        <v>49497.778098629802</v>
      </c>
      <c r="N57" s="12">
        <v>14105095.1543066</v>
      </c>
      <c r="O57" s="12">
        <v>2478.9988300833802</v>
      </c>
      <c r="P57" s="12">
        <v>589650.33706845902</v>
      </c>
      <c r="Q57" s="12">
        <v>181462.46952254701</v>
      </c>
      <c r="R57" s="12">
        <v>8370.9087600198709</v>
      </c>
      <c r="S57" s="12">
        <v>27103.700174882699</v>
      </c>
      <c r="T57" s="12">
        <v>42198.739093059201</v>
      </c>
      <c r="U57" s="12">
        <v>60407.050230298097</v>
      </c>
      <c r="V57" s="12">
        <v>51096.070326226902</v>
      </c>
      <c r="W57" s="12">
        <v>168830.56178639701</v>
      </c>
      <c r="X57" s="12">
        <v>310264.58300613298</v>
      </c>
      <c r="Y57" s="12">
        <v>10050.6915800389</v>
      </c>
      <c r="Z57" s="12">
        <v>22682.7029244322</v>
      </c>
      <c r="AA57" s="12">
        <v>157.272467699695</v>
      </c>
      <c r="AB57" s="12">
        <v>800.69320832276401</v>
      </c>
      <c r="AC57" s="12">
        <v>83.6628665717069</v>
      </c>
      <c r="AD57" s="12">
        <v>122.986433308391</v>
      </c>
      <c r="AE57" s="12">
        <v>85979.885568762096</v>
      </c>
      <c r="AF57" s="12">
        <v>25011.2834865039</v>
      </c>
      <c r="AG57" s="12">
        <v>26973.019006038801</v>
      </c>
      <c r="AH57" s="12">
        <v>24478.576983445699</v>
      </c>
      <c r="AI57" s="12">
        <v>156784.948754057</v>
      </c>
      <c r="AJ57" s="12">
        <v>99280.367852008305</v>
      </c>
      <c r="AK57" s="12">
        <v>29753.141651501701</v>
      </c>
      <c r="AL57" s="12">
        <v>682431.79423677095</v>
      </c>
      <c r="AM57" s="12">
        <v>16820.551548690401</v>
      </c>
      <c r="AN57" s="12">
        <v>73775.734591740096</v>
      </c>
      <c r="AO57" s="12">
        <v>2227.1063360521898</v>
      </c>
      <c r="AP57" s="12">
        <v>33475.1392737485</v>
      </c>
      <c r="AQ57" s="12">
        <v>103706.10156791699</v>
      </c>
      <c r="AR57" s="12">
        <v>1478.5157631848899</v>
      </c>
      <c r="AS57" s="12">
        <v>229860.50069700801</v>
      </c>
      <c r="AT57" s="12">
        <v>142765.85608543499</v>
      </c>
      <c r="AU57" s="21">
        <v>17855561.480310202</v>
      </c>
      <c r="AV57" s="12">
        <v>6810411.1029831097</v>
      </c>
      <c r="AW57" s="12">
        <v>466659.99236094399</v>
      </c>
      <c r="AX57" s="12">
        <v>349409.72279237403</v>
      </c>
      <c r="AY57" s="12">
        <v>428628.63646246999</v>
      </c>
      <c r="AZ57" s="21">
        <v>8055109.4545988999</v>
      </c>
      <c r="BA57" s="21">
        <v>25910670.934909102</v>
      </c>
      <c r="BB57" s="26">
        <v>0</v>
      </c>
    </row>
    <row r="58" spans="1:54" x14ac:dyDescent="0.25">
      <c r="A58" s="114"/>
      <c r="B58" s="115"/>
      <c r="C58" s="11" t="s">
        <v>64</v>
      </c>
      <c r="D58" s="9" t="s">
        <v>172</v>
      </c>
      <c r="E58" s="12">
        <v>31258.977489524201</v>
      </c>
      <c r="F58" s="12">
        <v>385.87312557420699</v>
      </c>
      <c r="G58" s="12">
        <v>287535.21341407503</v>
      </c>
      <c r="H58" s="12">
        <v>2444.2146827721699</v>
      </c>
      <c r="I58" s="12">
        <v>2631.1347713402502</v>
      </c>
      <c r="J58" s="12">
        <v>687.503888384265</v>
      </c>
      <c r="K58" s="12">
        <v>12584.521112775101</v>
      </c>
      <c r="L58" s="12">
        <v>1079.78353968241</v>
      </c>
      <c r="M58" s="12">
        <v>584.37907277336501</v>
      </c>
      <c r="N58" s="12">
        <v>162235.03916681401</v>
      </c>
      <c r="O58" s="12">
        <v>3644393.5184153402</v>
      </c>
      <c r="P58" s="12">
        <v>7188806.4766799202</v>
      </c>
      <c r="Q58" s="12">
        <v>699051.08256074996</v>
      </c>
      <c r="R58" s="12">
        <v>2701443.2505842699</v>
      </c>
      <c r="S58" s="12">
        <v>4953.27298296145</v>
      </c>
      <c r="T58" s="12">
        <v>122844.05495939399</v>
      </c>
      <c r="U58" s="12">
        <v>111016.126434761</v>
      </c>
      <c r="V58" s="12">
        <v>312120.27824116201</v>
      </c>
      <c r="W58" s="12">
        <v>1639.79775741757</v>
      </c>
      <c r="X58" s="12">
        <v>42556.362804991601</v>
      </c>
      <c r="Y58" s="12">
        <v>19128.247709158499</v>
      </c>
      <c r="Z58" s="12">
        <v>235.62054086443899</v>
      </c>
      <c r="AA58" s="12">
        <v>30311.256495456299</v>
      </c>
      <c r="AB58" s="12">
        <v>203778.12089084499</v>
      </c>
      <c r="AC58" s="12">
        <v>622073.16413046303</v>
      </c>
      <c r="AD58" s="12">
        <v>17.419777839699599</v>
      </c>
      <c r="AE58" s="12">
        <v>508982.13506406598</v>
      </c>
      <c r="AF58" s="12">
        <v>1777.40794946648</v>
      </c>
      <c r="AG58" s="12">
        <v>76546.472223382094</v>
      </c>
      <c r="AH58" s="12">
        <v>559.55312195874899</v>
      </c>
      <c r="AI58" s="12">
        <v>526.23617517448099</v>
      </c>
      <c r="AJ58" s="12">
        <v>1924.7415203241601</v>
      </c>
      <c r="AK58" s="12">
        <v>793.249688865081</v>
      </c>
      <c r="AL58" s="12">
        <v>9870.0899710097801</v>
      </c>
      <c r="AM58" s="12">
        <v>695.38190430396298</v>
      </c>
      <c r="AN58" s="12">
        <v>5563.9923667118001</v>
      </c>
      <c r="AO58" s="12">
        <v>574.78567050812899</v>
      </c>
      <c r="AP58" s="12">
        <v>107344.5733125</v>
      </c>
      <c r="AQ58" s="12">
        <v>1253.9917304150399</v>
      </c>
      <c r="AR58" s="12">
        <v>130.01969266798</v>
      </c>
      <c r="AS58" s="12">
        <v>278.43702954598803</v>
      </c>
      <c r="AT58" s="12">
        <v>2067.5060213401398</v>
      </c>
      <c r="AU58" s="21">
        <v>16924683.264671501</v>
      </c>
      <c r="AV58" s="12">
        <v>2863926.6354092602</v>
      </c>
      <c r="AW58" s="12">
        <v>0</v>
      </c>
      <c r="AX58" s="12">
        <v>724153.74255744496</v>
      </c>
      <c r="AY58" s="12">
        <v>2137384.5374589399</v>
      </c>
      <c r="AZ58" s="21">
        <v>5725464.9154256498</v>
      </c>
      <c r="BA58" s="21">
        <v>22650148.1800972</v>
      </c>
      <c r="BB58" s="26">
        <v>0</v>
      </c>
    </row>
    <row r="59" spans="1:54" x14ac:dyDescent="0.25">
      <c r="A59" s="114"/>
      <c r="B59" s="115"/>
      <c r="C59" s="11" t="s">
        <v>152</v>
      </c>
      <c r="D59" s="9" t="s">
        <v>173</v>
      </c>
      <c r="E59" s="12">
        <v>1008187.6759461</v>
      </c>
      <c r="F59" s="12">
        <v>61500.3262043102</v>
      </c>
      <c r="G59" s="12">
        <v>582713.87305285304</v>
      </c>
      <c r="H59" s="12">
        <v>359091.91691687802</v>
      </c>
      <c r="I59" s="12">
        <v>212357.676032922</v>
      </c>
      <c r="J59" s="12">
        <v>1216603.7469770799</v>
      </c>
      <c r="K59" s="12">
        <v>2312246.9798928299</v>
      </c>
      <c r="L59" s="12">
        <v>1417284.03014499</v>
      </c>
      <c r="M59" s="12">
        <v>1124864.9287856701</v>
      </c>
      <c r="N59" s="12">
        <v>2112886.2286208798</v>
      </c>
      <c r="O59" s="12">
        <v>2468486.1106133498</v>
      </c>
      <c r="P59" s="12">
        <v>95282908.570821807</v>
      </c>
      <c r="Q59" s="12">
        <v>1403722.0852604299</v>
      </c>
      <c r="R59" s="12">
        <v>618915.30959506705</v>
      </c>
      <c r="S59" s="12">
        <v>428995.10878890398</v>
      </c>
      <c r="T59" s="12">
        <v>909727.15576976503</v>
      </c>
      <c r="U59" s="12">
        <v>1127333.0564351999</v>
      </c>
      <c r="V59" s="12">
        <v>3659659.9877533498</v>
      </c>
      <c r="W59" s="12">
        <v>5595006.7850857796</v>
      </c>
      <c r="X59" s="12">
        <v>7567522.9897397803</v>
      </c>
      <c r="Y59" s="12">
        <v>1239718.8717302801</v>
      </c>
      <c r="Z59" s="12">
        <v>781525.42070567899</v>
      </c>
      <c r="AA59" s="12">
        <v>12228.517428778699</v>
      </c>
      <c r="AB59" s="12">
        <v>7752.5998272690604</v>
      </c>
      <c r="AC59" s="12">
        <v>1093.63235407104</v>
      </c>
      <c r="AD59" s="12">
        <v>107388.39838239401</v>
      </c>
      <c r="AE59" s="12">
        <v>1570737.7651309799</v>
      </c>
      <c r="AF59" s="12">
        <v>142547.17326936801</v>
      </c>
      <c r="AG59" s="12">
        <v>64467.382485605202</v>
      </c>
      <c r="AH59" s="12">
        <v>10990.6130975819</v>
      </c>
      <c r="AI59" s="12">
        <v>26961.841585998201</v>
      </c>
      <c r="AJ59" s="12">
        <v>9064.6421016582499</v>
      </c>
      <c r="AK59" s="12">
        <v>6566.0785304828496</v>
      </c>
      <c r="AL59" s="12">
        <v>109355.059887298</v>
      </c>
      <c r="AM59" s="12">
        <v>1103217.7116973801</v>
      </c>
      <c r="AN59" s="12">
        <v>840838.66658721701</v>
      </c>
      <c r="AO59" s="12">
        <v>268719.56574036198</v>
      </c>
      <c r="AP59" s="12">
        <v>248456.80954647899</v>
      </c>
      <c r="AQ59" s="12">
        <v>93447.796384757501</v>
      </c>
      <c r="AR59" s="12">
        <v>2960069.76882825</v>
      </c>
      <c r="AS59" s="12">
        <v>138568.872156667</v>
      </c>
      <c r="AT59" s="12">
        <v>11201.423444292701</v>
      </c>
      <c r="AU59" s="21">
        <v>139224933.153341</v>
      </c>
      <c r="AV59" s="12">
        <v>30132797.473177198</v>
      </c>
      <c r="AW59" s="12">
        <v>0</v>
      </c>
      <c r="AX59" s="12">
        <v>1048655.72031673</v>
      </c>
      <c r="AY59" s="12">
        <v>557722.17911074299</v>
      </c>
      <c r="AZ59" s="21">
        <v>31739175.372604601</v>
      </c>
      <c r="BA59" s="21">
        <v>170964108.52594501</v>
      </c>
      <c r="BB59" s="26">
        <v>0</v>
      </c>
    </row>
    <row r="60" spans="1:54" x14ac:dyDescent="0.25">
      <c r="A60" s="114"/>
      <c r="B60" s="115"/>
      <c r="C60" s="11" t="s">
        <v>68</v>
      </c>
      <c r="D60" s="9" t="s">
        <v>174</v>
      </c>
      <c r="E60" s="12">
        <v>684.26296701092895</v>
      </c>
      <c r="F60" s="12">
        <v>15789.6625315362</v>
      </c>
      <c r="G60" s="12">
        <v>6836.1543634367199</v>
      </c>
      <c r="H60" s="12">
        <v>38315.3951255664</v>
      </c>
      <c r="I60" s="12">
        <v>42665.007522380503</v>
      </c>
      <c r="J60" s="12">
        <v>27304.625013225501</v>
      </c>
      <c r="K60" s="12">
        <v>7810.4305784948201</v>
      </c>
      <c r="L60" s="12">
        <v>4568.9481568613601</v>
      </c>
      <c r="M60" s="12">
        <v>94232.2743184758</v>
      </c>
      <c r="N60" s="12">
        <v>191079.810184867</v>
      </c>
      <c r="O60" s="12">
        <v>23259.615567195298</v>
      </c>
      <c r="P60" s="12">
        <v>499938.97073681501</v>
      </c>
      <c r="Q60" s="12">
        <v>4165319.9015243999</v>
      </c>
      <c r="R60" s="12">
        <v>318299.43689477397</v>
      </c>
      <c r="S60" s="12">
        <v>127061.11185942301</v>
      </c>
      <c r="T60" s="12">
        <v>138920.988519579</v>
      </c>
      <c r="U60" s="12">
        <v>265614.04403763602</v>
      </c>
      <c r="V60" s="12">
        <v>570541.58449345699</v>
      </c>
      <c r="W60" s="12">
        <v>593564.11281778803</v>
      </c>
      <c r="X60" s="12">
        <v>2755079.33295561</v>
      </c>
      <c r="Y60" s="12">
        <v>130743.576872848</v>
      </c>
      <c r="Z60" s="12">
        <v>34843.849098980303</v>
      </c>
      <c r="AA60" s="12">
        <v>240.559592279783</v>
      </c>
      <c r="AB60" s="12">
        <v>34319.9209609588</v>
      </c>
      <c r="AC60" s="12">
        <v>18.0039275615989</v>
      </c>
      <c r="AD60" s="12">
        <v>27.973621332559301</v>
      </c>
      <c r="AE60" s="12">
        <v>1316337.52931687</v>
      </c>
      <c r="AF60" s="12">
        <v>63075.660698690001</v>
      </c>
      <c r="AG60" s="12">
        <v>932.29308114264995</v>
      </c>
      <c r="AH60" s="12">
        <v>675.315208814838</v>
      </c>
      <c r="AI60" s="12">
        <v>491.94199962608502</v>
      </c>
      <c r="AJ60" s="12">
        <v>50.990967551186202</v>
      </c>
      <c r="AK60" s="12">
        <v>124.140065353702</v>
      </c>
      <c r="AL60" s="12">
        <v>2213.26757285541</v>
      </c>
      <c r="AM60" s="12">
        <v>43836.980190718597</v>
      </c>
      <c r="AN60" s="12">
        <v>435.11309862250403</v>
      </c>
      <c r="AO60" s="12">
        <v>10699.252974028401</v>
      </c>
      <c r="AP60" s="12">
        <v>676.10346108018405</v>
      </c>
      <c r="AQ60" s="12">
        <v>7207.8868143168602</v>
      </c>
      <c r="AR60" s="12">
        <v>7279.5798020116199</v>
      </c>
      <c r="AS60" s="12">
        <v>3.9433488480636099</v>
      </c>
      <c r="AT60" s="12">
        <v>32.993865589570099</v>
      </c>
      <c r="AU60" s="21">
        <v>11541152.546708601</v>
      </c>
      <c r="AV60" s="12">
        <v>546263.30388697004</v>
      </c>
      <c r="AW60" s="12">
        <v>0</v>
      </c>
      <c r="AX60" s="12">
        <v>8678.9918070162403</v>
      </c>
      <c r="AY60" s="12">
        <v>340626.186395208</v>
      </c>
      <c r="AZ60" s="21">
        <v>895568.482089194</v>
      </c>
      <c r="BA60" s="21">
        <v>12436721.0287978</v>
      </c>
      <c r="BB60" s="26">
        <v>0</v>
      </c>
    </row>
    <row r="61" spans="1:54" x14ac:dyDescent="0.25">
      <c r="A61" s="114"/>
      <c r="B61" s="115"/>
      <c r="C61" s="11" t="s">
        <v>153</v>
      </c>
      <c r="D61" s="9" t="s">
        <v>175</v>
      </c>
      <c r="E61" s="12">
        <v>1462.33139526182</v>
      </c>
      <c r="F61" s="12">
        <v>31073.036812566501</v>
      </c>
      <c r="G61" s="12">
        <v>98792.982346630393</v>
      </c>
      <c r="H61" s="12">
        <v>410281.77596643998</v>
      </c>
      <c r="I61" s="12">
        <v>10881.8017768478</v>
      </c>
      <c r="J61" s="12">
        <v>11299.8343366972</v>
      </c>
      <c r="K61" s="12">
        <v>3047.1058269312598</v>
      </c>
      <c r="L61" s="12">
        <v>1896.3390311533001</v>
      </c>
      <c r="M61" s="12">
        <v>155184.22926303101</v>
      </c>
      <c r="N61" s="12">
        <v>2820562.9393364801</v>
      </c>
      <c r="O61" s="12">
        <v>69285.222371846598</v>
      </c>
      <c r="P61" s="12">
        <v>1274314.6962121101</v>
      </c>
      <c r="Q61" s="12">
        <v>546213.44912527001</v>
      </c>
      <c r="R61" s="12">
        <v>37729014.771004803</v>
      </c>
      <c r="S61" s="12">
        <v>4430847.0427558897</v>
      </c>
      <c r="T61" s="12">
        <v>2022708.0961366501</v>
      </c>
      <c r="U61" s="12">
        <v>1655359.0568089499</v>
      </c>
      <c r="V61" s="12">
        <v>8360850.4884063704</v>
      </c>
      <c r="W61" s="12">
        <v>8591353.5242986605</v>
      </c>
      <c r="X61" s="12">
        <v>2290263.1835464998</v>
      </c>
      <c r="Y61" s="12">
        <v>163942.590015411</v>
      </c>
      <c r="Z61" s="12">
        <v>281728.60146745702</v>
      </c>
      <c r="AA61" s="12">
        <v>136155.4466386</v>
      </c>
      <c r="AB61" s="12">
        <v>65182.938657454397</v>
      </c>
      <c r="AC61" s="12">
        <v>377.19245596227302</v>
      </c>
      <c r="AD61" s="12">
        <v>324.41435560160699</v>
      </c>
      <c r="AE61" s="12">
        <v>1682765.8143509801</v>
      </c>
      <c r="AF61" s="12">
        <v>2948.1490929414899</v>
      </c>
      <c r="AG61" s="12">
        <v>4078.3518978430302</v>
      </c>
      <c r="AH61" s="12">
        <v>21.129665918714799</v>
      </c>
      <c r="AI61" s="12">
        <v>28.770786545790902</v>
      </c>
      <c r="AJ61" s="12">
        <v>9.1677359274036599E-2</v>
      </c>
      <c r="AK61" s="12">
        <v>7.9040532240403696</v>
      </c>
      <c r="AL61" s="12">
        <v>7.9329394071211201</v>
      </c>
      <c r="AM61" s="12">
        <v>3782.02933696226</v>
      </c>
      <c r="AN61" s="12">
        <v>1226.04670328564</v>
      </c>
      <c r="AO61" s="12">
        <v>479.00244335896002</v>
      </c>
      <c r="AP61" s="12">
        <v>2945.3209075578802</v>
      </c>
      <c r="AQ61" s="12">
        <v>145.40634342583101</v>
      </c>
      <c r="AR61" s="12">
        <v>4.1398342580685599</v>
      </c>
      <c r="AS61" s="12">
        <v>3.6847368759602999</v>
      </c>
      <c r="AT61" s="12">
        <v>1.0137268169043701</v>
      </c>
      <c r="AU61" s="21">
        <v>72860847.878846303</v>
      </c>
      <c r="AV61" s="12">
        <v>0</v>
      </c>
      <c r="AW61" s="12">
        <v>0</v>
      </c>
      <c r="AX61" s="12">
        <v>6787854.3170372201</v>
      </c>
      <c r="AY61" s="12">
        <v>1565130.6905320201</v>
      </c>
      <c r="AZ61" s="21">
        <v>8352985.0075692404</v>
      </c>
      <c r="BA61" s="21">
        <v>81213832.886415496</v>
      </c>
      <c r="BB61" s="26">
        <v>0</v>
      </c>
    </row>
    <row r="62" spans="1:54" x14ac:dyDescent="0.25">
      <c r="A62" s="114"/>
      <c r="B62" s="115"/>
      <c r="C62" s="11" t="s">
        <v>72</v>
      </c>
      <c r="D62" s="9" t="s">
        <v>176</v>
      </c>
      <c r="E62" s="12">
        <v>1403.9472867306399</v>
      </c>
      <c r="F62" s="12">
        <v>39021.375884478301</v>
      </c>
      <c r="G62" s="12">
        <v>4297.2231099611499</v>
      </c>
      <c r="H62" s="12">
        <v>13181.326565179101</v>
      </c>
      <c r="I62" s="12">
        <v>9332.5408558580493</v>
      </c>
      <c r="J62" s="12">
        <v>11341.8989685587</v>
      </c>
      <c r="K62" s="12">
        <v>13935.7542026103</v>
      </c>
      <c r="L62" s="12">
        <v>48585.193231731297</v>
      </c>
      <c r="M62" s="12">
        <v>320739.595206097</v>
      </c>
      <c r="N62" s="12">
        <v>66558.0970095839</v>
      </c>
      <c r="O62" s="12">
        <v>14023.876333140901</v>
      </c>
      <c r="P62" s="12">
        <v>60126.826538668603</v>
      </c>
      <c r="Q62" s="12">
        <v>42218.612420143902</v>
      </c>
      <c r="R62" s="12">
        <v>200875.33199999901</v>
      </c>
      <c r="S62" s="12">
        <v>897923.04694732698</v>
      </c>
      <c r="T62" s="12">
        <v>845527.18812383898</v>
      </c>
      <c r="U62" s="12">
        <v>640668.77059234097</v>
      </c>
      <c r="V62" s="12">
        <v>1476210.90111476</v>
      </c>
      <c r="W62" s="12">
        <v>667451.28610458295</v>
      </c>
      <c r="X62" s="12">
        <v>348007.18242922699</v>
      </c>
      <c r="Y62" s="12">
        <v>42214.458609701302</v>
      </c>
      <c r="Z62" s="12">
        <v>15427.805861823799</v>
      </c>
      <c r="AA62" s="12">
        <v>21187.8433496098</v>
      </c>
      <c r="AB62" s="12">
        <v>20590.267957110402</v>
      </c>
      <c r="AC62" s="12">
        <v>61.461831810917197</v>
      </c>
      <c r="AD62" s="12">
        <v>1552.3105164246699</v>
      </c>
      <c r="AE62" s="12">
        <v>367662.52854486601</v>
      </c>
      <c r="AF62" s="12">
        <v>53701.728031095103</v>
      </c>
      <c r="AG62" s="12">
        <v>12214.6798092061</v>
      </c>
      <c r="AH62" s="12">
        <v>6557.4924422908998</v>
      </c>
      <c r="AI62" s="12">
        <v>922.673135685283</v>
      </c>
      <c r="AJ62" s="12">
        <v>172.79311751306199</v>
      </c>
      <c r="AK62" s="12">
        <v>1947.80308996282</v>
      </c>
      <c r="AL62" s="12">
        <v>45609.482038804999</v>
      </c>
      <c r="AM62" s="12">
        <v>8792.1815309418907</v>
      </c>
      <c r="AN62" s="12">
        <v>21126.660766772598</v>
      </c>
      <c r="AO62" s="12">
        <v>9739.7399846325097</v>
      </c>
      <c r="AP62" s="12">
        <v>11562.525583197699</v>
      </c>
      <c r="AQ62" s="12">
        <v>1239.5377600679401</v>
      </c>
      <c r="AR62" s="12">
        <v>88.153741271422504</v>
      </c>
      <c r="AS62" s="12">
        <v>11424.651176105701</v>
      </c>
      <c r="AT62" s="12">
        <v>1593.8531584264999</v>
      </c>
      <c r="AU62" s="21">
        <v>6376820.6069621397</v>
      </c>
      <c r="AV62" s="12">
        <v>520540.045475088</v>
      </c>
      <c r="AW62" s="12">
        <v>1158996.83659186</v>
      </c>
      <c r="AX62" s="12">
        <v>26965.2687003467</v>
      </c>
      <c r="AY62" s="12">
        <v>104118.57052673701</v>
      </c>
      <c r="AZ62" s="21">
        <v>1810620.7212940301</v>
      </c>
      <c r="BA62" s="21">
        <v>8187441.3282561703</v>
      </c>
      <c r="BB62" s="26">
        <v>0</v>
      </c>
    </row>
    <row r="63" spans="1:54" x14ac:dyDescent="0.25">
      <c r="A63" s="114"/>
      <c r="B63" s="115"/>
      <c r="C63" s="11" t="s">
        <v>75</v>
      </c>
      <c r="D63" s="9" t="s">
        <v>177</v>
      </c>
      <c r="E63" s="12">
        <v>40540.457173350202</v>
      </c>
      <c r="F63" s="12">
        <v>55525.756707985398</v>
      </c>
      <c r="G63" s="12">
        <v>12553.945459929901</v>
      </c>
      <c r="H63" s="12">
        <v>15988.680162434899</v>
      </c>
      <c r="I63" s="12">
        <v>22910.807969257901</v>
      </c>
      <c r="J63" s="12">
        <v>53477.287410694102</v>
      </c>
      <c r="K63" s="12">
        <v>17461.280138668899</v>
      </c>
      <c r="L63" s="12">
        <v>14559.373505052499</v>
      </c>
      <c r="M63" s="12">
        <v>22854.2703570798</v>
      </c>
      <c r="N63" s="12">
        <v>41752.447383248502</v>
      </c>
      <c r="O63" s="12">
        <v>24810.669937665902</v>
      </c>
      <c r="P63" s="12">
        <v>282831.76172195002</v>
      </c>
      <c r="Q63" s="12">
        <v>118956.84684386601</v>
      </c>
      <c r="R63" s="12">
        <v>250028.19386809799</v>
      </c>
      <c r="S63" s="12">
        <v>475375.15037627501</v>
      </c>
      <c r="T63" s="12">
        <v>10419809.928876201</v>
      </c>
      <c r="U63" s="12">
        <v>4434098.4965883801</v>
      </c>
      <c r="V63" s="12">
        <v>10175188.076285001</v>
      </c>
      <c r="W63" s="12">
        <v>1440824.18230238</v>
      </c>
      <c r="X63" s="12">
        <v>882684.95354132995</v>
      </c>
      <c r="Y63" s="12">
        <v>81111.849158694502</v>
      </c>
      <c r="Z63" s="12">
        <v>135803.137931037</v>
      </c>
      <c r="AA63" s="12">
        <v>178116.69921107899</v>
      </c>
      <c r="AB63" s="12">
        <v>236267.26842502199</v>
      </c>
      <c r="AC63" s="12">
        <v>14150.8091803691</v>
      </c>
      <c r="AD63" s="12">
        <v>46340.861427406096</v>
      </c>
      <c r="AE63" s="12">
        <v>773986.97523834195</v>
      </c>
      <c r="AF63" s="12">
        <v>18025.117252068601</v>
      </c>
      <c r="AG63" s="12">
        <v>80076.903183772694</v>
      </c>
      <c r="AH63" s="12">
        <v>9135.2077437183107</v>
      </c>
      <c r="AI63" s="12">
        <v>27363.249636451499</v>
      </c>
      <c r="AJ63" s="12">
        <v>112434.26968787301</v>
      </c>
      <c r="AK63" s="12">
        <v>56183.122985521499</v>
      </c>
      <c r="AL63" s="12">
        <v>28857.120229705699</v>
      </c>
      <c r="AM63" s="12">
        <v>8795.3773233613902</v>
      </c>
      <c r="AN63" s="12">
        <v>10570.847334571899</v>
      </c>
      <c r="AO63" s="12">
        <v>18469.622765968899</v>
      </c>
      <c r="AP63" s="12">
        <v>18904.385675162001</v>
      </c>
      <c r="AQ63" s="12">
        <v>19921.247610803199</v>
      </c>
      <c r="AR63" s="12">
        <v>1680.32674710485</v>
      </c>
      <c r="AS63" s="12">
        <v>7017.0891475749804</v>
      </c>
      <c r="AT63" s="12">
        <v>20713.513688398802</v>
      </c>
      <c r="AU63" s="21">
        <v>30706157.568192899</v>
      </c>
      <c r="AV63" s="12">
        <v>329570.057140399</v>
      </c>
      <c r="AW63" s="12">
        <v>23099192.0942178</v>
      </c>
      <c r="AX63" s="12">
        <v>202765.811460383</v>
      </c>
      <c r="AY63" s="12">
        <v>1084753.65434707</v>
      </c>
      <c r="AZ63" s="21">
        <v>24716281.617165599</v>
      </c>
      <c r="BA63" s="21">
        <v>55422439.185358502</v>
      </c>
      <c r="BB63" s="26">
        <v>0</v>
      </c>
    </row>
    <row r="64" spans="1:54" x14ac:dyDescent="0.25">
      <c r="A64" s="114"/>
      <c r="B64" s="115"/>
      <c r="C64" s="11" t="s">
        <v>69</v>
      </c>
      <c r="D64" s="9" t="s">
        <v>178</v>
      </c>
      <c r="E64" s="12">
        <v>50106.942767249297</v>
      </c>
      <c r="F64" s="12">
        <v>7429.64053015431</v>
      </c>
      <c r="G64" s="12">
        <v>28336.9465055814</v>
      </c>
      <c r="H64" s="12">
        <v>6615.7460659817898</v>
      </c>
      <c r="I64" s="12">
        <v>28051.195774134801</v>
      </c>
      <c r="J64" s="12">
        <v>37821.795703943098</v>
      </c>
      <c r="K64" s="12">
        <v>44085.324451860302</v>
      </c>
      <c r="L64" s="12">
        <v>36800.451667991903</v>
      </c>
      <c r="M64" s="12">
        <v>5363.2719701182104</v>
      </c>
      <c r="N64" s="12">
        <v>113701.66689115801</v>
      </c>
      <c r="O64" s="12">
        <v>4521.0402754902998</v>
      </c>
      <c r="P64" s="12">
        <v>116141.910067566</v>
      </c>
      <c r="Q64" s="12">
        <v>78578.517383685306</v>
      </c>
      <c r="R64" s="12">
        <v>30537.898306941599</v>
      </c>
      <c r="S64" s="12">
        <v>57248.742648680098</v>
      </c>
      <c r="T64" s="12">
        <v>844813.28240101098</v>
      </c>
      <c r="U64" s="12">
        <v>6796470.2978299297</v>
      </c>
      <c r="V64" s="12">
        <v>539413.25831176003</v>
      </c>
      <c r="W64" s="12">
        <v>264744.75462637102</v>
      </c>
      <c r="X64" s="12">
        <v>2677014.6872769301</v>
      </c>
      <c r="Y64" s="12">
        <v>63188.228667673902</v>
      </c>
      <c r="Z64" s="12">
        <v>5594.1510539245101</v>
      </c>
      <c r="AA64" s="12">
        <v>29745.077787383401</v>
      </c>
      <c r="AB64" s="12">
        <v>11734.616850934999</v>
      </c>
      <c r="AC64" s="12">
        <v>8.4934402850081501</v>
      </c>
      <c r="AD64" s="12">
        <v>7200.7209331370595</v>
      </c>
      <c r="AE64" s="12">
        <v>614933.37484632502</v>
      </c>
      <c r="AF64" s="12">
        <v>17143.3704915985</v>
      </c>
      <c r="AG64" s="12">
        <v>90684.053467831895</v>
      </c>
      <c r="AH64" s="12">
        <v>9446.3899596051597</v>
      </c>
      <c r="AI64" s="12">
        <v>6763.5370494517101</v>
      </c>
      <c r="AJ64" s="12">
        <v>61128.1419343741</v>
      </c>
      <c r="AK64" s="12">
        <v>548.86352464041204</v>
      </c>
      <c r="AL64" s="12">
        <v>3047.7602978366699</v>
      </c>
      <c r="AM64" s="12">
        <v>372.36563815328901</v>
      </c>
      <c r="AN64" s="12">
        <v>10633.4009876897</v>
      </c>
      <c r="AO64" s="12">
        <v>1544.55664642736</v>
      </c>
      <c r="AP64" s="12">
        <v>10599.220962005</v>
      </c>
      <c r="AQ64" s="12">
        <v>9103.1913812478106</v>
      </c>
      <c r="AR64" s="12">
        <v>2777186.0578533299</v>
      </c>
      <c r="AS64" s="12">
        <v>726.180609027267</v>
      </c>
      <c r="AT64" s="12">
        <v>7443.1484767790498</v>
      </c>
      <c r="AU64" s="21">
        <v>15506572.274316199</v>
      </c>
      <c r="AV64" s="12">
        <v>1485652.4123211601</v>
      </c>
      <c r="AW64" s="12">
        <v>41669788.100819796</v>
      </c>
      <c r="AX64" s="12">
        <v>84369.248190599203</v>
      </c>
      <c r="AY64" s="12">
        <v>472234.76977092098</v>
      </c>
      <c r="AZ64" s="21">
        <v>43712044.531102397</v>
      </c>
      <c r="BA64" s="21">
        <v>59218616.805418603</v>
      </c>
      <c r="BB64" s="26">
        <v>0</v>
      </c>
    </row>
    <row r="65" spans="1:54" x14ac:dyDescent="0.25">
      <c r="A65" s="114"/>
      <c r="B65" s="115"/>
      <c r="C65" s="11" t="s">
        <v>154</v>
      </c>
      <c r="D65" s="9" t="s">
        <v>179</v>
      </c>
      <c r="E65" s="12">
        <v>6990.5309812867599</v>
      </c>
      <c r="F65" s="12">
        <v>6865.6555810059399</v>
      </c>
      <c r="G65" s="12">
        <v>198.59175523808801</v>
      </c>
      <c r="H65" s="12">
        <v>9437.3865593009505</v>
      </c>
      <c r="I65" s="12">
        <v>12373.443296584999</v>
      </c>
      <c r="J65" s="12">
        <v>615.29094791271302</v>
      </c>
      <c r="K65" s="12">
        <v>345.807437473623</v>
      </c>
      <c r="L65" s="12">
        <v>455.25581304843502</v>
      </c>
      <c r="M65" s="12">
        <v>958.741932428317</v>
      </c>
      <c r="N65" s="12">
        <v>678.98785131485602</v>
      </c>
      <c r="O65" s="12">
        <v>180.22114404918099</v>
      </c>
      <c r="P65" s="12">
        <v>2070.3093387928802</v>
      </c>
      <c r="Q65" s="12">
        <v>7854.20427980976</v>
      </c>
      <c r="R65" s="12">
        <v>643.94767920533195</v>
      </c>
      <c r="S65" s="12">
        <v>1574.0198455827201</v>
      </c>
      <c r="T65" s="12">
        <v>86412.242003373394</v>
      </c>
      <c r="U65" s="12">
        <v>276421.49484045297</v>
      </c>
      <c r="V65" s="12">
        <v>23221600.069130398</v>
      </c>
      <c r="W65" s="12">
        <v>24419.899021344001</v>
      </c>
      <c r="X65" s="12">
        <v>11765.2979089326</v>
      </c>
      <c r="Y65" s="12">
        <v>5553.9337092922997</v>
      </c>
      <c r="Z65" s="12">
        <v>422.219076929457</v>
      </c>
      <c r="AA65" s="12">
        <v>98540.956005974804</v>
      </c>
      <c r="AB65" s="12">
        <v>131.86672027427801</v>
      </c>
      <c r="AC65" s="12">
        <v>32.778561538575197</v>
      </c>
      <c r="AD65" s="12">
        <v>33.934393205126298</v>
      </c>
      <c r="AE65" s="12">
        <v>5738.1452828524898</v>
      </c>
      <c r="AF65" s="12">
        <v>379.12145754621002</v>
      </c>
      <c r="AG65" s="12">
        <v>1048393.91430879</v>
      </c>
      <c r="AH65" s="12">
        <v>1038.66573441937</v>
      </c>
      <c r="AI65" s="12">
        <v>582.656937310697</v>
      </c>
      <c r="AJ65" s="12">
        <v>775.70459379039596</v>
      </c>
      <c r="AK65" s="12">
        <v>67.8283741977056</v>
      </c>
      <c r="AL65" s="12">
        <v>68524.324884262795</v>
      </c>
      <c r="AM65" s="12">
        <v>18972.0947256242</v>
      </c>
      <c r="AN65" s="12">
        <v>7786.8269989002902</v>
      </c>
      <c r="AO65" s="12">
        <v>3932.9894702981201</v>
      </c>
      <c r="AP65" s="12">
        <v>367141.11396161403</v>
      </c>
      <c r="AQ65" s="12">
        <v>293.97846115091301</v>
      </c>
      <c r="AR65" s="12">
        <v>884.84740674560499</v>
      </c>
      <c r="AS65" s="12">
        <v>264.618587198314</v>
      </c>
      <c r="AT65" s="12">
        <v>6753.3709313479003</v>
      </c>
      <c r="AU65" s="21">
        <v>25308107.287930802</v>
      </c>
      <c r="AV65" s="12">
        <v>15756919.7800459</v>
      </c>
      <c r="AW65" s="12">
        <v>19133020.291243501</v>
      </c>
      <c r="AX65" s="12">
        <v>111937.30837461499</v>
      </c>
      <c r="AY65" s="12">
        <v>428366.30205927999</v>
      </c>
      <c r="AZ65" s="21">
        <v>35430243.681723297</v>
      </c>
      <c r="BA65" s="21">
        <v>60738350.969654098</v>
      </c>
      <c r="BB65" s="26">
        <v>0</v>
      </c>
    </row>
    <row r="66" spans="1:54" x14ac:dyDescent="0.25">
      <c r="A66" s="114"/>
      <c r="B66" s="115"/>
      <c r="C66" s="11" t="s">
        <v>74</v>
      </c>
      <c r="D66" s="9" t="s">
        <v>180</v>
      </c>
      <c r="E66" s="12">
        <v>2802.07590055836</v>
      </c>
      <c r="F66" s="12">
        <v>10599.509236440799</v>
      </c>
      <c r="G66" s="12">
        <v>7025.2788466348602</v>
      </c>
      <c r="H66" s="12">
        <v>7519.0933410883199</v>
      </c>
      <c r="I66" s="12">
        <v>6639.9644804303898</v>
      </c>
      <c r="J66" s="12">
        <v>15454.429355537401</v>
      </c>
      <c r="K66" s="12">
        <v>3692.5667858214101</v>
      </c>
      <c r="L66" s="12">
        <v>13308.0631118725</v>
      </c>
      <c r="M66" s="12">
        <v>19160.619285072</v>
      </c>
      <c r="N66" s="12">
        <v>128458.485315766</v>
      </c>
      <c r="O66" s="12">
        <v>2590.2805541790699</v>
      </c>
      <c r="P66" s="12">
        <v>60779.939157987399</v>
      </c>
      <c r="Q66" s="12">
        <v>30871.0372766418</v>
      </c>
      <c r="R66" s="12">
        <v>12473.088907207501</v>
      </c>
      <c r="S66" s="12">
        <v>61976.560586681597</v>
      </c>
      <c r="T66" s="12">
        <v>2184760.6332922601</v>
      </c>
      <c r="U66" s="12">
        <v>2033606.2481096999</v>
      </c>
      <c r="V66" s="12">
        <v>8381091.1280886903</v>
      </c>
      <c r="W66" s="12">
        <v>13424822.955848601</v>
      </c>
      <c r="X66" s="12">
        <v>8252381.1842215303</v>
      </c>
      <c r="Y66" s="12">
        <v>1111259.3207301199</v>
      </c>
      <c r="Z66" s="12">
        <v>37133.580511946297</v>
      </c>
      <c r="AA66" s="12">
        <v>58889.099769969602</v>
      </c>
      <c r="AB66" s="12">
        <v>779487.36911673401</v>
      </c>
      <c r="AC66" s="12">
        <v>1580.08229039312</v>
      </c>
      <c r="AD66" s="12">
        <v>2549.0902518563098</v>
      </c>
      <c r="AE66" s="12">
        <v>1052026.8389866501</v>
      </c>
      <c r="AF66" s="12">
        <v>355751.35341971897</v>
      </c>
      <c r="AG66" s="12">
        <v>53636.926524868897</v>
      </c>
      <c r="AH66" s="12">
        <v>16684.7766024472</v>
      </c>
      <c r="AI66" s="12">
        <v>122590.900527647</v>
      </c>
      <c r="AJ66" s="12">
        <v>4050.9869858514699</v>
      </c>
      <c r="AK66" s="12">
        <v>415.30709563394998</v>
      </c>
      <c r="AL66" s="12">
        <v>8789.1693588222206</v>
      </c>
      <c r="AM66" s="12">
        <v>22135.856687960899</v>
      </c>
      <c r="AN66" s="12">
        <v>12712.5982138318</v>
      </c>
      <c r="AO66" s="12">
        <v>18949.1556076856</v>
      </c>
      <c r="AP66" s="12">
        <v>25307.723650274998</v>
      </c>
      <c r="AQ66" s="12">
        <v>958.46022220739906</v>
      </c>
      <c r="AR66" s="12">
        <v>1236.14985304981</v>
      </c>
      <c r="AS66" s="12">
        <v>3572.3050729500901</v>
      </c>
      <c r="AT66" s="12">
        <v>13568.0062204196</v>
      </c>
      <c r="AU66" s="21">
        <v>38363298.199403703</v>
      </c>
      <c r="AV66" s="12">
        <v>3544610.71211039</v>
      </c>
      <c r="AW66" s="12">
        <v>6982836.6690349896</v>
      </c>
      <c r="AX66" s="12">
        <v>119800.02637016001</v>
      </c>
      <c r="AY66" s="12">
        <v>1425665.4056407299</v>
      </c>
      <c r="AZ66" s="21">
        <v>12072912.813156299</v>
      </c>
      <c r="BA66" s="21">
        <v>50436211.012560003</v>
      </c>
      <c r="BB66" s="26">
        <v>0</v>
      </c>
    </row>
    <row r="67" spans="1:54" x14ac:dyDescent="0.25">
      <c r="A67" s="114"/>
      <c r="B67" s="115"/>
      <c r="C67" s="11" t="s">
        <v>155</v>
      </c>
      <c r="D67" s="9" t="s">
        <v>181</v>
      </c>
      <c r="E67" s="12">
        <v>12391.682885697201</v>
      </c>
      <c r="F67" s="12">
        <v>2062.1312500147901</v>
      </c>
      <c r="G67" s="12">
        <v>985.81801345364397</v>
      </c>
      <c r="H67" s="12">
        <v>2169.0406467727398</v>
      </c>
      <c r="I67" s="12">
        <v>2254.4960172055999</v>
      </c>
      <c r="J67" s="12">
        <v>6808.5381042352401</v>
      </c>
      <c r="K67" s="12">
        <v>2719.5313007363102</v>
      </c>
      <c r="L67" s="12">
        <v>8260.93424497659</v>
      </c>
      <c r="M67" s="12">
        <v>16850.911528598899</v>
      </c>
      <c r="N67" s="12">
        <v>2052031.1474843801</v>
      </c>
      <c r="O67" s="12">
        <v>962.47735692215895</v>
      </c>
      <c r="P67" s="12">
        <v>65029.919515064699</v>
      </c>
      <c r="Q67" s="12">
        <v>14617.0798777333</v>
      </c>
      <c r="R67" s="12">
        <v>10439.843078457199</v>
      </c>
      <c r="S67" s="12">
        <v>39101.202757645398</v>
      </c>
      <c r="T67" s="12">
        <v>4584969.1889597904</v>
      </c>
      <c r="U67" s="12">
        <v>2246732.2510605999</v>
      </c>
      <c r="V67" s="12">
        <v>2811532.02669443</v>
      </c>
      <c r="W67" s="12">
        <v>16992039.729715198</v>
      </c>
      <c r="X67" s="12">
        <v>271830731.201608</v>
      </c>
      <c r="Y67" s="12">
        <v>4308828.4448509002</v>
      </c>
      <c r="Z67" s="12">
        <v>18611.223064679099</v>
      </c>
      <c r="AA67" s="12">
        <v>12512.0509308934</v>
      </c>
      <c r="AB67" s="12">
        <v>7243.4195069665002</v>
      </c>
      <c r="AC67" s="12">
        <v>1516.4281697589699</v>
      </c>
      <c r="AD67" s="12">
        <v>1435.1788380369501</v>
      </c>
      <c r="AE67" s="12">
        <v>123615.406925156</v>
      </c>
      <c r="AF67" s="12">
        <v>268236.62167441502</v>
      </c>
      <c r="AG67" s="12">
        <v>59530.957194604198</v>
      </c>
      <c r="AH67" s="12">
        <v>15722.976137403801</v>
      </c>
      <c r="AI67" s="12">
        <v>1633155.7190099901</v>
      </c>
      <c r="AJ67" s="12">
        <v>115589.20439701701</v>
      </c>
      <c r="AK67" s="12">
        <v>27874.125884900699</v>
      </c>
      <c r="AL67" s="12">
        <v>1569956.4817966199</v>
      </c>
      <c r="AM67" s="12">
        <v>422549.78990331502</v>
      </c>
      <c r="AN67" s="12">
        <v>1704886.6812893201</v>
      </c>
      <c r="AO67" s="12">
        <v>79056.207465590895</v>
      </c>
      <c r="AP67" s="12">
        <v>266115.56431009597</v>
      </c>
      <c r="AQ67" s="12">
        <v>35853.492834753</v>
      </c>
      <c r="AR67" s="12">
        <v>64356.717228331203</v>
      </c>
      <c r="AS67" s="12">
        <v>53444.440919311601</v>
      </c>
      <c r="AT67" s="12">
        <v>177881.14042072199</v>
      </c>
      <c r="AU67" s="21">
        <v>311670661.42485303</v>
      </c>
      <c r="AV67" s="12">
        <v>3357839.5355590498</v>
      </c>
      <c r="AW67" s="12">
        <v>16364291.448088</v>
      </c>
      <c r="AX67" s="12">
        <v>2427487.1331000398</v>
      </c>
      <c r="AY67" s="12">
        <v>24494571.818227101</v>
      </c>
      <c r="AZ67" s="21">
        <v>46644189.934974097</v>
      </c>
      <c r="BA67" s="21">
        <v>358314851.35982603</v>
      </c>
      <c r="BB67" s="26">
        <v>0</v>
      </c>
    </row>
    <row r="68" spans="1:54" x14ac:dyDescent="0.25">
      <c r="A68" s="114"/>
      <c r="B68" s="115"/>
      <c r="C68" s="11" t="s">
        <v>156</v>
      </c>
      <c r="D68" s="9" t="s">
        <v>182</v>
      </c>
      <c r="E68" s="12">
        <v>6722.3937846088202</v>
      </c>
      <c r="F68" s="12">
        <v>10644.600774721799</v>
      </c>
      <c r="G68" s="12">
        <v>191654.09037177701</v>
      </c>
      <c r="H68" s="12">
        <v>19764.238458539399</v>
      </c>
      <c r="I68" s="12">
        <v>62946.546944746799</v>
      </c>
      <c r="J68" s="12">
        <v>36094.537404096103</v>
      </c>
      <c r="K68" s="12">
        <v>4113.9980942113898</v>
      </c>
      <c r="L68" s="12">
        <v>30143.439816622002</v>
      </c>
      <c r="M68" s="12">
        <v>3201.9419779632399</v>
      </c>
      <c r="N68" s="12">
        <v>46288.297889319299</v>
      </c>
      <c r="O68" s="12">
        <v>173989.225533889</v>
      </c>
      <c r="P68" s="12">
        <v>213612.93265983101</v>
      </c>
      <c r="Q68" s="12">
        <v>150496.760190323</v>
      </c>
      <c r="R68" s="12">
        <v>63002.610857988599</v>
      </c>
      <c r="S68" s="12">
        <v>67329.498581056701</v>
      </c>
      <c r="T68" s="12">
        <v>1197623.43095102</v>
      </c>
      <c r="U68" s="12">
        <v>2217222.90306844</v>
      </c>
      <c r="V68" s="12">
        <v>2697825.7321848501</v>
      </c>
      <c r="W68" s="12">
        <v>1320354.37002417</v>
      </c>
      <c r="X68" s="12">
        <v>3728160.0321790199</v>
      </c>
      <c r="Y68" s="12">
        <v>6165278.9246909805</v>
      </c>
      <c r="Z68" s="12">
        <v>134730.49625040501</v>
      </c>
      <c r="AA68" s="12">
        <v>168031.998392977</v>
      </c>
      <c r="AB68" s="12">
        <v>2765216.2104878998</v>
      </c>
      <c r="AC68" s="12">
        <v>22856.242565277102</v>
      </c>
      <c r="AD68" s="12">
        <v>21362.5183913238</v>
      </c>
      <c r="AE68" s="12">
        <v>554302.97460734902</v>
      </c>
      <c r="AF68" s="12">
        <v>1729.45352389865</v>
      </c>
      <c r="AG68" s="12">
        <v>28741.190211650599</v>
      </c>
      <c r="AH68" s="12">
        <v>1241.70209417002</v>
      </c>
      <c r="AI68" s="12">
        <v>188781.27536103901</v>
      </c>
      <c r="AJ68" s="12">
        <v>2205.7680519976402</v>
      </c>
      <c r="AK68" s="12">
        <v>2532.90360795172</v>
      </c>
      <c r="AL68" s="12">
        <v>31265.159678217198</v>
      </c>
      <c r="AM68" s="12">
        <v>1934006.55320519</v>
      </c>
      <c r="AN68" s="12">
        <v>3909036.2954233601</v>
      </c>
      <c r="AO68" s="12">
        <v>100631.69889890301</v>
      </c>
      <c r="AP68" s="12">
        <v>185769.36839140099</v>
      </c>
      <c r="AQ68" s="12">
        <v>876055.48245802999</v>
      </c>
      <c r="AR68" s="12">
        <v>190809.42334539801</v>
      </c>
      <c r="AS68" s="12">
        <v>54839.404849001599</v>
      </c>
      <c r="AT68" s="12">
        <v>41029.692418413899</v>
      </c>
      <c r="AU68" s="21">
        <v>29621646.318652</v>
      </c>
      <c r="AV68" s="12">
        <v>3289727.8991486202</v>
      </c>
      <c r="AW68" s="12">
        <v>9680514.3602222297</v>
      </c>
      <c r="AX68" s="12">
        <v>187530.23662004899</v>
      </c>
      <c r="AY68" s="12">
        <v>1061610.8145967999</v>
      </c>
      <c r="AZ68" s="21">
        <v>14219383.3105877</v>
      </c>
      <c r="BA68" s="21">
        <v>43841029.629239701</v>
      </c>
      <c r="BB68" s="26">
        <v>0</v>
      </c>
    </row>
    <row r="69" spans="1:54" x14ac:dyDescent="0.25">
      <c r="A69" s="114"/>
      <c r="B69" s="115"/>
      <c r="C69" s="11" t="s">
        <v>157</v>
      </c>
      <c r="D69" s="9" t="s">
        <v>183</v>
      </c>
      <c r="E69" s="12">
        <v>276.41705021676802</v>
      </c>
      <c r="F69" s="12">
        <v>1387.19008208838</v>
      </c>
      <c r="G69" s="12">
        <v>349.00198664476898</v>
      </c>
      <c r="H69" s="12">
        <v>371.85897521654101</v>
      </c>
      <c r="I69" s="12">
        <v>568.06718909578296</v>
      </c>
      <c r="J69" s="12">
        <v>2237.2362040019402</v>
      </c>
      <c r="K69" s="12">
        <v>15919.4626029272</v>
      </c>
      <c r="L69" s="12">
        <v>52740.847185176899</v>
      </c>
      <c r="M69" s="12">
        <v>5133.08891820187</v>
      </c>
      <c r="N69" s="12">
        <v>1414777.3324597201</v>
      </c>
      <c r="O69" s="12">
        <v>3219.2456362857702</v>
      </c>
      <c r="P69" s="12">
        <v>163142.20153683299</v>
      </c>
      <c r="Q69" s="12">
        <v>102257.71185257001</v>
      </c>
      <c r="R69" s="12">
        <v>3348924.4028206598</v>
      </c>
      <c r="S69" s="12">
        <v>279802.62842594401</v>
      </c>
      <c r="T69" s="12">
        <v>10366.9297765665</v>
      </c>
      <c r="U69" s="12">
        <v>5287.2788168648303</v>
      </c>
      <c r="V69" s="12">
        <v>3852.5102885117099</v>
      </c>
      <c r="W69" s="12">
        <v>20818.249209207101</v>
      </c>
      <c r="X69" s="12">
        <v>9300.2715608866802</v>
      </c>
      <c r="Y69" s="12">
        <v>71139.234691448903</v>
      </c>
      <c r="Z69" s="12">
        <v>812106.89297664503</v>
      </c>
      <c r="AA69" s="12">
        <v>196.50753492711601</v>
      </c>
      <c r="AB69" s="12">
        <v>2900.4509062603502</v>
      </c>
      <c r="AC69" s="12">
        <v>126.642900855476</v>
      </c>
      <c r="AD69" s="12">
        <v>63.018515706470602</v>
      </c>
      <c r="AE69" s="12">
        <v>7031.6802902204599</v>
      </c>
      <c r="AF69" s="12">
        <v>329.40726773417902</v>
      </c>
      <c r="AG69" s="12">
        <v>1326.38152005081</v>
      </c>
      <c r="AH69" s="12">
        <v>1105.0196169288499</v>
      </c>
      <c r="AI69" s="12">
        <v>815.16458799453596</v>
      </c>
      <c r="AJ69" s="12">
        <v>311.90455495954302</v>
      </c>
      <c r="AK69" s="12">
        <v>5145.80914385707</v>
      </c>
      <c r="AL69" s="12">
        <v>34326.777723628598</v>
      </c>
      <c r="AM69" s="12">
        <v>6662.03845856721</v>
      </c>
      <c r="AN69" s="12">
        <v>21386.0670363219</v>
      </c>
      <c r="AO69" s="12">
        <v>2890.4092410855901</v>
      </c>
      <c r="AP69" s="12">
        <v>9692.8507346953793</v>
      </c>
      <c r="AQ69" s="12">
        <v>925.802329777409</v>
      </c>
      <c r="AR69" s="12">
        <v>837.05553410603898</v>
      </c>
      <c r="AS69" s="12">
        <v>2844.6940271260401</v>
      </c>
      <c r="AT69" s="12">
        <v>761.25693089932702</v>
      </c>
      <c r="AU69" s="21">
        <v>6423656.9991014097</v>
      </c>
      <c r="AV69" s="12">
        <v>378717.625848322</v>
      </c>
      <c r="AW69" s="12">
        <v>0</v>
      </c>
      <c r="AX69" s="12">
        <v>153860.46502331001</v>
      </c>
      <c r="AY69" s="12">
        <v>0</v>
      </c>
      <c r="AZ69" s="21">
        <v>532578.09087163198</v>
      </c>
      <c r="BA69" s="21">
        <v>6956235.0899730399</v>
      </c>
      <c r="BB69" s="26">
        <v>0</v>
      </c>
    </row>
    <row r="70" spans="1:54" x14ac:dyDescent="0.25">
      <c r="A70" s="114"/>
      <c r="B70" s="115"/>
      <c r="C70" s="11" t="s">
        <v>158</v>
      </c>
      <c r="D70" s="9" t="s">
        <v>184</v>
      </c>
      <c r="E70" s="12">
        <v>10194.1688032115</v>
      </c>
      <c r="F70" s="12">
        <v>226.786868443038</v>
      </c>
      <c r="G70" s="12">
        <v>139.60320018911801</v>
      </c>
      <c r="H70" s="12">
        <v>170.50370153246499</v>
      </c>
      <c r="I70" s="12">
        <v>115.632138496389</v>
      </c>
      <c r="J70" s="12">
        <v>11724.7565806607</v>
      </c>
      <c r="K70" s="12">
        <v>3509.3337267070901</v>
      </c>
      <c r="L70" s="12">
        <v>4847.3478162925203</v>
      </c>
      <c r="M70" s="12">
        <v>4245.4872560754802</v>
      </c>
      <c r="N70" s="12">
        <v>9655.8595332744699</v>
      </c>
      <c r="O70" s="12">
        <v>13871.6250304448</v>
      </c>
      <c r="P70" s="12">
        <v>43366.330806559898</v>
      </c>
      <c r="Q70" s="12">
        <v>84517.975329899098</v>
      </c>
      <c r="R70" s="12">
        <v>33652.178819369001</v>
      </c>
      <c r="S70" s="12">
        <v>10103.834891145199</v>
      </c>
      <c r="T70" s="12">
        <v>28893.508832302701</v>
      </c>
      <c r="U70" s="12">
        <v>41043.963628336802</v>
      </c>
      <c r="V70" s="12">
        <v>34080.505181737601</v>
      </c>
      <c r="W70" s="12">
        <v>17223.094832749499</v>
      </c>
      <c r="X70" s="12">
        <v>22739.589646156499</v>
      </c>
      <c r="Y70" s="12">
        <v>1632.2588798320101</v>
      </c>
      <c r="Z70" s="12">
        <v>2261.9261526712498</v>
      </c>
      <c r="AA70" s="12">
        <v>1044.9637676572099</v>
      </c>
      <c r="AB70" s="12">
        <v>6308.69560482012</v>
      </c>
      <c r="AC70" s="12">
        <v>245.62687511589999</v>
      </c>
      <c r="AD70" s="12">
        <v>152.248173405096</v>
      </c>
      <c r="AE70" s="12">
        <v>1335.92860315589</v>
      </c>
      <c r="AF70" s="12">
        <v>29009.519666526801</v>
      </c>
      <c r="AG70" s="12">
        <v>547495.83986740897</v>
      </c>
      <c r="AH70" s="12">
        <v>83.264049542906093</v>
      </c>
      <c r="AI70" s="12">
        <v>32513.6765542541</v>
      </c>
      <c r="AJ70" s="12">
        <v>308.30038009877001</v>
      </c>
      <c r="AK70" s="12">
        <v>1428.94822066494</v>
      </c>
      <c r="AL70" s="12">
        <v>12125.2162727711</v>
      </c>
      <c r="AM70" s="12">
        <v>13463.7783350097</v>
      </c>
      <c r="AN70" s="12">
        <v>12016.274685844201</v>
      </c>
      <c r="AO70" s="12">
        <v>96.861142321695596</v>
      </c>
      <c r="AP70" s="12">
        <v>2322.8446447349902</v>
      </c>
      <c r="AQ70" s="12">
        <v>79.003637786407495</v>
      </c>
      <c r="AR70" s="12">
        <v>616.24773734928999</v>
      </c>
      <c r="AS70" s="12">
        <v>472.72599723760698</v>
      </c>
      <c r="AT70" s="12">
        <v>645.481693957689</v>
      </c>
      <c r="AU70" s="21">
        <v>1039981.71756575</v>
      </c>
      <c r="AV70" s="12">
        <v>0</v>
      </c>
      <c r="AW70" s="12">
        <v>1277576.3785954299</v>
      </c>
      <c r="AX70" s="12">
        <v>0</v>
      </c>
      <c r="AY70" s="12">
        <v>0</v>
      </c>
      <c r="AZ70" s="21">
        <v>1277576.3785954299</v>
      </c>
      <c r="BA70" s="21">
        <v>2317558.0961611802</v>
      </c>
      <c r="BB70" s="26">
        <v>0</v>
      </c>
    </row>
    <row r="71" spans="1:54" x14ac:dyDescent="0.25">
      <c r="A71" s="114"/>
      <c r="B71" s="115"/>
      <c r="C71" s="11" t="s">
        <v>159</v>
      </c>
      <c r="D71" s="9" t="s">
        <v>185</v>
      </c>
      <c r="E71" s="12">
        <v>0</v>
      </c>
      <c r="F71" s="12">
        <v>0</v>
      </c>
      <c r="G71" s="12">
        <v>0</v>
      </c>
      <c r="H71" s="12">
        <v>0</v>
      </c>
      <c r="I71" s="12">
        <v>0</v>
      </c>
      <c r="J71" s="12">
        <v>0</v>
      </c>
      <c r="K71" s="12">
        <v>0</v>
      </c>
      <c r="L71" s="12">
        <v>0</v>
      </c>
      <c r="M71" s="12">
        <v>0</v>
      </c>
      <c r="N71" s="12">
        <v>0</v>
      </c>
      <c r="O71" s="12">
        <v>0</v>
      </c>
      <c r="P71" s="12">
        <v>0</v>
      </c>
      <c r="Q71" s="12">
        <v>0</v>
      </c>
      <c r="R71" s="12">
        <v>0</v>
      </c>
      <c r="S71" s="12">
        <v>0</v>
      </c>
      <c r="T71" s="12">
        <v>0</v>
      </c>
      <c r="U71" s="12">
        <v>0</v>
      </c>
      <c r="V71" s="12">
        <v>0</v>
      </c>
      <c r="W71" s="12">
        <v>0</v>
      </c>
      <c r="X71" s="12">
        <v>0</v>
      </c>
      <c r="Y71" s="12">
        <v>0</v>
      </c>
      <c r="Z71" s="12">
        <v>0</v>
      </c>
      <c r="AA71" s="12">
        <v>0</v>
      </c>
      <c r="AB71" s="12">
        <v>62306.851345926298</v>
      </c>
      <c r="AC71" s="12">
        <v>0</v>
      </c>
      <c r="AD71" s="12">
        <v>0</v>
      </c>
      <c r="AE71" s="12">
        <v>0</v>
      </c>
      <c r="AF71" s="12">
        <v>0</v>
      </c>
      <c r="AG71" s="12">
        <v>0</v>
      </c>
      <c r="AH71" s="12">
        <v>0</v>
      </c>
      <c r="AI71" s="12">
        <v>0</v>
      </c>
      <c r="AJ71" s="12">
        <v>0</v>
      </c>
      <c r="AK71" s="12">
        <v>0</v>
      </c>
      <c r="AL71" s="12">
        <v>0</v>
      </c>
      <c r="AM71" s="12">
        <v>0</v>
      </c>
      <c r="AN71" s="12">
        <v>0</v>
      </c>
      <c r="AO71" s="12">
        <v>0</v>
      </c>
      <c r="AP71" s="12">
        <v>0</v>
      </c>
      <c r="AQ71" s="12">
        <v>0</v>
      </c>
      <c r="AR71" s="12">
        <v>0</v>
      </c>
      <c r="AS71" s="12">
        <v>0</v>
      </c>
      <c r="AT71" s="12">
        <v>0</v>
      </c>
      <c r="AU71" s="21">
        <v>62306.851345926298</v>
      </c>
      <c r="AV71" s="12">
        <v>60911.589854073703</v>
      </c>
      <c r="AW71" s="12">
        <v>0</v>
      </c>
      <c r="AX71" s="12">
        <v>0</v>
      </c>
      <c r="AY71" s="12">
        <v>0</v>
      </c>
      <c r="AZ71" s="21">
        <v>60911.589854073703</v>
      </c>
      <c r="BA71" s="21">
        <v>123218.4412</v>
      </c>
      <c r="BB71" s="26">
        <v>0</v>
      </c>
    </row>
    <row r="72" spans="1:54" x14ac:dyDescent="0.25">
      <c r="A72" s="114"/>
      <c r="B72" s="115"/>
      <c r="C72" s="11" t="s">
        <v>80</v>
      </c>
      <c r="D72" s="9" t="s">
        <v>186</v>
      </c>
      <c r="E72" s="12">
        <v>0</v>
      </c>
      <c r="F72" s="12">
        <v>0</v>
      </c>
      <c r="G72" s="12">
        <v>0</v>
      </c>
      <c r="H72" s="12">
        <v>0</v>
      </c>
      <c r="I72" s="12">
        <v>0</v>
      </c>
      <c r="J72" s="12">
        <v>0</v>
      </c>
      <c r="K72" s="12">
        <v>0</v>
      </c>
      <c r="L72" s="12">
        <v>0</v>
      </c>
      <c r="M72" s="12">
        <v>0</v>
      </c>
      <c r="N72" s="12">
        <v>0</v>
      </c>
      <c r="O72" s="12">
        <v>0</v>
      </c>
      <c r="P72" s="12">
        <v>0</v>
      </c>
      <c r="Q72" s="12">
        <v>0</v>
      </c>
      <c r="R72" s="12">
        <v>0</v>
      </c>
      <c r="S72" s="12">
        <v>0</v>
      </c>
      <c r="T72" s="12">
        <v>0</v>
      </c>
      <c r="U72" s="12">
        <v>0</v>
      </c>
      <c r="V72" s="12">
        <v>0</v>
      </c>
      <c r="W72" s="12">
        <v>0</v>
      </c>
      <c r="X72" s="12">
        <v>0</v>
      </c>
      <c r="Y72" s="12">
        <v>0</v>
      </c>
      <c r="Z72" s="12">
        <v>0</v>
      </c>
      <c r="AA72" s="12">
        <v>0</v>
      </c>
      <c r="AB72" s="12">
        <v>0</v>
      </c>
      <c r="AC72" s="12">
        <v>0</v>
      </c>
      <c r="AD72" s="12">
        <v>0</v>
      </c>
      <c r="AE72" s="12">
        <v>0</v>
      </c>
      <c r="AF72" s="12">
        <v>0</v>
      </c>
      <c r="AG72" s="12">
        <v>0</v>
      </c>
      <c r="AH72" s="12">
        <v>0</v>
      </c>
      <c r="AI72" s="12">
        <v>0</v>
      </c>
      <c r="AJ72" s="12">
        <v>0</v>
      </c>
      <c r="AK72" s="12">
        <v>0</v>
      </c>
      <c r="AL72" s="12">
        <v>0</v>
      </c>
      <c r="AM72" s="12">
        <v>0</v>
      </c>
      <c r="AN72" s="12">
        <v>0</v>
      </c>
      <c r="AO72" s="12">
        <v>0</v>
      </c>
      <c r="AP72" s="12">
        <v>0</v>
      </c>
      <c r="AQ72" s="12">
        <v>0</v>
      </c>
      <c r="AR72" s="12">
        <v>0</v>
      </c>
      <c r="AS72" s="12">
        <v>0</v>
      </c>
      <c r="AT72" s="12">
        <v>0</v>
      </c>
      <c r="AU72" s="21">
        <v>0</v>
      </c>
      <c r="AV72" s="12">
        <v>0</v>
      </c>
      <c r="AW72" s="12">
        <v>0</v>
      </c>
      <c r="AX72" s="12">
        <v>0</v>
      </c>
      <c r="AY72" s="12">
        <v>0</v>
      </c>
      <c r="AZ72" s="21">
        <v>0</v>
      </c>
      <c r="BA72" s="21">
        <v>0</v>
      </c>
      <c r="BB72" s="26">
        <v>0</v>
      </c>
    </row>
    <row r="73" spans="1:54" x14ac:dyDescent="0.25">
      <c r="A73" s="114"/>
      <c r="B73" s="115"/>
      <c r="C73" s="11" t="s">
        <v>81</v>
      </c>
      <c r="D73" s="9" t="s">
        <v>187</v>
      </c>
      <c r="E73" s="12">
        <v>0</v>
      </c>
      <c r="F73" s="12">
        <v>0</v>
      </c>
      <c r="G73" s="12">
        <v>0</v>
      </c>
      <c r="H73" s="12">
        <v>0</v>
      </c>
      <c r="I73" s="12">
        <v>0</v>
      </c>
      <c r="J73" s="12">
        <v>0</v>
      </c>
      <c r="K73" s="12">
        <v>0</v>
      </c>
      <c r="L73" s="12">
        <v>0</v>
      </c>
      <c r="M73" s="12">
        <v>0</v>
      </c>
      <c r="N73" s="12">
        <v>0</v>
      </c>
      <c r="O73" s="12">
        <v>0</v>
      </c>
      <c r="P73" s="12">
        <v>0</v>
      </c>
      <c r="Q73" s="12">
        <v>0</v>
      </c>
      <c r="R73" s="12">
        <v>0</v>
      </c>
      <c r="S73" s="12">
        <v>0</v>
      </c>
      <c r="T73" s="12">
        <v>0</v>
      </c>
      <c r="U73" s="12">
        <v>0</v>
      </c>
      <c r="V73" s="12">
        <v>0</v>
      </c>
      <c r="W73" s="12">
        <v>0</v>
      </c>
      <c r="X73" s="12">
        <v>0</v>
      </c>
      <c r="Y73" s="12">
        <v>0</v>
      </c>
      <c r="Z73" s="12">
        <v>0</v>
      </c>
      <c r="AA73" s="12">
        <v>0</v>
      </c>
      <c r="AB73" s="12">
        <v>0</v>
      </c>
      <c r="AC73" s="12">
        <v>0</v>
      </c>
      <c r="AD73" s="12">
        <v>0</v>
      </c>
      <c r="AE73" s="12">
        <v>0</v>
      </c>
      <c r="AF73" s="12">
        <v>0</v>
      </c>
      <c r="AG73" s="12">
        <v>0</v>
      </c>
      <c r="AH73" s="12">
        <v>0</v>
      </c>
      <c r="AI73" s="12">
        <v>0</v>
      </c>
      <c r="AJ73" s="12">
        <v>0</v>
      </c>
      <c r="AK73" s="12">
        <v>0</v>
      </c>
      <c r="AL73" s="12">
        <v>0</v>
      </c>
      <c r="AM73" s="12">
        <v>0</v>
      </c>
      <c r="AN73" s="12">
        <v>0</v>
      </c>
      <c r="AO73" s="12">
        <v>0</v>
      </c>
      <c r="AP73" s="12">
        <v>0</v>
      </c>
      <c r="AQ73" s="12">
        <v>0</v>
      </c>
      <c r="AR73" s="12">
        <v>0</v>
      </c>
      <c r="AS73" s="12">
        <v>0</v>
      </c>
      <c r="AT73" s="12">
        <v>0</v>
      </c>
      <c r="AU73" s="21">
        <v>0</v>
      </c>
      <c r="AV73" s="12">
        <v>0</v>
      </c>
      <c r="AW73" s="12">
        <v>0</v>
      </c>
      <c r="AX73" s="12">
        <v>0</v>
      </c>
      <c r="AY73" s="12">
        <v>0</v>
      </c>
      <c r="AZ73" s="21">
        <v>0</v>
      </c>
      <c r="BA73" s="21">
        <v>0</v>
      </c>
      <c r="BB73" s="26">
        <v>0</v>
      </c>
    </row>
    <row r="74" spans="1:54" x14ac:dyDescent="0.25">
      <c r="A74" s="114"/>
      <c r="B74" s="115"/>
      <c r="C74" s="11" t="s">
        <v>82</v>
      </c>
      <c r="D74" s="9" t="s">
        <v>188</v>
      </c>
      <c r="E74" s="12">
        <v>0</v>
      </c>
      <c r="F74" s="12">
        <v>0</v>
      </c>
      <c r="G74" s="12">
        <v>0</v>
      </c>
      <c r="H74" s="12">
        <v>0</v>
      </c>
      <c r="I74" s="12">
        <v>0</v>
      </c>
      <c r="J74" s="12">
        <v>0</v>
      </c>
      <c r="K74" s="12">
        <v>0</v>
      </c>
      <c r="L74" s="12">
        <v>0</v>
      </c>
      <c r="M74" s="12">
        <v>0</v>
      </c>
      <c r="N74" s="12">
        <v>0</v>
      </c>
      <c r="O74" s="12">
        <v>0</v>
      </c>
      <c r="P74" s="12">
        <v>0</v>
      </c>
      <c r="Q74" s="12">
        <v>0</v>
      </c>
      <c r="R74" s="12">
        <v>0</v>
      </c>
      <c r="S74" s="12">
        <v>0</v>
      </c>
      <c r="T74" s="12">
        <v>0</v>
      </c>
      <c r="U74" s="12">
        <v>0</v>
      </c>
      <c r="V74" s="12">
        <v>0</v>
      </c>
      <c r="W74" s="12">
        <v>0</v>
      </c>
      <c r="X74" s="12">
        <v>0</v>
      </c>
      <c r="Y74" s="12">
        <v>0</v>
      </c>
      <c r="Z74" s="12">
        <v>0</v>
      </c>
      <c r="AA74" s="12">
        <v>0</v>
      </c>
      <c r="AB74" s="12">
        <v>0</v>
      </c>
      <c r="AC74" s="12">
        <v>0</v>
      </c>
      <c r="AD74" s="12">
        <v>0</v>
      </c>
      <c r="AE74" s="12">
        <v>0</v>
      </c>
      <c r="AF74" s="12">
        <v>0</v>
      </c>
      <c r="AG74" s="12">
        <v>0</v>
      </c>
      <c r="AH74" s="12">
        <v>0</v>
      </c>
      <c r="AI74" s="12">
        <v>0</v>
      </c>
      <c r="AJ74" s="12">
        <v>0</v>
      </c>
      <c r="AK74" s="12">
        <v>0</v>
      </c>
      <c r="AL74" s="12">
        <v>0</v>
      </c>
      <c r="AM74" s="12">
        <v>0</v>
      </c>
      <c r="AN74" s="12">
        <v>0</v>
      </c>
      <c r="AO74" s="12">
        <v>0</v>
      </c>
      <c r="AP74" s="12">
        <v>0</v>
      </c>
      <c r="AQ74" s="12">
        <v>0</v>
      </c>
      <c r="AR74" s="12">
        <v>0</v>
      </c>
      <c r="AS74" s="12">
        <v>0</v>
      </c>
      <c r="AT74" s="12">
        <v>0</v>
      </c>
      <c r="AU74" s="21">
        <v>0</v>
      </c>
      <c r="AV74" s="12">
        <v>0</v>
      </c>
      <c r="AW74" s="12">
        <v>5545047.8637640001</v>
      </c>
      <c r="AX74" s="12">
        <v>0</v>
      </c>
      <c r="AY74" s="12">
        <v>0</v>
      </c>
      <c r="AZ74" s="21">
        <v>5545047.8637640001</v>
      </c>
      <c r="BA74" s="21">
        <v>5545047.8637640001</v>
      </c>
      <c r="BB74" s="26">
        <v>0</v>
      </c>
    </row>
    <row r="75" spans="1:54" x14ac:dyDescent="0.25">
      <c r="A75" s="114"/>
      <c r="B75" s="115"/>
      <c r="C75" s="11" t="s">
        <v>83</v>
      </c>
      <c r="D75" s="9" t="s">
        <v>189</v>
      </c>
      <c r="E75" s="12">
        <v>0</v>
      </c>
      <c r="F75" s="12">
        <v>0</v>
      </c>
      <c r="G75" s="12">
        <v>0</v>
      </c>
      <c r="H75" s="12">
        <v>0</v>
      </c>
      <c r="I75" s="12">
        <v>0</v>
      </c>
      <c r="J75" s="12">
        <v>0</v>
      </c>
      <c r="K75" s="12">
        <v>0</v>
      </c>
      <c r="L75" s="12">
        <v>0</v>
      </c>
      <c r="M75" s="12">
        <v>0</v>
      </c>
      <c r="N75" s="12">
        <v>0</v>
      </c>
      <c r="O75" s="12">
        <v>0</v>
      </c>
      <c r="P75" s="12">
        <v>0</v>
      </c>
      <c r="Q75" s="12">
        <v>0</v>
      </c>
      <c r="R75" s="12">
        <v>0</v>
      </c>
      <c r="S75" s="12">
        <v>0</v>
      </c>
      <c r="T75" s="12">
        <v>0</v>
      </c>
      <c r="U75" s="12">
        <v>0</v>
      </c>
      <c r="V75" s="12">
        <v>0</v>
      </c>
      <c r="W75" s="12">
        <v>0</v>
      </c>
      <c r="X75" s="12">
        <v>0</v>
      </c>
      <c r="Y75" s="12">
        <v>0</v>
      </c>
      <c r="Z75" s="12">
        <v>0</v>
      </c>
      <c r="AA75" s="12">
        <v>0</v>
      </c>
      <c r="AB75" s="12">
        <v>0</v>
      </c>
      <c r="AC75" s="12">
        <v>0</v>
      </c>
      <c r="AD75" s="12">
        <v>0</v>
      </c>
      <c r="AE75" s="12">
        <v>0</v>
      </c>
      <c r="AF75" s="12">
        <v>0</v>
      </c>
      <c r="AG75" s="12">
        <v>0</v>
      </c>
      <c r="AH75" s="12">
        <v>0</v>
      </c>
      <c r="AI75" s="12">
        <v>0</v>
      </c>
      <c r="AJ75" s="12">
        <v>0</v>
      </c>
      <c r="AK75" s="12">
        <v>0</v>
      </c>
      <c r="AL75" s="12">
        <v>0</v>
      </c>
      <c r="AM75" s="12">
        <v>0</v>
      </c>
      <c r="AN75" s="12">
        <v>0</v>
      </c>
      <c r="AO75" s="12">
        <v>0</v>
      </c>
      <c r="AP75" s="12">
        <v>0</v>
      </c>
      <c r="AQ75" s="12">
        <v>0</v>
      </c>
      <c r="AR75" s="12">
        <v>0</v>
      </c>
      <c r="AS75" s="12">
        <v>0</v>
      </c>
      <c r="AT75" s="12">
        <v>0</v>
      </c>
      <c r="AU75" s="21">
        <v>0</v>
      </c>
      <c r="AV75" s="12">
        <v>0</v>
      </c>
      <c r="AW75" s="12">
        <v>0</v>
      </c>
      <c r="AX75" s="12">
        <v>0</v>
      </c>
      <c r="AY75" s="12">
        <v>0</v>
      </c>
      <c r="AZ75" s="21">
        <v>0</v>
      </c>
      <c r="BA75" s="21">
        <v>0</v>
      </c>
      <c r="BB75" s="26">
        <v>0</v>
      </c>
    </row>
    <row r="76" spans="1:54" x14ac:dyDescent="0.25">
      <c r="A76" s="114"/>
      <c r="B76" s="115"/>
      <c r="C76" s="11" t="s">
        <v>84</v>
      </c>
      <c r="D76" s="9" t="s">
        <v>190</v>
      </c>
      <c r="E76" s="12">
        <v>378992.475653556</v>
      </c>
      <c r="F76" s="12">
        <v>11390.3141563145</v>
      </c>
      <c r="G76" s="12">
        <v>9312.6469593398906</v>
      </c>
      <c r="H76" s="12">
        <v>8754.2106810160894</v>
      </c>
      <c r="I76" s="12">
        <v>27261.186489370099</v>
      </c>
      <c r="J76" s="12">
        <v>183948.94532008399</v>
      </c>
      <c r="K76" s="12">
        <v>70683.320952829599</v>
      </c>
      <c r="L76" s="12">
        <v>181564.53029585199</v>
      </c>
      <c r="M76" s="12">
        <v>80501.099150721304</v>
      </c>
      <c r="N76" s="12">
        <v>82422.248931835595</v>
      </c>
      <c r="O76" s="12">
        <v>14711.032647643</v>
      </c>
      <c r="P76" s="12">
        <v>579169.81792901503</v>
      </c>
      <c r="Q76" s="12">
        <v>169200.078681479</v>
      </c>
      <c r="R76" s="12">
        <v>57381.857095567997</v>
      </c>
      <c r="S76" s="12">
        <v>164931.58959784199</v>
      </c>
      <c r="T76" s="12">
        <v>165693.917125462</v>
      </c>
      <c r="U76" s="12">
        <v>268741.68100694998</v>
      </c>
      <c r="V76" s="12">
        <v>296595.55544393201</v>
      </c>
      <c r="W76" s="12">
        <v>239480.636766835</v>
      </c>
      <c r="X76" s="12">
        <v>298917.95435835799</v>
      </c>
      <c r="Y76" s="12">
        <v>63629.088718362997</v>
      </c>
      <c r="Z76" s="12">
        <v>18088.8624536553</v>
      </c>
      <c r="AA76" s="12">
        <v>9692.3102272337692</v>
      </c>
      <c r="AB76" s="12">
        <v>203762.97355512599</v>
      </c>
      <c r="AC76" s="12">
        <v>8217.34250687034</v>
      </c>
      <c r="AD76" s="12">
        <v>5770.9421016219403</v>
      </c>
      <c r="AE76" s="12">
        <v>1015408.36462955</v>
      </c>
      <c r="AF76" s="12">
        <v>1104101.6226508899</v>
      </c>
      <c r="AG76" s="12">
        <v>3443391.7441729801</v>
      </c>
      <c r="AH76" s="12">
        <v>278115.66505147901</v>
      </c>
      <c r="AI76" s="12">
        <v>1843460.91538129</v>
      </c>
      <c r="AJ76" s="12">
        <v>814139.49120584701</v>
      </c>
      <c r="AK76" s="12">
        <v>430868.20396090602</v>
      </c>
      <c r="AL76" s="12">
        <v>8968429.6566468198</v>
      </c>
      <c r="AM76" s="12">
        <v>866390.84345242695</v>
      </c>
      <c r="AN76" s="12">
        <v>1602223.73916664</v>
      </c>
      <c r="AO76" s="12">
        <v>127478.68101440099</v>
      </c>
      <c r="AP76" s="12">
        <v>394197.92830433598</v>
      </c>
      <c r="AQ76" s="12">
        <v>2225599.4220609101</v>
      </c>
      <c r="AR76" s="12">
        <v>226825.43139194901</v>
      </c>
      <c r="AS76" s="12">
        <v>401252.87393878697</v>
      </c>
      <c r="AT76" s="12">
        <v>4648935.16051606</v>
      </c>
      <c r="AU76" s="21">
        <v>31989636.3623522</v>
      </c>
      <c r="AV76" s="12">
        <v>7332532.8509991504</v>
      </c>
      <c r="AW76" s="12">
        <v>0</v>
      </c>
      <c r="AX76" s="12">
        <v>0</v>
      </c>
      <c r="AY76" s="12">
        <v>0</v>
      </c>
      <c r="AZ76" s="21">
        <v>7332532.8509991504</v>
      </c>
      <c r="BA76" s="21">
        <v>39322169.213351302</v>
      </c>
      <c r="BB76" s="26">
        <v>0</v>
      </c>
    </row>
    <row r="77" spans="1:54" x14ac:dyDescent="0.25">
      <c r="A77" s="114"/>
      <c r="B77" s="115"/>
      <c r="C77" s="11" t="s">
        <v>85</v>
      </c>
      <c r="D77" s="9" t="s">
        <v>191</v>
      </c>
      <c r="E77" s="12">
        <v>173509.40753645499</v>
      </c>
      <c r="F77" s="12">
        <v>44877.1616135441</v>
      </c>
      <c r="G77" s="12">
        <v>23854.7801645529</v>
      </c>
      <c r="H77" s="12">
        <v>32217.861339689902</v>
      </c>
      <c r="I77" s="12">
        <v>36839.064623368096</v>
      </c>
      <c r="J77" s="12">
        <v>353509.94993043202</v>
      </c>
      <c r="K77" s="12">
        <v>85292.727597228499</v>
      </c>
      <c r="L77" s="12">
        <v>98991.096880504003</v>
      </c>
      <c r="M77" s="12">
        <v>64923.281267505503</v>
      </c>
      <c r="N77" s="12">
        <v>142193.54205502101</v>
      </c>
      <c r="O77" s="12">
        <v>87794.770666983095</v>
      </c>
      <c r="P77" s="12">
        <v>566097.30673113395</v>
      </c>
      <c r="Q77" s="12">
        <v>242043.715916491</v>
      </c>
      <c r="R77" s="12">
        <v>365898.94217481703</v>
      </c>
      <c r="S77" s="12">
        <v>164951.82552777199</v>
      </c>
      <c r="T77" s="12">
        <v>181967.52732157399</v>
      </c>
      <c r="U77" s="12">
        <v>238181.29950099101</v>
      </c>
      <c r="V77" s="12">
        <v>263724.09360523202</v>
      </c>
      <c r="W77" s="12">
        <v>223773.606432375</v>
      </c>
      <c r="X77" s="12">
        <v>214768.86390549201</v>
      </c>
      <c r="Y77" s="12">
        <v>49531.5598617785</v>
      </c>
      <c r="Z77" s="12">
        <v>18682.349987423</v>
      </c>
      <c r="AA77" s="12">
        <v>11557.465441500301</v>
      </c>
      <c r="AB77" s="12">
        <v>186021.20051718099</v>
      </c>
      <c r="AC77" s="12">
        <v>10804.442602721499</v>
      </c>
      <c r="AD77" s="12">
        <v>9758.9710353769497</v>
      </c>
      <c r="AE77" s="12">
        <v>840671.97875024297</v>
      </c>
      <c r="AF77" s="12">
        <v>568708.53514972597</v>
      </c>
      <c r="AG77" s="12">
        <v>1148383.6720727601</v>
      </c>
      <c r="AH77" s="12">
        <v>63178.212144610501</v>
      </c>
      <c r="AI77" s="12">
        <v>504832.768524902</v>
      </c>
      <c r="AJ77" s="12">
        <v>2268668.3871980798</v>
      </c>
      <c r="AK77" s="12">
        <v>299436.39720738301</v>
      </c>
      <c r="AL77" s="12">
        <v>3451890.2391153001</v>
      </c>
      <c r="AM77" s="12">
        <v>710322.10927114601</v>
      </c>
      <c r="AN77" s="12">
        <v>1212016.9429410701</v>
      </c>
      <c r="AO77" s="12">
        <v>82407.051408237996</v>
      </c>
      <c r="AP77" s="12">
        <v>203834.06761056601</v>
      </c>
      <c r="AQ77" s="12">
        <v>944190.82800656604</v>
      </c>
      <c r="AR77" s="12">
        <v>129654.493172143</v>
      </c>
      <c r="AS77" s="12">
        <v>418313.70478641801</v>
      </c>
      <c r="AT77" s="12">
        <v>4129200.5254154499</v>
      </c>
      <c r="AU77" s="21">
        <v>20867476.727011699</v>
      </c>
      <c r="AV77" s="12">
        <v>6899913.3580908701</v>
      </c>
      <c r="AW77" s="12">
        <v>0</v>
      </c>
      <c r="AX77" s="12">
        <v>0</v>
      </c>
      <c r="AY77" s="12">
        <v>0</v>
      </c>
      <c r="AZ77" s="21">
        <v>6899913.3580908701</v>
      </c>
      <c r="BA77" s="21">
        <v>27767390.085102599</v>
      </c>
      <c r="BB77" s="26">
        <v>0</v>
      </c>
    </row>
    <row r="78" spans="1:54" x14ac:dyDescent="0.25">
      <c r="A78" s="114"/>
      <c r="B78" s="115"/>
      <c r="C78" s="11" t="s">
        <v>86</v>
      </c>
      <c r="D78" s="9" t="s">
        <v>192</v>
      </c>
      <c r="E78" s="12">
        <v>1063.66263146815</v>
      </c>
      <c r="F78" s="12">
        <v>376.89583453340902</v>
      </c>
      <c r="G78" s="12">
        <v>122.503212047725</v>
      </c>
      <c r="H78" s="12">
        <v>430.37762438885397</v>
      </c>
      <c r="I78" s="12">
        <v>532.17543331287004</v>
      </c>
      <c r="J78" s="12">
        <v>16407.784429358999</v>
      </c>
      <c r="K78" s="12">
        <v>5651.1122537220299</v>
      </c>
      <c r="L78" s="12">
        <v>10464.1251375639</v>
      </c>
      <c r="M78" s="12">
        <v>2631.12054751697</v>
      </c>
      <c r="N78" s="12">
        <v>13478.9110696112</v>
      </c>
      <c r="O78" s="12">
        <v>1333.5401112367001</v>
      </c>
      <c r="P78" s="12">
        <v>30954.866244904199</v>
      </c>
      <c r="Q78" s="12">
        <v>4391.2777336462404</v>
      </c>
      <c r="R78" s="12">
        <v>8101.58626848311</v>
      </c>
      <c r="S78" s="12">
        <v>5176.3180733776298</v>
      </c>
      <c r="T78" s="12">
        <v>20432.499401615001</v>
      </c>
      <c r="U78" s="12">
        <v>8494.2743368804695</v>
      </c>
      <c r="V78" s="12">
        <v>18814.5684656173</v>
      </c>
      <c r="W78" s="12">
        <v>21752.631543976298</v>
      </c>
      <c r="X78" s="12">
        <v>208698.58195159701</v>
      </c>
      <c r="Y78" s="12">
        <v>3108.1902296394401</v>
      </c>
      <c r="Z78" s="12">
        <v>408.15519406357402</v>
      </c>
      <c r="AA78" s="12">
        <v>311.30479099719599</v>
      </c>
      <c r="AB78" s="12">
        <v>880.56714357424801</v>
      </c>
      <c r="AC78" s="12">
        <v>132.871578755531</v>
      </c>
      <c r="AD78" s="12">
        <v>126.024577876104</v>
      </c>
      <c r="AE78" s="12">
        <v>1452.68159833658</v>
      </c>
      <c r="AF78" s="12">
        <v>118301.239499545</v>
      </c>
      <c r="AG78" s="12">
        <v>109431.185519868</v>
      </c>
      <c r="AH78" s="12">
        <v>5256.5290396472701</v>
      </c>
      <c r="AI78" s="12">
        <v>3078211.4733037101</v>
      </c>
      <c r="AJ78" s="12">
        <v>106762.625067538</v>
      </c>
      <c r="AK78" s="12">
        <v>1903.8136052014299</v>
      </c>
      <c r="AL78" s="12">
        <v>205764.18778032801</v>
      </c>
      <c r="AM78" s="12">
        <v>14148.6566256761</v>
      </c>
      <c r="AN78" s="12">
        <v>59077.193698359799</v>
      </c>
      <c r="AO78" s="12">
        <v>322.13628179121298</v>
      </c>
      <c r="AP78" s="12">
        <v>8060.2179500668799</v>
      </c>
      <c r="AQ78" s="12">
        <v>8052.6142801874503</v>
      </c>
      <c r="AR78" s="12">
        <v>533.36499418109099</v>
      </c>
      <c r="AS78" s="12">
        <v>34164.694857288399</v>
      </c>
      <c r="AT78" s="12">
        <v>79530.487422471298</v>
      </c>
      <c r="AU78" s="21">
        <v>4215249.0273439595</v>
      </c>
      <c r="AV78" s="12">
        <v>512641.73991608899</v>
      </c>
      <c r="AW78" s="12">
        <v>22923656.813462202</v>
      </c>
      <c r="AX78" s="12">
        <v>0</v>
      </c>
      <c r="AY78" s="12">
        <v>0</v>
      </c>
      <c r="AZ78" s="21">
        <v>23436298.553378299</v>
      </c>
      <c r="BA78" s="21">
        <v>27651547.580722298</v>
      </c>
      <c r="BB78" s="26">
        <v>0</v>
      </c>
    </row>
    <row r="79" spans="1:54" x14ac:dyDescent="0.25">
      <c r="A79" s="114"/>
      <c r="B79" s="115"/>
      <c r="C79" s="11" t="s">
        <v>89</v>
      </c>
      <c r="D79" s="9">
        <v>32</v>
      </c>
      <c r="E79" s="12">
        <v>61269.772217978498</v>
      </c>
      <c r="F79" s="12">
        <v>41413.359775313598</v>
      </c>
      <c r="G79" s="12">
        <v>12224.9803433898</v>
      </c>
      <c r="H79" s="12">
        <v>9391.2453480015993</v>
      </c>
      <c r="I79" s="12">
        <v>9682.6287460389995</v>
      </c>
      <c r="J79" s="12">
        <v>38041.586636851804</v>
      </c>
      <c r="K79" s="12">
        <v>25123.416736189301</v>
      </c>
      <c r="L79" s="12">
        <v>12709.310763661601</v>
      </c>
      <c r="M79" s="12">
        <v>14397.0526425548</v>
      </c>
      <c r="N79" s="12">
        <v>39546.1324089431</v>
      </c>
      <c r="O79" s="12">
        <v>33653.699265662697</v>
      </c>
      <c r="P79" s="12">
        <v>149485.218824968</v>
      </c>
      <c r="Q79" s="12">
        <v>88726.182430518704</v>
      </c>
      <c r="R79" s="12">
        <v>214795.692547029</v>
      </c>
      <c r="S79" s="12">
        <v>60024.882562005703</v>
      </c>
      <c r="T79" s="12">
        <v>44353.669306588097</v>
      </c>
      <c r="U79" s="12">
        <v>48270.193830414697</v>
      </c>
      <c r="V79" s="12">
        <v>44267.045250734802</v>
      </c>
      <c r="W79" s="12">
        <v>61139.102809832402</v>
      </c>
      <c r="X79" s="12">
        <v>111265.14260240999</v>
      </c>
      <c r="Y79" s="12">
        <v>9340.7067912167695</v>
      </c>
      <c r="Z79" s="12">
        <v>9645.2701891171891</v>
      </c>
      <c r="AA79" s="12">
        <v>1680.7672783621399</v>
      </c>
      <c r="AB79" s="12">
        <v>97144.7085787588</v>
      </c>
      <c r="AC79" s="12">
        <v>9669.1680851954607</v>
      </c>
      <c r="AD79" s="12">
        <v>7698.3322941729703</v>
      </c>
      <c r="AE79" s="12">
        <v>513696.61523200897</v>
      </c>
      <c r="AF79" s="12">
        <v>304523.13038636302</v>
      </c>
      <c r="AG79" s="12">
        <v>342374.20879357198</v>
      </c>
      <c r="AH79" s="12">
        <v>11320.897527597201</v>
      </c>
      <c r="AI79" s="12">
        <v>69849.570995434493</v>
      </c>
      <c r="AJ79" s="12">
        <v>4524299.5941421501</v>
      </c>
      <c r="AK79" s="12">
        <v>487168.496811561</v>
      </c>
      <c r="AL79" s="12">
        <v>404815.21783011901</v>
      </c>
      <c r="AM79" s="12">
        <v>8079.7822183076596</v>
      </c>
      <c r="AN79" s="12">
        <v>85549.356201013507</v>
      </c>
      <c r="AO79" s="12">
        <v>63175.9918601549</v>
      </c>
      <c r="AP79" s="12">
        <v>29088.472534806198</v>
      </c>
      <c r="AQ79" s="12">
        <v>40850.836525293103</v>
      </c>
      <c r="AR79" s="12">
        <v>13193.0462906054</v>
      </c>
      <c r="AS79" s="12">
        <v>9231.9784326034805</v>
      </c>
      <c r="AT79" s="12">
        <v>108142.573745513</v>
      </c>
      <c r="AU79" s="21">
        <v>8270319.0377930198</v>
      </c>
      <c r="AV79" s="12">
        <v>2292800.88754598</v>
      </c>
      <c r="AW79" s="12">
        <v>0</v>
      </c>
      <c r="AX79" s="12">
        <v>0</v>
      </c>
      <c r="AY79" s="12">
        <v>0</v>
      </c>
      <c r="AZ79" s="21">
        <v>2292800.88754598</v>
      </c>
      <c r="BA79" s="21">
        <v>10563119.925339</v>
      </c>
      <c r="BB79" s="26">
        <v>0</v>
      </c>
    </row>
    <row r="80" spans="1:54" x14ac:dyDescent="0.25">
      <c r="A80" s="114"/>
      <c r="B80" s="115"/>
      <c r="C80" s="11" t="s">
        <v>90</v>
      </c>
      <c r="D80" s="9" t="s">
        <v>194</v>
      </c>
      <c r="E80" s="12">
        <v>0</v>
      </c>
      <c r="F80" s="12">
        <v>0</v>
      </c>
      <c r="G80" s="12">
        <v>0</v>
      </c>
      <c r="H80" s="12">
        <v>0</v>
      </c>
      <c r="I80" s="12">
        <v>0</v>
      </c>
      <c r="J80" s="12">
        <v>0</v>
      </c>
      <c r="K80" s="12">
        <v>0</v>
      </c>
      <c r="L80" s="12">
        <v>0</v>
      </c>
      <c r="M80" s="12">
        <v>0</v>
      </c>
      <c r="N80" s="12">
        <v>0</v>
      </c>
      <c r="O80" s="12">
        <v>0</v>
      </c>
      <c r="P80" s="12">
        <v>0</v>
      </c>
      <c r="Q80" s="12">
        <v>0</v>
      </c>
      <c r="R80" s="12">
        <v>0</v>
      </c>
      <c r="S80" s="12">
        <v>0</v>
      </c>
      <c r="T80" s="12">
        <v>0</v>
      </c>
      <c r="U80" s="12">
        <v>0</v>
      </c>
      <c r="V80" s="12">
        <v>0</v>
      </c>
      <c r="W80" s="12">
        <v>0</v>
      </c>
      <c r="X80" s="12">
        <v>0</v>
      </c>
      <c r="Y80" s="12">
        <v>0</v>
      </c>
      <c r="Z80" s="12">
        <v>0</v>
      </c>
      <c r="AA80" s="12">
        <v>0</v>
      </c>
      <c r="AB80" s="12">
        <v>0</v>
      </c>
      <c r="AC80" s="12">
        <v>0</v>
      </c>
      <c r="AD80" s="12">
        <v>0</v>
      </c>
      <c r="AE80" s="12">
        <v>0</v>
      </c>
      <c r="AF80" s="12">
        <v>0</v>
      </c>
      <c r="AG80" s="12">
        <v>0</v>
      </c>
      <c r="AH80" s="12">
        <v>0</v>
      </c>
      <c r="AI80" s="12">
        <v>0</v>
      </c>
      <c r="AJ80" s="12">
        <v>0</v>
      </c>
      <c r="AK80" s="12">
        <v>0</v>
      </c>
      <c r="AL80" s="12">
        <v>0</v>
      </c>
      <c r="AM80" s="12">
        <v>0</v>
      </c>
      <c r="AN80" s="12">
        <v>0</v>
      </c>
      <c r="AO80" s="12">
        <v>0</v>
      </c>
      <c r="AP80" s="12">
        <v>0</v>
      </c>
      <c r="AQ80" s="12">
        <v>0</v>
      </c>
      <c r="AR80" s="12">
        <v>0</v>
      </c>
      <c r="AS80" s="12">
        <v>0</v>
      </c>
      <c r="AT80" s="12">
        <v>0</v>
      </c>
      <c r="AU80" s="21">
        <v>0</v>
      </c>
      <c r="AV80" s="12">
        <v>0</v>
      </c>
      <c r="AW80" s="12">
        <v>0</v>
      </c>
      <c r="AX80" s="12">
        <v>0</v>
      </c>
      <c r="AY80" s="12">
        <v>0</v>
      </c>
      <c r="AZ80" s="21">
        <v>0</v>
      </c>
      <c r="BA80" s="21">
        <v>0</v>
      </c>
      <c r="BB80" s="26">
        <v>0</v>
      </c>
    </row>
    <row r="81" spans="1:54" x14ac:dyDescent="0.25">
      <c r="A81" s="114"/>
      <c r="B81" s="115"/>
      <c r="C81" s="11" t="s">
        <v>87</v>
      </c>
      <c r="D81" s="9" t="s">
        <v>195</v>
      </c>
      <c r="E81" s="12">
        <v>26639.5840233204</v>
      </c>
      <c r="F81" s="12">
        <v>41568.878032893503</v>
      </c>
      <c r="G81" s="12">
        <v>7241.7311318683896</v>
      </c>
      <c r="H81" s="12">
        <v>11600.452343630501</v>
      </c>
      <c r="I81" s="12">
        <v>11524.021261753</v>
      </c>
      <c r="J81" s="12">
        <v>1877913.9748109099</v>
      </c>
      <c r="K81" s="12">
        <v>205775.39810495899</v>
      </c>
      <c r="L81" s="12">
        <v>611908.627521232</v>
      </c>
      <c r="M81" s="12">
        <v>198693.35061574299</v>
      </c>
      <c r="N81" s="12">
        <v>636024.34689575701</v>
      </c>
      <c r="O81" s="12">
        <v>343880.99792340002</v>
      </c>
      <c r="P81" s="12">
        <v>2443298.0359271402</v>
      </c>
      <c r="Q81" s="12">
        <v>767030.985231812</v>
      </c>
      <c r="R81" s="12">
        <v>467603.17282978102</v>
      </c>
      <c r="S81" s="12">
        <v>522007.193567621</v>
      </c>
      <c r="T81" s="12">
        <v>711948.53019235295</v>
      </c>
      <c r="U81" s="12">
        <v>641691.51414250198</v>
      </c>
      <c r="V81" s="12">
        <v>1233154.94508655</v>
      </c>
      <c r="W81" s="12">
        <v>822693.78726783197</v>
      </c>
      <c r="X81" s="12">
        <v>1163113.2144369299</v>
      </c>
      <c r="Y81" s="12">
        <v>86982.797312650902</v>
      </c>
      <c r="Z81" s="12">
        <v>63465.628893508198</v>
      </c>
      <c r="AA81" s="12">
        <v>27102.715802173199</v>
      </c>
      <c r="AB81" s="12">
        <v>75900.3606974344</v>
      </c>
      <c r="AC81" s="12">
        <v>29310.093524379899</v>
      </c>
      <c r="AD81" s="12">
        <v>6824.5288507005998</v>
      </c>
      <c r="AE81" s="12">
        <v>257287.25193509</v>
      </c>
      <c r="AF81" s="12">
        <v>4461164.6686173901</v>
      </c>
      <c r="AG81" s="12">
        <v>1062823.5207275001</v>
      </c>
      <c r="AH81" s="12">
        <v>325759.32266465999</v>
      </c>
      <c r="AI81" s="12">
        <v>1808702.6682813601</v>
      </c>
      <c r="AJ81" s="12">
        <v>603665.90990014002</v>
      </c>
      <c r="AK81" s="12">
        <v>390690.31453394098</v>
      </c>
      <c r="AL81" s="12">
        <v>4457490.16931987</v>
      </c>
      <c r="AM81" s="12">
        <v>211700.18300021399</v>
      </c>
      <c r="AN81" s="12">
        <v>699970.43079103704</v>
      </c>
      <c r="AO81" s="12">
        <v>17903.376994910999</v>
      </c>
      <c r="AP81" s="12">
        <v>210033.196590985</v>
      </c>
      <c r="AQ81" s="12">
        <v>168075.83541011999</v>
      </c>
      <c r="AR81" s="12">
        <v>72465.413692713206</v>
      </c>
      <c r="AS81" s="12">
        <v>485166.59163473098</v>
      </c>
      <c r="AT81" s="12">
        <v>1076770.9405569599</v>
      </c>
      <c r="AU81" s="21">
        <v>29344568.661080498</v>
      </c>
      <c r="AV81" s="12">
        <v>1092617.39967405</v>
      </c>
      <c r="AW81" s="12">
        <v>0</v>
      </c>
      <c r="AX81" s="12">
        <v>0</v>
      </c>
      <c r="AY81" s="12">
        <v>0</v>
      </c>
      <c r="AZ81" s="21">
        <v>1092617.39967405</v>
      </c>
      <c r="BA81" s="21">
        <v>30437186.0607545</v>
      </c>
      <c r="BB81" s="26">
        <v>0</v>
      </c>
    </row>
    <row r="82" spans="1:54" x14ac:dyDescent="0.25">
      <c r="A82" s="114"/>
      <c r="B82" s="115"/>
      <c r="C82" s="11" t="s">
        <v>88</v>
      </c>
      <c r="D82" s="9" t="s">
        <v>196</v>
      </c>
      <c r="E82" s="12">
        <v>0</v>
      </c>
      <c r="F82" s="12">
        <v>0</v>
      </c>
      <c r="G82" s="12">
        <v>0</v>
      </c>
      <c r="H82" s="12">
        <v>0</v>
      </c>
      <c r="I82" s="12">
        <v>0</v>
      </c>
      <c r="J82" s="12">
        <v>0</v>
      </c>
      <c r="K82" s="12">
        <v>0</v>
      </c>
      <c r="L82" s="12">
        <v>0</v>
      </c>
      <c r="M82" s="12">
        <v>0</v>
      </c>
      <c r="N82" s="12">
        <v>0</v>
      </c>
      <c r="O82" s="12">
        <v>0</v>
      </c>
      <c r="P82" s="12">
        <v>0</v>
      </c>
      <c r="Q82" s="12">
        <v>0</v>
      </c>
      <c r="R82" s="12">
        <v>0</v>
      </c>
      <c r="S82" s="12">
        <v>0</v>
      </c>
      <c r="T82" s="12">
        <v>0</v>
      </c>
      <c r="U82" s="12">
        <v>0</v>
      </c>
      <c r="V82" s="12">
        <v>0</v>
      </c>
      <c r="W82" s="12">
        <v>0</v>
      </c>
      <c r="X82" s="12">
        <v>0</v>
      </c>
      <c r="Y82" s="12">
        <v>0</v>
      </c>
      <c r="Z82" s="12">
        <v>0</v>
      </c>
      <c r="AA82" s="12">
        <v>0</v>
      </c>
      <c r="AB82" s="12">
        <v>0</v>
      </c>
      <c r="AC82" s="12">
        <v>0</v>
      </c>
      <c r="AD82" s="12">
        <v>0</v>
      </c>
      <c r="AE82" s="12">
        <v>0</v>
      </c>
      <c r="AF82" s="12">
        <v>0</v>
      </c>
      <c r="AG82" s="12">
        <v>0</v>
      </c>
      <c r="AH82" s="12">
        <v>0</v>
      </c>
      <c r="AI82" s="12">
        <v>0</v>
      </c>
      <c r="AJ82" s="12">
        <v>0</v>
      </c>
      <c r="AK82" s="12">
        <v>0</v>
      </c>
      <c r="AL82" s="12">
        <v>0</v>
      </c>
      <c r="AM82" s="12">
        <v>0</v>
      </c>
      <c r="AN82" s="12">
        <v>0</v>
      </c>
      <c r="AO82" s="12">
        <v>0</v>
      </c>
      <c r="AP82" s="12">
        <v>0</v>
      </c>
      <c r="AQ82" s="12">
        <v>0</v>
      </c>
      <c r="AR82" s="12">
        <v>0</v>
      </c>
      <c r="AS82" s="12">
        <v>0</v>
      </c>
      <c r="AT82" s="12">
        <v>0</v>
      </c>
      <c r="AU82" s="21">
        <v>0</v>
      </c>
      <c r="AV82" s="12">
        <v>0</v>
      </c>
      <c r="AW82" s="12">
        <v>27747226.1777905</v>
      </c>
      <c r="AX82" s="12">
        <v>0</v>
      </c>
      <c r="AY82" s="12">
        <v>0</v>
      </c>
      <c r="AZ82" s="21">
        <v>27747226.1777905</v>
      </c>
      <c r="BA82" s="21">
        <v>27747226.1777905</v>
      </c>
      <c r="BB82" s="26">
        <v>0</v>
      </c>
    </row>
    <row r="83" spans="1:54" x14ac:dyDescent="0.25">
      <c r="A83" s="114"/>
      <c r="B83" s="115"/>
      <c r="C83" s="11" t="s">
        <v>91</v>
      </c>
      <c r="D83" s="9" t="s">
        <v>197</v>
      </c>
      <c r="E83" s="12">
        <v>2.31363996482256E-2</v>
      </c>
      <c r="F83" s="12">
        <v>1.15487017418981E-2</v>
      </c>
      <c r="G83" s="12">
        <v>2.4337864179459702E-3</v>
      </c>
      <c r="H83" s="12">
        <v>4.8879757575624704E-3</v>
      </c>
      <c r="I83" s="12">
        <v>4.98471175087618E-3</v>
      </c>
      <c r="J83" s="12">
        <v>2.2860991017472302E-3</v>
      </c>
      <c r="K83" s="12">
        <v>6.2650576039527102E-4</v>
      </c>
      <c r="L83" s="12">
        <v>0.45650337877779101</v>
      </c>
      <c r="M83" s="12">
        <v>4.3053510348172296E-3</v>
      </c>
      <c r="N83" s="12">
        <v>5.72145121281439E-3</v>
      </c>
      <c r="O83" s="12">
        <v>4.8102155871967002E-4</v>
      </c>
      <c r="P83" s="12">
        <v>4.6708071197081201E-3</v>
      </c>
      <c r="Q83" s="12">
        <v>7.2426084369454601E-3</v>
      </c>
      <c r="R83" s="12">
        <v>7.4987146216107404E-3</v>
      </c>
      <c r="S83" s="12">
        <v>1.0714142095957301E-2</v>
      </c>
      <c r="T83" s="12">
        <v>3.3121505026092002E-3</v>
      </c>
      <c r="U83" s="12">
        <v>5.0124593918533704E-3</v>
      </c>
      <c r="V83" s="12">
        <v>1.9741196689745699</v>
      </c>
      <c r="W83" s="12">
        <v>6.8222000264146002E-3</v>
      </c>
      <c r="X83" s="12">
        <v>2.0633289819487401E-2</v>
      </c>
      <c r="Y83" s="12">
        <v>1.6069375802572001E-3</v>
      </c>
      <c r="Z83" s="12">
        <v>3.0674846679785799E-4</v>
      </c>
      <c r="AA83" s="12">
        <v>5.88571914481035E-5</v>
      </c>
      <c r="AB83" s="12">
        <v>1.0686052691942E-2</v>
      </c>
      <c r="AC83" s="12">
        <v>5.7260429481978102E-5</v>
      </c>
      <c r="AD83" s="12">
        <v>2.49362399088564E-4</v>
      </c>
      <c r="AE83" s="12">
        <v>1.3492094176178699</v>
      </c>
      <c r="AF83" s="12">
        <v>4.6131547643130301E-2</v>
      </c>
      <c r="AG83" s="12">
        <v>1.3905726046547801E-2</v>
      </c>
      <c r="AH83" s="12">
        <v>9.5632912999822303E-4</v>
      </c>
      <c r="AI83" s="12">
        <v>3.8419026703123702E-3</v>
      </c>
      <c r="AJ83" s="12">
        <v>3.84887155145155E-3</v>
      </c>
      <c r="AK83" s="12">
        <v>4.5236366249972798E-3</v>
      </c>
      <c r="AL83" s="12">
        <v>5.9137126321510401E-5</v>
      </c>
      <c r="AM83" s="12">
        <v>3.70908278535328E-2</v>
      </c>
      <c r="AN83" s="12">
        <v>0.39221855090914998</v>
      </c>
      <c r="AO83" s="12">
        <v>1.7318650248355899E-3</v>
      </c>
      <c r="AP83" s="12">
        <v>2.0023441692625401E-5</v>
      </c>
      <c r="AQ83" s="12">
        <v>3.1526282215842902E-5</v>
      </c>
      <c r="AR83" s="12">
        <v>6.3884064306757098E-4</v>
      </c>
      <c r="AS83" s="12">
        <v>9.8581916097383103E-5</v>
      </c>
      <c r="AT83" s="12">
        <v>2.0486947103667201E-3</v>
      </c>
      <c r="AU83" s="21">
        <v>4.4262621217025497</v>
      </c>
      <c r="AV83" s="12">
        <v>0</v>
      </c>
      <c r="AW83" s="12">
        <v>542.17240000000004</v>
      </c>
      <c r="AX83" s="12">
        <v>0</v>
      </c>
      <c r="AY83" s="12">
        <v>0</v>
      </c>
      <c r="AZ83" s="21">
        <v>542.17240000000004</v>
      </c>
      <c r="BA83" s="21">
        <v>546.59866212170198</v>
      </c>
      <c r="BB83" s="26">
        <v>0</v>
      </c>
    </row>
    <row r="84" spans="1:54" x14ac:dyDescent="0.25">
      <c r="A84" s="114"/>
      <c r="B84" s="115"/>
      <c r="C84" s="11" t="s">
        <v>160</v>
      </c>
      <c r="D84" s="9" t="s">
        <v>198</v>
      </c>
      <c r="E84" s="12">
        <v>0</v>
      </c>
      <c r="F84" s="12">
        <v>0</v>
      </c>
      <c r="G84" s="12">
        <v>0</v>
      </c>
      <c r="H84" s="12">
        <v>0</v>
      </c>
      <c r="I84" s="12">
        <v>0</v>
      </c>
      <c r="J84" s="12">
        <v>0</v>
      </c>
      <c r="K84" s="12">
        <v>0</v>
      </c>
      <c r="L84" s="12">
        <v>0</v>
      </c>
      <c r="M84" s="12">
        <v>0</v>
      </c>
      <c r="N84" s="12">
        <v>0</v>
      </c>
      <c r="O84" s="12">
        <v>0</v>
      </c>
      <c r="P84" s="12">
        <v>0</v>
      </c>
      <c r="Q84" s="12">
        <v>0</v>
      </c>
      <c r="R84" s="12">
        <v>0</v>
      </c>
      <c r="S84" s="12">
        <v>0</v>
      </c>
      <c r="T84" s="12">
        <v>0</v>
      </c>
      <c r="U84" s="12">
        <v>0</v>
      </c>
      <c r="V84" s="12">
        <v>0</v>
      </c>
      <c r="W84" s="12">
        <v>0</v>
      </c>
      <c r="X84" s="12">
        <v>0</v>
      </c>
      <c r="Y84" s="12">
        <v>0</v>
      </c>
      <c r="Z84" s="12">
        <v>0</v>
      </c>
      <c r="AA84" s="12">
        <v>0</v>
      </c>
      <c r="AB84" s="12">
        <v>0</v>
      </c>
      <c r="AC84" s="12">
        <v>0</v>
      </c>
      <c r="AD84" s="12">
        <v>0</v>
      </c>
      <c r="AE84" s="12">
        <v>0</v>
      </c>
      <c r="AF84" s="12">
        <v>0</v>
      </c>
      <c r="AG84" s="12">
        <v>0</v>
      </c>
      <c r="AH84" s="12">
        <v>0</v>
      </c>
      <c r="AI84" s="12">
        <v>0</v>
      </c>
      <c r="AJ84" s="12">
        <v>0</v>
      </c>
      <c r="AK84" s="12">
        <v>0</v>
      </c>
      <c r="AL84" s="12">
        <v>0</v>
      </c>
      <c r="AM84" s="12">
        <v>0</v>
      </c>
      <c r="AN84" s="12">
        <v>0</v>
      </c>
      <c r="AO84" s="12">
        <v>0</v>
      </c>
      <c r="AP84" s="12">
        <v>0</v>
      </c>
      <c r="AQ84" s="12">
        <v>0</v>
      </c>
      <c r="AR84" s="12">
        <v>0</v>
      </c>
      <c r="AS84" s="12">
        <v>0</v>
      </c>
      <c r="AT84" s="12">
        <v>0</v>
      </c>
      <c r="AU84" s="21">
        <v>0</v>
      </c>
      <c r="AV84" s="12">
        <v>2683763.0043264399</v>
      </c>
      <c r="AW84" s="12">
        <v>0</v>
      </c>
      <c r="AX84" s="12">
        <v>0</v>
      </c>
      <c r="AY84" s="12">
        <v>0</v>
      </c>
      <c r="AZ84" s="21">
        <v>2683763.0043264399</v>
      </c>
      <c r="BA84" s="21">
        <v>2683763.0043264399</v>
      </c>
      <c r="BB84" s="26">
        <v>0</v>
      </c>
    </row>
    <row r="85" spans="1:54" x14ac:dyDescent="0.25">
      <c r="A85" s="114"/>
      <c r="B85" s="115"/>
      <c r="C85" s="11" t="s">
        <v>96</v>
      </c>
      <c r="D85" s="9" t="s">
        <v>199</v>
      </c>
      <c r="E85" s="12">
        <v>0</v>
      </c>
      <c r="F85" s="12">
        <v>0</v>
      </c>
      <c r="G85" s="12">
        <v>0</v>
      </c>
      <c r="H85" s="12">
        <v>0</v>
      </c>
      <c r="I85" s="12">
        <v>0</v>
      </c>
      <c r="J85" s="12">
        <v>0</v>
      </c>
      <c r="K85" s="12">
        <v>0</v>
      </c>
      <c r="L85" s="12">
        <v>0</v>
      </c>
      <c r="M85" s="12">
        <v>0</v>
      </c>
      <c r="N85" s="12">
        <v>0</v>
      </c>
      <c r="O85" s="12">
        <v>0</v>
      </c>
      <c r="P85" s="12">
        <v>0</v>
      </c>
      <c r="Q85" s="12">
        <v>0</v>
      </c>
      <c r="R85" s="12">
        <v>0</v>
      </c>
      <c r="S85" s="12">
        <v>0</v>
      </c>
      <c r="T85" s="12">
        <v>0</v>
      </c>
      <c r="U85" s="12">
        <v>0</v>
      </c>
      <c r="V85" s="12">
        <v>0</v>
      </c>
      <c r="W85" s="12">
        <v>0</v>
      </c>
      <c r="X85" s="12">
        <v>0</v>
      </c>
      <c r="Y85" s="12">
        <v>0</v>
      </c>
      <c r="Z85" s="12">
        <v>0</v>
      </c>
      <c r="AA85" s="12">
        <v>0</v>
      </c>
      <c r="AB85" s="12">
        <v>0</v>
      </c>
      <c r="AC85" s="12">
        <v>0</v>
      </c>
      <c r="AD85" s="12">
        <v>0</v>
      </c>
      <c r="AE85" s="12">
        <v>0</v>
      </c>
      <c r="AF85" s="12">
        <v>0</v>
      </c>
      <c r="AG85" s="12">
        <v>0</v>
      </c>
      <c r="AH85" s="12">
        <v>0</v>
      </c>
      <c r="AI85" s="12">
        <v>0</v>
      </c>
      <c r="AJ85" s="12">
        <v>0</v>
      </c>
      <c r="AK85" s="12">
        <v>0</v>
      </c>
      <c r="AL85" s="12">
        <v>0</v>
      </c>
      <c r="AM85" s="12">
        <v>0</v>
      </c>
      <c r="AN85" s="12">
        <v>0</v>
      </c>
      <c r="AO85" s="12">
        <v>0</v>
      </c>
      <c r="AP85" s="12">
        <v>0</v>
      </c>
      <c r="AQ85" s="12">
        <v>0</v>
      </c>
      <c r="AR85" s="12">
        <v>0</v>
      </c>
      <c r="AS85" s="12">
        <v>0</v>
      </c>
      <c r="AT85" s="12">
        <v>0</v>
      </c>
      <c r="AU85" s="21">
        <v>0</v>
      </c>
      <c r="AV85" s="12">
        <v>1135747.05678996</v>
      </c>
      <c r="AW85" s="12">
        <v>0</v>
      </c>
      <c r="AX85" s="12">
        <v>0</v>
      </c>
      <c r="AY85" s="12">
        <v>0</v>
      </c>
      <c r="AZ85" s="21">
        <v>1135747.05678996</v>
      </c>
      <c r="BA85" s="21">
        <v>1135747.05678996</v>
      </c>
      <c r="BB85" s="26">
        <v>0</v>
      </c>
    </row>
    <row r="86" spans="1:54" x14ac:dyDescent="0.25">
      <c r="A86" s="114"/>
      <c r="B86" s="115"/>
      <c r="C86" s="11" t="s">
        <v>93</v>
      </c>
      <c r="D86" s="9" t="s">
        <v>200</v>
      </c>
      <c r="E86" s="12">
        <v>0</v>
      </c>
      <c r="F86" s="12">
        <v>0</v>
      </c>
      <c r="G86" s="12">
        <v>0</v>
      </c>
      <c r="H86" s="12">
        <v>0</v>
      </c>
      <c r="I86" s="12">
        <v>0</v>
      </c>
      <c r="J86" s="12">
        <v>0</v>
      </c>
      <c r="K86" s="12">
        <v>0</v>
      </c>
      <c r="L86" s="12">
        <v>0</v>
      </c>
      <c r="M86" s="12">
        <v>0</v>
      </c>
      <c r="N86" s="12">
        <v>0</v>
      </c>
      <c r="O86" s="12">
        <v>0</v>
      </c>
      <c r="P86" s="12">
        <v>0</v>
      </c>
      <c r="Q86" s="12">
        <v>0</v>
      </c>
      <c r="R86" s="12">
        <v>0</v>
      </c>
      <c r="S86" s="12">
        <v>0</v>
      </c>
      <c r="T86" s="12">
        <v>0</v>
      </c>
      <c r="U86" s="12">
        <v>0</v>
      </c>
      <c r="V86" s="12">
        <v>0</v>
      </c>
      <c r="W86" s="12">
        <v>0</v>
      </c>
      <c r="X86" s="12">
        <v>0</v>
      </c>
      <c r="Y86" s="12">
        <v>0</v>
      </c>
      <c r="Z86" s="12">
        <v>0</v>
      </c>
      <c r="AA86" s="12">
        <v>0</v>
      </c>
      <c r="AB86" s="12">
        <v>0</v>
      </c>
      <c r="AC86" s="12">
        <v>0</v>
      </c>
      <c r="AD86" s="12">
        <v>0</v>
      </c>
      <c r="AE86" s="12">
        <v>0</v>
      </c>
      <c r="AF86" s="12">
        <v>0</v>
      </c>
      <c r="AG86" s="12">
        <v>0</v>
      </c>
      <c r="AH86" s="12">
        <v>0</v>
      </c>
      <c r="AI86" s="12">
        <v>0</v>
      </c>
      <c r="AJ86" s="12">
        <v>0</v>
      </c>
      <c r="AK86" s="12">
        <v>0</v>
      </c>
      <c r="AL86" s="12">
        <v>0</v>
      </c>
      <c r="AM86" s="12">
        <v>0</v>
      </c>
      <c r="AN86" s="12">
        <v>0</v>
      </c>
      <c r="AO86" s="12">
        <v>0</v>
      </c>
      <c r="AP86" s="12">
        <v>0</v>
      </c>
      <c r="AQ86" s="12">
        <v>0</v>
      </c>
      <c r="AR86" s="12">
        <v>0</v>
      </c>
      <c r="AS86" s="12">
        <v>0</v>
      </c>
      <c r="AT86" s="12">
        <v>0</v>
      </c>
      <c r="AU86" s="21">
        <v>0</v>
      </c>
      <c r="AV86" s="12">
        <v>0</v>
      </c>
      <c r="AW86" s="12">
        <v>0</v>
      </c>
      <c r="AX86" s="12">
        <v>0</v>
      </c>
      <c r="AY86" s="12">
        <v>0</v>
      </c>
      <c r="AZ86" s="21">
        <v>0</v>
      </c>
      <c r="BA86" s="21">
        <v>0</v>
      </c>
      <c r="BB86" s="26">
        <v>0</v>
      </c>
    </row>
    <row r="87" spans="1:54" x14ac:dyDescent="0.25">
      <c r="A87" s="114"/>
      <c r="B87" s="115"/>
      <c r="C87" s="11" t="s">
        <v>94</v>
      </c>
      <c r="D87" s="9" t="s">
        <v>201</v>
      </c>
      <c r="E87" s="12">
        <v>272.556392472369</v>
      </c>
      <c r="F87" s="12">
        <v>372.99988236322099</v>
      </c>
      <c r="G87" s="12">
        <v>33.739842970433003</v>
      </c>
      <c r="H87" s="12">
        <v>126.299182062149</v>
      </c>
      <c r="I87" s="12">
        <v>122.667259455926</v>
      </c>
      <c r="J87" s="12">
        <v>189.97124151236201</v>
      </c>
      <c r="K87" s="12">
        <v>119.654696179059</v>
      </c>
      <c r="L87" s="12">
        <v>198.87627451832401</v>
      </c>
      <c r="M87" s="12">
        <v>124.129936284845</v>
      </c>
      <c r="N87" s="12">
        <v>225.586151658842</v>
      </c>
      <c r="O87" s="12">
        <v>2150.4556157583702</v>
      </c>
      <c r="P87" s="12">
        <v>435.161237933721</v>
      </c>
      <c r="Q87" s="12">
        <v>615.18487439027899</v>
      </c>
      <c r="R87" s="12">
        <v>1008.19512137829</v>
      </c>
      <c r="S87" s="12">
        <v>693.43972867839898</v>
      </c>
      <c r="T87" s="12">
        <v>1059.11693198289</v>
      </c>
      <c r="U87" s="12">
        <v>671.55020857621003</v>
      </c>
      <c r="V87" s="12">
        <v>886.28372681774999</v>
      </c>
      <c r="W87" s="12">
        <v>788.94222796777206</v>
      </c>
      <c r="X87" s="12">
        <v>362.27326183950697</v>
      </c>
      <c r="Y87" s="12">
        <v>98.098988269621699</v>
      </c>
      <c r="Z87" s="12">
        <v>30.113073881942199</v>
      </c>
      <c r="AA87" s="12">
        <v>16.918090623187101</v>
      </c>
      <c r="AB87" s="12">
        <v>904.97253608469998</v>
      </c>
      <c r="AC87" s="12">
        <v>95.957607195955205</v>
      </c>
      <c r="AD87" s="12">
        <v>4.7423456103858603</v>
      </c>
      <c r="AE87" s="12">
        <v>3119.04984205645</v>
      </c>
      <c r="AF87" s="12">
        <v>1042.2748336612799</v>
      </c>
      <c r="AG87" s="12">
        <v>1506.86166727259</v>
      </c>
      <c r="AH87" s="12">
        <v>28.3001053766925</v>
      </c>
      <c r="AI87" s="12">
        <v>64.519496133273194</v>
      </c>
      <c r="AJ87" s="12">
        <v>710.53892220524995</v>
      </c>
      <c r="AK87" s="12">
        <v>6.3944696178347504</v>
      </c>
      <c r="AL87" s="12">
        <v>16.488297143778599</v>
      </c>
      <c r="AM87" s="12">
        <v>50.035078130987202</v>
      </c>
      <c r="AN87" s="12">
        <v>109.166196218766</v>
      </c>
      <c r="AO87" s="12">
        <v>72.090093533722296</v>
      </c>
      <c r="AP87" s="12">
        <v>189.71248147913201</v>
      </c>
      <c r="AQ87" s="12">
        <v>527.29487651119905</v>
      </c>
      <c r="AR87" s="12">
        <v>7383.5417346996401</v>
      </c>
      <c r="AS87" s="12">
        <v>128.60990345117199</v>
      </c>
      <c r="AT87" s="12">
        <v>6160.3169721200202</v>
      </c>
      <c r="AU87" s="21">
        <v>32723.081406078301</v>
      </c>
      <c r="AV87" s="12">
        <v>1162322.67215872</v>
      </c>
      <c r="AW87" s="12">
        <v>0</v>
      </c>
      <c r="AX87" s="12">
        <v>0</v>
      </c>
      <c r="AY87" s="12">
        <v>0</v>
      </c>
      <c r="AZ87" s="21">
        <v>1162322.67215872</v>
      </c>
      <c r="BA87" s="21">
        <v>1195045.7535647999</v>
      </c>
      <c r="BB87" s="26">
        <v>0</v>
      </c>
    </row>
    <row r="88" spans="1:54" x14ac:dyDescent="0.25">
      <c r="A88" s="114"/>
      <c r="B88" s="115"/>
      <c r="C88" s="11" t="s">
        <v>95</v>
      </c>
      <c r="D88" s="9" t="s">
        <v>202</v>
      </c>
      <c r="E88" s="12">
        <v>2344.2588883762</v>
      </c>
      <c r="F88" s="12">
        <v>9925.5759813877194</v>
      </c>
      <c r="G88" s="12">
        <v>4719.0870171470697</v>
      </c>
      <c r="H88" s="12">
        <v>3627.2407489872298</v>
      </c>
      <c r="I88" s="12">
        <v>2933.5895093435101</v>
      </c>
      <c r="J88" s="12">
        <v>35261.965295209098</v>
      </c>
      <c r="K88" s="12">
        <v>25879.668257856501</v>
      </c>
      <c r="L88" s="12">
        <v>28752.409204574498</v>
      </c>
      <c r="M88" s="12">
        <v>16841.152425275999</v>
      </c>
      <c r="N88" s="12">
        <v>19465.777470045799</v>
      </c>
      <c r="O88" s="12">
        <v>16155.607745777101</v>
      </c>
      <c r="P88" s="12">
        <v>100281.505642103</v>
      </c>
      <c r="Q88" s="12">
        <v>57118.384968535502</v>
      </c>
      <c r="R88" s="12">
        <v>67762.351953325502</v>
      </c>
      <c r="S88" s="12">
        <v>24866.522890676399</v>
      </c>
      <c r="T88" s="12">
        <v>73472.581962560304</v>
      </c>
      <c r="U88" s="12">
        <v>35883.619518863299</v>
      </c>
      <c r="V88" s="12">
        <v>33456.336327812001</v>
      </c>
      <c r="W88" s="12">
        <v>65387.702782249697</v>
      </c>
      <c r="X88" s="12">
        <v>96409.658356932399</v>
      </c>
      <c r="Y88" s="12">
        <v>2325.6181292462302</v>
      </c>
      <c r="Z88" s="12">
        <v>6121.5962710201102</v>
      </c>
      <c r="AA88" s="12">
        <v>2040.33775715864</v>
      </c>
      <c r="AB88" s="12">
        <v>44506.427274200003</v>
      </c>
      <c r="AC88" s="12">
        <v>7746.4032158230902</v>
      </c>
      <c r="AD88" s="12">
        <v>10403.480913470999</v>
      </c>
      <c r="AE88" s="12">
        <v>57269.277682018997</v>
      </c>
      <c r="AF88" s="12">
        <v>52132.247176515702</v>
      </c>
      <c r="AG88" s="12">
        <v>65994.170054302798</v>
      </c>
      <c r="AH88" s="12">
        <v>36364.138667501298</v>
      </c>
      <c r="AI88" s="12">
        <v>119257.711511184</v>
      </c>
      <c r="AJ88" s="12">
        <v>231236.16588661401</v>
      </c>
      <c r="AK88" s="12">
        <v>49014.129920089799</v>
      </c>
      <c r="AL88" s="12">
        <v>69806.527887850199</v>
      </c>
      <c r="AM88" s="12">
        <v>77081.417155048301</v>
      </c>
      <c r="AN88" s="12">
        <v>59329.191150742903</v>
      </c>
      <c r="AO88" s="12">
        <v>17988.233872633198</v>
      </c>
      <c r="AP88" s="12">
        <v>17262.1192050715</v>
      </c>
      <c r="AQ88" s="12">
        <v>314017.47193599399</v>
      </c>
      <c r="AR88" s="12">
        <v>17020.430455833299</v>
      </c>
      <c r="AS88" s="12">
        <v>1349838.49304371</v>
      </c>
      <c r="AT88" s="12">
        <v>392859.07459569001</v>
      </c>
      <c r="AU88" s="21">
        <v>3720159.6607087501</v>
      </c>
      <c r="AV88" s="12">
        <v>7189837.0106625902</v>
      </c>
      <c r="AW88" s="12">
        <v>330041.13505165803</v>
      </c>
      <c r="AX88" s="12">
        <v>0</v>
      </c>
      <c r="AY88" s="12">
        <v>0</v>
      </c>
      <c r="AZ88" s="21">
        <v>7519878.1457142504</v>
      </c>
      <c r="BA88" s="21">
        <v>11240037.806422999</v>
      </c>
      <c r="BB88" s="26">
        <v>0</v>
      </c>
    </row>
    <row r="89" spans="1:54" x14ac:dyDescent="0.25">
      <c r="A89" s="114"/>
      <c r="B89" s="115"/>
      <c r="C89" s="11" t="s">
        <v>161</v>
      </c>
      <c r="D89" s="9" t="s">
        <v>203</v>
      </c>
      <c r="E89" s="12">
        <v>642.84490795384397</v>
      </c>
      <c r="F89" s="12">
        <v>10.8420192968303</v>
      </c>
      <c r="G89" s="12">
        <v>0.58961892189930798</v>
      </c>
      <c r="H89" s="12">
        <v>6.2851723061831102</v>
      </c>
      <c r="I89" s="12">
        <v>6.9777639735600996</v>
      </c>
      <c r="J89" s="12">
        <v>3672.2778466856298</v>
      </c>
      <c r="K89" s="12">
        <v>2223.9748804044002</v>
      </c>
      <c r="L89" s="12">
        <v>1509.34687488078</v>
      </c>
      <c r="M89" s="12">
        <v>827.60019775995602</v>
      </c>
      <c r="N89" s="12">
        <v>1629.88801113005</v>
      </c>
      <c r="O89" s="12">
        <v>517.96281557790405</v>
      </c>
      <c r="P89" s="12">
        <v>8912.5276593458402</v>
      </c>
      <c r="Q89" s="12">
        <v>6652.2676899962898</v>
      </c>
      <c r="R89" s="12">
        <v>2014.1451191634501</v>
      </c>
      <c r="S89" s="12">
        <v>3493.3956686841502</v>
      </c>
      <c r="T89" s="12">
        <v>2887.9848517211399</v>
      </c>
      <c r="U89" s="12">
        <v>2872.7110505383298</v>
      </c>
      <c r="V89" s="12">
        <v>2286.9727316999201</v>
      </c>
      <c r="W89" s="12">
        <v>1653.16035898717</v>
      </c>
      <c r="X89" s="12">
        <v>2298.22960429154</v>
      </c>
      <c r="Y89" s="12">
        <v>233.66913872308001</v>
      </c>
      <c r="Z89" s="12">
        <v>360.22831221938202</v>
      </c>
      <c r="AA89" s="12">
        <v>264.06509903808802</v>
      </c>
      <c r="AB89" s="12">
        <v>40.618247494324898</v>
      </c>
      <c r="AC89" s="12">
        <v>1.47069143633175</v>
      </c>
      <c r="AD89" s="12">
        <v>2.3560979898092298</v>
      </c>
      <c r="AE89" s="12">
        <v>493.50194316863298</v>
      </c>
      <c r="AF89" s="12">
        <v>9809.5925750576498</v>
      </c>
      <c r="AG89" s="12">
        <v>22060.940507015999</v>
      </c>
      <c r="AH89" s="12">
        <v>1.0712994960381499</v>
      </c>
      <c r="AI89" s="12">
        <v>98938.623895432203</v>
      </c>
      <c r="AJ89" s="12">
        <v>14.126487684151</v>
      </c>
      <c r="AK89" s="12">
        <v>12.9357663575605</v>
      </c>
      <c r="AL89" s="12">
        <v>28791.440758865501</v>
      </c>
      <c r="AM89" s="12">
        <v>787.364509588033</v>
      </c>
      <c r="AN89" s="12">
        <v>2126.28123587132</v>
      </c>
      <c r="AO89" s="12">
        <v>0</v>
      </c>
      <c r="AP89" s="12">
        <v>1604.8292338838301</v>
      </c>
      <c r="AQ89" s="12">
        <v>454.263733030038</v>
      </c>
      <c r="AR89" s="12">
        <v>77.7178589375619</v>
      </c>
      <c r="AS89" s="12">
        <v>19.564856102068902</v>
      </c>
      <c r="AT89" s="12">
        <v>2251308.4032543101</v>
      </c>
      <c r="AU89" s="21">
        <v>2461523.0503450199</v>
      </c>
      <c r="AV89" s="12">
        <v>0</v>
      </c>
      <c r="AW89" s="12">
        <v>0</v>
      </c>
      <c r="AX89" s="12">
        <v>0</v>
      </c>
      <c r="AY89" s="12">
        <v>0</v>
      </c>
      <c r="AZ89" s="21">
        <v>0</v>
      </c>
      <c r="BA89" s="21">
        <v>2461523.0503450199</v>
      </c>
      <c r="BB89" s="26">
        <v>0</v>
      </c>
    </row>
    <row r="90" spans="1:54" x14ac:dyDescent="0.25">
      <c r="A90" s="114"/>
      <c r="B90" s="105" t="s">
        <v>131</v>
      </c>
      <c r="C90" s="105"/>
      <c r="D90" s="27" t="s">
        <v>132</v>
      </c>
      <c r="E90" s="21">
        <v>509936007.83290601</v>
      </c>
      <c r="F90" s="21">
        <v>115074114.182427</v>
      </c>
      <c r="G90" s="21">
        <v>39965777.405821703</v>
      </c>
      <c r="H90" s="21">
        <v>48896364.085269101</v>
      </c>
      <c r="I90" s="21">
        <v>52026493.350010097</v>
      </c>
      <c r="J90" s="21">
        <v>944349112.04855895</v>
      </c>
      <c r="K90" s="21">
        <v>317365488.20705301</v>
      </c>
      <c r="L90" s="21">
        <v>295545081.96900499</v>
      </c>
      <c r="M90" s="21">
        <v>209811561.58664599</v>
      </c>
      <c r="N90" s="21">
        <v>322843798.52766597</v>
      </c>
      <c r="O90" s="21">
        <v>308742520.01074702</v>
      </c>
      <c r="P90" s="21">
        <v>1143055303.02248</v>
      </c>
      <c r="Q90" s="21">
        <v>502451885.34110898</v>
      </c>
      <c r="R90" s="21">
        <v>932308204.38587499</v>
      </c>
      <c r="S90" s="21">
        <v>392283911.70928401</v>
      </c>
      <c r="T90" s="21">
        <v>408823033.829274</v>
      </c>
      <c r="U90" s="21">
        <v>289399787.58034599</v>
      </c>
      <c r="V90" s="21">
        <v>684753360.45615494</v>
      </c>
      <c r="W90" s="21">
        <v>576339416.35805202</v>
      </c>
      <c r="X90" s="21">
        <v>924996860.72088599</v>
      </c>
      <c r="Y90" s="21">
        <v>72212310.561312899</v>
      </c>
      <c r="Z90" s="21">
        <v>51409375.193838999</v>
      </c>
      <c r="AA90" s="21">
        <v>15965308.980116799</v>
      </c>
      <c r="AB90" s="21">
        <v>481153559.47209102</v>
      </c>
      <c r="AC90" s="21">
        <v>61699158.676141001</v>
      </c>
      <c r="AD90" s="21">
        <v>20179486.0771177</v>
      </c>
      <c r="AE90" s="21">
        <v>2140212041.6698599</v>
      </c>
      <c r="AF90" s="21">
        <v>544911283.67056894</v>
      </c>
      <c r="AG90" s="21">
        <v>742396331.70950198</v>
      </c>
      <c r="AH90" s="21">
        <v>286469176.51749498</v>
      </c>
      <c r="AI90" s="21">
        <v>517228345.932208</v>
      </c>
      <c r="AJ90" s="21">
        <v>393198764.34313899</v>
      </c>
      <c r="AK90" s="21">
        <v>296965938.19792998</v>
      </c>
      <c r="AL90" s="21">
        <v>644035496.54548001</v>
      </c>
      <c r="AM90" s="21">
        <v>135629401.96656099</v>
      </c>
      <c r="AN90" s="21">
        <v>334643313.50259602</v>
      </c>
      <c r="AO90" s="21">
        <v>67607072.091543898</v>
      </c>
      <c r="AP90" s="21">
        <v>143060914.191484</v>
      </c>
      <c r="AQ90" s="21">
        <v>159195396.71030799</v>
      </c>
      <c r="AR90" s="21">
        <v>291866517.47499102</v>
      </c>
      <c r="AS90" s="21">
        <v>77833015.035403907</v>
      </c>
      <c r="AT90" s="21">
        <v>329217741.65442502</v>
      </c>
      <c r="AU90" s="21">
        <v>16826058032.783701</v>
      </c>
      <c r="AV90" s="21">
        <v>5576336944.0057001</v>
      </c>
      <c r="AW90" s="21">
        <v>4243704003.37183</v>
      </c>
      <c r="AX90" s="21">
        <v>91509937.677221507</v>
      </c>
      <c r="AY90" s="21">
        <v>1879260657.23314</v>
      </c>
      <c r="AZ90" s="21">
        <v>11790811542.287901</v>
      </c>
      <c r="BA90" s="21">
        <v>1626591529.6392901</v>
      </c>
      <c r="BB90" s="26">
        <v>26990278045.432301</v>
      </c>
    </row>
    <row r="91" spans="1:54" x14ac:dyDescent="0.25">
      <c r="A91" s="108" t="s">
        <v>133</v>
      </c>
      <c r="B91" s="104" t="s">
        <v>134</v>
      </c>
      <c r="C91" s="104"/>
      <c r="D91" s="9" t="s">
        <v>135</v>
      </c>
      <c r="E91" s="12">
        <v>821109376.63205099</v>
      </c>
      <c r="F91" s="12">
        <v>49156975.956210703</v>
      </c>
      <c r="G91" s="12">
        <v>10684586.807827801</v>
      </c>
      <c r="H91" s="12">
        <v>16674072.275397699</v>
      </c>
      <c r="I91" s="12">
        <v>26543554.7711793</v>
      </c>
      <c r="J91" s="12">
        <v>92288059.905675799</v>
      </c>
      <c r="K91" s="12">
        <v>35794474.399955899</v>
      </c>
      <c r="L91" s="12">
        <v>42275704.210088797</v>
      </c>
      <c r="M91" s="12">
        <v>25339700.688776899</v>
      </c>
      <c r="N91" s="12">
        <v>45268044.274831198</v>
      </c>
      <c r="O91" s="12">
        <v>12815275.321341099</v>
      </c>
      <c r="P91" s="12">
        <v>114042518.443964</v>
      </c>
      <c r="Q91" s="12">
        <v>74959951.978375494</v>
      </c>
      <c r="R91" s="12">
        <v>74535692.510713995</v>
      </c>
      <c r="S91" s="12">
        <v>57488356.150157198</v>
      </c>
      <c r="T91" s="12">
        <v>46988959.725912601</v>
      </c>
      <c r="U91" s="12">
        <v>51031136.414665803</v>
      </c>
      <c r="V91" s="12">
        <v>54458933.3983052</v>
      </c>
      <c r="W91" s="12">
        <v>47111753.584501401</v>
      </c>
      <c r="X91" s="12">
        <v>90810155.932270899</v>
      </c>
      <c r="Y91" s="12">
        <v>9519973.1102561392</v>
      </c>
      <c r="Z91" s="12">
        <v>22530798.020754699</v>
      </c>
      <c r="AA91" s="12">
        <v>3011169.5049138502</v>
      </c>
      <c r="AB91" s="12">
        <v>61395231.162410103</v>
      </c>
      <c r="AC91" s="12">
        <v>7256304.22228311</v>
      </c>
      <c r="AD91" s="12">
        <v>8632889.7918775491</v>
      </c>
      <c r="AE91" s="12">
        <v>469645429.01066202</v>
      </c>
      <c r="AF91" s="12">
        <v>519792503.26379198</v>
      </c>
      <c r="AG91" s="12">
        <v>230523925.74021101</v>
      </c>
      <c r="AH91" s="12">
        <v>85067117.100898802</v>
      </c>
      <c r="AI91" s="12">
        <v>206973736.679317</v>
      </c>
      <c r="AJ91" s="12">
        <v>215281976.520711</v>
      </c>
      <c r="AK91" s="12">
        <v>192733122.55735001</v>
      </c>
      <c r="AL91" s="12">
        <v>252757212.79392499</v>
      </c>
      <c r="AM91" s="12">
        <v>65841576.822612002</v>
      </c>
      <c r="AN91" s="12">
        <v>115418456.21231601</v>
      </c>
      <c r="AO91" s="12">
        <v>22822850.048320699</v>
      </c>
      <c r="AP91" s="12">
        <v>127689767.85801201</v>
      </c>
      <c r="AQ91" s="12">
        <v>281650493.11452001</v>
      </c>
      <c r="AR91" s="12">
        <v>171783188.52536699</v>
      </c>
      <c r="AS91" s="12">
        <v>51172539.734950997</v>
      </c>
      <c r="AT91" s="12">
        <v>384777854.966555</v>
      </c>
      <c r="AU91" s="30">
        <v>5295655400.1442204</v>
      </c>
      <c r="AV91" s="31"/>
      <c r="AW91" s="36"/>
      <c r="AX91" s="36"/>
      <c r="AY91" s="36"/>
      <c r="AZ91" s="37"/>
      <c r="BA91" s="38"/>
      <c r="BB91" s="38"/>
    </row>
    <row r="92" spans="1:54" x14ac:dyDescent="0.25">
      <c r="A92" s="108"/>
      <c r="B92" s="104" t="s">
        <v>136</v>
      </c>
      <c r="C92" s="104"/>
      <c r="D92" s="9" t="s">
        <v>137</v>
      </c>
      <c r="E92" s="12">
        <v>-45528240.6524828</v>
      </c>
      <c r="F92" s="12">
        <v>23728883.970035002</v>
      </c>
      <c r="G92" s="12">
        <v>26393586.367127001</v>
      </c>
      <c r="H92" s="12">
        <v>23538443.489118099</v>
      </c>
      <c r="I92" s="12">
        <v>6793059.1226107497</v>
      </c>
      <c r="J92" s="12">
        <v>82927929.567150205</v>
      </c>
      <c r="K92" s="12">
        <v>453147.45058887202</v>
      </c>
      <c r="L92" s="12">
        <v>602309.07554462703</v>
      </c>
      <c r="M92" s="12">
        <v>5439494.6023760298</v>
      </c>
      <c r="N92" s="12">
        <v>6296364.9543497302</v>
      </c>
      <c r="O92" s="12">
        <v>49155195.521414101</v>
      </c>
      <c r="P92" s="12">
        <v>58745326.530979201</v>
      </c>
      <c r="Q92" s="12">
        <v>23472866.7779206</v>
      </c>
      <c r="R92" s="12">
        <v>36913556.840113297</v>
      </c>
      <c r="S92" s="12">
        <v>11219546.986150701</v>
      </c>
      <c r="T92" s="12">
        <v>16723537.968313601</v>
      </c>
      <c r="U92" s="12">
        <v>14548976.722464001</v>
      </c>
      <c r="V92" s="12">
        <v>43517327.860395297</v>
      </c>
      <c r="W92" s="12">
        <v>4541468.4707145998</v>
      </c>
      <c r="X92" s="12">
        <v>-9055139.1893685106</v>
      </c>
      <c r="Y92" s="12">
        <v>5376302.9164229902</v>
      </c>
      <c r="Z92" s="12">
        <v>12480954.5468565</v>
      </c>
      <c r="AA92" s="12">
        <v>951413.92749108805</v>
      </c>
      <c r="AB92" s="12">
        <v>20698377.631525099</v>
      </c>
      <c r="AC92" s="12">
        <v>1010550.4523641299</v>
      </c>
      <c r="AD92" s="12">
        <v>1860447.1837464201</v>
      </c>
      <c r="AE92" s="12">
        <v>98116385.596828699</v>
      </c>
      <c r="AF92" s="12">
        <v>95383190.280476794</v>
      </c>
      <c r="AG92" s="12">
        <v>8513567.4421984609</v>
      </c>
      <c r="AH92" s="12">
        <v>1360038.6625977701</v>
      </c>
      <c r="AI92" s="12">
        <v>13092894.4785477</v>
      </c>
      <c r="AJ92" s="12">
        <v>82718115.887338698</v>
      </c>
      <c r="AK92" s="12">
        <v>123442718.311865</v>
      </c>
      <c r="AL92" s="12">
        <v>27690530.6917165</v>
      </c>
      <c r="AM92" s="12">
        <v>1588413.5683403399</v>
      </c>
      <c r="AN92" s="12">
        <v>11715874.608684899</v>
      </c>
      <c r="AO92" s="12">
        <v>166237.61903444101</v>
      </c>
      <c r="AP92" s="12">
        <v>5023484.24607627</v>
      </c>
      <c r="AQ92" s="12">
        <v>625840.58906758903</v>
      </c>
      <c r="AR92" s="12">
        <v>119102.009382813</v>
      </c>
      <c r="AS92" s="12">
        <v>1590021.0493161599</v>
      </c>
      <c r="AT92" s="12">
        <v>1850125.9024741601</v>
      </c>
      <c r="AU92" s="30">
        <v>895802230.03786695</v>
      </c>
      <c r="AV92" s="32"/>
      <c r="AW92" s="39"/>
      <c r="AX92" s="39"/>
      <c r="AY92" s="39"/>
      <c r="AZ92" s="40"/>
      <c r="BA92" s="38"/>
      <c r="BB92" s="38"/>
    </row>
    <row r="93" spans="1:54" x14ac:dyDescent="0.25">
      <c r="A93" s="108"/>
      <c r="B93" s="104" t="s">
        <v>138</v>
      </c>
      <c r="C93" s="104"/>
      <c r="D93" s="9" t="s">
        <v>139</v>
      </c>
      <c r="E93" s="12">
        <v>23048579.701509301</v>
      </c>
      <c r="F93" s="12">
        <v>11857466.9359743</v>
      </c>
      <c r="G93" s="12">
        <v>23934531.664067499</v>
      </c>
      <c r="H93" s="12">
        <v>6646134.8523544502</v>
      </c>
      <c r="I93" s="12">
        <v>8280827.4812093703</v>
      </c>
      <c r="J93" s="12">
        <v>30616039.479662899</v>
      </c>
      <c r="K93" s="12">
        <v>11467488.714850999</v>
      </c>
      <c r="L93" s="12">
        <v>5692423.6835584696</v>
      </c>
      <c r="M93" s="12">
        <v>7115541.1852337504</v>
      </c>
      <c r="N93" s="12">
        <v>16361143.935301</v>
      </c>
      <c r="O93" s="12">
        <v>11540322.9497796</v>
      </c>
      <c r="P93" s="12">
        <v>58385474.401742801</v>
      </c>
      <c r="Q93" s="12">
        <v>36252424.842486702</v>
      </c>
      <c r="R93" s="12">
        <v>51988383.085302196</v>
      </c>
      <c r="S93" s="12">
        <v>17451919.758611701</v>
      </c>
      <c r="T93" s="12">
        <v>16689439.146307001</v>
      </c>
      <c r="U93" s="12">
        <v>12133972.5831076</v>
      </c>
      <c r="V93" s="12">
        <v>19220864.935542699</v>
      </c>
      <c r="W93" s="12">
        <v>15983410.4130126</v>
      </c>
      <c r="X93" s="12">
        <v>33605121.117368601</v>
      </c>
      <c r="Y93" s="12">
        <v>1681838.8817294301</v>
      </c>
      <c r="Z93" s="12">
        <v>6338897.26356092</v>
      </c>
      <c r="AA93" s="12">
        <v>383234.16406425799</v>
      </c>
      <c r="AB93" s="12">
        <v>97784316.348265097</v>
      </c>
      <c r="AC93" s="12">
        <v>5463403.9663039697</v>
      </c>
      <c r="AD93" s="12">
        <v>6900167.0847543897</v>
      </c>
      <c r="AE93" s="12">
        <v>27714363.6799585</v>
      </c>
      <c r="AF93" s="12">
        <v>118467134.625324</v>
      </c>
      <c r="AG93" s="12">
        <v>200221941.68550199</v>
      </c>
      <c r="AH93" s="12">
        <v>46183808.013787799</v>
      </c>
      <c r="AI93" s="12">
        <v>126694176.647774</v>
      </c>
      <c r="AJ93" s="12">
        <v>36197643.623248503</v>
      </c>
      <c r="AK93" s="12">
        <v>70284261.245119199</v>
      </c>
      <c r="AL93" s="12">
        <v>35220354.322564296</v>
      </c>
      <c r="AM93" s="12">
        <v>20894697.107667901</v>
      </c>
      <c r="AN93" s="12">
        <v>47257245.823209397</v>
      </c>
      <c r="AO93" s="12">
        <v>16660369.0134842</v>
      </c>
      <c r="AP93" s="12">
        <v>18811000.584729899</v>
      </c>
      <c r="AQ93" s="12">
        <v>77784703.209432706</v>
      </c>
      <c r="AR93" s="12">
        <v>31476065.1203941</v>
      </c>
      <c r="AS93" s="12">
        <v>19443051.9030816</v>
      </c>
      <c r="AT93" s="12">
        <v>75685574.090236694</v>
      </c>
      <c r="AU93" s="30">
        <v>1505819759.2711799</v>
      </c>
      <c r="AV93" s="32"/>
      <c r="AW93" s="39"/>
      <c r="AX93" s="39"/>
      <c r="AY93" s="39"/>
      <c r="AZ93" s="40"/>
      <c r="BA93" s="38"/>
      <c r="BB93" s="38"/>
    </row>
    <row r="94" spans="1:54" x14ac:dyDescent="0.25">
      <c r="A94" s="108"/>
      <c r="B94" s="104" t="s">
        <v>140</v>
      </c>
      <c r="C94" s="104"/>
      <c r="D94" s="9" t="s">
        <v>141</v>
      </c>
      <c r="E94" s="12">
        <v>23117526.7569887</v>
      </c>
      <c r="F94" s="12">
        <v>35255170.9583124</v>
      </c>
      <c r="G94" s="12">
        <v>6711085.0313259903</v>
      </c>
      <c r="H94" s="12">
        <v>14422027.199565999</v>
      </c>
      <c r="I94" s="12">
        <v>9950397.0341494493</v>
      </c>
      <c r="J94" s="12">
        <v>101181657.170058</v>
      </c>
      <c r="K94" s="12">
        <v>21747735.7027881</v>
      </c>
      <c r="L94" s="12">
        <v>26443073.400675401</v>
      </c>
      <c r="M94" s="12">
        <v>17706881.846517999</v>
      </c>
      <c r="N94" s="12">
        <v>37623414.691186301</v>
      </c>
      <c r="O94" s="12">
        <v>27079970.671574298</v>
      </c>
      <c r="P94" s="12">
        <v>139115686.69051301</v>
      </c>
      <c r="Q94" s="12">
        <v>95894757.611015007</v>
      </c>
      <c r="R94" s="12">
        <v>112434126.844658</v>
      </c>
      <c r="S94" s="12">
        <v>41037939.512259103</v>
      </c>
      <c r="T94" s="12">
        <v>43686015.758966699</v>
      </c>
      <c r="U94" s="12">
        <v>20237210.504032802</v>
      </c>
      <c r="V94" s="12">
        <v>60520898.045484103</v>
      </c>
      <c r="W94" s="12">
        <v>53690205.760876298</v>
      </c>
      <c r="X94" s="12">
        <v>51002293.066330403</v>
      </c>
      <c r="Y94" s="12">
        <v>8372234.36541068</v>
      </c>
      <c r="Z94" s="12">
        <v>50724468.507741503</v>
      </c>
      <c r="AA94" s="12">
        <v>385933.570683403</v>
      </c>
      <c r="AB94" s="12">
        <v>38471081.088682704</v>
      </c>
      <c r="AC94" s="12">
        <v>5841588.0152542796</v>
      </c>
      <c r="AD94" s="12">
        <v>3105561.8317358401</v>
      </c>
      <c r="AE94" s="12">
        <v>124616761.457381</v>
      </c>
      <c r="AF94" s="12">
        <v>219960586.71941301</v>
      </c>
      <c r="AG94" s="12">
        <v>17515502.057090301</v>
      </c>
      <c r="AH94" s="12">
        <v>12909619.810646201</v>
      </c>
      <c r="AI94" s="12">
        <v>101253636.088194</v>
      </c>
      <c r="AJ94" s="12">
        <v>501973655.09780598</v>
      </c>
      <c r="AK94" s="12">
        <v>383207440.02152199</v>
      </c>
      <c r="AL94" s="12">
        <v>2859006.25501044</v>
      </c>
      <c r="AM94" s="12">
        <v>7602478.6940469798</v>
      </c>
      <c r="AN94" s="12">
        <v>10750979.3816108</v>
      </c>
      <c r="AO94" s="12">
        <v>5907453.4360225201</v>
      </c>
      <c r="AP94" s="12">
        <v>5752421.8421264105</v>
      </c>
      <c r="AQ94" s="12">
        <v>13231125.5114678</v>
      </c>
      <c r="AR94" s="12">
        <v>4827324.6091729896</v>
      </c>
      <c r="AS94" s="12">
        <v>5804782.0425391896</v>
      </c>
      <c r="AT94" s="12">
        <v>3010908.5344922999</v>
      </c>
      <c r="AU94" s="30">
        <v>2466942623.1953301</v>
      </c>
      <c r="AV94" s="32"/>
      <c r="AW94" s="39"/>
      <c r="AX94" s="39"/>
      <c r="AY94" s="39"/>
      <c r="AZ94" s="40"/>
      <c r="BA94" s="38"/>
      <c r="BB94" s="38"/>
    </row>
    <row r="95" spans="1:54" x14ac:dyDescent="0.25">
      <c r="A95" s="108"/>
      <c r="B95" s="105" t="s">
        <v>142</v>
      </c>
      <c r="C95" s="105"/>
      <c r="D95" s="23" t="s">
        <v>143</v>
      </c>
      <c r="E95" s="21">
        <v>821747242.43806601</v>
      </c>
      <c r="F95" s="21">
        <v>119998497.82053199</v>
      </c>
      <c r="G95" s="21">
        <v>67723789.870348305</v>
      </c>
      <c r="H95" s="21">
        <v>61280677.816436298</v>
      </c>
      <c r="I95" s="21">
        <v>51567838.409148902</v>
      </c>
      <c r="J95" s="21">
        <v>307013686.12254602</v>
      </c>
      <c r="K95" s="21">
        <v>69462846.268183798</v>
      </c>
      <c r="L95" s="21">
        <v>75013510.369867206</v>
      </c>
      <c r="M95" s="21">
        <v>55601618.322904602</v>
      </c>
      <c r="N95" s="21">
        <v>105548967.85566799</v>
      </c>
      <c r="O95" s="21">
        <v>100590764.464109</v>
      </c>
      <c r="P95" s="21">
        <v>370289006.06719899</v>
      </c>
      <c r="Q95" s="21">
        <v>230580001.20979801</v>
      </c>
      <c r="R95" s="21">
        <v>275871759.280788</v>
      </c>
      <c r="S95" s="21">
        <v>127197762.407179</v>
      </c>
      <c r="T95" s="21">
        <v>124087952.5995</v>
      </c>
      <c r="U95" s="21">
        <v>97951296.224270195</v>
      </c>
      <c r="V95" s="21">
        <v>177718024.23972699</v>
      </c>
      <c r="W95" s="21">
        <v>121326838.229105</v>
      </c>
      <c r="X95" s="21">
        <v>166362430.92660099</v>
      </c>
      <c r="Y95" s="21">
        <v>24950349.273819201</v>
      </c>
      <c r="Z95" s="21">
        <v>92075118.338913605</v>
      </c>
      <c r="AA95" s="21">
        <v>4731751.1671526004</v>
      </c>
      <c r="AB95" s="21">
        <v>218349006.230883</v>
      </c>
      <c r="AC95" s="21">
        <v>19571846.656205501</v>
      </c>
      <c r="AD95" s="21">
        <v>20499065.8921142</v>
      </c>
      <c r="AE95" s="21">
        <v>720092939.74483001</v>
      </c>
      <c r="AF95" s="21">
        <v>953603414.88900602</v>
      </c>
      <c r="AG95" s="21">
        <v>456774936.92500198</v>
      </c>
      <c r="AH95" s="21">
        <v>145520583.58793101</v>
      </c>
      <c r="AI95" s="21">
        <v>448014443.89383298</v>
      </c>
      <c r="AJ95" s="21">
        <v>836171391.12910402</v>
      </c>
      <c r="AK95" s="21">
        <v>769667542.13585603</v>
      </c>
      <c r="AL95" s="21">
        <v>318527104.06321698</v>
      </c>
      <c r="AM95" s="21">
        <v>95927166.192667201</v>
      </c>
      <c r="AN95" s="21">
        <v>185142556.025821</v>
      </c>
      <c r="AO95" s="21">
        <v>45556910.116861902</v>
      </c>
      <c r="AP95" s="21">
        <v>157276674.530945</v>
      </c>
      <c r="AQ95" s="21">
        <v>373292162.42448801</v>
      </c>
      <c r="AR95" s="21">
        <v>208205680.26431701</v>
      </c>
      <c r="AS95" s="21">
        <v>78010394.729888007</v>
      </c>
      <c r="AT95" s="21">
        <v>465324463.49375802</v>
      </c>
      <c r="AU95" s="30">
        <v>10164220012.6486</v>
      </c>
      <c r="AV95" s="33"/>
      <c r="AW95" s="40"/>
      <c r="AX95" s="40"/>
      <c r="AY95" s="40"/>
      <c r="AZ95" s="40"/>
      <c r="BA95" s="38"/>
      <c r="BB95" s="38"/>
    </row>
    <row r="96" spans="1:54" x14ac:dyDescent="0.25">
      <c r="A96" s="106" t="s">
        <v>144</v>
      </c>
      <c r="B96" s="107"/>
      <c r="C96" s="107"/>
      <c r="D96" s="28" t="s">
        <v>145</v>
      </c>
      <c r="E96" s="29">
        <v>1331683250.2709701</v>
      </c>
      <c r="F96" s="29">
        <v>235072612.00295901</v>
      </c>
      <c r="G96" s="29">
        <v>107689567.27617</v>
      </c>
      <c r="H96" s="29">
        <v>110177041.901705</v>
      </c>
      <c r="I96" s="29">
        <v>103594331.759159</v>
      </c>
      <c r="J96" s="29">
        <v>1251362798.1711099</v>
      </c>
      <c r="K96" s="29">
        <v>386828334.47523701</v>
      </c>
      <c r="L96" s="29">
        <v>370558592.33887202</v>
      </c>
      <c r="M96" s="29">
        <v>265413179.90955001</v>
      </c>
      <c r="N96" s="29">
        <v>428392766.38333398</v>
      </c>
      <c r="O96" s="29">
        <v>409333284.47485697</v>
      </c>
      <c r="P96" s="29">
        <v>1513344309.08968</v>
      </c>
      <c r="Q96" s="29">
        <v>733031886.55090594</v>
      </c>
      <c r="R96" s="29">
        <v>1208179963.6666601</v>
      </c>
      <c r="S96" s="29">
        <v>519481674.11646301</v>
      </c>
      <c r="T96" s="29">
        <v>532910986.428774</v>
      </c>
      <c r="U96" s="29">
        <v>387351083.80461699</v>
      </c>
      <c r="V96" s="29">
        <v>862471384.69588304</v>
      </c>
      <c r="W96" s="29">
        <v>697666254.58715701</v>
      </c>
      <c r="X96" s="29">
        <v>1091359291.64749</v>
      </c>
      <c r="Y96" s="29">
        <v>97162659.835132107</v>
      </c>
      <c r="Z96" s="29">
        <v>143484493.53275299</v>
      </c>
      <c r="AA96" s="29">
        <v>20697060.147269402</v>
      </c>
      <c r="AB96" s="29">
        <v>699502565.70297396</v>
      </c>
      <c r="AC96" s="29">
        <v>81271005.332346499</v>
      </c>
      <c r="AD96" s="29">
        <v>40678551.969231904</v>
      </c>
      <c r="AE96" s="29">
        <v>2860304981.41469</v>
      </c>
      <c r="AF96" s="29">
        <v>1498514698.5595701</v>
      </c>
      <c r="AG96" s="29">
        <v>1199171268.6345</v>
      </c>
      <c r="AH96" s="29">
        <v>431989760.105425</v>
      </c>
      <c r="AI96" s="29">
        <v>965242789.82604098</v>
      </c>
      <c r="AJ96" s="29">
        <v>1229370155.47224</v>
      </c>
      <c r="AK96" s="29">
        <v>1066633480.3337899</v>
      </c>
      <c r="AL96" s="29">
        <v>962562600.60869706</v>
      </c>
      <c r="AM96" s="29">
        <v>231556568.159228</v>
      </c>
      <c r="AN96" s="29">
        <v>519785869.52841699</v>
      </c>
      <c r="AO96" s="29">
        <v>113163982.208406</v>
      </c>
      <c r="AP96" s="29">
        <v>300337588.72242898</v>
      </c>
      <c r="AQ96" s="29">
        <v>532487559.13479602</v>
      </c>
      <c r="AR96" s="29">
        <v>500072197.73930699</v>
      </c>
      <c r="AS96" s="29">
        <v>155843409.76529199</v>
      </c>
      <c r="AT96" s="29">
        <v>794542205.14818299</v>
      </c>
      <c r="AU96" s="34">
        <v>26990278045.432301</v>
      </c>
      <c r="AV96" s="35"/>
      <c r="AW96" s="41"/>
      <c r="AX96" s="41"/>
      <c r="AY96" s="41"/>
      <c r="AZ96" s="41"/>
      <c r="BA96" s="41"/>
      <c r="BB96" s="41"/>
    </row>
  </sheetData>
  <mergeCells count="18">
    <mergeCell ref="BA3:BA4"/>
    <mergeCell ref="BB3:BB4"/>
    <mergeCell ref="A3:C4"/>
    <mergeCell ref="B92:C92"/>
    <mergeCell ref="B93:C93"/>
    <mergeCell ref="AV3:AZ3"/>
    <mergeCell ref="B94:C94"/>
    <mergeCell ref="B95:C95"/>
    <mergeCell ref="A96:C96"/>
    <mergeCell ref="A91:A95"/>
    <mergeCell ref="E3:AU3"/>
    <mergeCell ref="A5:C5"/>
    <mergeCell ref="B90:C90"/>
    <mergeCell ref="B91:C91"/>
    <mergeCell ref="A6:A90"/>
    <mergeCell ref="B6:B47"/>
    <mergeCell ref="B48:B89"/>
    <mergeCell ref="D3:D4"/>
  </mergeCells>
  <phoneticPr fontId="16"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18"/>
  <sheetViews>
    <sheetView tabSelected="1" workbookViewId="0">
      <pane xSplit="2" topLeftCell="J1" activePane="topRight" state="frozen"/>
      <selection pane="topRight" activeCell="J8" sqref="J8"/>
    </sheetView>
  </sheetViews>
  <sheetFormatPr defaultColWidth="9" defaultRowHeight="14.4" x14ac:dyDescent="0.25"/>
  <cols>
    <col min="1" max="1" width="51.6640625" bestFit="1" customWidth="1"/>
    <col min="2" max="43" width="12.6640625"/>
  </cols>
  <sheetData>
    <row r="1" spans="1:43" x14ac:dyDescent="0.25">
      <c r="B1" s="2" t="s">
        <v>5</v>
      </c>
      <c r="C1" s="2" t="s">
        <v>6</v>
      </c>
      <c r="D1" s="2" t="s">
        <v>7</v>
      </c>
      <c r="E1" s="2" t="s">
        <v>8</v>
      </c>
      <c r="F1" s="2" t="s">
        <v>9</v>
      </c>
      <c r="G1" s="2" t="s">
        <v>10</v>
      </c>
      <c r="H1" s="2" t="s">
        <v>11</v>
      </c>
      <c r="I1" s="2" t="s">
        <v>12</v>
      </c>
      <c r="J1" s="2" t="s">
        <v>13</v>
      </c>
      <c r="K1" s="2" t="s">
        <v>14</v>
      </c>
      <c r="L1" s="2" t="s">
        <v>15</v>
      </c>
      <c r="M1" s="2" t="s">
        <v>16</v>
      </c>
      <c r="N1" s="2" t="s">
        <v>17</v>
      </c>
      <c r="O1" s="2" t="s">
        <v>18</v>
      </c>
      <c r="P1" s="2" t="s">
        <v>19</v>
      </c>
      <c r="Q1" s="2" t="s">
        <v>20</v>
      </c>
      <c r="R1" s="2" t="s">
        <v>21</v>
      </c>
      <c r="S1" s="2" t="s">
        <v>22</v>
      </c>
      <c r="T1" s="2" t="s">
        <v>23</v>
      </c>
      <c r="U1" s="2" t="s">
        <v>24</v>
      </c>
      <c r="V1" s="2" t="s">
        <v>25</v>
      </c>
      <c r="W1" s="2" t="s">
        <v>26</v>
      </c>
      <c r="X1" s="2" t="s">
        <v>27</v>
      </c>
      <c r="Y1" s="2" t="s">
        <v>28</v>
      </c>
      <c r="Z1" s="2" t="s">
        <v>29</v>
      </c>
      <c r="AA1" s="2" t="s">
        <v>30</v>
      </c>
      <c r="AB1" s="2" t="s">
        <v>31</v>
      </c>
      <c r="AC1" s="2" t="s">
        <v>32</v>
      </c>
      <c r="AD1" s="2" t="s">
        <v>33</v>
      </c>
      <c r="AE1" s="2" t="s">
        <v>34</v>
      </c>
      <c r="AF1" s="2" t="s">
        <v>35</v>
      </c>
      <c r="AG1" s="2" t="s">
        <v>36</v>
      </c>
      <c r="AH1" s="2" t="s">
        <v>37</v>
      </c>
      <c r="AI1" s="2" t="s">
        <v>38</v>
      </c>
      <c r="AJ1" s="2" t="s">
        <v>39</v>
      </c>
      <c r="AK1" s="2" t="s">
        <v>40</v>
      </c>
      <c r="AL1" s="2" t="s">
        <v>41</v>
      </c>
      <c r="AM1" s="2" t="s">
        <v>42</v>
      </c>
      <c r="AN1" s="2" t="s">
        <v>43</v>
      </c>
      <c r="AO1" s="2" t="s">
        <v>44</v>
      </c>
      <c r="AP1" s="2" t="s">
        <v>45</v>
      </c>
      <c r="AQ1" s="2" t="s">
        <v>46</v>
      </c>
    </row>
    <row r="2" spans="1:43" x14ac:dyDescent="0.25">
      <c r="A2" s="2" t="s">
        <v>47</v>
      </c>
      <c r="B2">
        <f>'2020 National IO'!$BF$7*$B$15</f>
        <v>183307102.26537412</v>
      </c>
      <c r="C2">
        <f>'2020 National IO'!$BF$8*$B$15</f>
        <v>32357904.418672379</v>
      </c>
      <c r="D2">
        <f>$B$15*'2020 National IO'!$BF$9</f>
        <v>14823541.947824338</v>
      </c>
      <c r="E2">
        <f>$B$15*'2020 National IO'!$BF$10</f>
        <v>26640168.799330261</v>
      </c>
      <c r="F2">
        <f>$B$15*'2020 National IO'!$BF$11</f>
        <v>2785605.7195637501</v>
      </c>
      <c r="G2">
        <f>$B$15*'2020 National IO'!$BF$12</f>
        <v>172250937.5775069</v>
      </c>
      <c r="H2">
        <f>$B$15*'2020 National IO'!$BF$13</f>
        <v>104254823.97538707</v>
      </c>
      <c r="I2">
        <f>$B$15*'2020 National IO'!$BF$14</f>
        <v>36534304.161562681</v>
      </c>
      <c r="J2">
        <f>$B$15*'2020 National IO'!$BF$15</f>
        <v>58968554.737921059</v>
      </c>
      <c r="K2">
        <f>$B$15*'2020 National IO'!$BF$16</f>
        <v>56345004.131114587</v>
      </c>
      <c r="L2">
        <f>$B$15*'2020 National IO'!$BF$17</f>
        <v>117704625.76183432</v>
      </c>
      <c r="M2">
        <f>$B$15*'2020 National IO'!$BF$18</f>
        <v>41302930.665497653</v>
      </c>
      <c r="N2">
        <f>$B$15*'2020 National IO'!$BF$19</f>
        <v>49305313.748497456</v>
      </c>
      <c r="O2">
        <f>$B$15*'2020 National IO'!$BF$25</f>
        <v>53319139.30518277</v>
      </c>
      <c r="P2">
        <f>$B$15*'2020 National IO'!$BF$20</f>
        <v>100902336.17072643</v>
      </c>
      <c r="Q2">
        <f>$B$15*'2020 National IO'!$BF$21</f>
        <v>94085606.778052717</v>
      </c>
      <c r="R2">
        <f>$B$15*'2020 National IO'!$BF$22</f>
        <v>72221184.352463216</v>
      </c>
      <c r="S2">
        <f>$B$15*'2020 National IO'!$BF$23</f>
        <v>71507004.644593954</v>
      </c>
      <c r="T2">
        <f>$B$15*'2020 National IO'!$BF$29</f>
        <v>163600852.42548159</v>
      </c>
      <c r="U2">
        <f>$B$15*'2020 National IO'!$BF$28</f>
        <v>96034232.953434154</v>
      </c>
      <c r="V2">
        <f>$B$15*'2020 National IO'!$BF$24</f>
        <v>73355558.589299306</v>
      </c>
      <c r="W2">
        <f>$B$15*'2020 National IO'!$BF$26</f>
        <v>97244348.430143192</v>
      </c>
      <c r="X2">
        <f>$B$15*'2020 National IO'!$BF$27</f>
        <v>21475422.418696076</v>
      </c>
      <c r="Y2">
        <f>$B$15*'2020 National IO'!$BF$30</f>
        <v>2848964.3616348915</v>
      </c>
      <c r="Z2">
        <f>$B$15*'2020 National IO'!$BF$31</f>
        <v>96287002.42352356</v>
      </c>
      <c r="AA2">
        <f>$B$15*'2020 National IO'!$BF$32</f>
        <v>11187008.984782889</v>
      </c>
      <c r="AB2">
        <f>$B$15*'2020 National IO'!$BF$33</f>
        <v>5599430.2581443824</v>
      </c>
      <c r="AC2">
        <f>$B$15*'2020 National IO'!$BF$34</f>
        <v>393722919.94485372</v>
      </c>
      <c r="AD2">
        <f>$B$15*'2020 National IO'!$BF$35</f>
        <v>206271564.23206028</v>
      </c>
      <c r="AE2">
        <f>$B$15*'2020 National IO'!$BF$36</f>
        <v>165066738.15154961</v>
      </c>
      <c r="AF2">
        <f>$B$15*'2020 National IO'!$BF$37</f>
        <v>59463683.36248631</v>
      </c>
      <c r="AG2">
        <f>$B$15*'2020 National IO'!$BF$38</f>
        <v>132866324.44280899</v>
      </c>
      <c r="AH2">
        <f>$B$15*'2020 National IO'!$BF$41</f>
        <v>132497394.57990484</v>
      </c>
      <c r="AI2">
        <f>$B$15*'2020 National IO'!$BF$42</f>
        <v>31873918.599746451</v>
      </c>
      <c r="AJ2">
        <f>$B$15*'2020 National IO'!$BF$39</f>
        <v>169223635.39925447</v>
      </c>
      <c r="AK2">
        <f>$B$15*'2020 National IO'!$BF$40</f>
        <v>146822821.73289582</v>
      </c>
      <c r="AL2">
        <f>$B$15*'2020 National IO'!$BF$43</f>
        <v>71548877.349290341</v>
      </c>
      <c r="AM2">
        <f>$B$15*'2020 National IO'!$BF$48</f>
        <v>124946372.10374942</v>
      </c>
      <c r="AN2">
        <f>$B$15*'2020 National IO'!$BF$45</f>
        <v>73297273.535204515</v>
      </c>
      <c r="AO2">
        <f>$B$15*'2020 National IO'!$BF$46</f>
        <v>68835277.061881825</v>
      </c>
      <c r="AP2">
        <f>$B$15*'2020 National IO'!$BF$47</f>
        <v>21451951.014190607</v>
      </c>
      <c r="AQ2">
        <f>$B$15*'2020 National IO'!$BF$44</f>
        <v>41341672.712993726</v>
      </c>
    </row>
    <row r="3" spans="1:43" x14ac:dyDescent="0.25">
      <c r="A3" s="2" t="s">
        <v>48</v>
      </c>
      <c r="B3">
        <f>$B$15*'2020 National IO'!$BE$7</f>
        <v>8845713.0486728679</v>
      </c>
      <c r="C3">
        <f>$B$15*'2020 National IO'!$BE$8</f>
        <v>2055540.1189536713</v>
      </c>
      <c r="D3">
        <f>$B$15*'2020 National IO'!$BE$9</f>
        <v>19999809.262753289</v>
      </c>
      <c r="E3">
        <f>$B$15*'2020 National IO'!$BE$10</f>
        <v>18534353.02101317</v>
      </c>
      <c r="F3">
        <f>$B$15*'2020 National IO'!$BE$11</f>
        <v>0</v>
      </c>
      <c r="G3">
        <f>$B$15*'2020 National IO'!$BE$12</f>
        <v>11174570.125893485</v>
      </c>
      <c r="H3">
        <f>$B$15*'2020 National IO'!$BE$13</f>
        <v>4137159.6188754314</v>
      </c>
      <c r="I3">
        <f>$B$15*'2020 National IO'!$BE$14</f>
        <v>1340286.8479202811</v>
      </c>
      <c r="J3">
        <f>$B$15*'2020 National IO'!$BE$15</f>
        <v>3566621.4213202666</v>
      </c>
      <c r="K3">
        <f>$B$15*'2020 National IO'!$BE$16</f>
        <v>3117808.2535243439</v>
      </c>
      <c r="L3">
        <f>$B$15*'2020 National IO'!$BE$17</f>
        <v>16940663.977104448</v>
      </c>
      <c r="M3">
        <f>$B$15*'2020 National IO'!$BE$18</f>
        <v>4272575.4161532288</v>
      </c>
      <c r="N3">
        <f>$B$15*'2020 National IO'!$BE$19</f>
        <v>2320086.0569927529</v>
      </c>
      <c r="O3">
        <f>$B$15*'2020 National IO'!$BE$20</f>
        <v>1711923.0815645442</v>
      </c>
      <c r="P3">
        <f>$B$15*'2020 National IO'!$BE$25</f>
        <v>8151482.7527912986</v>
      </c>
      <c r="Q3">
        <f>$B$15*'2020 National IO'!$BE$21</f>
        <v>3653415.3685833234</v>
      </c>
      <c r="R3">
        <f>$B$15*'2020 National IO'!$BE$22</f>
        <v>7525723.7902549179</v>
      </c>
      <c r="S3">
        <f>$B$15*'2020 National IO'!$BE$23</f>
        <v>1127006.8498233489</v>
      </c>
      <c r="T3">
        <f>$B$15*'2020 National IO'!$BE$29</f>
        <v>55357029.675100617</v>
      </c>
      <c r="U3">
        <f>$B$15*'2020 National IO'!$BE$28</f>
        <v>6942578.6410365179</v>
      </c>
      <c r="V3">
        <f>$B$15*'2020 National IO'!$BE$24</f>
        <v>7628936.329626265</v>
      </c>
      <c r="W3">
        <f>$B$15*'2020 National IO'!$BE$26</f>
        <v>7093261.1053186804</v>
      </c>
      <c r="X3">
        <f>$B$15*'2020 National IO'!$BE$27</f>
        <v>1267414.0855415214</v>
      </c>
      <c r="Y3">
        <f>$B$15*'2020 National IO'!$BE$30</f>
        <v>319013.44321370724</v>
      </c>
      <c r="Z3">
        <f>$B$15*'2020 National IO'!$BE$31</f>
        <v>16961.101971833345</v>
      </c>
      <c r="AA3">
        <f>$B$15*'2020 National IO'!$BE$32</f>
        <v>0</v>
      </c>
      <c r="AB3">
        <f>$B$15*'2020 National IO'!$BE$33</f>
        <v>0</v>
      </c>
      <c r="AC3">
        <f>$B$15*'2020 National IO'!$BE$34</f>
        <v>763279.59792432317</v>
      </c>
      <c r="AD3">
        <f>$B$15*'2020 National IO'!$BE$35</f>
        <v>0</v>
      </c>
      <c r="AE3">
        <f>$B$15*'2020 National IO'!$BE$36</f>
        <v>5412723.2521858681</v>
      </c>
      <c r="AF3">
        <f>$B$15*'2020 National IO'!$BE$37</f>
        <v>3822200.0711781392</v>
      </c>
      <c r="AG3">
        <f>$B$15*'2020 National IO'!$BE$38</f>
        <v>3806254.2719103359</v>
      </c>
      <c r="AH3">
        <f>$B$15*'2020 National IO'!$BE$41</f>
        <v>4189699.2973168818</v>
      </c>
      <c r="AI3">
        <f>$B$15*'2020 National IO'!$BE$42</f>
        <v>3819424.495665737</v>
      </c>
      <c r="AJ3">
        <f>$B$15*'2020 National IO'!$BE$39</f>
        <v>1454020.6193939371</v>
      </c>
      <c r="AK3">
        <f>$B$15*'2020 National IO'!$BE$40</f>
        <v>0</v>
      </c>
      <c r="AL3">
        <f>$B$15*'2020 National IO'!$BE$43</f>
        <v>75.239676428513917</v>
      </c>
      <c r="AM3">
        <f>$B$15*'2020 National IO'!$BE$48</f>
        <v>708252.11386893201</v>
      </c>
      <c r="AN3">
        <f>$B$15*'2020 National IO'!$BE$45</f>
        <v>0</v>
      </c>
      <c r="AO3">
        <f>$B$15*'2020 National IO'!$BE$46</f>
        <v>164498.85820515471</v>
      </c>
      <c r="AP3">
        <f>$B$15*'2020 National IO'!$BE$47</f>
        <v>1547198.8246675082</v>
      </c>
      <c r="AQ3">
        <f>$B$15*'2020 National IO'!$BE$44</f>
        <v>156336.35239027929</v>
      </c>
    </row>
    <row r="4" spans="1:43" x14ac:dyDescent="0.25">
      <c r="A4" s="2" t="s">
        <v>49</v>
      </c>
      <c r="B4">
        <f>$B$15*'2020 National IO'!$BC$7</f>
        <v>2501342.9751912444</v>
      </c>
      <c r="C4">
        <f>$B$15*'2020 National IO'!$BC$8</f>
        <v>35898.682295026556</v>
      </c>
      <c r="D4">
        <f>$B$15*'2020 National IO'!$BC$9</f>
        <v>149394.68052614536</v>
      </c>
      <c r="E4">
        <f>$B$15*'2020 National IO'!$BC$10</f>
        <v>458804.01143890311</v>
      </c>
      <c r="F4">
        <f>$B$15*'2020 National IO'!$BC$11</f>
        <v>0</v>
      </c>
      <c r="G4">
        <f>$B$15*'2020 National IO'!$BC$12</f>
        <v>4932504.80899496</v>
      </c>
      <c r="H4">
        <f>$B$15*'2020 National IO'!$BC$13</f>
        <v>25713303.620500386</v>
      </c>
      <c r="I4">
        <f>$B$15*'2020 National IO'!$BC$14</f>
        <v>6161973.4685228281</v>
      </c>
      <c r="J4">
        <f>$B$15*'2020 National IO'!$BC$15</f>
        <v>9095204.5778889675</v>
      </c>
      <c r="K4">
        <f>$B$15*'2020 National IO'!$BC$16</f>
        <v>2199826.373904123</v>
      </c>
      <c r="L4">
        <f>$B$15*'2020 National IO'!$BC$17</f>
        <v>9113559.2425584383</v>
      </c>
      <c r="M4">
        <f>$B$15*'2020 National IO'!$BC$18</f>
        <v>3156482.623051201</v>
      </c>
      <c r="N4">
        <f>$B$15*'2020 National IO'!$BC$19</f>
        <v>7862690.505435843</v>
      </c>
      <c r="O4">
        <f>$B$15*'2020 National IO'!$BC$20</f>
        <v>4756409.6326476112</v>
      </c>
      <c r="P4">
        <f>$B$15*'2020 National IO'!$BC$25</f>
        <v>8169608.9515499389</v>
      </c>
      <c r="Q4">
        <f>$B$15*'2020 National IO'!$BC$21</f>
        <v>3822266.3735248079</v>
      </c>
      <c r="R4">
        <f>$B$15*'2020 National IO'!$BC$22</f>
        <v>2472995.4392548259</v>
      </c>
      <c r="S4">
        <f>$B$15*'2020 National IO'!$BC$23</f>
        <v>8582320.3487069886</v>
      </c>
      <c r="T4">
        <f>$B$15*'2020 National IO'!$BC$29</f>
        <v>60479211.545549333</v>
      </c>
      <c r="U4">
        <f>$B$15*'2020 National IO'!$BC$28</f>
        <v>23476120.199296489</v>
      </c>
      <c r="V4">
        <f>$B$15*'2020 National IO'!$BC$24</f>
        <v>12742229.43351436</v>
      </c>
      <c r="W4">
        <f>$B$15*'2020 National IO'!$BC$26</f>
        <v>4339356.6676373566</v>
      </c>
      <c r="X4">
        <f>$B$15*'2020 National IO'!$BC$27</f>
        <v>3986971.7818677882</v>
      </c>
      <c r="Y4">
        <f>$B$15*'2020 National IO'!$BC$30</f>
        <v>726756.90161481872</v>
      </c>
      <c r="Z4">
        <f>$B$15*'2020 National IO'!$BC$31</f>
        <v>143850.42989191349</v>
      </c>
      <c r="AA4">
        <f>$B$15*'2020 National IO'!$BC$32</f>
        <v>0</v>
      </c>
      <c r="AB4">
        <f>$B$15*'2020 National IO'!$BC$33</f>
        <v>0</v>
      </c>
      <c r="AC4">
        <f>$B$15*'2020 National IO'!$BC$34</f>
        <v>1194953.9709666434</v>
      </c>
      <c r="AD4">
        <f>$B$15*'2020 National IO'!$BC$35</f>
        <v>24583246.271107968</v>
      </c>
      <c r="AE4">
        <f>$B$15*'2020 National IO'!$BC$36</f>
        <v>13092191.770254316</v>
      </c>
      <c r="AF4">
        <f>$B$15*'2020 National IO'!$BC$37</f>
        <v>372476.47097751999</v>
      </c>
      <c r="AG4">
        <f>$B$15*'2020 National IO'!$BC$38</f>
        <v>4232071.3794519976</v>
      </c>
      <c r="AH4">
        <f>$B$15*'2020 National IO'!$BC$41</f>
        <v>5578341.788219016</v>
      </c>
      <c r="AI4">
        <f>$B$15*'2020 National IO'!$BC$42</f>
        <v>1332015.1826647199</v>
      </c>
      <c r="AJ4">
        <f>$B$15*'2020 National IO'!$BC$39</f>
        <v>949123.63380819617</v>
      </c>
      <c r="AK4">
        <f>$B$15*'2020 National IO'!$BC$40</f>
        <v>0</v>
      </c>
      <c r="AL4">
        <f>$B$15*'2020 National IO'!$BC$43</f>
        <v>191.02003815534439</v>
      </c>
      <c r="AM4">
        <f>$B$15*'2020 National IO'!$BC$48</f>
        <v>279080.96432963846</v>
      </c>
      <c r="AN4">
        <f>$B$15*'2020 National IO'!$BC$45</f>
        <v>0</v>
      </c>
      <c r="AO4">
        <f>$B$15*'2020 National IO'!$BC$46</f>
        <v>21607.634928265379</v>
      </c>
      <c r="AP4">
        <f>$B$15*'2020 National IO'!$BC$47</f>
        <v>391669.04376237793</v>
      </c>
      <c r="AQ4">
        <f>$B$15*'2020 National IO'!$BC$44</f>
        <v>13445.129113389123</v>
      </c>
    </row>
    <row r="5" spans="1:43" x14ac:dyDescent="0.25">
      <c r="A5" s="2" t="s">
        <v>50</v>
      </c>
      <c r="B5">
        <f>B2+B3-B4</f>
        <v>189651472.33885574</v>
      </c>
      <c r="C5">
        <f t="shared" ref="C5:R5" si="0">C2+C3-C4</f>
        <v>34377545.855331026</v>
      </c>
      <c r="D5">
        <f t="shared" si="0"/>
        <v>34673956.530051485</v>
      </c>
      <c r="E5">
        <f t="shared" si="0"/>
        <v>44715717.808904529</v>
      </c>
      <c r="F5">
        <f t="shared" si="0"/>
        <v>2785605.7195637501</v>
      </c>
      <c r="G5">
        <f t="shared" si="0"/>
        <v>178493002.89440542</v>
      </c>
      <c r="H5">
        <f t="shared" si="0"/>
        <v>82678679.97376211</v>
      </c>
      <c r="I5">
        <f t="shared" si="0"/>
        <v>31712617.540960137</v>
      </c>
      <c r="J5">
        <f t="shared" si="0"/>
        <v>53439971.581352361</v>
      </c>
      <c r="K5">
        <f t="shared" si="0"/>
        <v>57262986.010734804</v>
      </c>
      <c r="L5">
        <f t="shared" si="0"/>
        <v>125531730.49638034</v>
      </c>
      <c r="M5">
        <f t="shared" si="0"/>
        <v>42419023.458599679</v>
      </c>
      <c r="N5">
        <f t="shared" si="0"/>
        <v>43762709.300054371</v>
      </c>
      <c r="O5">
        <f t="shared" si="0"/>
        <v>50274652.754099704</v>
      </c>
      <c r="P5">
        <f t="shared" si="0"/>
        <v>100884209.9719678</v>
      </c>
      <c r="Q5">
        <f t="shared" si="0"/>
        <v>93916755.773111224</v>
      </c>
      <c r="R5">
        <f t="shared" si="0"/>
        <v>77273912.703463316</v>
      </c>
      <c r="S5">
        <f t="shared" ref="S5:AQ5" si="1">S2+S3-S4</f>
        <v>64051691.145710319</v>
      </c>
      <c r="T5">
        <f t="shared" si="1"/>
        <v>158478670.55503288</v>
      </c>
      <c r="U5">
        <f t="shared" si="1"/>
        <v>79500691.39517419</v>
      </c>
      <c r="V5">
        <f t="shared" si="1"/>
        <v>68242265.485411212</v>
      </c>
      <c r="W5">
        <f t="shared" si="1"/>
        <v>99998252.86782451</v>
      </c>
      <c r="X5">
        <f t="shared" si="1"/>
        <v>18755864.722369809</v>
      </c>
      <c r="Y5">
        <f t="shared" si="1"/>
        <v>2441220.9032337801</v>
      </c>
      <c r="Z5">
        <f t="shared" si="1"/>
        <v>96160113.095603481</v>
      </c>
      <c r="AA5">
        <f t="shared" si="1"/>
        <v>11187008.984782889</v>
      </c>
      <c r="AB5">
        <f t="shared" si="1"/>
        <v>5599430.2581443824</v>
      </c>
      <c r="AC5">
        <f t="shared" si="1"/>
        <v>393291245.57181144</v>
      </c>
      <c r="AD5">
        <f t="shared" si="1"/>
        <v>181688317.96095231</v>
      </c>
      <c r="AE5">
        <f t="shared" si="1"/>
        <v>157387269.63348117</v>
      </c>
      <c r="AF5">
        <f t="shared" si="1"/>
        <v>62913406.962686926</v>
      </c>
      <c r="AG5">
        <f t="shared" si="1"/>
        <v>132440507.33526734</v>
      </c>
      <c r="AH5">
        <f t="shared" si="1"/>
        <v>131108752.08900271</v>
      </c>
      <c r="AI5">
        <f t="shared" si="1"/>
        <v>34361327.912747465</v>
      </c>
      <c r="AJ5">
        <f t="shared" si="1"/>
        <v>169728532.38484022</v>
      </c>
      <c r="AK5">
        <f t="shared" si="1"/>
        <v>146822821.73289582</v>
      </c>
      <c r="AL5">
        <f t="shared" si="1"/>
        <v>71548761.568928614</v>
      </c>
      <c r="AM5">
        <f t="shared" si="1"/>
        <v>125375543.25328872</v>
      </c>
      <c r="AN5">
        <f t="shared" si="1"/>
        <v>73297273.535204515</v>
      </c>
      <c r="AO5">
        <f t="shared" si="1"/>
        <v>68978168.285158709</v>
      </c>
      <c r="AP5">
        <f t="shared" si="1"/>
        <v>22607480.795095738</v>
      </c>
      <c r="AQ5">
        <f t="shared" si="1"/>
        <v>41484563.936270617</v>
      </c>
    </row>
    <row r="6" spans="1:43" x14ac:dyDescent="0.25">
      <c r="A6" s="2" t="s">
        <v>51</v>
      </c>
      <c r="B6">
        <f>'2020 non-competitive IO'!$AY$48/('2020 non-competitive IO'!$AY$48+'2020 non-competitive IO'!$AY$6)</f>
        <v>3.8435647991538871E-4</v>
      </c>
      <c r="C6">
        <f>'2020 non-competitive IO'!$AY$49/('2020 non-competitive IO'!$AY$49+'2020 non-competitive IO'!$AY$7)</f>
        <v>0.1072073811001458</v>
      </c>
      <c r="D6">
        <f>'2020 non-competitive IO'!$AY$50/('2020 non-competitive IO'!$AY$50+'2020 non-competitive IO'!$AY$8)</f>
        <v>0.75000000000000022</v>
      </c>
      <c r="E6">
        <f>'2020 non-competitive IO'!$AY$51/('2020 non-competitive IO'!$AY$51+'2020 non-competitive IO'!$AY$9)</f>
        <v>0.73770856365601922</v>
      </c>
      <c r="F6">
        <f>'2020 non-competitive IO'!$AY$52/('2020 non-competitive IO'!AY52+'2020 non-competitive IO'!AY10)</f>
        <v>2.1076700941219897E-2</v>
      </c>
      <c r="G6">
        <f>'2020 non-competitive IO'!$AY$53/('2020 non-competitive IO'!$AY$53+'2020 non-competitive IO'!$AY$11)</f>
        <v>2.2122424519317378E-3</v>
      </c>
      <c r="H6">
        <f>('2020 non-competitive IO'!$AY$54+'2020 non-competitive IO'!$AY$54)/('2020 non-competitive IO'!$AY$54+'2020 non-competitive IO'!$AY$55+'2020 non-competitive IO'!$AY$12+'2020 non-competitive IO'!$AY$13)</f>
        <v>0</v>
      </c>
      <c r="I6">
        <f>'2020 non-competitive IO'!$AY$56/('2020 non-competitive IO'!$AY$56+'2020 non-competitive IO'!$AY$14)</f>
        <v>1.0843135703818149E-3</v>
      </c>
      <c r="J6">
        <f>'2020 non-competitive IO'!$AY$57/('2020 non-competitive IO'!$AY$57+'2020 non-competitive IO'!$AY$15)</f>
        <v>6.4870473125658457E-3</v>
      </c>
      <c r="K6">
        <f>'2020 non-competitive IO'!$AY$58/('2020 non-competitive IO'!$AY$58+'2020 non-competitive IO'!$AY$16)</f>
        <v>0.13374347820943758</v>
      </c>
      <c r="L6">
        <f>'2020 non-competitive IO'!$AY$59/('2020 non-competitive IO'!$AY$59+'2020 non-competitive IO'!$AY$17)</f>
        <v>3.8132348192379197E-3</v>
      </c>
      <c r="M6">
        <f>'2020 non-competitive IO'!$AY$59/('2020 non-competitive IO'!$AY$59+'2020 non-competitive IO'!$AY$17)</f>
        <v>3.8132348192379197E-3</v>
      </c>
      <c r="N6">
        <f>'2020 non-competitive IO'!$AY$59/('2020 non-competitive IO'!$AY$59+'2020 non-competitive IO'!$AY$17)</f>
        <v>3.8132348192379197E-3</v>
      </c>
      <c r="O6">
        <f>'2020 non-competitive IO'!$AY$60/('2020 non-competitive IO'!$AY$60+'2020 non-competitive IO'!$AY$18)</f>
        <v>9.8577349553779902E-3</v>
      </c>
      <c r="P6">
        <f>'2020 non-competitive IO'!$AY$64/('2020 non-competitive IO'!$AY$64+'2020 non-competitive IO'!$AY$22)</f>
        <v>7.9567377844018319E-3</v>
      </c>
      <c r="Q6">
        <f>'2020 non-competitive IO'!$AY$61/('2020 non-competitive IO'!$AY$61+'2020 non-competitive IO'!$AY$19)</f>
        <v>3.4222770569219352E-2</v>
      </c>
      <c r="R6">
        <f>'2020 non-competitive IO'!$AY$61/('2020 non-competitive IO'!$AY$61+'2020 non-competitive IO'!$AY$19)</f>
        <v>3.4222770569219352E-2</v>
      </c>
      <c r="S6">
        <f>'2020 non-competitive IO'!$AY$62/('2020 non-competitive IO'!$AY$62+'2020 non-competitive IO'!$AY$20)</f>
        <v>1.6699437030837884E-3</v>
      </c>
      <c r="T6">
        <f>'2020 non-competitive IO'!$AY$67/('2020 non-competitive IO'!$AY$67+'2020 non-competitive IO'!$AY$25)</f>
        <v>5.8971782846385622E-2</v>
      </c>
      <c r="U6">
        <f>'2020 non-competitive IO'!$AY$66/('2020 non-competitive IO'!$AY$66+'2020 non-competitive IO'!$AY$24)</f>
        <v>8.3592948070140768E-3</v>
      </c>
      <c r="V6">
        <f>'2020 non-competitive IO'!$AY$63/('2020 non-competitive IO'!$AY$63+'2020 non-competitive IO'!$AY$21)</f>
        <v>1.1718284994803015E-2</v>
      </c>
      <c r="W6">
        <f>'2020 non-competitive IO'!$AY$65/('2020 non-competitive IO'!$AY$65+'2020 non-competitive IO'!$AY$23)</f>
        <v>7.0817422424978788E-3</v>
      </c>
      <c r="X6">
        <f>'2020 non-competitive IO'!$AY$65/('2020 non-competitive IO'!$AY$65+'2020 non-competitive IO'!$AY$23)</f>
        <v>7.0817422424978788E-3</v>
      </c>
      <c r="Y6">
        <f>'2020 non-competitive IO'!$AY$69/('2020 non-competitive IO'!$AY$69+'2020 non-competitive IO'!$AY$27)</f>
        <v>0</v>
      </c>
      <c r="Z6">
        <f>'2020 non-competitive IO'!$AY$71/('2020 non-competitive IO'!$AY$71+'2020 non-competitive IO'!$AY$29)</f>
        <v>0</v>
      </c>
      <c r="AA6">
        <v>0</v>
      </c>
      <c r="AB6">
        <v>0</v>
      </c>
      <c r="AC6">
        <f>'2020 non-competitive IO'!$AY$74/('2020 non-competitive IO'!$AY$74+'2020 non-competitive IO'!$AY$32)</f>
        <v>0</v>
      </c>
      <c r="AD6">
        <f>'2020 non-competitive IO'!$AY$75/('2020 non-competitive IO'!$AY$75+'2020 non-competitive IO'!$AY$33)</f>
        <v>0</v>
      </c>
      <c r="AE6">
        <f>'2020 non-competitive IO'!$AY$76/('2020 non-competitive IO'!$AY$76+'2020 non-competitive IO'!$AY$34)</f>
        <v>0</v>
      </c>
      <c r="AF6">
        <f>'2020 non-competitive IO'!$AY$77/('2020 non-competitive IO'!$AY$77+'2020 non-competitive IO'!$AY$35)</f>
        <v>0</v>
      </c>
      <c r="AG6">
        <f>'2020 non-competitive IO'!$AY$78/('2020 non-competitive IO'!$AY$78+'2020 non-competitive IO'!$AY$34)</f>
        <v>0</v>
      </c>
      <c r="AH6">
        <f>'2020 non-competitive IO'!$AY$81/('2020 non-competitive IO'!$AY$81+'2020 non-competitive IO'!$AY$39)</f>
        <v>0</v>
      </c>
      <c r="AI6">
        <f>'2020 non-competitive IO'!$AY$82/('2020 non-competitive IO'!$AY$82+'2020 non-competitive IO'!$AY$40)</f>
        <v>0</v>
      </c>
      <c r="AJ6">
        <f>'2020 non-competitive IO'!$AY$79/('2020 non-competitive IO'!$AY$79+'2020 non-competitive IO'!$AY$37)</f>
        <v>0</v>
      </c>
      <c r="AK6">
        <v>0</v>
      </c>
      <c r="AL6">
        <f>'2020 non-competitive IO'!$AY$83/('2020 non-competitive IO'!$AY$83+'2020 non-competitive IO'!$AY$41)</f>
        <v>0</v>
      </c>
      <c r="AM6">
        <f>'2020 non-competitive IO'!$AY$84/('2020 non-competitive IO'!$AY$84+'2020 non-competitive IO'!$AY$42)</f>
        <v>0</v>
      </c>
      <c r="AN6">
        <v>0</v>
      </c>
      <c r="AO6">
        <f>'2020 non-competitive IO'!$AY$87/('2020 non-competitive IO'!$AY$87+'2020 non-competitive IO'!$AY$45)</f>
        <v>0</v>
      </c>
      <c r="AP6">
        <f>'2020 non-competitive IO'!$AY$88/('2020 non-competitive IO'!$AY$88+'2020 non-competitive IO'!$AY$46)</f>
        <v>0</v>
      </c>
      <c r="AQ6">
        <f>'2020 non-competitive IO'!$AY$85/('2020 non-competitive IO'!$AY$85+'2020 non-competitive IO'!$AY$43)</f>
        <v>0</v>
      </c>
    </row>
    <row r="7" spans="1:43" x14ac:dyDescent="0.25">
      <c r="A7" s="2" t="s">
        <v>52</v>
      </c>
      <c r="B7">
        <f>B3*(1-B6)</f>
        <v>8842313.1415431388</v>
      </c>
      <c r="C7">
        <f>C3*(1-C6)</f>
        <v>1835171.046054366</v>
      </c>
      <c r="D7">
        <f t="shared" ref="D7:AQ7" si="2">D3*(1-D6)</f>
        <v>4999952.3156883176</v>
      </c>
      <c r="E7">
        <f t="shared" si="2"/>
        <v>4861402.0755879441</v>
      </c>
      <c r="F7">
        <f t="shared" si="2"/>
        <v>0</v>
      </c>
      <c r="G7">
        <f t="shared" si="2"/>
        <v>11149849.267478894</v>
      </c>
      <c r="H7">
        <f t="shared" si="2"/>
        <v>4137159.6188754314</v>
      </c>
      <c r="I7">
        <f t="shared" si="2"/>
        <v>1338833.5567028769</v>
      </c>
      <c r="J7">
        <f t="shared" si="2"/>
        <v>3543484.5794141511</v>
      </c>
      <c r="K7">
        <f t="shared" si="2"/>
        <v>2700821.7333079064</v>
      </c>
      <c r="L7">
        <f t="shared" si="2"/>
        <v>16876065.247365944</v>
      </c>
      <c r="M7">
        <f t="shared" si="2"/>
        <v>4256283.0828085337</v>
      </c>
      <c r="N7">
        <f t="shared" si="2"/>
        <v>2311239.0240565999</v>
      </c>
      <c r="O7">
        <f t="shared" si="2"/>
        <v>1695047.3975624871</v>
      </c>
      <c r="P7">
        <f t="shared" si="2"/>
        <v>8086623.541973264</v>
      </c>
      <c r="Q7">
        <f t="shared" si="2"/>
        <v>3528385.3726302367</v>
      </c>
      <c r="R7">
        <f t="shared" si="2"/>
        <v>7268172.6716137081</v>
      </c>
      <c r="S7">
        <f t="shared" si="2"/>
        <v>1125124.8118311542</v>
      </c>
      <c r="T7">
        <f t="shared" si="2"/>
        <v>52092526.942079663</v>
      </c>
      <c r="U7">
        <f t="shared" si="2"/>
        <v>6884543.5794552146</v>
      </c>
      <c r="V7">
        <f t="shared" si="2"/>
        <v>7539538.2795084985</v>
      </c>
      <c r="W7">
        <f t="shared" si="2"/>
        <v>7043028.458512078</v>
      </c>
      <c r="X7">
        <f t="shared" si="2"/>
        <v>1258438.5856732051</v>
      </c>
      <c r="Y7">
        <f t="shared" si="2"/>
        <v>319013.44321370724</v>
      </c>
      <c r="Z7">
        <f t="shared" si="2"/>
        <v>16961.101971833345</v>
      </c>
      <c r="AA7">
        <f t="shared" si="2"/>
        <v>0</v>
      </c>
      <c r="AB7">
        <f t="shared" si="2"/>
        <v>0</v>
      </c>
      <c r="AC7">
        <f t="shared" si="2"/>
        <v>763279.59792432317</v>
      </c>
      <c r="AD7">
        <f t="shared" si="2"/>
        <v>0</v>
      </c>
      <c r="AE7">
        <f t="shared" si="2"/>
        <v>5412723.2521858681</v>
      </c>
      <c r="AF7">
        <f t="shared" si="2"/>
        <v>3822200.0711781392</v>
      </c>
      <c r="AG7">
        <f t="shared" si="2"/>
        <v>3806254.2719103359</v>
      </c>
      <c r="AH7">
        <f t="shared" si="2"/>
        <v>4189699.2973168818</v>
      </c>
      <c r="AI7">
        <f t="shared" si="2"/>
        <v>3819424.495665737</v>
      </c>
      <c r="AJ7">
        <f t="shared" si="2"/>
        <v>1454020.6193939371</v>
      </c>
      <c r="AK7">
        <f t="shared" si="2"/>
        <v>0</v>
      </c>
      <c r="AL7">
        <f t="shared" si="2"/>
        <v>75.239676428513917</v>
      </c>
      <c r="AM7">
        <f t="shared" si="2"/>
        <v>708252.11386893201</v>
      </c>
      <c r="AN7">
        <f t="shared" si="2"/>
        <v>0</v>
      </c>
      <c r="AO7">
        <f t="shared" si="2"/>
        <v>164498.85820515471</v>
      </c>
      <c r="AP7">
        <f t="shared" si="2"/>
        <v>1547198.8246675082</v>
      </c>
      <c r="AQ7">
        <f t="shared" si="2"/>
        <v>156336.35239027929</v>
      </c>
    </row>
    <row r="8" spans="1:43" x14ac:dyDescent="0.25">
      <c r="A8" s="2" t="s">
        <v>53</v>
      </c>
      <c r="B8">
        <f>B5-B7</f>
        <v>180809159.19731259</v>
      </c>
      <c r="C8">
        <f t="shared" ref="C8:AQ8" si="3">C5-C7</f>
        <v>32542374.809276659</v>
      </c>
      <c r="D8">
        <f t="shared" si="3"/>
        <v>29674004.214363165</v>
      </c>
      <c r="E8">
        <f t="shared" si="3"/>
        <v>39854315.733316585</v>
      </c>
      <c r="F8">
        <f t="shared" si="3"/>
        <v>2785605.7195637501</v>
      </c>
      <c r="G8">
        <f t="shared" si="3"/>
        <v>167343153.62692654</v>
      </c>
      <c r="H8">
        <f t="shared" si="3"/>
        <v>78541520.354886681</v>
      </c>
      <c r="I8">
        <f t="shared" si="3"/>
        <v>30373783.984257258</v>
      </c>
      <c r="J8">
        <f t="shared" si="3"/>
        <v>49896487.001938209</v>
      </c>
      <c r="K8">
        <f t="shared" si="3"/>
        <v>54562164.277426898</v>
      </c>
      <c r="L8">
        <f t="shared" si="3"/>
        <v>108655665.24901441</v>
      </c>
      <c r="M8">
        <f t="shared" si="3"/>
        <v>38162740.375791147</v>
      </c>
      <c r="N8">
        <f t="shared" si="3"/>
        <v>41451470.275997773</v>
      </c>
      <c r="O8">
        <f t="shared" si="3"/>
        <v>48579605.356537215</v>
      </c>
      <c r="P8">
        <f t="shared" si="3"/>
        <v>92797586.429994538</v>
      </c>
      <c r="Q8">
        <f t="shared" si="3"/>
        <v>90388370.400480986</v>
      </c>
      <c r="R8">
        <f t="shared" si="3"/>
        <v>70005740.031849608</v>
      </c>
      <c r="S8">
        <f t="shared" si="3"/>
        <v>62926566.333879165</v>
      </c>
      <c r="T8">
        <f t="shared" si="3"/>
        <v>106386143.61295322</v>
      </c>
      <c r="U8">
        <f t="shared" si="3"/>
        <v>72616147.815718979</v>
      </c>
      <c r="V8">
        <f t="shared" si="3"/>
        <v>60702727.205902711</v>
      </c>
      <c r="W8">
        <f t="shared" si="3"/>
        <v>92955224.409312427</v>
      </c>
      <c r="X8">
        <f t="shared" si="3"/>
        <v>17497426.136696603</v>
      </c>
      <c r="Y8">
        <f t="shared" si="3"/>
        <v>2122207.4600200728</v>
      </c>
      <c r="Z8">
        <f t="shared" si="3"/>
        <v>96143151.993631646</v>
      </c>
      <c r="AA8">
        <f t="shared" si="3"/>
        <v>11187008.984782889</v>
      </c>
      <c r="AB8">
        <f t="shared" si="3"/>
        <v>5599430.2581443824</v>
      </c>
      <c r="AC8">
        <f t="shared" si="3"/>
        <v>392527965.97388709</v>
      </c>
      <c r="AD8">
        <f t="shared" si="3"/>
        <v>181688317.96095231</v>
      </c>
      <c r="AE8">
        <f t="shared" si="3"/>
        <v>151974546.38129529</v>
      </c>
      <c r="AF8">
        <f t="shared" si="3"/>
        <v>59091206.891508788</v>
      </c>
      <c r="AG8">
        <f t="shared" si="3"/>
        <v>128634253.063357</v>
      </c>
      <c r="AH8">
        <f t="shared" si="3"/>
        <v>126919052.79168583</v>
      </c>
      <c r="AI8">
        <f t="shared" si="3"/>
        <v>30541903.417081729</v>
      </c>
      <c r="AJ8">
        <f t="shared" si="3"/>
        <v>168274511.76544628</v>
      </c>
      <c r="AK8">
        <f t="shared" si="3"/>
        <v>146822821.73289582</v>
      </c>
      <c r="AL8">
        <f t="shared" si="3"/>
        <v>71548686.329252183</v>
      </c>
      <c r="AM8">
        <f t="shared" si="3"/>
        <v>124667291.13941978</v>
      </c>
      <c r="AN8">
        <f t="shared" si="3"/>
        <v>73297273.535204515</v>
      </c>
      <c r="AO8">
        <f t="shared" si="3"/>
        <v>68813669.426953554</v>
      </c>
      <c r="AP8">
        <f t="shared" si="3"/>
        <v>21060281.970428228</v>
      </c>
      <c r="AQ8">
        <f t="shared" si="3"/>
        <v>41328227.583880335</v>
      </c>
    </row>
    <row r="9" spans="1:43" x14ac:dyDescent="0.25">
      <c r="A9" s="2" t="s">
        <v>54</v>
      </c>
      <c r="B9">
        <f>B8/B5</f>
        <v>0.95337598473401597</v>
      </c>
      <c r="C9">
        <f t="shared" ref="C9:AQ9" si="4">C8/C5</f>
        <v>0.94661715953264358</v>
      </c>
      <c r="D9">
        <f t="shared" si="4"/>
        <v>0.85580092911073113</v>
      </c>
      <c r="E9">
        <f t="shared" si="4"/>
        <v>0.89128202981413707</v>
      </c>
      <c r="F9">
        <f t="shared" si="4"/>
        <v>1</v>
      </c>
      <c r="G9">
        <f t="shared" si="4"/>
        <v>0.93753340978819755</v>
      </c>
      <c r="H9">
        <f t="shared" si="4"/>
        <v>0.94996098607055235</v>
      </c>
      <c r="I9">
        <f t="shared" si="4"/>
        <v>0.95778230683816512</v>
      </c>
      <c r="J9">
        <f t="shared" si="4"/>
        <v>0.93369224431529008</v>
      </c>
      <c r="K9">
        <f t="shared" si="4"/>
        <v>0.95283477301023745</v>
      </c>
      <c r="L9">
        <f t="shared" si="4"/>
        <v>0.86556335055181488</v>
      </c>
      <c r="M9">
        <f t="shared" si="4"/>
        <v>0.89966098378095383</v>
      </c>
      <c r="N9">
        <f t="shared" si="4"/>
        <v>0.94718702152990952</v>
      </c>
      <c r="O9">
        <f t="shared" si="4"/>
        <v>0.96628425449593458</v>
      </c>
      <c r="P9">
        <f t="shared" si="4"/>
        <v>0.91984252496777985</v>
      </c>
      <c r="Q9">
        <f t="shared" si="4"/>
        <v>0.96243071490720689</v>
      </c>
      <c r="R9">
        <f t="shared" si="4"/>
        <v>0.90594273775801759</v>
      </c>
      <c r="S9">
        <f t="shared" si="4"/>
        <v>0.98243411232856248</v>
      </c>
      <c r="T9">
        <f t="shared" si="4"/>
        <v>0.67129629015918479</v>
      </c>
      <c r="U9">
        <f t="shared" si="4"/>
        <v>0.9134027206727775</v>
      </c>
      <c r="V9">
        <f t="shared" si="4"/>
        <v>0.88951805415779606</v>
      </c>
      <c r="W9">
        <f t="shared" si="4"/>
        <v>0.92956848488321686</v>
      </c>
      <c r="X9">
        <f t="shared" si="4"/>
        <v>0.9329042619841309</v>
      </c>
      <c r="Y9">
        <f t="shared" si="4"/>
        <v>0.86932217285575264</v>
      </c>
      <c r="Z9">
        <f t="shared" si="4"/>
        <v>0.9998236160355285</v>
      </c>
      <c r="AA9">
        <f t="shared" si="4"/>
        <v>1</v>
      </c>
      <c r="AB9">
        <f t="shared" si="4"/>
        <v>1</v>
      </c>
      <c r="AC9">
        <f t="shared" si="4"/>
        <v>0.998059250983798</v>
      </c>
      <c r="AD9">
        <f t="shared" si="4"/>
        <v>1</v>
      </c>
      <c r="AE9">
        <f t="shared" si="4"/>
        <v>0.96560888777859311</v>
      </c>
      <c r="AF9">
        <f t="shared" si="4"/>
        <v>0.93924665257049211</v>
      </c>
      <c r="AG9">
        <f t="shared" si="4"/>
        <v>0.97126064866034545</v>
      </c>
      <c r="AH9">
        <f t="shared" si="4"/>
        <v>0.96804409140838499</v>
      </c>
      <c r="AI9">
        <f t="shared" si="4"/>
        <v>0.88884525925877289</v>
      </c>
      <c r="AJ9">
        <f t="shared" si="4"/>
        <v>0.99143325757335177</v>
      </c>
      <c r="AK9">
        <f t="shared" si="4"/>
        <v>1</v>
      </c>
      <c r="AL9">
        <f t="shared" si="4"/>
        <v>0.99999894841399373</v>
      </c>
      <c r="AM9">
        <f t="shared" si="4"/>
        <v>0.99435095477562085</v>
      </c>
      <c r="AN9">
        <f t="shared" si="4"/>
        <v>1</v>
      </c>
      <c r="AO9">
        <f t="shared" si="4"/>
        <v>0.99761520402332071</v>
      </c>
      <c r="AP9">
        <f t="shared" si="4"/>
        <v>0.93156252840859899</v>
      </c>
      <c r="AQ9">
        <f t="shared" si="4"/>
        <v>0.99623145725647622</v>
      </c>
    </row>
    <row r="10" spans="1:43" s="1" customFormat="1" x14ac:dyDescent="0.25">
      <c r="A10" s="100" t="s">
        <v>209</v>
      </c>
      <c r="B10" s="1">
        <f>B4/B2</f>
        <v>1.3645641354201564E-2</v>
      </c>
      <c r="C10" s="1">
        <f t="shared" ref="C10:AQ10" si="5">C4/C2</f>
        <v>1.1094254383887401E-3</v>
      </c>
      <c r="D10" s="1">
        <f t="shared" si="5"/>
        <v>1.0078204052174732E-2</v>
      </c>
      <c r="E10" s="1">
        <f t="shared" si="5"/>
        <v>1.7222263676138477E-2</v>
      </c>
      <c r="F10" s="1">
        <f t="shared" si="5"/>
        <v>0</v>
      </c>
      <c r="G10" s="1">
        <f t="shared" si="5"/>
        <v>2.863557597052559E-2</v>
      </c>
      <c r="H10" s="1">
        <f t="shared" si="5"/>
        <v>0.24663898167983953</v>
      </c>
      <c r="I10" s="1">
        <f t="shared" si="5"/>
        <v>0.16866267498275686</v>
      </c>
      <c r="J10" s="1">
        <f t="shared" si="5"/>
        <v>0.15423821421962189</v>
      </c>
      <c r="K10" s="1">
        <f t="shared" si="5"/>
        <v>3.9042083816075976E-2</v>
      </c>
      <c r="L10" s="1">
        <f t="shared" si="5"/>
        <v>7.7427366881901313E-2</v>
      </c>
      <c r="M10" s="1">
        <f t="shared" si="5"/>
        <v>7.6422727690070774E-2</v>
      </c>
      <c r="N10" s="1">
        <f t="shared" si="5"/>
        <v>0.15946943458351795</v>
      </c>
      <c r="O10" s="1">
        <f t="shared" si="5"/>
        <v>8.9206421833318575E-2</v>
      </c>
      <c r="P10" s="1">
        <f t="shared" si="5"/>
        <v>8.0965508446969814E-2</v>
      </c>
      <c r="Q10" s="1">
        <f t="shared" si="5"/>
        <v>4.0625410245177108E-2</v>
      </c>
      <c r="R10" s="1">
        <f t="shared" si="5"/>
        <v>3.4241967387100607E-2</v>
      </c>
      <c r="S10" s="1">
        <f t="shared" si="5"/>
        <v>0.12002069435523231</v>
      </c>
      <c r="T10" s="1">
        <f t="shared" si="5"/>
        <v>0.36967540601964133</v>
      </c>
      <c r="U10" s="1">
        <f t="shared" si="5"/>
        <v>0.24445574746954846</v>
      </c>
      <c r="V10" s="1">
        <f t="shared" si="5"/>
        <v>0.17370502901975207</v>
      </c>
      <c r="W10" s="1">
        <f t="shared" si="5"/>
        <v>4.4623227341119912E-2</v>
      </c>
      <c r="X10" s="1">
        <f t="shared" si="5"/>
        <v>0.18565277572360159</v>
      </c>
      <c r="Y10" s="1">
        <f t="shared" si="5"/>
        <v>0.25509511856363337</v>
      </c>
      <c r="Z10" s="1">
        <f t="shared" si="5"/>
        <v>1.4939755758433483E-3</v>
      </c>
      <c r="AA10" s="1">
        <f t="shared" si="5"/>
        <v>0</v>
      </c>
      <c r="AB10" s="1">
        <f t="shared" si="5"/>
        <v>0</v>
      </c>
      <c r="AC10" s="1">
        <f t="shared" si="5"/>
        <v>3.0350124679914825E-3</v>
      </c>
      <c r="AD10" s="1">
        <f t="shared" si="5"/>
        <v>0.11917903644465141</v>
      </c>
      <c r="AE10" s="1">
        <f t="shared" si="5"/>
        <v>7.9314536149822201E-2</v>
      </c>
      <c r="AF10" s="1">
        <f t="shared" si="5"/>
        <v>6.263932032378996E-3</v>
      </c>
      <c r="AG10" s="1">
        <f t="shared" si="5"/>
        <v>3.1852099448070839E-2</v>
      </c>
      <c r="AH10" s="1">
        <f t="shared" si="5"/>
        <v>4.2101520606542195E-2</v>
      </c>
      <c r="AI10" s="1">
        <f t="shared" si="5"/>
        <v>4.1790129396744952E-2</v>
      </c>
      <c r="AJ10" s="1">
        <f t="shared" si="5"/>
        <v>5.6086942676116126E-3</v>
      </c>
      <c r="AK10" s="1">
        <f t="shared" si="5"/>
        <v>0</v>
      </c>
      <c r="AL10" s="1">
        <f t="shared" si="5"/>
        <v>2.6697838628943774E-6</v>
      </c>
      <c r="AM10" s="1">
        <f t="shared" si="5"/>
        <v>2.2336059833566284E-3</v>
      </c>
      <c r="AN10" s="1">
        <f t="shared" si="5"/>
        <v>0</v>
      </c>
      <c r="AO10" s="1">
        <f t="shared" si="5"/>
        <v>3.1390350777320844E-4</v>
      </c>
      <c r="AP10" s="1">
        <f t="shared" si="5"/>
        <v>1.8257968401255729E-2</v>
      </c>
      <c r="AQ10" s="1">
        <f t="shared" si="5"/>
        <v>3.2521976570056168E-4</v>
      </c>
    </row>
    <row r="11" spans="1:43" x14ac:dyDescent="0.25">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row>
    <row r="14" spans="1:43" ht="43.2" x14ac:dyDescent="0.25">
      <c r="B14" s="92" t="s">
        <v>97</v>
      </c>
    </row>
    <row r="15" spans="1:43" x14ac:dyDescent="0.25">
      <c r="A15" s="1" t="s">
        <v>98</v>
      </c>
      <c r="B15" s="93">
        <v>0.13765067798823399</v>
      </c>
      <c r="AA15">
        <v>0</v>
      </c>
      <c r="AB15">
        <v>0</v>
      </c>
      <c r="AK15">
        <v>0</v>
      </c>
    </row>
    <row r="16" spans="1:43" x14ac:dyDescent="0.25">
      <c r="AA16">
        <f>AA3*(1-AA15)</f>
        <v>0</v>
      </c>
      <c r="AB16">
        <f>AB3*(1-AB15)</f>
        <v>0</v>
      </c>
      <c r="AK16">
        <f>AK3*(1-AK15)</f>
        <v>0</v>
      </c>
    </row>
    <row r="17" spans="27:40" x14ac:dyDescent="0.25">
      <c r="AA17">
        <f>AA5-AA16</f>
        <v>11187008.984782889</v>
      </c>
      <c r="AB17">
        <f>AB5-AB16</f>
        <v>5599430.2581443824</v>
      </c>
      <c r="AK17">
        <f>AK5-AK16</f>
        <v>146822821.73289582</v>
      </c>
    </row>
    <row r="18" spans="27:40" x14ac:dyDescent="0.25">
      <c r="AA18">
        <f>AA17/AA5</f>
        <v>1</v>
      </c>
      <c r="AB18">
        <f>AB17/AB5</f>
        <v>1</v>
      </c>
      <c r="AK18">
        <f>AK17/AK5</f>
        <v>1</v>
      </c>
      <c r="AN18">
        <v>1</v>
      </c>
    </row>
  </sheetData>
  <phoneticPr fontId="16"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249977111117893"/>
  </sheetPr>
  <dimension ref="A1:AQ2"/>
  <sheetViews>
    <sheetView topLeftCell="P1" workbookViewId="0">
      <selection activeCell="AI2" sqref="AI2"/>
    </sheetView>
  </sheetViews>
  <sheetFormatPr defaultColWidth="9" defaultRowHeight="14.4" x14ac:dyDescent="0.25"/>
  <sheetData>
    <row r="1" spans="1:43" x14ac:dyDescent="0.25">
      <c r="A1" s="1" t="s">
        <v>208</v>
      </c>
      <c r="B1" s="2" t="s">
        <v>5</v>
      </c>
      <c r="C1" s="2" t="s">
        <v>6</v>
      </c>
      <c r="D1" s="2" t="s">
        <v>7</v>
      </c>
      <c r="E1" s="2" t="s">
        <v>8</v>
      </c>
      <c r="F1" s="2" t="s">
        <v>9</v>
      </c>
      <c r="G1" s="2" t="s">
        <v>10</v>
      </c>
      <c r="H1" s="2" t="s">
        <v>11</v>
      </c>
      <c r="I1" s="2" t="s">
        <v>12</v>
      </c>
      <c r="J1" s="2" t="s">
        <v>13</v>
      </c>
      <c r="K1" s="2" t="s">
        <v>14</v>
      </c>
      <c r="L1" s="2" t="s">
        <v>15</v>
      </c>
      <c r="M1" s="2" t="s">
        <v>16</v>
      </c>
      <c r="N1" s="2" t="s">
        <v>17</v>
      </c>
      <c r="O1" s="2" t="s">
        <v>18</v>
      </c>
      <c r="P1" s="2" t="s">
        <v>19</v>
      </c>
      <c r="Q1" s="2" t="s">
        <v>20</v>
      </c>
      <c r="R1" s="2" t="s">
        <v>21</v>
      </c>
      <c r="S1" s="2" t="s">
        <v>22</v>
      </c>
      <c r="T1" s="2" t="s">
        <v>23</v>
      </c>
      <c r="U1" s="2" t="s">
        <v>24</v>
      </c>
      <c r="V1" s="2" t="s">
        <v>25</v>
      </c>
      <c r="W1" s="2" t="s">
        <v>26</v>
      </c>
      <c r="X1" s="2" t="s">
        <v>27</v>
      </c>
      <c r="Y1" s="2" t="s">
        <v>28</v>
      </c>
      <c r="Z1" s="2" t="s">
        <v>29</v>
      </c>
      <c r="AA1" s="2" t="s">
        <v>30</v>
      </c>
      <c r="AB1" s="2" t="s">
        <v>31</v>
      </c>
      <c r="AC1" s="2" t="s">
        <v>32</v>
      </c>
      <c r="AD1" s="2" t="s">
        <v>33</v>
      </c>
      <c r="AE1" s="2" t="s">
        <v>34</v>
      </c>
      <c r="AF1" s="2" t="s">
        <v>35</v>
      </c>
      <c r="AG1" s="2" t="s">
        <v>36</v>
      </c>
      <c r="AH1" s="2" t="s">
        <v>37</v>
      </c>
      <c r="AI1" s="2" t="s">
        <v>38</v>
      </c>
      <c r="AJ1" s="2" t="s">
        <v>39</v>
      </c>
      <c r="AK1" s="2" t="s">
        <v>40</v>
      </c>
      <c r="AL1" s="2" t="s">
        <v>41</v>
      </c>
      <c r="AM1" s="2" t="s">
        <v>42</v>
      </c>
      <c r="AN1" s="2" t="s">
        <v>43</v>
      </c>
      <c r="AO1" s="2" t="s">
        <v>44</v>
      </c>
      <c r="AP1" s="2" t="s">
        <v>45</v>
      </c>
      <c r="AQ1" s="2" t="s">
        <v>46</v>
      </c>
    </row>
    <row r="2" spans="1:43" x14ac:dyDescent="0.25">
      <c r="A2" t="s">
        <v>54</v>
      </c>
      <c r="B2">
        <f>Calculations!B9</f>
        <v>0.95337598473401597</v>
      </c>
      <c r="C2">
        <f>Calculations!C9</f>
        <v>0.94661715953264358</v>
      </c>
      <c r="D2">
        <f>Calculations!D9</f>
        <v>0.85580092911073113</v>
      </c>
      <c r="E2">
        <f>Calculations!E9</f>
        <v>0.89128202981413707</v>
      </c>
      <c r="F2">
        <f>Calculations!F9</f>
        <v>1</v>
      </c>
      <c r="G2">
        <f>Calculations!G9</f>
        <v>0.93753340978819755</v>
      </c>
      <c r="H2">
        <f>Calculations!H9</f>
        <v>0.94996098607055235</v>
      </c>
      <c r="I2">
        <f>Calculations!I9</f>
        <v>0.95778230683816512</v>
      </c>
      <c r="J2">
        <f>Calculations!J9</f>
        <v>0.93369224431529008</v>
      </c>
      <c r="K2">
        <f>Calculations!K9</f>
        <v>0.95283477301023745</v>
      </c>
      <c r="L2">
        <f>Calculations!L9</f>
        <v>0.86556335055181488</v>
      </c>
      <c r="M2">
        <f>Calculations!M9</f>
        <v>0.89966098378095383</v>
      </c>
      <c r="N2">
        <f>Calculations!N9</f>
        <v>0.94718702152990952</v>
      </c>
      <c r="O2">
        <f>Calculations!O9</f>
        <v>0.96628425449593458</v>
      </c>
      <c r="P2">
        <f>Calculations!P9</f>
        <v>0.91984252496777985</v>
      </c>
      <c r="Q2">
        <f>Calculations!Q9</f>
        <v>0.96243071490720689</v>
      </c>
      <c r="R2">
        <f>Calculations!R9</f>
        <v>0.90594273775801759</v>
      </c>
      <c r="S2">
        <f>Calculations!S9</f>
        <v>0.98243411232856248</v>
      </c>
      <c r="T2">
        <f>Calculations!T9</f>
        <v>0.67129629015918479</v>
      </c>
      <c r="U2">
        <f>Calculations!U9</f>
        <v>0.9134027206727775</v>
      </c>
      <c r="V2">
        <f>Calculations!V9</f>
        <v>0.88951805415779606</v>
      </c>
      <c r="W2">
        <f>Calculations!W9</f>
        <v>0.92956848488321686</v>
      </c>
      <c r="X2">
        <f>Calculations!X9</f>
        <v>0.9329042619841309</v>
      </c>
      <c r="Y2">
        <f>Calculations!Y9</f>
        <v>0.86932217285575264</v>
      </c>
      <c r="Z2">
        <f>Calculations!Z9</f>
        <v>0.9998236160355285</v>
      </c>
      <c r="AA2">
        <f>Calculations!AA9</f>
        <v>1</v>
      </c>
      <c r="AB2">
        <f>Calculations!AB9</f>
        <v>1</v>
      </c>
      <c r="AC2">
        <f>Calculations!AC9</f>
        <v>0.998059250983798</v>
      </c>
      <c r="AD2">
        <f>Calculations!AD9</f>
        <v>1</v>
      </c>
      <c r="AE2">
        <f>Calculations!AE9</f>
        <v>0.96560888777859311</v>
      </c>
      <c r="AF2">
        <f>Calculations!AF9</f>
        <v>0.93924665257049211</v>
      </c>
      <c r="AG2">
        <f>Calculations!AG9</f>
        <v>0.97126064866034545</v>
      </c>
      <c r="AH2">
        <f>Calculations!AH9</f>
        <v>0.96804409140838499</v>
      </c>
      <c r="AI2">
        <f>Calculations!AI9</f>
        <v>0.88884525925877289</v>
      </c>
      <c r="AJ2">
        <f>Calculations!AJ9</f>
        <v>0.99143325757335177</v>
      </c>
      <c r="AK2">
        <f>Calculations!AK9</f>
        <v>1</v>
      </c>
      <c r="AL2">
        <f>Calculations!AL9</f>
        <v>0.99999894841399373</v>
      </c>
      <c r="AM2">
        <f>Calculations!AM9</f>
        <v>0.99435095477562085</v>
      </c>
      <c r="AN2">
        <f>Calculations!AN9</f>
        <v>1</v>
      </c>
      <c r="AO2">
        <f>Calculations!AO9</f>
        <v>0.99761520402332071</v>
      </c>
      <c r="AP2">
        <f>Calculations!AP9</f>
        <v>0.93156252840859899</v>
      </c>
      <c r="AQ2">
        <f>Calculations!AQ9</f>
        <v>0.99623145725647622</v>
      </c>
    </row>
  </sheetData>
  <phoneticPr fontId="1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About</vt:lpstr>
      <vt:lpstr>2020 National IO</vt:lpstr>
      <vt:lpstr>2020 non-competitive IO</vt:lpstr>
      <vt:lpstr>Calculations</vt:lpstr>
      <vt:lpstr>BDCSoCbIC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zhlx2</dc:creator>
  <cp:lastModifiedBy>2020 zhlx</cp:lastModifiedBy>
  <dcterms:created xsi:type="dcterms:W3CDTF">2023-02-02T06:06:00Z</dcterms:created>
  <dcterms:modified xsi:type="dcterms:W3CDTF">2026-04-01T02:52:59Z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4B58A1351B05416EB80A072BF6960F8F</vt:lpwstr>
  </property>
  <property fmtid="{D5CDD505-2E9C-101B-9397-08002B2CF9AE}" pid="3" name="KSOProductBuildVer">
    <vt:lpwstr>2052-11.1.0.13703</vt:lpwstr>
  </property>
</Properties>
</file>