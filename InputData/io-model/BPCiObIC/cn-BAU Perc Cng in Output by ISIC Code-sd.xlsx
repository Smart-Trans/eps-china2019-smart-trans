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分行业工业增加值（当年人民币）" sheetId="1" r:id="rId1"/>
    <sheet name="About" sheetId="7" r:id="rId2"/>
    <sheet name="分行业工业增加值（2012年美元）" sheetId="2" r:id="rId3"/>
    <sheet name="汇率" sheetId="3" r:id="rId4"/>
    <sheet name="2020年全国投入产出表" sheetId="5" r:id="rId5"/>
    <sheet name="分42行业工业增加值（2012年美元）" sheetId="4" r:id="rId6"/>
    <sheet name="BPCiObIC" sheetId="6" r:id="rId7"/>
  </sheets>
  <externalReferences>
    <externalReference r:id="rId8"/>
  </externalReferences>
  <calcPr calcId="144525"/>
</workbook>
</file>

<file path=xl/sharedStrings.xml><?xml version="1.0" encoding="utf-8"?>
<sst xmlns="http://schemas.openxmlformats.org/spreadsheetml/2006/main" count="462" uniqueCount="172">
  <si>
    <t>全国（单位：亿元）</t>
  </si>
  <si>
    <t>地区生产总值</t>
  </si>
  <si>
    <t>农业</t>
  </si>
  <si>
    <t>工业</t>
  </si>
  <si>
    <t>建筑业</t>
  </si>
  <si>
    <t>交运仓邮</t>
  </si>
  <si>
    <t>批发零售</t>
  </si>
  <si>
    <t>餐饮住宿</t>
  </si>
  <si>
    <t>金融业</t>
  </si>
  <si>
    <t>房地产</t>
  </si>
  <si>
    <t>其他三产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</si>
  <si>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</si>
  <si>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</si>
  <si>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</si>
  <si>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</si>
  <si>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</si>
  <si>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</si>
  <si>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</si>
  <si>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</si>
  <si>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</si>
  <si>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</si>
  <si>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</si>
  <si>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</si>
  <si>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</si>
  <si>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</si>
  <si>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</si>
  <si>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</si>
  <si>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</si>
  <si>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</si>
  <si>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</si>
  <si>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</si>
  <si>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</si>
  <si>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</si>
  <si>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</si>
  <si>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</si>
  <si>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</si>
  <si>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第三产业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</si>
  <si>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</si>
  <si>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</si>
  <si>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</si>
  <si>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</si>
  <si>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</si>
  <si>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</si>
  <si>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</si>
  <si>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</si>
  <si>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</si>
  <si>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BPCiObIC BAU Percent Change in Output by ISIC Code</t>
  </si>
  <si>
    <t>Source:</t>
  </si>
  <si>
    <t>2020年全国投入产出表</t>
  </si>
  <si>
    <t>国家统计局</t>
  </si>
  <si>
    <t>https://data.stats.gov.cn/files/html/quickSearch/trcc/trcc01.html</t>
  </si>
  <si>
    <t>Notes</t>
  </si>
  <si>
    <t>“2020年全国投入产出表”是根据我国2020年全年投入产出表中竞争型和非竞争型两张表结合美国EPS模型总结出来42个部门的投入产出表。政府消费支出是根据“2020年全国投入产出表”中各行业政府消费支出数额乘以当年2020年人民币相对2012美元的汇率得出。</t>
  </si>
  <si>
    <t>默认分行业产出年变化率即为分行业工业增加值年变化率。先将分行业工业增加值拆分合并至EPS中42行业，再计算其年变化率即可。</t>
  </si>
  <si>
    <t>全国</t>
  </si>
  <si>
    <t>人民币年份</t>
  </si>
  <si>
    <t>2019</t>
  </si>
  <si>
    <t>2020</t>
  </si>
  <si>
    <t>当年人民币相对2012美元</t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</si>
  <si>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</si>
  <si>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</si>
  <si>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</si>
  <si>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</si>
  <si>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</si>
  <si>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</si>
  <si>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</si>
  <si>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</si>
  <si>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</si>
  <si>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金属矿采选产品&amp;非金属矿</t>
  </si>
  <si>
    <t>开采辅助活动和其他采矿产品</t>
  </si>
  <si>
    <t>纺织品、纺织服装鞋帽皮革羽绒及其制品</t>
  </si>
  <si>
    <t>化学原料和化学制品制造业&amp;化学纤维制造业</t>
  </si>
  <si>
    <t>医药制造业</t>
  </si>
  <si>
    <t>橡胶和塑料制品业</t>
  </si>
  <si>
    <t>黑色金属冶炼和压延加工品</t>
  </si>
  <si>
    <t>有色金属冶炼和压延加工品</t>
  </si>
  <si>
    <t>汽车制造业</t>
  </si>
  <si>
    <t>铁路、船舶、航空航天和其他运输设备</t>
  </si>
  <si>
    <t>通信设备、计算机和其他电子设备&amp;仪器仪表</t>
  </si>
  <si>
    <t>其他制造产品和废品废料、金属制品、机械和设备修理服务</t>
  </si>
  <si>
    <t>电力、热力生产和供应</t>
  </si>
  <si>
    <t>建筑</t>
  </si>
  <si>
    <t>批发和零售</t>
  </si>
  <si>
    <t>交通运输、仓储和邮政</t>
  </si>
  <si>
    <t>住宿和餐饮</t>
  </si>
  <si>
    <t>金融</t>
  </si>
  <si>
    <t>研究和试验发展</t>
  </si>
  <si>
    <t>综合技术服务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</si>
  <si>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</si>
  <si>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</si>
  <si>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</si>
  <si>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</si>
  <si>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</si>
  <si>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</si>
  <si>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</si>
  <si>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</si>
  <si>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</si>
  <si>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</si>
  <si>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</si>
  <si>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</si>
  <si>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</si>
  <si>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</si>
  <si>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</si>
  <si>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</si>
  <si>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</si>
  <si>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</si>
  <si>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</si>
  <si>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</si>
  <si>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</si>
  <si>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</si>
  <si>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</si>
  <si>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</si>
  <si>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</si>
  <si>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</si>
  <si>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</si>
  <si>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</si>
  <si>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</si>
  <si>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</si>
  <si>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</si>
  <si>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</si>
  <si>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</si>
  <si>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</si>
  <si>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</si>
  <si>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</si>
  <si>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</si>
  <si>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</si>
  <si>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</si>
  <si>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</si>
  <si>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</si>
  <si>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</si>
  <si>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</si>
  <si>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</si>
  <si>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</si>
  <si>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</si>
  <si>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</si>
  <si>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</si>
  <si>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</si>
  <si>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</si>
  <si>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</si>
  <si>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</si>
  <si>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</si>
  <si>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</si>
  <si>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</si>
  <si>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</si>
  <si>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</si>
  <si>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</si>
  <si>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</si>
  <si>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</si>
  <si>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</si>
  <si>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</si>
  <si>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</si>
  <si>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</si>
  <si>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</si>
  <si>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</si>
  <si>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</si>
  <si>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</si>
  <si>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</si>
  <si>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</si>
  <si>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</si>
  <si>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</si>
  <si>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</si>
  <si>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</si>
  <si>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</si>
  <si>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</si>
  <si>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</si>
  <si>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</si>
  <si>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</si>
  <si>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</si>
  <si>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</si>
  <si>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</si>
  <si>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ISIC 62T63</t>
  </si>
  <si>
    <t>Unit: dimensionless (% change)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</si>
</sst>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  <numFmt numFmtId="178" formatCode="0_);[Red]\(0\)"/>
  </numFmts>
  <fonts count="33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33" applyNumberFormat="0" applyAlignment="0" applyProtection="0">
      <alignment vertical="center"/>
    </xf>
    <xf numFmtId="0" fontId="25" fillId="11" borderId="29" applyNumberFormat="0" applyAlignment="0" applyProtection="0">
      <alignment vertical="center"/>
    </xf>
    <xf numFmtId="0" fontId="26" fillId="12" borderId="34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1" fillId="0" borderId="0"/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0" borderId="0">
      <alignment vertical="center"/>
    </xf>
  </cellStyleXfs>
  <cellXfs count="112">
    <xf numFmtId="0" fontId="0" fillId="0" borderId="0" xfId="0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52" applyFont="1" applyBorder="1" applyAlignment="1">
      <alignment horizontal="justify" vertical="center" wrapText="1"/>
    </xf>
    <xf numFmtId="0" fontId="1" fillId="0" borderId="2" xfId="52" applyFont="1" applyBorder="1" applyAlignment="1">
      <alignment horizontal="justify" vertical="center" wrapText="1"/>
    </xf>
    <xf numFmtId="0" fontId="0" fillId="0" borderId="0" xfId="0" applyAlignment="1"/>
    <xf numFmtId="0" fontId="2" fillId="0" borderId="0" xfId="50" applyFont="1" applyAlignment="1">
      <alignment horizontal="left" vertical="center"/>
    </xf>
    <xf numFmtId="0" fontId="0" fillId="0" borderId="0" xfId="52"/>
    <xf numFmtId="0" fontId="0" fillId="0" borderId="0" xfId="50" applyAlignment="1">
      <alignment horizontal="left" vertical="center"/>
    </xf>
    <xf numFmtId="1" fontId="3" fillId="0" borderId="0" xfId="52" applyNumberFormat="1" applyFont="1"/>
    <xf numFmtId="0" fontId="0" fillId="0" borderId="3" xfId="0" applyBorder="1" applyAlignment="1"/>
    <xf numFmtId="0" fontId="3" fillId="0" borderId="3" xfId="52" applyFont="1" applyBorder="1"/>
    <xf numFmtId="0" fontId="0" fillId="0" borderId="3" xfId="52" applyBorder="1"/>
    <xf numFmtId="0" fontId="4" fillId="0" borderId="0" xfId="52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255"/>
    </xf>
    <xf numFmtId="0" fontId="3" fillId="0" borderId="11" xfId="51" applyFont="1" applyBorder="1" applyAlignment="1">
      <alignment vertical="center"/>
    </xf>
    <xf numFmtId="0" fontId="1" fillId="0" borderId="10" xfId="52" applyFont="1" applyBorder="1" applyAlignment="1">
      <alignment horizontal="center" vertical="center" wrapText="1"/>
    </xf>
    <xf numFmtId="0" fontId="3" fillId="0" borderId="2" xfId="52" applyFont="1" applyBorder="1" applyAlignment="1">
      <alignment vertical="center"/>
    </xf>
    <xf numFmtId="0" fontId="3" fillId="0" borderId="12" xfId="52" applyFont="1" applyBorder="1" applyAlignment="1">
      <alignment horizontal="center" vertical="center"/>
    </xf>
    <xf numFmtId="49" fontId="3" fillId="0" borderId="11" xfId="52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6" fillId="0" borderId="14" xfId="52" applyNumberFormat="1" applyFont="1" applyBorder="1" applyAlignment="1">
      <alignment horizontal="center" vertical="center" wrapText="1"/>
    </xf>
    <xf numFmtId="1" fontId="6" fillId="0" borderId="15" xfId="52" applyNumberFormat="1" applyFont="1" applyBorder="1" applyAlignment="1">
      <alignment horizontal="right" vertical="center" wrapText="1"/>
    </xf>
    <xf numFmtId="49" fontId="6" fillId="0" borderId="14" xfId="53" applyNumberFormat="1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49" fontId="7" fillId="0" borderId="16" xfId="0" applyNumberFormat="1" applyFont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8" fillId="0" borderId="1" xfId="52" applyFont="1" applyBorder="1" applyAlignment="1">
      <alignment horizontal="justify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1" fontId="7" fillId="0" borderId="10" xfId="52" applyNumberFormat="1" applyFont="1" applyBorder="1" applyAlignment="1">
      <alignment horizontal="right" vertical="center" wrapText="1"/>
    </xf>
    <xf numFmtId="0" fontId="5" fillId="0" borderId="17" xfId="0" applyFont="1" applyBorder="1" applyAlignment="1">
      <alignment horizontal="center" vertical="center"/>
    </xf>
    <xf numFmtId="0" fontId="1" fillId="0" borderId="13" xfId="52" applyFont="1" applyBorder="1" applyAlignment="1">
      <alignment horizontal="justify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 wrapText="1"/>
    </xf>
    <xf numFmtId="0" fontId="8" fillId="0" borderId="13" xfId="52" applyFont="1" applyBorder="1" applyAlignment="1">
      <alignment horizontal="justify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1" fontId="7" fillId="0" borderId="15" xfId="52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49" fontId="7" fillId="0" borderId="21" xfId="0" applyNumberFormat="1" applyFont="1" applyBorder="1" applyAlignment="1">
      <alignment horizontal="center" vertical="top" wrapText="1"/>
    </xf>
    <xf numFmtId="1" fontId="9" fillId="0" borderId="22" xfId="52" applyNumberFormat="1" applyFont="1" applyBorder="1" applyAlignment="1">
      <alignment horizontal="right" vertical="center"/>
    </xf>
    <xf numFmtId="0" fontId="1" fillId="0" borderId="17" xfId="52" applyFont="1" applyBorder="1" applyAlignment="1">
      <alignment horizontal="center" vertical="center" wrapText="1"/>
    </xf>
    <xf numFmtId="0" fontId="6" fillId="0" borderId="17" xfId="46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23" xfId="0" applyBorder="1">
      <alignment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/>
    </xf>
    <xf numFmtId="1" fontId="9" fillId="0" borderId="15" xfId="52" applyNumberFormat="1" applyFont="1" applyBorder="1" applyAlignment="1">
      <alignment horizontal="right" vertical="center"/>
    </xf>
    <xf numFmtId="1" fontId="3" fillId="0" borderId="15" xfId="52" applyNumberFormat="1" applyFont="1" applyBorder="1" applyAlignment="1">
      <alignment horizontal="right" vertical="center"/>
    </xf>
    <xf numFmtId="1" fontId="9" fillId="0" borderId="25" xfId="52" applyNumberFormat="1" applyFont="1" applyBorder="1" applyAlignment="1">
      <alignment horizontal="right" vertical="center"/>
    </xf>
    <xf numFmtId="0" fontId="0" fillId="0" borderId="26" xfId="52" applyBorder="1" applyAlignment="1">
      <alignment horizontal="right" vertical="center"/>
    </xf>
    <xf numFmtId="0" fontId="0" fillId="0" borderId="0" xfId="52" applyAlignment="1">
      <alignment horizontal="right" vertical="center"/>
    </xf>
    <xf numFmtId="1" fontId="0" fillId="0" borderId="0" xfId="52" applyNumberFormat="1" applyAlignment="1">
      <alignment horizontal="right" vertical="center"/>
    </xf>
    <xf numFmtId="1" fontId="9" fillId="0" borderId="27" xfId="52" applyNumberFormat="1" applyFont="1" applyBorder="1" applyAlignment="1">
      <alignment horizontal="right" vertical="center"/>
    </xf>
    <xf numFmtId="0" fontId="0" fillId="0" borderId="3" xfId="52" applyBorder="1" applyAlignment="1">
      <alignment horizontal="right" vertical="center"/>
    </xf>
    <xf numFmtId="0" fontId="2" fillId="0" borderId="0" xfId="52" applyFont="1"/>
    <xf numFmtId="0" fontId="10" fillId="0" borderId="0" xfId="0" applyFont="1" applyAlignment="1"/>
    <xf numFmtId="1" fontId="9" fillId="0" borderId="0" xfId="52" applyNumberFormat="1" applyFont="1"/>
    <xf numFmtId="1" fontId="0" fillId="0" borderId="0" xfId="52" applyNumberFormat="1"/>
    <xf numFmtId="0" fontId="10" fillId="0" borderId="3" xfId="0" applyFont="1" applyBorder="1" applyAlignment="1"/>
    <xf numFmtId="0" fontId="1" fillId="0" borderId="2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right" vertical="center"/>
    </xf>
    <xf numFmtId="0" fontId="2" fillId="0" borderId="26" xfId="52" applyFont="1" applyBorder="1" applyAlignment="1">
      <alignment horizontal="right" vertical="center"/>
    </xf>
    <xf numFmtId="0" fontId="2" fillId="0" borderId="26" xfId="0" applyFont="1" applyBorder="1" applyAlignment="1">
      <alignment horizontal="right" vertical="center"/>
    </xf>
    <xf numFmtId="0" fontId="2" fillId="0" borderId="0" xfId="52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3" xfId="52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" fontId="7" fillId="0" borderId="18" xfId="52" applyNumberFormat="1" applyFont="1" applyBorder="1" applyAlignment="1">
      <alignment horizontal="right" vertical="center" wrapText="1"/>
    </xf>
    <xf numFmtId="176" fontId="0" fillId="0" borderId="0" xfId="0" applyNumberFormat="1" applyAlignment="1">
      <alignment wrapText="1"/>
    </xf>
    <xf numFmtId="0" fontId="11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6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5" xfId="0" applyFont="1" applyBorder="1">
      <alignment vertical="center"/>
    </xf>
    <xf numFmtId="0" fontId="10" fillId="0" borderId="11" xfId="0" applyFont="1" applyBorder="1" applyAlignment="1">
      <alignment horizontal="center" vertical="center"/>
    </xf>
    <xf numFmtId="0" fontId="11" fillId="0" borderId="12" xfId="0" applyFont="1" applyBorder="1" applyAlignment="1"/>
    <xf numFmtId="0" fontId="11" fillId="0" borderId="15" xfId="0" applyFont="1" applyBorder="1" applyAlignment="1"/>
    <xf numFmtId="0" fontId="11" fillId="0" borderId="10" xfId="0" applyFont="1" applyBorder="1" applyAlignment="1"/>
    <xf numFmtId="0" fontId="11" fillId="0" borderId="11" xfId="0" applyFont="1" applyBorder="1">
      <alignment vertical="center"/>
    </xf>
    <xf numFmtId="0" fontId="0" fillId="0" borderId="15" xfId="51" applyBorder="1"/>
    <xf numFmtId="0" fontId="0" fillId="0" borderId="10" xfId="51" applyBorder="1"/>
    <xf numFmtId="0" fontId="2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178" fontId="0" fillId="0" borderId="0" xfId="0" applyNumberFormat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4" xfId="51"/>
    <cellStyle name="常规 5" xfId="52"/>
    <cellStyle name="常规_Sheet1" xfId="53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lx2\Desktop\WeChat%20Files\wxid_wn4ttvgdny4q22\FileStorage\File\2023-02\&#20998;&#30465;&#20998;&#34892;&#19994;&#22686;&#38271;&#39044;&#2797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分省结果"/>
      <sheetName val="参数调整"/>
      <sheetName val="NBS Stats"/>
      <sheetName val="辅助行业计算"/>
      <sheetName val="NBS数据展示"/>
      <sheetName val="省年鉴增加值公布情况"/>
      <sheetName val="平减指数"/>
      <sheetName val="GDP预测模型结果"/>
      <sheetName val="农业"/>
      <sheetName val="工业"/>
      <sheetName val="工业-RF输出"/>
      <sheetName val="工业-调参表"/>
      <sheetName val="工业-分行业WIP（需改）"/>
      <sheetName val="建筑业"/>
      <sheetName val="交运仓邮"/>
      <sheetName val="批发零售"/>
      <sheetName val="餐饮住宿"/>
      <sheetName val="金融业"/>
      <sheetName val="房地产"/>
      <sheetName val="其他三产"/>
      <sheetName val="其他三产-分行业WIP"/>
      <sheetName val="其他三产-固定结果W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4"/>
  <sheetViews>
    <sheetView tabSelected="1" topLeftCell="A22" workbookViewId="0">
      <selection activeCell="B2" sqref="B2:AQ54"/>
    </sheetView>
  </sheetViews>
  <sheetFormatPr defaultColWidth="9" defaultRowHeight="13.5"/>
  <cols>
    <col min="1" max="1" width="31.25" customWidth="1"/>
  </cols>
  <sheetData>
    <row r="1" spans="1:43">
      <c r="A1" s="94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s="95" t="s">
        <v>1</v>
      </c>
      <c r="B2" s="111">
        <v>982320.5</v>
      </c>
      <c r="C2" s="111">
        <v>1081134.62329468</v>
      </c>
      <c r="D2" s="111">
        <v>1169287.35756827</v>
      </c>
      <c r="E2" s="111">
        <v>1260898.90952382</v>
      </c>
      <c r="F2" s="111">
        <v>1356078.29239829</v>
      </c>
      <c r="G2" s="111">
        <v>1454268.7550214</v>
      </c>
      <c r="H2" s="111">
        <v>1556518.14313603</v>
      </c>
      <c r="I2" s="111">
        <v>1662039.54382294</v>
      </c>
      <c r="J2" s="111">
        <v>1770957.39704383</v>
      </c>
      <c r="K2" s="111">
        <v>1883818.27592834</v>
      </c>
      <c r="L2" s="111">
        <v>1999892.74055284</v>
      </c>
      <c r="M2" s="111">
        <v>2119738.53535918</v>
      </c>
      <c r="N2" s="111">
        <v>2243328.12293172</v>
      </c>
      <c r="O2" s="111">
        <v>2370251.86236404</v>
      </c>
      <c r="P2" s="111">
        <v>2501196.11389184</v>
      </c>
      <c r="Q2" s="111">
        <v>2635776.31872585</v>
      </c>
      <c r="R2" s="111">
        <v>2773804.63383638</v>
      </c>
      <c r="S2" s="111">
        <v>2916069.93161549</v>
      </c>
      <c r="T2" s="111">
        <v>3061915.73197406</v>
      </c>
      <c r="U2" s="111">
        <v>3212067.32811766</v>
      </c>
      <c r="V2" s="111">
        <v>3366153.44087997</v>
      </c>
      <c r="W2" s="111">
        <v>3523990.39152823</v>
      </c>
      <c r="X2" s="111">
        <v>3686274.49974781</v>
      </c>
      <c r="Y2" s="111">
        <v>3852797.49508414</v>
      </c>
      <c r="Z2" s="111">
        <v>4023521.84073324</v>
      </c>
      <c r="AA2" s="111">
        <v>4198628.87379127</v>
      </c>
      <c r="AB2" s="111">
        <v>4378278.87586053</v>
      </c>
      <c r="AC2" s="111">
        <v>4562763.83290279</v>
      </c>
      <c r="AD2" s="111">
        <v>4751741.83725385</v>
      </c>
      <c r="AE2" s="111">
        <v>4945364.61983446</v>
      </c>
      <c r="AF2" s="111">
        <v>5144486.92768503</v>
      </c>
      <c r="AG2" s="111">
        <v>5348376.43628109</v>
      </c>
      <c r="AH2" s="111">
        <v>5557591.51848216</v>
      </c>
      <c r="AI2" s="111">
        <v>5772275.38867063</v>
      </c>
      <c r="AJ2" s="111">
        <v>5992276.76414423</v>
      </c>
      <c r="AK2" s="111">
        <v>6218329.81065013</v>
      </c>
      <c r="AL2" s="111">
        <v>6450282.81624659</v>
      </c>
      <c r="AM2" s="111">
        <v>6688426.45037063</v>
      </c>
      <c r="AN2" s="111">
        <v>6933021.07851449</v>
      </c>
      <c r="AO2" s="111">
        <v>7184130.29952455</v>
      </c>
      <c r="AP2" s="111">
        <v>7442386.96501328</v>
      </c>
      <c r="AQ2" s="111">
        <v>7707658.1562235</v>
      </c>
    </row>
    <row r="3" spans="1:43">
      <c r="A3" s="96" t="s">
        <v>2</v>
      </c>
      <c r="B3" s="111">
        <v>73576.8</v>
      </c>
      <c r="C3" s="111">
        <v>81084.1</v>
      </c>
      <c r="D3" s="111">
        <v>86775.6</v>
      </c>
      <c r="E3" s="111">
        <v>92057.21295507</v>
      </c>
      <c r="F3" s="111">
        <v>97462.3559172985</v>
      </c>
      <c r="G3" s="111">
        <v>102971.115900724</v>
      </c>
      <c r="H3" s="111">
        <v>108656.262933563</v>
      </c>
      <c r="I3" s="111">
        <v>114453.552110851</v>
      </c>
      <c r="J3" s="111">
        <v>120377.034954665</v>
      </c>
      <c r="K3" s="111">
        <v>126447.170962642</v>
      </c>
      <c r="L3" s="111">
        <v>132633.096428322</v>
      </c>
      <c r="M3" s="111">
        <v>138978.498092971</v>
      </c>
      <c r="N3" s="111">
        <v>145445.456312051</v>
      </c>
      <c r="O3" s="111">
        <v>152023.06462362</v>
      </c>
      <c r="P3" s="111">
        <v>158754.862468368</v>
      </c>
      <c r="Q3" s="111">
        <v>165608.081460074</v>
      </c>
      <c r="R3" s="111">
        <v>172572.106985383</v>
      </c>
      <c r="S3" s="111">
        <v>179676.878546062</v>
      </c>
      <c r="T3" s="111">
        <v>186898.785070657</v>
      </c>
      <c r="U3" s="111">
        <v>194283.671018236</v>
      </c>
      <c r="V3" s="111">
        <v>201788.047134414</v>
      </c>
      <c r="W3" s="111">
        <v>209402.377350182</v>
      </c>
      <c r="X3" s="111">
        <v>217169.550527921</v>
      </c>
      <c r="Y3" s="111">
        <v>225069.787175209</v>
      </c>
      <c r="Z3" s="111">
        <v>233095.748757917</v>
      </c>
      <c r="AA3" s="111">
        <v>241256.563207758</v>
      </c>
      <c r="AB3" s="111">
        <v>249561.412637711</v>
      </c>
      <c r="AC3" s="111">
        <v>258030.949331161</v>
      </c>
      <c r="AD3" s="111">
        <v>266636.858027409</v>
      </c>
      <c r="AE3" s="111">
        <v>275387.100254972</v>
      </c>
      <c r="AF3" s="111">
        <v>284326.322214575</v>
      </c>
      <c r="AG3" s="111">
        <v>293411.363114181</v>
      </c>
      <c r="AH3" s="111">
        <v>302677.818248706</v>
      </c>
      <c r="AI3" s="111">
        <v>312134.259764315</v>
      </c>
      <c r="AJ3" s="111">
        <v>321767.925004183</v>
      </c>
      <c r="AK3" s="111">
        <v>331614.595346601</v>
      </c>
      <c r="AL3" s="111">
        <v>341683.329374662</v>
      </c>
      <c r="AM3" s="111">
        <v>351986.80328102</v>
      </c>
      <c r="AN3" s="111">
        <v>362544.122114808</v>
      </c>
      <c r="AO3" s="111">
        <v>373357.504223487</v>
      </c>
      <c r="AP3" s="111">
        <v>384469.576925092</v>
      </c>
      <c r="AQ3" s="111">
        <v>395882.242796884</v>
      </c>
    </row>
    <row r="4" spans="1:43">
      <c r="A4" s="97" t="s">
        <v>3</v>
      </c>
      <c r="B4" s="111">
        <v>312419.9</v>
      </c>
      <c r="C4" s="111">
        <v>312866.3</v>
      </c>
      <c r="D4" s="111">
        <v>368569.7</v>
      </c>
      <c r="E4" s="111">
        <v>386900.009072285</v>
      </c>
      <c r="F4" s="111">
        <v>405000.624419935</v>
      </c>
      <c r="G4" s="111">
        <v>422886.837184347</v>
      </c>
      <c r="H4" s="111">
        <v>440581.008423561</v>
      </c>
      <c r="I4" s="111">
        <v>458110.236366622</v>
      </c>
      <c r="J4" s="111">
        <v>475504.508115891</v>
      </c>
      <c r="K4" s="111">
        <v>492795.287396632</v>
      </c>
      <c r="L4" s="111">
        <v>510014.472737674</v>
      </c>
      <c r="M4" s="111">
        <v>527193.657412564</v>
      </c>
      <c r="N4" s="111">
        <v>544363.627233057</v>
      </c>
      <c r="O4" s="111">
        <v>561554.040672141</v>
      </c>
      <c r="P4" s="111">
        <v>578793.24524773</v>
      </c>
      <c r="Q4" s="111">
        <v>596108.193203821</v>
      </c>
      <c r="R4" s="111">
        <v>613524.427599282</v>
      </c>
      <c r="S4" s="111">
        <v>631066.116711735</v>
      </c>
      <c r="T4" s="111">
        <v>648756.120186466</v>
      </c>
      <c r="U4" s="111">
        <v>666616.074729893</v>
      </c>
      <c r="V4" s="111">
        <v>684666.490533566</v>
      </c>
      <c r="W4" s="111">
        <v>702926.852194525</v>
      </c>
      <c r="X4" s="111">
        <v>721415.719833777</v>
      </c>
      <c r="Y4" s="111">
        <v>740150.827547265</v>
      </c>
      <c r="Z4" s="111">
        <v>759149.177369124</v>
      </c>
      <c r="AA4" s="111">
        <v>778427.127678809</v>
      </c>
      <c r="AB4" s="111">
        <v>798000.475515133</v>
      </c>
      <c r="AC4" s="111">
        <v>817884.53262851</v>
      </c>
      <c r="AD4" s="111">
        <v>838094.195350956</v>
      </c>
      <c r="AE4" s="111">
        <v>858644.008524722</v>
      </c>
      <c r="AF4" s="111">
        <v>879548.223829248</v>
      </c>
      <c r="AG4" s="111">
        <v>900820.852900793</v>
      </c>
      <c r="AH4" s="111">
        <v>922475.715663002</v>
      </c>
      <c r="AI4" s="111">
        <v>944526.484289656</v>
      </c>
      <c r="AJ4" s="111">
        <v>966986.723210007</v>
      </c>
      <c r="AK4" s="111">
        <v>989869.925547597</v>
      </c>
      <c r="AL4" s="111">
        <v>1013189.54635875</v>
      </c>
      <c r="AM4" s="111">
        <v>1036959.03300975</v>
      </c>
      <c r="AN4" s="111">
        <v>1061191.85300369</v>
      </c>
      <c r="AO4" s="111">
        <v>1085901.51954009</v>
      </c>
      <c r="AP4" s="111">
        <v>1111101.61506396</v>
      </c>
      <c r="AQ4" s="111">
        <v>1136805.81303555</v>
      </c>
    </row>
    <row r="5" spans="1:43">
      <c r="A5" s="97" t="s">
        <v>4</v>
      </c>
      <c r="B5" s="111">
        <v>70613.1</v>
      </c>
      <c r="C5" s="111">
        <v>73028.6</v>
      </c>
      <c r="D5" s="111">
        <v>80072.9</v>
      </c>
      <c r="E5" s="111">
        <v>85981.8027882501</v>
      </c>
      <c r="F5" s="111">
        <v>92122.49625843</v>
      </c>
      <c r="G5" s="111">
        <v>98460.9112819997</v>
      </c>
      <c r="H5" s="111">
        <v>105064.293373783</v>
      </c>
      <c r="I5" s="111">
        <v>111878.731620497</v>
      </c>
      <c r="J5" s="111">
        <v>118923.451438181</v>
      </c>
      <c r="K5" s="111">
        <v>126218.568405151</v>
      </c>
      <c r="L5" s="111">
        <v>133727.066621432</v>
      </c>
      <c r="M5" s="111">
        <v>141493.564029201</v>
      </c>
      <c r="N5" s="111">
        <v>149498.977781989</v>
      </c>
      <c r="O5" s="111">
        <v>157721.367519778</v>
      </c>
      <c r="P5" s="111">
        <v>166210.547720152</v>
      </c>
      <c r="Q5" s="111">
        <v>174939.549247457</v>
      </c>
      <c r="R5" s="111">
        <v>183897.004924566</v>
      </c>
      <c r="S5" s="111">
        <v>193120.640220677</v>
      </c>
      <c r="T5" s="111">
        <v>202587.336601623</v>
      </c>
      <c r="U5" s="111">
        <v>212332.889507375</v>
      </c>
      <c r="V5" s="111">
        <v>222325.281903854</v>
      </c>
      <c r="W5" s="111">
        <v>232563.021134651</v>
      </c>
      <c r="X5" s="111">
        <v>243082.305899321</v>
      </c>
      <c r="Y5" s="111">
        <v>253869.79508852</v>
      </c>
      <c r="Z5" s="111">
        <v>264931.303322464</v>
      </c>
      <c r="AA5" s="111">
        <v>276262.052219493</v>
      </c>
      <c r="AB5" s="111">
        <v>287887.560763032</v>
      </c>
      <c r="AC5" s="111">
        <v>299820.583372562</v>
      </c>
      <c r="AD5" s="111">
        <v>312036.500337727</v>
      </c>
      <c r="AE5" s="111">
        <v>324556.538947098</v>
      </c>
      <c r="AF5" s="111">
        <v>337422.523292347</v>
      </c>
      <c r="AG5" s="111">
        <v>350605.125976656</v>
      </c>
      <c r="AH5" s="111">
        <v>364139.620936504</v>
      </c>
      <c r="AI5" s="111">
        <v>378035.255973521</v>
      </c>
      <c r="AJ5" s="111">
        <v>392299.676787445</v>
      </c>
      <c r="AK5" s="111">
        <v>406968.235930587</v>
      </c>
      <c r="AL5" s="111">
        <v>422060.782530651</v>
      </c>
      <c r="AM5" s="111">
        <v>437608.286136399</v>
      </c>
      <c r="AN5" s="111">
        <v>453619.734596371</v>
      </c>
      <c r="AO5" s="111">
        <v>470138.678781081</v>
      </c>
      <c r="AP5" s="111">
        <v>487209.01496947</v>
      </c>
      <c r="AQ5" s="111">
        <v>504847.584714476</v>
      </c>
    </row>
    <row r="6" spans="1:43">
      <c r="A6" s="97" t="s">
        <v>5</v>
      </c>
      <c r="B6" s="111">
        <v>42852.8</v>
      </c>
      <c r="C6" s="111">
        <v>41590.3</v>
      </c>
      <c r="D6" s="111">
        <v>46748.7</v>
      </c>
      <c r="E6" s="111">
        <v>49571.4364822779</v>
      </c>
      <c r="F6" s="111">
        <v>52454.7659604641</v>
      </c>
      <c r="G6" s="111">
        <v>55386.59398926</v>
      </c>
      <c r="H6" s="111">
        <v>58398.4582448331</v>
      </c>
      <c r="I6" s="111">
        <v>61466.790705694</v>
      </c>
      <c r="J6" s="111">
        <v>64591.1198170451</v>
      </c>
      <c r="K6" s="111">
        <v>67787.0901980879</v>
      </c>
      <c r="L6" s="111">
        <v>71035.6691963391</v>
      </c>
      <c r="M6" s="111">
        <v>74350.1233117828</v>
      </c>
      <c r="N6" s="111">
        <v>77727.9326182118</v>
      </c>
      <c r="O6" s="111">
        <v>81156.4378542387</v>
      </c>
      <c r="P6" s="111">
        <v>84653.5587728734</v>
      </c>
      <c r="Q6" s="111">
        <v>88210.9784243046</v>
      </c>
      <c r="R6" s="111">
        <v>91821.9970147885</v>
      </c>
      <c r="S6" s="111">
        <v>95503.3888324022</v>
      </c>
      <c r="T6" s="111">
        <v>99237.8581613251</v>
      </c>
      <c r="U6" s="111">
        <v>103046.981982496</v>
      </c>
      <c r="V6" s="111">
        <v>106917.898749302</v>
      </c>
      <c r="W6" s="111">
        <v>110838.452991281</v>
      </c>
      <c r="X6" s="111">
        <v>114833.978344712</v>
      </c>
      <c r="Y6" s="111">
        <v>118898.596867529</v>
      </c>
      <c r="Z6" s="111">
        <v>123024.926518282</v>
      </c>
      <c r="AA6" s="111">
        <v>127219.158951865</v>
      </c>
      <c r="AB6" s="111">
        <v>131485.683173428</v>
      </c>
      <c r="AC6" s="111">
        <v>135827.566593656</v>
      </c>
      <c r="AD6" s="111">
        <v>140235.025863739</v>
      </c>
      <c r="AE6" s="111">
        <v>144714.488005499</v>
      </c>
      <c r="AF6" s="111">
        <v>149285.737369738</v>
      </c>
      <c r="AG6" s="111">
        <v>153927.209595348</v>
      </c>
      <c r="AH6" s="111">
        <v>158652.322835648</v>
      </c>
      <c r="AI6" s="111">
        <v>163467.786181891</v>
      </c>
      <c r="AJ6" s="111">
        <v>168364.260746464</v>
      </c>
      <c r="AK6" s="111">
        <v>173360.271121197</v>
      </c>
      <c r="AL6" s="111">
        <v>178454.441494838</v>
      </c>
      <c r="AM6" s="111">
        <v>183651.307780921</v>
      </c>
      <c r="AN6" s="111">
        <v>188958.097451177</v>
      </c>
      <c r="AO6" s="111">
        <v>194375.81409921</v>
      </c>
      <c r="AP6" s="111">
        <v>199922.33248328</v>
      </c>
      <c r="AQ6" s="111">
        <v>205591.202225951</v>
      </c>
    </row>
    <row r="7" spans="1:43">
      <c r="A7" s="97" t="s">
        <v>6</v>
      </c>
      <c r="B7" s="111">
        <v>95138.9</v>
      </c>
      <c r="C7" s="111">
        <v>95047.9</v>
      </c>
      <c r="D7" s="111">
        <v>110280</v>
      </c>
      <c r="E7" s="111">
        <v>118836.748378051</v>
      </c>
      <c r="F7" s="111">
        <v>127731.673324714</v>
      </c>
      <c r="G7" s="111">
        <v>136908.534653802</v>
      </c>
      <c r="H7" s="111">
        <v>146453.701872446</v>
      </c>
      <c r="I7" s="111">
        <v>156310.350466667</v>
      </c>
      <c r="J7" s="111">
        <v>166476.44756609</v>
      </c>
      <c r="K7" s="111">
        <v>177019.98454529</v>
      </c>
      <c r="L7" s="111">
        <v>187862.744719765</v>
      </c>
      <c r="M7" s="111">
        <v>199051.098967554</v>
      </c>
      <c r="N7" s="111">
        <v>210601.094522693</v>
      </c>
      <c r="O7" s="111">
        <v>222456.596667612</v>
      </c>
      <c r="P7" s="111">
        <v>234690.469977891</v>
      </c>
      <c r="Q7" s="111">
        <v>247269.505233481</v>
      </c>
      <c r="R7" s="111">
        <v>260165.619123642</v>
      </c>
      <c r="S7" s="111">
        <v>273466.736289536</v>
      </c>
      <c r="T7" s="111">
        <v>287105.828201631</v>
      </c>
      <c r="U7" s="111">
        <v>301143.110928115</v>
      </c>
      <c r="V7" s="111">
        <v>315558.835798373</v>
      </c>
      <c r="W7" s="111">
        <v>330325.796064215</v>
      </c>
      <c r="X7" s="111">
        <v>345508.601782572</v>
      </c>
      <c r="Y7" s="111">
        <v>361092.789573835</v>
      </c>
      <c r="Z7" s="111">
        <v>377069.209293168</v>
      </c>
      <c r="AA7" s="111">
        <v>393464.040733486</v>
      </c>
      <c r="AB7" s="111">
        <v>410285.367950111</v>
      </c>
      <c r="AC7" s="111">
        <v>427554.805348981</v>
      </c>
      <c r="AD7" s="111">
        <v>445251.244761171</v>
      </c>
      <c r="AE7" s="111">
        <v>463384.220086456</v>
      </c>
      <c r="AF7" s="111">
        <v>482040.339262911</v>
      </c>
      <c r="AG7" s="111">
        <v>501142.653241079</v>
      </c>
      <c r="AH7" s="111">
        <v>520751.71181559</v>
      </c>
      <c r="AI7" s="111">
        <v>540879.363142711</v>
      </c>
      <c r="AJ7" s="111">
        <v>561504.190944653</v>
      </c>
      <c r="AK7" s="111">
        <v>582712.895342686</v>
      </c>
      <c r="AL7" s="111">
        <v>604479.325118057</v>
      </c>
      <c r="AM7" s="111">
        <v>626833.872386468</v>
      </c>
      <c r="AN7" s="111">
        <v>649817.1919525</v>
      </c>
      <c r="AO7" s="111">
        <v>673421.169572324</v>
      </c>
      <c r="AP7" s="111">
        <v>697722.941816427</v>
      </c>
      <c r="AQ7" s="111">
        <v>722710.808304362</v>
      </c>
    </row>
    <row r="8" spans="1:43">
      <c r="A8" s="97" t="s">
        <v>7</v>
      </c>
      <c r="B8" s="111">
        <v>17953.1</v>
      </c>
      <c r="C8" s="111">
        <v>15896.1</v>
      </c>
      <c r="D8" s="111">
        <v>17821.2</v>
      </c>
      <c r="E8" s="111">
        <v>19511.6113969661</v>
      </c>
      <c r="F8" s="111">
        <v>21300.4693931499</v>
      </c>
      <c r="G8" s="111">
        <v>23179.9274036523</v>
      </c>
      <c r="H8" s="111">
        <v>25170.4100299735</v>
      </c>
      <c r="I8" s="111">
        <v>27260.4020363203</v>
      </c>
      <c r="J8" s="111">
        <v>29453.5537166246</v>
      </c>
      <c r="K8" s="111">
        <v>31761.2686647596</v>
      </c>
      <c r="L8" s="111">
        <v>34174.1726761804</v>
      </c>
      <c r="M8" s="111">
        <v>36704.0213657153</v>
      </c>
      <c r="N8" s="111">
        <v>39349.6600877637</v>
      </c>
      <c r="O8" s="111">
        <v>42105.1694749562</v>
      </c>
      <c r="P8" s="111">
        <v>44988.9249260637</v>
      </c>
      <c r="Q8" s="111">
        <v>47994.6409297483</v>
      </c>
      <c r="R8" s="111">
        <v>51116.1227505982</v>
      </c>
      <c r="S8" s="111">
        <v>54373.3255219391</v>
      </c>
      <c r="T8" s="111">
        <v>57757.2019463933</v>
      </c>
      <c r="U8" s="111">
        <v>61283.098452676</v>
      </c>
      <c r="V8" s="111">
        <v>64942.4148177854</v>
      </c>
      <c r="W8" s="111">
        <v>68735.0228116874</v>
      </c>
      <c r="X8" s="111">
        <v>72677.7508707381</v>
      </c>
      <c r="Y8" s="111">
        <v>76767.6801167646</v>
      </c>
      <c r="Z8" s="111">
        <v>81005.0326433181</v>
      </c>
      <c r="AA8" s="111">
        <v>85394.8288196951</v>
      </c>
      <c r="AB8" s="111">
        <v>89944.5415450491</v>
      </c>
      <c r="AC8" s="111">
        <v>94663.4331797615</v>
      </c>
      <c r="AD8" s="111">
        <v>99548.3134422413</v>
      </c>
      <c r="AE8" s="111">
        <v>104601.059027218</v>
      </c>
      <c r="AF8" s="111">
        <v>109849.201486499</v>
      </c>
      <c r="AG8" s="111">
        <v>115278.147897785</v>
      </c>
      <c r="AH8" s="111">
        <v>120906.475612283</v>
      </c>
      <c r="AI8" s="111">
        <v>126742.182578755</v>
      </c>
      <c r="AJ8" s="111">
        <v>132785.051468944</v>
      </c>
      <c r="AK8" s="111">
        <v>139060.117152897</v>
      </c>
      <c r="AL8" s="111">
        <v>145574.622175386</v>
      </c>
      <c r="AM8" s="111">
        <v>152340.744063426</v>
      </c>
      <c r="AN8" s="111">
        <v>159377.161271761</v>
      </c>
      <c r="AO8" s="111">
        <v>166692.11102352</v>
      </c>
      <c r="AP8" s="111">
        <v>174316.157759398</v>
      </c>
      <c r="AQ8" s="111">
        <v>182264.595021069</v>
      </c>
    </row>
    <row r="9" spans="1:43">
      <c r="A9" s="97" t="s">
        <v>8</v>
      </c>
      <c r="B9" s="111">
        <v>76691.7</v>
      </c>
      <c r="C9" s="111">
        <v>84280.5</v>
      </c>
      <c r="D9" s="111">
        <v>91083.2</v>
      </c>
      <c r="E9" s="111">
        <v>100929.79493446</v>
      </c>
      <c r="F9" s="111">
        <v>111451.292334021</v>
      </c>
      <c r="G9" s="111">
        <v>122579.852861655</v>
      </c>
      <c r="H9" s="111">
        <v>134446.503036723</v>
      </c>
      <c r="I9" s="111">
        <v>146997.06340603</v>
      </c>
      <c r="J9" s="111">
        <v>160247.829076322</v>
      </c>
      <c r="K9" s="111">
        <v>174310.0402285</v>
      </c>
      <c r="L9" s="111">
        <v>189087.178476113</v>
      </c>
      <c r="M9" s="111">
        <v>204663.435428475</v>
      </c>
      <c r="N9" s="111">
        <v>221088.846095493</v>
      </c>
      <c r="O9" s="111">
        <v>238311.630593309</v>
      </c>
      <c r="P9" s="111">
        <v>256440.668908824</v>
      </c>
      <c r="Q9" s="111">
        <v>275470.022336704</v>
      </c>
      <c r="R9" s="111">
        <v>295373.011723464</v>
      </c>
      <c r="S9" s="111">
        <v>316316.134438454</v>
      </c>
      <c r="T9" s="111">
        <v>338205.506910228</v>
      </c>
      <c r="U9" s="111">
        <v>361167.017969065</v>
      </c>
      <c r="V9" s="111">
        <v>385200.112183859</v>
      </c>
      <c r="W9" s="111">
        <v>410290.37834474</v>
      </c>
      <c r="X9" s="111">
        <v>436566.845192522</v>
      </c>
      <c r="Y9" s="111">
        <v>464044.284177463</v>
      </c>
      <c r="Z9" s="111">
        <v>492725.078591998</v>
      </c>
      <c r="AA9" s="111">
        <v>522704.717538838</v>
      </c>
      <c r="AB9" s="111">
        <v>554002.898370908</v>
      </c>
      <c r="AC9" s="111">
        <v>586717.765850949</v>
      </c>
      <c r="AD9" s="111">
        <v>620827.597378596</v>
      </c>
      <c r="AE9" s="111">
        <v>656369.210815567</v>
      </c>
      <c r="AF9" s="111">
        <v>693549.689994704</v>
      </c>
      <c r="AG9" s="111">
        <v>732243.316236847</v>
      </c>
      <c r="AH9" s="111">
        <v>772583.615171621</v>
      </c>
      <c r="AI9" s="111">
        <v>814632.245017939</v>
      </c>
      <c r="AJ9" s="111">
        <v>858370.982023073</v>
      </c>
      <c r="AK9" s="111">
        <v>903986.113373498</v>
      </c>
      <c r="AL9" s="111">
        <v>951430.462532648</v>
      </c>
      <c r="AM9" s="111">
        <v>1000779.73734117</v>
      </c>
      <c r="AN9" s="111">
        <v>1052115.27685246</v>
      </c>
      <c r="AO9" s="111">
        <v>1105431.49508179</v>
      </c>
      <c r="AP9" s="111">
        <v>1160899.38894382</v>
      </c>
      <c r="AQ9" s="111">
        <v>1218426.30775615</v>
      </c>
    </row>
    <row r="10" spans="1:43">
      <c r="A10" s="97" t="s">
        <v>9</v>
      </c>
      <c r="B10" s="111">
        <v>69436.5</v>
      </c>
      <c r="C10" s="111">
        <v>74547.7</v>
      </c>
      <c r="D10" s="111">
        <v>77516.4</v>
      </c>
      <c r="E10" s="111">
        <v>83624.5115368178</v>
      </c>
      <c r="F10" s="111">
        <v>90001.7972690434</v>
      </c>
      <c r="G10" s="111">
        <v>96616.650962293</v>
      </c>
      <c r="H10" s="111">
        <v>103540.352874701</v>
      </c>
      <c r="I10" s="111">
        <v>110732.128787847</v>
      </c>
      <c r="J10" s="111">
        <v>118196.598027638</v>
      </c>
      <c r="K10" s="111">
        <v>125967.337173468</v>
      </c>
      <c r="L10" s="111">
        <v>134005.237868064</v>
      </c>
      <c r="M10" s="111">
        <v>142345.590255868</v>
      </c>
      <c r="N10" s="111">
        <v>150994.12500812</v>
      </c>
      <c r="O10" s="111">
        <v>159922.269850563</v>
      </c>
      <c r="P10" s="111">
        <v>169174.603921004</v>
      </c>
      <c r="Q10" s="111">
        <v>178733.269132484</v>
      </c>
      <c r="R10" s="111">
        <v>188590.497919704</v>
      </c>
      <c r="S10" s="111">
        <v>198791.496083331</v>
      </c>
      <c r="T10" s="111">
        <v>209299.184384395</v>
      </c>
      <c r="U10" s="111">
        <v>220160.592915859</v>
      </c>
      <c r="V10" s="111">
        <v>231362.356685014</v>
      </c>
      <c r="W10" s="111">
        <v>242884.90628775</v>
      </c>
      <c r="X10" s="111">
        <v>254778.26175677</v>
      </c>
      <c r="Y10" s="111">
        <v>267033.776058813</v>
      </c>
      <c r="Z10" s="111">
        <v>279649.417759972</v>
      </c>
      <c r="AA10" s="111">
        <v>292639.153450094</v>
      </c>
      <c r="AB10" s="111">
        <v>306019.000726805</v>
      </c>
      <c r="AC10" s="111">
        <v>319808.887626175</v>
      </c>
      <c r="AD10" s="111">
        <v>333986.056530433</v>
      </c>
      <c r="AE10" s="111">
        <v>348577.221853631</v>
      </c>
      <c r="AF10" s="111">
        <v>363635.915878118</v>
      </c>
      <c r="AG10" s="111">
        <v>379117.45950827</v>
      </c>
      <c r="AH10" s="111">
        <v>395066.387276343</v>
      </c>
      <c r="AI10" s="111">
        <v>411504.494110592</v>
      </c>
      <c r="AJ10" s="111">
        <v>428426.883376424</v>
      </c>
      <c r="AK10" s="111">
        <v>445890.435414552</v>
      </c>
      <c r="AL10" s="111">
        <v>463899.812268891</v>
      </c>
      <c r="AM10" s="111">
        <v>482485.100921815</v>
      </c>
      <c r="AN10" s="111">
        <v>501684.000822372</v>
      </c>
      <c r="AO10" s="111">
        <v>521511.947802556</v>
      </c>
      <c r="AP10" s="111">
        <v>542027.329265846</v>
      </c>
      <c r="AQ10" s="111">
        <v>563251.860072493</v>
      </c>
    </row>
    <row r="11" spans="1:43">
      <c r="A11" s="98" t="s">
        <v>10</v>
      </c>
      <c r="B11" s="111">
        <v>223637.7</v>
      </c>
      <c r="C11" s="111">
        <v>302793.123294683</v>
      </c>
      <c r="D11" s="111">
        <v>290419.657568274</v>
      </c>
      <c r="E11" s="111">
        <v>323485.781979645</v>
      </c>
      <c r="F11" s="111">
        <v>358552.817521232</v>
      </c>
      <c r="G11" s="111">
        <v>395278.330783671</v>
      </c>
      <c r="H11" s="111">
        <v>434207.152346445</v>
      </c>
      <c r="I11" s="111">
        <v>474830.28832241</v>
      </c>
      <c r="J11" s="111">
        <v>517186.854331368</v>
      </c>
      <c r="K11" s="111">
        <v>561511.528353809</v>
      </c>
      <c r="L11" s="111">
        <v>607353.101828952</v>
      </c>
      <c r="M11" s="111">
        <v>654958.546495051</v>
      </c>
      <c r="N11" s="111">
        <v>704258.40327234</v>
      </c>
      <c r="O11" s="111">
        <v>755001.285107817</v>
      </c>
      <c r="P11" s="111">
        <v>807489.231948933</v>
      </c>
      <c r="Q11" s="111">
        <v>861442.078757779</v>
      </c>
      <c r="R11" s="111">
        <v>916743.845794953</v>
      </c>
      <c r="S11" s="111">
        <v>973755.21497135</v>
      </c>
      <c r="T11" s="111">
        <v>1032067.91051135</v>
      </c>
      <c r="U11" s="111">
        <v>1092033.89061394</v>
      </c>
      <c r="V11" s="111">
        <v>1153392.0030738</v>
      </c>
      <c r="W11" s="111">
        <v>1216023.58434919</v>
      </c>
      <c r="X11" s="111">
        <v>1280241.48553947</v>
      </c>
      <c r="Y11" s="111">
        <v>1345869.95847874</v>
      </c>
      <c r="Z11" s="111">
        <v>1412871.94647699</v>
      </c>
      <c r="AA11" s="111">
        <v>1481261.23119123</v>
      </c>
      <c r="AB11" s="111">
        <v>1551091.93517836</v>
      </c>
      <c r="AC11" s="111">
        <v>1622455.30897103</v>
      </c>
      <c r="AD11" s="111">
        <v>1695126.04556158</v>
      </c>
      <c r="AE11" s="111">
        <v>1769130.7723193</v>
      </c>
      <c r="AF11" s="111">
        <v>1844828.97435689</v>
      </c>
      <c r="AG11" s="111">
        <v>1921830.30781013</v>
      </c>
      <c r="AH11" s="111">
        <v>2000337.85092246</v>
      </c>
      <c r="AI11" s="111">
        <v>2080353.31761125</v>
      </c>
      <c r="AJ11" s="111">
        <v>2161771.07058303</v>
      </c>
      <c r="AK11" s="111">
        <v>2244867.22142052</v>
      </c>
      <c r="AL11" s="111">
        <v>2329510.49439271</v>
      </c>
      <c r="AM11" s="111">
        <v>2415781.56544965</v>
      </c>
      <c r="AN11" s="111">
        <v>2503713.64044935</v>
      </c>
      <c r="AO11" s="111">
        <v>2593300.05940049</v>
      </c>
      <c r="AP11" s="111">
        <v>2684718.60778599</v>
      </c>
      <c r="AQ11" s="111">
        <v>2777877.74229657</v>
      </c>
    </row>
    <row r="12" spans="1:43">
      <c r="A12" s="99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</row>
    <row r="13" spans="1:43">
      <c r="A13" s="100" t="s">
        <v>3</v>
      </c>
      <c r="B13" s="111">
        <v>312419.9</v>
      </c>
      <c r="C13" s="111">
        <v>312866.3</v>
      </c>
      <c r="D13" s="111">
        <v>368569.7</v>
      </c>
      <c r="E13" s="111">
        <v>386900.009072285</v>
      </c>
      <c r="F13" s="111">
        <v>405000.624419935</v>
      </c>
      <c r="G13" s="111">
        <v>422886.837184347</v>
      </c>
      <c r="H13" s="111">
        <v>440581.008423561</v>
      </c>
      <c r="I13" s="111">
        <v>458110.236366622</v>
      </c>
      <c r="J13" s="111">
        <v>475504.508115891</v>
      </c>
      <c r="K13" s="111">
        <v>492795.287396632</v>
      </c>
      <c r="L13" s="111">
        <v>510014.472737674</v>
      </c>
      <c r="M13" s="111">
        <v>527193.657412564</v>
      </c>
      <c r="N13" s="111">
        <v>544363.627233057</v>
      </c>
      <c r="O13" s="111">
        <v>561554.040672141</v>
      </c>
      <c r="P13" s="111">
        <v>578793.24524773</v>
      </c>
      <c r="Q13" s="111">
        <v>596108.193203821</v>
      </c>
      <c r="R13" s="111">
        <v>613524.427599282</v>
      </c>
      <c r="S13" s="111">
        <v>631066.116711735</v>
      </c>
      <c r="T13" s="111">
        <v>648756.120186466</v>
      </c>
      <c r="U13" s="111">
        <v>666616.074729893</v>
      </c>
      <c r="V13" s="111">
        <v>684666.490533566</v>
      </c>
      <c r="W13" s="111">
        <v>702926.852194525</v>
      </c>
      <c r="X13" s="111">
        <v>721415.719833777</v>
      </c>
      <c r="Y13" s="111">
        <v>740150.827547265</v>
      </c>
      <c r="Z13" s="111">
        <v>759149.177369125</v>
      </c>
      <c r="AA13" s="111">
        <v>778427.127678809</v>
      </c>
      <c r="AB13" s="111">
        <v>798000.475515134</v>
      </c>
      <c r="AC13" s="111">
        <v>817884.53262851</v>
      </c>
      <c r="AD13" s="111">
        <v>838094.195350956</v>
      </c>
      <c r="AE13" s="111">
        <v>858644.008524722</v>
      </c>
      <c r="AF13" s="111">
        <v>879548.223829247</v>
      </c>
      <c r="AG13" s="111">
        <v>900820.852900793</v>
      </c>
      <c r="AH13" s="111">
        <v>922475.715663003</v>
      </c>
      <c r="AI13" s="111">
        <v>944526.484289656</v>
      </c>
      <c r="AJ13" s="111">
        <v>966986.723210007</v>
      </c>
      <c r="AK13" s="111">
        <v>989869.925547597</v>
      </c>
      <c r="AL13" s="111">
        <v>1013189.54635875</v>
      </c>
      <c r="AM13" s="111">
        <v>1036959.03300975</v>
      </c>
      <c r="AN13" s="111">
        <v>1061191.85300369</v>
      </c>
      <c r="AO13" s="111">
        <v>1085901.51954009</v>
      </c>
      <c r="AP13" s="111">
        <v>1111101.61506396</v>
      </c>
      <c r="AQ13" s="111">
        <v>1136805.81303555</v>
      </c>
    </row>
    <row r="14" spans="1:43">
      <c r="A14" s="101" t="s">
        <v>11</v>
      </c>
      <c r="B14" s="111">
        <v>8739.05557646203</v>
      </c>
      <c r="C14" s="111">
        <v>10443.0889925096</v>
      </c>
      <c r="D14" s="111">
        <v>10802.0400532078</v>
      </c>
      <c r="E14" s="111">
        <v>11157.7838698189</v>
      </c>
      <c r="F14" s="111">
        <v>11503.9126037191</v>
      </c>
      <c r="G14" s="111">
        <v>11841.4639819446</v>
      </c>
      <c r="H14" s="111">
        <v>12171.5638711303</v>
      </c>
      <c r="I14" s="111">
        <v>12495.3681596508</v>
      </c>
      <c r="J14" s="111">
        <v>12814.0212123981</v>
      </c>
      <c r="K14" s="111">
        <v>13128.6277965902</v>
      </c>
      <c r="L14" s="111">
        <v>13440.235474993</v>
      </c>
      <c r="M14" s="111">
        <v>13749.8248260966</v>
      </c>
      <c r="N14" s="111">
        <v>14058.305308818</v>
      </c>
      <c r="O14" s="111">
        <v>14366.5150457929</v>
      </c>
      <c r="P14" s="111">
        <v>14675.2232067107</v>
      </c>
      <c r="Q14" s="111">
        <v>14985.1340135881</v>
      </c>
      <c r="R14" s="111">
        <v>15296.8916619744</v>
      </c>
      <c r="S14" s="111">
        <v>15611.0856624738</v>
      </c>
      <c r="T14" s="111">
        <v>15928.2562654264</v>
      </c>
      <c r="U14" s="111">
        <v>16248.8997482478</v>
      </c>
      <c r="V14" s="111">
        <v>16573.4734290346</v>
      </c>
      <c r="W14" s="111">
        <v>16902.4003294115</v>
      </c>
      <c r="X14" s="111">
        <v>17236.0734505468</v>
      </c>
      <c r="Y14" s="111">
        <v>17574.8596537367</v>
      </c>
      <c r="Z14" s="111">
        <v>17919.1031547356</v>
      </c>
      <c r="AA14" s="111">
        <v>18269.1286519164</v>
      </c>
      <c r="AB14" s="111">
        <v>18625.2441144785</v>
      </c>
      <c r="AC14" s="111">
        <v>18987.7432597922</v>
      </c>
      <c r="AD14" s="111">
        <v>19356.9077496871</v>
      </c>
      <c r="AE14" s="111">
        <v>19733.0091348151</v>
      </c>
      <c r="AF14" s="111">
        <v>20116.3105747017</v>
      </c>
      <c r="AG14" s="111">
        <v>20507.0683591147</v>
      </c>
      <c r="AH14" s="111">
        <v>20905.5332541706</v>
      </c>
      <c r="AI14" s="111">
        <v>21311.9516943433</v>
      </c>
      <c r="AJ14" s="111">
        <v>21726.5668393403</v>
      </c>
      <c r="AK14" s="111">
        <v>22149.6195127208</v>
      </c>
      <c r="AL14" s="111">
        <v>22581.3490372062</v>
      </c>
      <c r="AM14" s="111">
        <v>23021.9939798675</v>
      </c>
      <c r="AN14" s="111">
        <v>23471.7928187868</v>
      </c>
      <c r="AO14" s="111">
        <v>23930.9845413695</v>
      </c>
      <c r="AP14" s="111">
        <v>24399.8091832195</v>
      </c>
      <c r="AQ14" s="111">
        <v>24878.5083153782</v>
      </c>
    </row>
    <row r="15" spans="1:43">
      <c r="A15" s="102" t="s">
        <v>12</v>
      </c>
      <c r="B15" s="111">
        <v>5159.79463201742</v>
      </c>
      <c r="C15" s="111">
        <v>3825.81440691728</v>
      </c>
      <c r="D15" s="111">
        <v>4267.5861349779</v>
      </c>
      <c r="E15" s="111">
        <v>4307.20290575895</v>
      </c>
      <c r="F15" s="111">
        <v>4341.41756687067</v>
      </c>
      <c r="G15" s="111">
        <v>4370.96797798002</v>
      </c>
      <c r="H15" s="111">
        <v>4396.56060384373</v>
      </c>
      <c r="I15" s="111">
        <v>4418.85325406969</v>
      </c>
      <c r="J15" s="111">
        <v>4438.44569077303</v>
      </c>
      <c r="K15" s="111">
        <v>4455.87594275009</v>
      </c>
      <c r="L15" s="111">
        <v>4471.62053860125</v>
      </c>
      <c r="M15" s="111">
        <v>4486.09726645363</v>
      </c>
      <c r="N15" s="111">
        <v>4499.6694259961</v>
      </c>
      <c r="O15" s="111">
        <v>4512.65083607892</v>
      </c>
      <c r="P15" s="111">
        <v>4525.31109455347</v>
      </c>
      <c r="Q15" s="111">
        <v>4537.88076244377</v>
      </c>
      <c r="R15" s="111">
        <v>4550.55627177066</v>
      </c>
      <c r="S15" s="111">
        <v>4563.50444568795</v>
      </c>
      <c r="T15" s="111">
        <v>4576.86658030122</v>
      </c>
      <c r="U15" s="111">
        <v>4590.76207728684</v>
      </c>
      <c r="V15" s="111">
        <v>4605.29164123375</v>
      </c>
      <c r="W15" s="111">
        <v>4620.54007005506</v>
      </c>
      <c r="X15" s="111">
        <v>4636.57867421314</v>
      </c>
      <c r="Y15" s="111">
        <v>4653.46736328673</v>
      </c>
      <c r="Z15" s="111">
        <v>4671.25643827638</v>
      </c>
      <c r="AA15" s="111">
        <v>4689.98812616747</v>
      </c>
      <c r="AB15" s="111">
        <v>4709.69789043953</v>
      </c>
      <c r="AC15" s="111">
        <v>4730.41554794381</v>
      </c>
      <c r="AD15" s="111">
        <v>4752.16621920288</v>
      </c>
      <c r="AE15" s="111">
        <v>4774.97113591675</v>
      </c>
      <c r="AF15" s="111">
        <v>4798.84832640575</v>
      </c>
      <c r="AG15" s="111">
        <v>4823.81319693943</v>
      </c>
      <c r="AH15" s="111">
        <v>4849.87902441287</v>
      </c>
      <c r="AI15" s="111">
        <v>4877.05737363703</v>
      </c>
      <c r="AJ15" s="111">
        <v>4905.3584505908</v>
      </c>
      <c r="AK15" s="111">
        <v>4934.79140131861</v>
      </c>
      <c r="AL15" s="111">
        <v>4965.36456472276</v>
      </c>
      <c r="AM15" s="111">
        <v>4997.08568626712</v>
      </c>
      <c r="AN15" s="111">
        <v>5029.96209855552</v>
      </c>
      <c r="AO15" s="111">
        <v>5064.00087384834</v>
      </c>
      <c r="AP15" s="111">
        <v>5099.20895281487</v>
      </c>
      <c r="AQ15" s="111">
        <v>5135.59325316811</v>
      </c>
    </row>
    <row r="16" spans="1:43">
      <c r="A16" s="102" t="s">
        <v>13</v>
      </c>
      <c r="B16" s="111">
        <v>2807.84452074846</v>
      </c>
      <c r="C16" s="111">
        <v>2908.12994056945</v>
      </c>
      <c r="D16" s="111">
        <v>3243.93545872196</v>
      </c>
      <c r="E16" s="111">
        <v>3274.04949589238</v>
      </c>
      <c r="F16" s="111">
        <v>3300.0572081864</v>
      </c>
      <c r="G16" s="111">
        <v>3322.51946750244</v>
      </c>
      <c r="H16" s="111">
        <v>3341.97328141393</v>
      </c>
      <c r="I16" s="111">
        <v>3358.91867308258</v>
      </c>
      <c r="J16" s="111">
        <v>3373.81154182254</v>
      </c>
      <c r="K16" s="111">
        <v>3387.06086138036</v>
      </c>
      <c r="L16" s="111">
        <v>3399.02885713942</v>
      </c>
      <c r="M16" s="111">
        <v>3410.0331038778</v>
      </c>
      <c r="N16" s="111">
        <v>3420.34975788284</v>
      </c>
      <c r="O16" s="111">
        <v>3430.21736339564</v>
      </c>
      <c r="P16" s="111">
        <v>3439.84085079184</v>
      </c>
      <c r="Q16" s="111">
        <v>3449.39547724437</v>
      </c>
      <c r="R16" s="111">
        <v>3459.03055732532</v>
      </c>
      <c r="S16" s="111">
        <v>3468.87289891316</v>
      </c>
      <c r="T16" s="111">
        <v>3479.02990592023</v>
      </c>
      <c r="U16" s="111">
        <v>3489.59233956832</v>
      </c>
      <c r="V16" s="111">
        <v>3500.63674879555</v>
      </c>
      <c r="W16" s="111">
        <v>3512.22759134184</v>
      </c>
      <c r="X16" s="111">
        <v>3524.4190726831</v>
      </c>
      <c r="Y16" s="111">
        <v>3537.25673210094</v>
      </c>
      <c r="Z16" s="111">
        <v>3550.77880507418</v>
      </c>
      <c r="AA16" s="111">
        <v>3565.01738975173</v>
      </c>
      <c r="AB16" s="111">
        <v>3579.99944311467</v>
      </c>
      <c r="AC16" s="111">
        <v>3595.74762995241</v>
      </c>
      <c r="AD16" s="111">
        <v>3612.28104521731</v>
      </c>
      <c r="AE16" s="111">
        <v>3629.61582783716</v>
      </c>
      <c r="AF16" s="111">
        <v>3647.76568174335</v>
      </c>
      <c r="AG16" s="111">
        <v>3666.74231775846</v>
      </c>
      <c r="AH16" s="111">
        <v>3686.55582809607</v>
      </c>
      <c r="AI16" s="111">
        <v>3707.21500355715</v>
      </c>
      <c r="AJ16" s="111">
        <v>3728.72760204881</v>
      </c>
      <c r="AK16" s="111">
        <v>3751.1005757864</v>
      </c>
      <c r="AL16" s="111">
        <v>3774.34026344944</v>
      </c>
      <c r="AM16" s="111">
        <v>3798.45255262499</v>
      </c>
      <c r="AN16" s="111">
        <v>3823.44301707135</v>
      </c>
      <c r="AO16" s="111">
        <v>3849.31703265098</v>
      </c>
      <c r="AP16" s="111">
        <v>3876.07987519958</v>
      </c>
      <c r="AQ16" s="111">
        <v>3903.73680310299</v>
      </c>
    </row>
    <row r="17" spans="1:43">
      <c r="A17" s="102" t="s">
        <v>14</v>
      </c>
      <c r="B17" s="111">
        <v>2471.92372114262</v>
      </c>
      <c r="C17" s="111">
        <v>2237.47642901381</v>
      </c>
      <c r="D17" s="111">
        <v>2495.84072048418</v>
      </c>
      <c r="E17" s="111">
        <v>2519.01005945054</v>
      </c>
      <c r="F17" s="111">
        <v>2539.02004676873</v>
      </c>
      <c r="G17" s="111">
        <v>2556.30220980447</v>
      </c>
      <c r="H17" s="111">
        <v>2571.26971502979</v>
      </c>
      <c r="I17" s="111">
        <v>2584.30727360311</v>
      </c>
      <c r="J17" s="111">
        <v>2595.76564838245</v>
      </c>
      <c r="K17" s="111">
        <v>2605.95949831932</v>
      </c>
      <c r="L17" s="111">
        <v>2615.1675147975</v>
      </c>
      <c r="M17" s="111">
        <v>2623.63403561993</v>
      </c>
      <c r="N17" s="111">
        <v>2631.57153175466</v>
      </c>
      <c r="O17" s="111">
        <v>2639.16353596249</v>
      </c>
      <c r="P17" s="111">
        <v>2646.56771894397</v>
      </c>
      <c r="Q17" s="111">
        <v>2653.91892123288</v>
      </c>
      <c r="R17" s="111">
        <v>2661.33202347155</v>
      </c>
      <c r="S17" s="111">
        <v>2668.90458995213</v>
      </c>
      <c r="T17" s="111">
        <v>2676.71925581371</v>
      </c>
      <c r="U17" s="111">
        <v>2684.8458515311</v>
      </c>
      <c r="V17" s="111">
        <v>2693.34327283734</v>
      </c>
      <c r="W17" s="111">
        <v>2702.26111265871</v>
      </c>
      <c r="X17" s="111">
        <v>2711.64107596615</v>
      </c>
      <c r="Y17" s="111">
        <v>2721.51820007619</v>
      </c>
      <c r="Z17" s="111">
        <v>2731.92190285679</v>
      </c>
      <c r="AA17" s="111">
        <v>2742.87688019604</v>
      </c>
      <c r="AB17" s="111">
        <v>2754.40387243603</v>
      </c>
      <c r="AC17" s="111">
        <v>2766.52031756373</v>
      </c>
      <c r="AD17" s="111">
        <v>2779.24090698109</v>
      </c>
      <c r="AE17" s="111">
        <v>2792.57805776411</v>
      </c>
      <c r="AF17" s="111">
        <v>2806.54231353502</v>
      </c>
      <c r="AG17" s="111">
        <v>2821.14268444467</v>
      </c>
      <c r="AH17" s="111">
        <v>2836.38693530773</v>
      </c>
      <c r="AI17" s="111">
        <v>2852.28182964934</v>
      </c>
      <c r="AJ17" s="111">
        <v>2868.83333629987</v>
      </c>
      <c r="AK17" s="111">
        <v>2886.04680420117</v>
      </c>
      <c r="AL17" s="111">
        <v>2903.92711024881</v>
      </c>
      <c r="AM17" s="111">
        <v>2922.47878427384</v>
      </c>
      <c r="AN17" s="111">
        <v>2941.70611465161</v>
      </c>
      <c r="AO17" s="111">
        <v>2961.6132374991</v>
      </c>
      <c r="AP17" s="111">
        <v>2982.20421197398</v>
      </c>
      <c r="AQ17" s="111">
        <v>3003.48308380826</v>
      </c>
    </row>
    <row r="18" spans="1:43">
      <c r="A18" s="102" t="s">
        <v>15</v>
      </c>
      <c r="B18" s="111">
        <v>28822.091529995</v>
      </c>
      <c r="C18" s="111">
        <v>28728.191585543</v>
      </c>
      <c r="D18" s="111">
        <v>33713.5849117819</v>
      </c>
      <c r="E18" s="111">
        <v>34944.2703595467</v>
      </c>
      <c r="F18" s="111">
        <v>36146.8595033286</v>
      </c>
      <c r="G18" s="111">
        <v>37324.2000030396</v>
      </c>
      <c r="H18" s="111">
        <v>38479.4935942961</v>
      </c>
      <c r="I18" s="111">
        <v>39616.1079002722</v>
      </c>
      <c r="J18" s="111">
        <v>40737.4383921799</v>
      </c>
      <c r="K18" s="111">
        <v>41846.8119347096</v>
      </c>
      <c r="L18" s="111">
        <v>42947.4232588532</v>
      </c>
      <c r="M18" s="111">
        <v>44042.2965376684</v>
      </c>
      <c r="N18" s="111">
        <v>45134.265458799</v>
      </c>
      <c r="O18" s="111">
        <v>46225.9664724958</v>
      </c>
      <c r="P18" s="111">
        <v>47319.841078921</v>
      </c>
      <c r="Q18" s="111">
        <v>48418.1440322277</v>
      </c>
      <c r="R18" s="111">
        <v>49522.9551646041</v>
      </c>
      <c r="S18" s="111">
        <v>50636.1931826998</v>
      </c>
      <c r="T18" s="111">
        <v>51759.6302856408</v>
      </c>
      <c r="U18" s="111">
        <v>52894.906825522</v>
      </c>
      <c r="V18" s="111">
        <v>54043.5455037903</v>
      </c>
      <c r="W18" s="111">
        <v>55206.964793018</v>
      </c>
      <c r="X18" s="111">
        <v>56386.4914118373</v>
      </c>
      <c r="Y18" s="111">
        <v>57583.3717761834</v>
      </c>
      <c r="Z18" s="111">
        <v>58798.7824140145</v>
      </c>
      <c r="AA18" s="111">
        <v>60033.8393720901</v>
      </c>
      <c r="AB18" s="111">
        <v>61289.6066688011</v>
      </c>
      <c r="AC18" s="111">
        <v>62567.1038612668</v>
      </c>
      <c r="AD18" s="111">
        <v>63867.3128014939</v>
      </c>
      <c r="AE18" s="111">
        <v>65191.1836578752</v>
      </c>
      <c r="AF18" s="111">
        <v>66539.6402765053</v>
      </c>
      <c r="AG18" s="111">
        <v>67913.5849529525</v>
      </c>
      <c r="AH18" s="111">
        <v>69313.9026801914</v>
      </c>
      <c r="AI18" s="111">
        <v>70741.4649328961</v>
      </c>
      <c r="AJ18" s="111">
        <v>72197.1330426775</v>
      </c>
      <c r="AK18" s="111">
        <v>73681.7612133485</v>
      </c>
      <c r="AL18" s="111">
        <v>75196.19922007</v>
      </c>
      <c r="AM18" s="111">
        <v>76741.2948313699</v>
      </c>
      <c r="AN18" s="111">
        <v>78317.8959885979</v>
      </c>
      <c r="AO18" s="111">
        <v>79926.8527733111</v>
      </c>
      <c r="AP18" s="111">
        <v>81569.0191894994</v>
      </c>
      <c r="AQ18" s="111">
        <v>83245.2547843122</v>
      </c>
    </row>
    <row r="19" spans="1:43">
      <c r="A19" s="102" t="s">
        <v>16</v>
      </c>
      <c r="B19" s="111">
        <v>6836.11249032525</v>
      </c>
      <c r="C19" s="111">
        <v>6449.09070933052</v>
      </c>
      <c r="D19" s="111">
        <v>7193.77553824679</v>
      </c>
      <c r="E19" s="111">
        <v>7260.55665233214</v>
      </c>
      <c r="F19" s="111">
        <v>7318.23154965585</v>
      </c>
      <c r="G19" s="111">
        <v>7368.04402393521</v>
      </c>
      <c r="H19" s="111">
        <v>7411.18494718194</v>
      </c>
      <c r="I19" s="111">
        <v>7448.76317449968</v>
      </c>
      <c r="J19" s="111">
        <v>7481.78971161768</v>
      </c>
      <c r="K19" s="111">
        <v>7511.17150177542</v>
      </c>
      <c r="L19" s="111">
        <v>7537.7118186926</v>
      </c>
      <c r="M19" s="111">
        <v>7562.11491857258</v>
      </c>
      <c r="N19" s="111">
        <v>7584.99320766383</v>
      </c>
      <c r="O19" s="111">
        <v>7606.87568345977</v>
      </c>
      <c r="P19" s="111">
        <v>7628.21680109431</v>
      </c>
      <c r="Q19" s="111">
        <v>7649.40521218507</v>
      </c>
      <c r="R19" s="111">
        <v>7670.77203784401</v>
      </c>
      <c r="S19" s="111">
        <v>7692.59848817098</v>
      </c>
      <c r="T19" s="111">
        <v>7715.12274288534</v>
      </c>
      <c r="U19" s="111">
        <v>7738.54607475149</v>
      </c>
      <c r="V19" s="111">
        <v>7763.03823926716</v>
      </c>
      <c r="W19" s="111">
        <v>7788.74217839855</v>
      </c>
      <c r="X19" s="111">
        <v>7815.77809861452</v>
      </c>
      <c r="Y19" s="111">
        <v>7844.24698816659</v>
      </c>
      <c r="Z19" s="111">
        <v>7874.23363833862</v>
      </c>
      <c r="AA19" s="111">
        <v>7905.80923022568</v>
      </c>
      <c r="AB19" s="111">
        <v>7939.03354383071</v>
      </c>
      <c r="AC19" s="111">
        <v>7973.95684076021</v>
      </c>
      <c r="AD19" s="111">
        <v>8010.62146612337</v>
      </c>
      <c r="AE19" s="111">
        <v>8049.06320972718</v>
      </c>
      <c r="AF19" s="111">
        <v>8089.3124615124</v>
      </c>
      <c r="AG19" s="111">
        <v>8131.39519148677</v>
      </c>
      <c r="AH19" s="111">
        <v>8175.33378021863</v>
      </c>
      <c r="AI19" s="111">
        <v>8221.14772225398</v>
      </c>
      <c r="AJ19" s="111">
        <v>8268.85422158562</v>
      </c>
      <c r="AK19" s="111">
        <v>8318.46869549834</v>
      </c>
      <c r="AL19" s="111">
        <v>8370.00520069526</v>
      </c>
      <c r="AM19" s="111">
        <v>8423.47679353348</v>
      </c>
      <c r="AN19" s="111">
        <v>8478.89583442106</v>
      </c>
      <c r="AO19" s="111">
        <v>8536.27424491087</v>
      </c>
      <c r="AP19" s="111">
        <v>8595.62372473558</v>
      </c>
      <c r="AQ19" s="111">
        <v>8656.95593493096</v>
      </c>
    </row>
    <row r="20" spans="1:43">
      <c r="A20" s="102" t="s">
        <v>17</v>
      </c>
      <c r="B20" s="111">
        <v>7502.38083543758</v>
      </c>
      <c r="C20" s="111">
        <v>6367.09567420983</v>
      </c>
      <c r="D20" s="111">
        <v>7102.31243057868</v>
      </c>
      <c r="E20" s="111">
        <v>7168.24447616095</v>
      </c>
      <c r="F20" s="111">
        <v>7225.18608325122</v>
      </c>
      <c r="G20" s="111">
        <v>7274.36523172358</v>
      </c>
      <c r="H20" s="111">
        <v>7316.95765260366</v>
      </c>
      <c r="I20" s="111">
        <v>7354.05810278853</v>
      </c>
      <c r="J20" s="111">
        <v>7386.66473387746</v>
      </c>
      <c r="K20" s="111">
        <v>7415.67295805134</v>
      </c>
      <c r="L20" s="111">
        <v>7441.87583604638</v>
      </c>
      <c r="M20" s="111">
        <v>7465.96867001107</v>
      </c>
      <c r="N20" s="111">
        <v>7488.55607993778</v>
      </c>
      <c r="O20" s="111">
        <v>7510.16033753952</v>
      </c>
      <c r="P20" s="111">
        <v>7531.23011991629</v>
      </c>
      <c r="Q20" s="111">
        <v>7552.14913729097</v>
      </c>
      <c r="R20" s="111">
        <v>7573.24430083516</v>
      </c>
      <c r="S20" s="111">
        <v>7594.79324528699</v>
      </c>
      <c r="T20" s="111">
        <v>7617.03112210103</v>
      </c>
      <c r="U20" s="111">
        <v>7640.15664501928</v>
      </c>
      <c r="V20" s="111">
        <v>7664.33741123398</v>
      </c>
      <c r="W20" s="111">
        <v>7689.71454531846</v>
      </c>
      <c r="X20" s="111">
        <v>7716.40672541236</v>
      </c>
      <c r="Y20" s="111">
        <v>7744.5136557823</v>
      </c>
      <c r="Z20" s="111">
        <v>7774.1190496587</v>
      </c>
      <c r="AA20" s="111">
        <v>7805.2931831259</v>
      </c>
      <c r="AB20" s="111">
        <v>7838.09507613186</v>
      </c>
      <c r="AC20" s="111">
        <v>7872.57435124691</v>
      </c>
      <c r="AD20" s="111">
        <v>7908.77281519603</v>
      </c>
      <c r="AE20" s="111">
        <v>7946.72580274741</v>
      </c>
      <c r="AF20" s="111">
        <v>7986.46331745798</v>
      </c>
      <c r="AG20" s="111">
        <v>8028.0109991476</v>
      </c>
      <c r="AH20" s="111">
        <v>8071.39094383357</v>
      </c>
      <c r="AI20" s="111">
        <v>8116.62239820429</v>
      </c>
      <c r="AJ20" s="111">
        <v>8163.72234751757</v>
      </c>
      <c r="AK20" s="111">
        <v>8212.70601303972</v>
      </c>
      <c r="AL20" s="111">
        <v>8263.58727275413</v>
      </c>
      <c r="AM20" s="111">
        <v>8316.37901701673</v>
      </c>
      <c r="AN20" s="111">
        <v>8371.0934490829</v>
      </c>
      <c r="AO20" s="111">
        <v>8427.74233893246</v>
      </c>
      <c r="AP20" s="111">
        <v>8486.33723754534</v>
      </c>
      <c r="AQ20" s="111">
        <v>8546.88965769657</v>
      </c>
    </row>
    <row r="21" spans="1:43">
      <c r="A21" s="102" t="s">
        <v>18</v>
      </c>
      <c r="B21" s="111">
        <v>5250.4749287847</v>
      </c>
      <c r="C21" s="111">
        <v>4884.2627125065</v>
      </c>
      <c r="D21" s="111">
        <v>5806.1451434137</v>
      </c>
      <c r="E21" s="111">
        <v>5882.95133643912</v>
      </c>
      <c r="F21" s="111">
        <v>5952.77176297982</v>
      </c>
      <c r="G21" s="111">
        <v>6016.5358807181</v>
      </c>
      <c r="H21" s="111">
        <v>6075.14546244018</v>
      </c>
      <c r="I21" s="111">
        <v>6129.44981930376</v>
      </c>
      <c r="J21" s="111">
        <v>6180.23142884616</v>
      </c>
      <c r="K21" s="111">
        <v>6228.1992395721</v>
      </c>
      <c r="L21" s="111">
        <v>6273.98735648053</v>
      </c>
      <c r="M21" s="111">
        <v>6318.15729245839</v>
      </c>
      <c r="N21" s="111">
        <v>6361.20241742416</v>
      </c>
      <c r="O21" s="111">
        <v>6403.55361531427</v>
      </c>
      <c r="P21" s="111">
        <v>6445.58546013508</v>
      </c>
      <c r="Q21" s="111">
        <v>6487.62245167313</v>
      </c>
      <c r="R21" s="111">
        <v>6529.94502007716</v>
      </c>
      <c r="S21" s="111">
        <v>6572.7951286604</v>
      </c>
      <c r="T21" s="111">
        <v>6616.38138729998</v>
      </c>
      <c r="U21" s="111">
        <v>6660.88364432644</v>
      </c>
      <c r="V21" s="111">
        <v>6706.45706045524</v>
      </c>
      <c r="W21" s="111">
        <v>6753.23568998718</v>
      </c>
      <c r="X21" s="111">
        <v>6801.33560656062</v>
      </c>
      <c r="Y21" s="111">
        <v>6850.85761635894</v>
      </c>
      <c r="Z21" s="111">
        <v>6901.88960312069</v>
      </c>
      <c r="AA21" s="111">
        <v>6954.50854814986</v>
      </c>
      <c r="AB21" s="111">
        <v>7008.78226586571</v>
      </c>
      <c r="AC21" s="111">
        <v>7064.77089198502</v>
      </c>
      <c r="AD21" s="111">
        <v>7122.52815767729</v>
      </c>
      <c r="AE21" s="111">
        <v>7182.10247926519</v>
      </c>
      <c r="AF21" s="111">
        <v>7243.53788944628</v>
      </c>
      <c r="AG21" s="111">
        <v>7306.87483267974</v>
      </c>
      <c r="AH21" s="111">
        <v>7372.15084436497</v>
      </c>
      <c r="AI21" s="111">
        <v>7439.40113074855</v>
      </c>
      <c r="AJ21" s="111">
        <v>7508.65906412271</v>
      </c>
      <c r="AK21" s="111">
        <v>7579.95660580622</v>
      </c>
      <c r="AL21" s="111">
        <v>7653.32466759897</v>
      </c>
      <c r="AM21" s="111">
        <v>7728.79342084613</v>
      </c>
      <c r="AN21" s="111">
        <v>7806.39256091166</v>
      </c>
      <c r="AO21" s="111">
        <v>7886.15153371351</v>
      </c>
      <c r="AP21" s="111">
        <v>7968.09972999102</v>
      </c>
      <c r="AQ21" s="111">
        <v>8052.26665213805</v>
      </c>
    </row>
    <row r="22" spans="1:43">
      <c r="A22" s="102" t="s">
        <v>19</v>
      </c>
      <c r="B22" s="111">
        <v>9861.53617044987</v>
      </c>
      <c r="C22" s="111">
        <v>9638.89373245397</v>
      </c>
      <c r="D22" s="111">
        <v>11522.9572008562</v>
      </c>
      <c r="E22" s="111">
        <v>11989.0198312667</v>
      </c>
      <c r="F22" s="111">
        <v>12446.2011401752</v>
      </c>
      <c r="G22" s="111">
        <v>12895.3268505106</v>
      </c>
      <c r="H22" s="111">
        <v>13337.3735082618</v>
      </c>
      <c r="I22" s="111">
        <v>13773.4015959344</v>
      </c>
      <c r="J22" s="111">
        <v>14204.5051919405</v>
      </c>
      <c r="K22" s="111">
        <v>14631.7756702443</v>
      </c>
      <c r="L22" s="111">
        <v>15056.2767516675</v>
      </c>
      <c r="M22" s="111">
        <v>15479.0283896976</v>
      </c>
      <c r="N22" s="111">
        <v>15900.9973103296</v>
      </c>
      <c r="O22" s="111">
        <v>16323.0924118808</v>
      </c>
      <c r="P22" s="111">
        <v>16746.1636031495</v>
      </c>
      <c r="Q22" s="111">
        <v>17171.0029863363</v>
      </c>
      <c r="R22" s="111">
        <v>17598.3475644866</v>
      </c>
      <c r="S22" s="111">
        <v>18028.8828723068</v>
      </c>
      <c r="T22" s="111">
        <v>18463.2470998658</v>
      </c>
      <c r="U22" s="111">
        <v>18902.0354085726</v>
      </c>
      <c r="V22" s="111">
        <v>19345.8042357674</v>
      </c>
      <c r="W22" s="111">
        <v>19795.0754553448</v>
      </c>
      <c r="X22" s="111">
        <v>20250.3403130383</v>
      </c>
      <c r="Y22" s="111">
        <v>20712.0630912308</v>
      </c>
      <c r="Z22" s="111">
        <v>21180.6844832533</v>
      </c>
      <c r="AA22" s="111">
        <v>21656.6246740764</v>
      </c>
      <c r="AB22" s="111">
        <v>22140.286135346</v>
      </c>
      <c r="AC22" s="111">
        <v>22632.0561495599</v>
      </c>
      <c r="AD22" s="111">
        <v>23132.3090820731</v>
      </c>
      <c r="AE22" s="111">
        <v>23641.4084214768</v>
      </c>
      <c r="AF22" s="111">
        <v>24159.708609385</v>
      </c>
      <c r="AG22" s="111">
        <v>24687.5566802548</v>
      </c>
      <c r="AH22" s="111">
        <v>25225.2937308998</v>
      </c>
      <c r="AI22" s="111">
        <v>25773.2562380643</v>
      </c>
      <c r="AJ22" s="111">
        <v>26331.7772409824</v>
      </c>
      <c r="AK22" s="111">
        <v>26901.1874043369</v>
      </c>
      <c r="AL22" s="111">
        <v>27481.8159755546</v>
      </c>
      <c r="AM22" s="111">
        <v>28073.9916489494</v>
      </c>
      <c r="AN22" s="111">
        <v>28678.043347905</v>
      </c>
      <c r="AO22" s="111">
        <v>29294.3009350538</v>
      </c>
      <c r="AP22" s="111">
        <v>29923.0958592936</v>
      </c>
      <c r="AQ22" s="111">
        <v>30564.7617474805</v>
      </c>
    </row>
    <row r="23" spans="1:43">
      <c r="A23" s="102" t="s">
        <v>20</v>
      </c>
      <c r="B23" s="111">
        <v>11330.1077642788</v>
      </c>
      <c r="C23" s="111">
        <v>10525.4320262799</v>
      </c>
      <c r="D23" s="111">
        <v>13758.6318708671</v>
      </c>
      <c r="E23" s="111">
        <v>14674.3220889932</v>
      </c>
      <c r="F23" s="111">
        <v>15585.1145549</v>
      </c>
      <c r="G23" s="111">
        <v>16490.8282614482</v>
      </c>
      <c r="H23" s="111">
        <v>17391.6979518111</v>
      </c>
      <c r="I23" s="111">
        <v>18288.2739674933</v>
      </c>
      <c r="J23" s="111">
        <v>19181.3371528165</v>
      </c>
      <c r="K23" s="111">
        <v>20071.8291553488</v>
      </c>
      <c r="L23" s="111">
        <v>20960.7970507273</v>
      </c>
      <c r="M23" s="111">
        <v>21849.350529069</v>
      </c>
      <c r="N23" s="111">
        <v>22738.6296518379</v>
      </c>
      <c r="O23" s="111">
        <v>23629.7812323544</v>
      </c>
      <c r="P23" s="111">
        <v>24523.9420798475</v>
      </c>
      <c r="Q23" s="111">
        <v>25422.2275930601</v>
      </c>
      <c r="R23" s="111">
        <v>26325.7244455399</v>
      </c>
      <c r="S23" s="111">
        <v>27235.4863442357</v>
      </c>
      <c r="T23" s="111">
        <v>28152.5320535068</v>
      </c>
      <c r="U23" s="111">
        <v>29077.8450543099</v>
      </c>
      <c r="V23" s="111">
        <v>30012.3743540558</v>
      </c>
      <c r="W23" s="111">
        <v>30957.036079646</v>
      </c>
      <c r="X23" s="111">
        <v>31912.7155785914</v>
      </c>
      <c r="Y23" s="111">
        <v>32880.2698251143</v>
      </c>
      <c r="Z23" s="111">
        <v>33860.5299835539</v>
      </c>
      <c r="AA23" s="111">
        <v>34854.3040236453</v>
      </c>
      <c r="AB23" s="111">
        <v>35862.3793141359</v>
      </c>
      <c r="AC23" s="111">
        <v>36885.5251450329</v>
      </c>
      <c r="AD23" s="111">
        <v>37924.4951464216</v>
      </c>
      <c r="AE23" s="111">
        <v>38980.0295846973</v>
      </c>
      <c r="AF23" s="111">
        <v>40052.8575263745</v>
      </c>
      <c r="AG23" s="111">
        <v>41143.6988662528</v>
      </c>
      <c r="AH23" s="111">
        <v>42253.2662213165</v>
      </c>
      <c r="AI23" s="111">
        <v>43382.2666948502</v>
      </c>
      <c r="AJ23" s="111">
        <v>44531.4035172417</v>
      </c>
      <c r="AK23" s="111">
        <v>45701.3775711592</v>
      </c>
      <c r="AL23" s="111">
        <v>46892.8888093871</v>
      </c>
      <c r="AM23" s="111">
        <v>48106.637573842</v>
      </c>
      <c r="AN23" s="111">
        <v>49343.325824202</v>
      </c>
      <c r="AO23" s="111">
        <v>50603.6582843302</v>
      </c>
      <c r="AP23" s="111">
        <v>51888.3435142913</v>
      </c>
      <c r="AQ23" s="111">
        <v>53198.0949152995</v>
      </c>
    </row>
    <row r="24" spans="1:43">
      <c r="A24" s="102" t="s">
        <v>21</v>
      </c>
      <c r="B24" s="111">
        <v>37935.769722395</v>
      </c>
      <c r="C24" s="111">
        <v>37435.4344042032</v>
      </c>
      <c r="D24" s="111">
        <v>45558.0514860408</v>
      </c>
      <c r="E24" s="111">
        <v>47657.3377871635</v>
      </c>
      <c r="F24" s="111">
        <v>49725.587262426</v>
      </c>
      <c r="G24" s="111">
        <v>51765.2308590025</v>
      </c>
      <c r="H24" s="111">
        <v>53779.4641957512</v>
      </c>
      <c r="I24" s="111">
        <v>55771.9686209351</v>
      </c>
      <c r="J24" s="111">
        <v>57746.6943296215</v>
      </c>
      <c r="K24" s="111">
        <v>59707.6980140975</v>
      </c>
      <c r="L24" s="111">
        <v>61659.0259454062</v>
      </c>
      <c r="M24" s="111">
        <v>63604.6334218134</v>
      </c>
      <c r="N24" s="111">
        <v>65548.3324008499</v>
      </c>
      <c r="O24" s="111">
        <v>67493.7603613448</v>
      </c>
      <c r="P24" s="111">
        <v>69444.3647300204</v>
      </c>
      <c r="Q24" s="111">
        <v>71403.3984002249</v>
      </c>
      <c r="R24" s="111">
        <v>73373.9229008696</v>
      </c>
      <c r="S24" s="111">
        <v>75358.8166240688</v>
      </c>
      <c r="T24" s="111">
        <v>77360.7861995222</v>
      </c>
      <c r="U24" s="111">
        <v>79382.3796332895</v>
      </c>
      <c r="V24" s="111">
        <v>81426.00023334</v>
      </c>
      <c r="W24" s="111">
        <v>83493.9206482291</v>
      </c>
      <c r="X24" s="111">
        <v>85588.2965700782</v>
      </c>
      <c r="Y24" s="111">
        <v>87711.1798168052</v>
      </c>
      <c r="Z24" s="111">
        <v>89864.5306259568</v>
      </c>
      <c r="AA24" s="111">
        <v>92050.2290752389</v>
      </c>
      <c r="AB24" s="111">
        <v>94270.0856018635</v>
      </c>
      <c r="AC24" s="111">
        <v>96525.850631056</v>
      </c>
      <c r="AD24" s="111">
        <v>98819.2233487949</v>
      </c>
      <c r="AE24" s="111">
        <v>101151.859668772</v>
      </c>
      <c r="AF24" s="111">
        <v>103525.379451785</v>
      </c>
      <c r="AG24" s="111">
        <v>105941.373039205</v>
      </c>
      <c r="AH24" s="111">
        <v>108401.407162445</v>
      </c>
      <c r="AI24" s="111">
        <v>110907.030288631</v>
      </c>
      <c r="AJ24" s="111">
        <v>113459.777459511</v>
      </c>
      <c r="AK24" s="111">
        <v>116061.174676937</v>
      </c>
      <c r="AL24" s="111">
        <v>118712.742884035</v>
      </c>
      <c r="AM24" s="111">
        <v>121416.001586934</v>
      </c>
      <c r="AN24" s="111">
        <v>124172.472157809</v>
      </c>
      <c r="AO24" s="111">
        <v>126983.68085591</v>
      </c>
      <c r="AP24" s="111">
        <v>129851.161599621</v>
      </c>
      <c r="AQ24" s="111">
        <v>132776.45851904</v>
      </c>
    </row>
    <row r="25" spans="1:43">
      <c r="A25" s="102" t="s">
        <v>22</v>
      </c>
      <c r="B25" s="111">
        <v>18118.8678849489</v>
      </c>
      <c r="C25" s="111">
        <v>17320.8606358663</v>
      </c>
      <c r="D25" s="111">
        <v>20912.4240929234</v>
      </c>
      <c r="E25" s="111">
        <v>22084.7514779138</v>
      </c>
      <c r="F25" s="111">
        <v>23246.1476814718</v>
      </c>
      <c r="G25" s="111">
        <v>24397.0505885816</v>
      </c>
      <c r="H25" s="111">
        <v>25538.3860107854</v>
      </c>
      <c r="I25" s="111">
        <v>26671.427856456</v>
      </c>
      <c r="J25" s="111">
        <v>27797.6840576942</v>
      </c>
      <c r="K25" s="111">
        <v>28918.8067343735</v>
      </c>
      <c r="L25" s="111">
        <v>30036.5236598831</v>
      </c>
      <c r="M25" s="111">
        <v>31152.5875898796</v>
      </c>
      <c r="N25" s="111">
        <v>32268.740053448</v>
      </c>
      <c r="O25" s="111">
        <v>33386.6865282707</v>
      </c>
      <c r="P25" s="111">
        <v>34508.0803628154</v>
      </c>
      <c r="Q25" s="111">
        <v>35634.513271593</v>
      </c>
      <c r="R25" s="111">
        <v>36767.5106617353</v>
      </c>
      <c r="S25" s="111">
        <v>37908.5304266869</v>
      </c>
      <c r="T25" s="111">
        <v>39058.9641586089</v>
      </c>
      <c r="U25" s="111">
        <v>40220.1399873403</v>
      </c>
      <c r="V25" s="111">
        <v>41393.3264569456</v>
      </c>
      <c r="W25" s="111">
        <v>42579.7370090951</v>
      </c>
      <c r="X25" s="111">
        <v>43780.534763863</v>
      </c>
      <c r="Y25" s="111">
        <v>44996.8373804152</v>
      </c>
      <c r="Z25" s="111">
        <v>46229.7218487304</v>
      </c>
      <c r="AA25" s="111">
        <v>47480.2291142714</v>
      </c>
      <c r="AB25" s="111">
        <v>48749.3684745596</v>
      </c>
      <c r="AC25" s="111">
        <v>50038.1217132801</v>
      </c>
      <c r="AD25" s="111">
        <v>51347.4469563957</v>
      </c>
      <c r="AE25" s="111">
        <v>52678.2822478578</v>
      </c>
      <c r="AF25" s="111">
        <v>54031.5488513136</v>
      </c>
      <c r="AG25" s="111">
        <v>55408.1542899277</v>
      </c>
      <c r="AH25" s="111">
        <v>56808.9951399177</v>
      </c>
      <c r="AI25" s="111">
        <v>58234.9595952754</v>
      </c>
      <c r="AJ25" s="111">
        <v>59686.9298219045</v>
      </c>
      <c r="AK25" s="111">
        <v>61165.7841194009</v>
      </c>
      <c r="AL25" s="111">
        <v>62672.3989081852</v>
      </c>
      <c r="AM25" s="111">
        <v>64207.6505588514</v>
      </c>
      <c r="AN25" s="111">
        <v>65772.4170795629</v>
      </c>
      <c r="AO25" s="111">
        <v>67367.5796761995</v>
      </c>
      <c r="AP25" s="111">
        <v>68994.0241987934</v>
      </c>
      <c r="AQ25" s="111">
        <v>70652.6424866405</v>
      </c>
    </row>
    <row r="26" spans="1:43">
      <c r="A26" s="102" t="s">
        <v>23</v>
      </c>
      <c r="B26" s="111">
        <v>26456.7863328441</v>
      </c>
      <c r="C26" s="111">
        <v>26384.400971391</v>
      </c>
      <c r="D26" s="111">
        <v>30412.3340232584</v>
      </c>
      <c r="E26" s="111">
        <v>31829.4071194828</v>
      </c>
      <c r="F26" s="111">
        <v>33226.0108442032</v>
      </c>
      <c r="G26" s="111">
        <v>34603.7170011427</v>
      </c>
      <c r="H26" s="111">
        <v>35964.6181466686</v>
      </c>
      <c r="I26" s="111">
        <v>37311.1404952314</v>
      </c>
      <c r="J26" s="111">
        <v>38645.8980475089</v>
      </c>
      <c r="K26" s="111">
        <v>39971.5830623548</v>
      </c>
      <c r="L26" s="111">
        <v>41290.8868899975</v>
      </c>
      <c r="M26" s="111">
        <v>42606.4451699741</v>
      </c>
      <c r="N26" s="111">
        <v>43920.8019577301</v>
      </c>
      <c r="O26" s="111">
        <v>45236.3881465573</v>
      </c>
      <c r="P26" s="111">
        <v>46555.5104001591</v>
      </c>
      <c r="Q26" s="111">
        <v>47880.3476011813</v>
      </c>
      <c r="R26" s="111">
        <v>49212.9525058653</v>
      </c>
      <c r="S26" s="111">
        <v>50555.2568617507</v>
      </c>
      <c r="T26" s="111">
        <v>51909.0786992339</v>
      </c>
      <c r="U26" s="111">
        <v>53276.1308623621</v>
      </c>
      <c r="V26" s="111">
        <v>54658.0301156943</v>
      </c>
      <c r="W26" s="111">
        <v>56056.3063684083</v>
      </c>
      <c r="X26" s="111">
        <v>57472.4117082613</v>
      </c>
      <c r="Y26" s="111">
        <v>58907.7290485974</v>
      </c>
      <c r="Z26" s="111">
        <v>60363.5802710893</v>
      </c>
      <c r="AA26" s="111">
        <v>61841.2338030839</v>
      </c>
      <c r="AB26" s="111">
        <v>63341.911607314</v>
      </c>
      <c r="AC26" s="111">
        <v>64866.7955879449</v>
      </c>
      <c r="AD26" s="111">
        <v>66417.0334339808</v>
      </c>
      <c r="AE26" s="111">
        <v>67993.743931506</v>
      </c>
      <c r="AF26" s="111">
        <v>69598.0217820803</v>
      </c>
      <c r="AG26" s="111">
        <v>71230.9419672256</v>
      </c>
      <c r="AH26" s="111">
        <v>72893.5636993945</v>
      </c>
      <c r="AI26" s="111">
        <v>74586.9339988054</v>
      </c>
      <c r="AJ26" s="111">
        <v>76312.0909336682</v>
      </c>
      <c r="AK26" s="111">
        <v>78070.0665588973</v>
      </c>
      <c r="AL26" s="111">
        <v>79861.8895857485</v>
      </c>
      <c r="AM26" s="111">
        <v>81688.5878120644</v>
      </c>
      <c r="AN26" s="111">
        <v>83551.190340087</v>
      </c>
      <c r="AO26" s="111">
        <v>85450.7296061984</v>
      </c>
      <c r="AP26" s="111">
        <v>87388.2432444868</v>
      </c>
      <c r="AQ26" s="111">
        <v>89364.7758037658</v>
      </c>
    </row>
    <row r="27" spans="1:43">
      <c r="A27" s="102" t="s">
        <v>24</v>
      </c>
      <c r="B27" s="111">
        <v>10266.7168986426</v>
      </c>
      <c r="C27" s="111">
        <v>10287.6888562006</v>
      </c>
      <c r="D27" s="111">
        <v>11820.3125810942</v>
      </c>
      <c r="E27" s="111">
        <v>12322.5431581529</v>
      </c>
      <c r="F27" s="111">
        <v>12816.046759156</v>
      </c>
      <c r="G27" s="111">
        <v>13301.5919887412</v>
      </c>
      <c r="H27" s="111">
        <v>13780.1180050218</v>
      </c>
      <c r="I27" s="111">
        <v>14252.6645434934</v>
      </c>
      <c r="J27" s="111">
        <v>14720.3185979967</v>
      </c>
      <c r="K27" s="111">
        <v>15184.1754122873</v>
      </c>
      <c r="L27" s="111">
        <v>15645.3111679679</v>
      </c>
      <c r="M27" s="111">
        <v>16104.764870194</v>
      </c>
      <c r="N27" s="111">
        <v>16563.5272355655</v>
      </c>
      <c r="O27" s="111">
        <v>17022.5347549847</v>
      </c>
      <c r="P27" s="111">
        <v>17482.6674689456</v>
      </c>
      <c r="Q27" s="111">
        <v>17944.7493194654</v>
      </c>
      <c r="R27" s="111">
        <v>18409.5502185288</v>
      </c>
      <c r="S27" s="111">
        <v>18877.7891961866</v>
      </c>
      <c r="T27" s="111">
        <v>19350.1381669568</v>
      </c>
      <c r="U27" s="111">
        <v>19827.2259879305</v>
      </c>
      <c r="V27" s="111">
        <v>20309.6425834446</v>
      </c>
      <c r="W27" s="111">
        <v>20797.9429862581</v>
      </c>
      <c r="X27" s="111">
        <v>21292.6511998069</v>
      </c>
      <c r="Y27" s="111">
        <v>21794.2638252041</v>
      </c>
      <c r="Z27" s="111">
        <v>22303.2534241172</v>
      </c>
      <c r="AA27" s="111">
        <v>22820.071607509</v>
      </c>
      <c r="AB27" s="111">
        <v>23345.1518528176</v>
      </c>
      <c r="AC27" s="111">
        <v>23878.9120602275</v>
      </c>
      <c r="AD27" s="111">
        <v>24421.7568635453</v>
      </c>
      <c r="AE27" s="111">
        <v>24974.0797138219</v>
      </c>
      <c r="AF27" s="111">
        <v>25536.2647549471</v>
      </c>
      <c r="AG27" s="111">
        <v>26108.6885105031</v>
      </c>
      <c r="AH27" s="111">
        <v>26691.7214005589</v>
      </c>
      <c r="AI27" s="111">
        <v>27285.7291060767</v>
      </c>
      <c r="AJ27" s="111">
        <v>27891.0737973641</v>
      </c>
      <c r="AK27" s="111">
        <v>28508.115241667</v>
      </c>
      <c r="AL27" s="111">
        <v>29137.2118036372</v>
      </c>
      <c r="AM27" s="111">
        <v>29778.7213510787</v>
      </c>
      <c r="AN27" s="111">
        <v>30433.00207712</v>
      </c>
      <c r="AO27" s="111">
        <v>31100.4132487761</v>
      </c>
      <c r="AP27" s="111">
        <v>31781.3158907908</v>
      </c>
      <c r="AQ27" s="111">
        <v>32476.0734126552</v>
      </c>
    </row>
    <row r="28" spans="1:43">
      <c r="A28" s="102" t="s">
        <v>25</v>
      </c>
      <c r="B28" s="111">
        <v>12676.074068591</v>
      </c>
      <c r="C28" s="111">
        <v>12991.6696144509</v>
      </c>
      <c r="D28" s="111">
        <v>14659.4324717783</v>
      </c>
      <c r="E28" s="111">
        <v>15217.7631084799</v>
      </c>
      <c r="F28" s="111">
        <v>15764.2454270393</v>
      </c>
      <c r="G28" s="111">
        <v>16300.0422830362</v>
      </c>
      <c r="H28" s="111">
        <v>16826.4857136333</v>
      </c>
      <c r="I28" s="111">
        <v>17344.9937986979</v>
      </c>
      <c r="J28" s="111">
        <v>17857.0090241348</v>
      </c>
      <c r="K28" s="111">
        <v>18363.9546389179</v>
      </c>
      <c r="L28" s="111">
        <v>18867.2053794531</v>
      </c>
      <c r="M28" s="111">
        <v>19368.0692392863</v>
      </c>
      <c r="N28" s="111">
        <v>19867.7774511962</v>
      </c>
      <c r="O28" s="111">
        <v>20367.4803804844</v>
      </c>
      <c r="P28" s="111">
        <v>20868.2475268933</v>
      </c>
      <c r="Q28" s="111">
        <v>21371.0702639662</v>
      </c>
      <c r="R28" s="111">
        <v>21876.8662991601</v>
      </c>
      <c r="S28" s="111">
        <v>22386.4851188805</v>
      </c>
      <c r="T28" s="111">
        <v>22900.7138990779</v>
      </c>
      <c r="U28" s="111">
        <v>23420.2835250961</v>
      </c>
      <c r="V28" s="111">
        <v>23945.8744849166</v>
      </c>
      <c r="W28" s="111">
        <v>24478.1224872733</v>
      </c>
      <c r="X28" s="111">
        <v>25017.6237182536</v>
      </c>
      <c r="Y28" s="111">
        <v>25564.9396933344</v>
      </c>
      <c r="Z28" s="111">
        <v>26120.601691279</v>
      </c>
      <c r="AA28" s="111">
        <v>26685.1147757508</v>
      </c>
      <c r="AB28" s="111">
        <v>27258.9614227601</v>
      </c>
      <c r="AC28" s="111">
        <v>27842.6047792543</v>
      </c>
      <c r="AD28" s="111">
        <v>28436.4915818578</v>
      </c>
      <c r="AE28" s="111">
        <v>29041.0547661156</v>
      </c>
      <c r="AF28" s="111">
        <v>29656.7157963566</v>
      </c>
      <c r="AG28" s="111">
        <v>30283.8867451038</v>
      </c>
      <c r="AH28" s="111">
        <v>30922.9721491663</v>
      </c>
      <c r="AI28" s="111">
        <v>31574.3706674667</v>
      </c>
      <c r="AJ28" s="111">
        <v>32238.4765634499</v>
      </c>
      <c r="AK28" s="111">
        <v>32915.6810327217</v>
      </c>
      <c r="AL28" s="111">
        <v>33606.3733944491</v>
      </c>
      <c r="AM28" s="111">
        <v>34310.9421630602</v>
      </c>
      <c r="AN28" s="111">
        <v>35029.7760149533</v>
      </c>
      <c r="AO28" s="111">
        <v>35763.2646632391</v>
      </c>
      <c r="AP28" s="111">
        <v>36511.7996520347</v>
      </c>
      <c r="AQ28" s="111">
        <v>37275.7750804691</v>
      </c>
    </row>
    <row r="29" spans="1:43">
      <c r="A29" s="102" t="s">
        <v>26</v>
      </c>
      <c r="B29" s="111">
        <v>10520.0749530472</v>
      </c>
      <c r="C29" s="111">
        <v>11968.3470204325</v>
      </c>
      <c r="D29" s="111">
        <v>12875.7846159015</v>
      </c>
      <c r="E29" s="111">
        <v>13474.7913394176</v>
      </c>
      <c r="F29" s="111">
        <v>14065.1168567066</v>
      </c>
      <c r="G29" s="111">
        <v>14647.4296977972</v>
      </c>
      <c r="H29" s="111">
        <v>15222.6182458285</v>
      </c>
      <c r="I29" s="111">
        <v>15791.7115794858</v>
      </c>
      <c r="J29" s="111">
        <v>16355.8177804129</v>
      </c>
      <c r="K29" s="111">
        <v>16916.0776312351</v>
      </c>
      <c r="L29" s="111">
        <v>17473.6311657144</v>
      </c>
      <c r="M29" s="111">
        <v>18029.5945289999</v>
      </c>
      <c r="N29" s="111">
        <v>18585.0448448707</v>
      </c>
      <c r="O29" s="111">
        <v>19141.0111278332</v>
      </c>
      <c r="P29" s="111">
        <v>19698.4696378858</v>
      </c>
      <c r="Q29" s="111">
        <v>20258.3424106371</v>
      </c>
      <c r="R29" s="111">
        <v>20821.4979855901</v>
      </c>
      <c r="S29" s="111">
        <v>21388.753595402</v>
      </c>
      <c r="T29" s="111">
        <v>21960.878271088</v>
      </c>
      <c r="U29" s="111">
        <v>22538.5964681888</v>
      </c>
      <c r="V29" s="111">
        <v>23122.5919337653</v>
      </c>
      <c r="W29" s="111">
        <v>23713.5116205218</v>
      </c>
      <c r="X29" s="111">
        <v>24311.9695183811</v>
      </c>
      <c r="Y29" s="111">
        <v>24918.5503205805</v>
      </c>
      <c r="Z29" s="111">
        <v>25533.8128749519</v>
      </c>
      <c r="AA29" s="111">
        <v>26158.2933947673</v>
      </c>
      <c r="AB29" s="111">
        <v>26792.5084199546</v>
      </c>
      <c r="AC29" s="111">
        <v>27436.9575305444</v>
      </c>
      <c r="AD29" s="111">
        <v>28092.1258213877</v>
      </c>
      <c r="AE29" s="111">
        <v>28758.4861515881</v>
      </c>
      <c r="AF29" s="111">
        <v>29436.5011845384</v>
      </c>
      <c r="AG29" s="111">
        <v>30126.6252355467</v>
      </c>
      <c r="AH29" s="111">
        <v>30829.3059442052</v>
      </c>
      <c r="AI29" s="111">
        <v>31544.9857882268</v>
      </c>
      <c r="AJ29" s="111">
        <v>32274.1034546696</v>
      </c>
      <c r="AK29" s="111">
        <v>33017.0950834374</v>
      </c>
      <c r="AL29" s="111">
        <v>33774.3953968121</v>
      </c>
      <c r="AM29" s="111">
        <v>34546.4387275987</v>
      </c>
      <c r="AN29" s="111">
        <v>35333.6599573151</v>
      </c>
      <c r="AO29" s="111">
        <v>36136.4953747461</v>
      </c>
      <c r="AP29" s="111">
        <v>36955.3834641396</v>
      </c>
      <c r="AQ29" s="111">
        <v>37790.7656313629</v>
      </c>
    </row>
    <row r="30" spans="1:43">
      <c r="A30" s="102" t="s">
        <v>27</v>
      </c>
      <c r="B30" s="111">
        <v>26668.0426332396</v>
      </c>
      <c r="C30" s="111">
        <v>25868.3757713314</v>
      </c>
      <c r="D30" s="111">
        <v>32355.5694370022</v>
      </c>
      <c r="E30" s="111">
        <v>34193.1924869122</v>
      </c>
      <c r="F30" s="111">
        <v>36014.2810861446</v>
      </c>
      <c r="G30" s="111">
        <v>37819.4353906964</v>
      </c>
      <c r="H30" s="111">
        <v>39610.0260917367</v>
      </c>
      <c r="I30" s="111">
        <v>41387.9767273762</v>
      </c>
      <c r="J30" s="111">
        <v>43155.5855334578</v>
      </c>
      <c r="K30" s="111">
        <v>44915.3847032168</v>
      </c>
      <c r="L30" s="111">
        <v>46670.0326558527</v>
      </c>
      <c r="M30" s="111">
        <v>48422.2340760277</v>
      </c>
      <c r="N30" s="111">
        <v>50174.6825035247</v>
      </c>
      <c r="O30" s="111">
        <v>51930.0207230989</v>
      </c>
      <c r="P30" s="111">
        <v>53690.8148704543</v>
      </c>
      <c r="Q30" s="111">
        <v>55459.5388770198</v>
      </c>
      <c r="R30" s="111">
        <v>57238.5665402467</v>
      </c>
      <c r="S30" s="111">
        <v>59030.1690888062</v>
      </c>
      <c r="T30" s="111">
        <v>60836.5166011475</v>
      </c>
      <c r="U30" s="111">
        <v>62659.6820337967</v>
      </c>
      <c r="V30" s="111">
        <v>64501.6469321766</v>
      </c>
      <c r="W30" s="111">
        <v>66364.3081435917</v>
      </c>
      <c r="X30" s="111">
        <v>68249.4850419025</v>
      </c>
      <c r="Y30" s="111">
        <v>70158.9269174021</v>
      </c>
      <c r="Z30" s="111">
        <v>72094.3202934097</v>
      </c>
      <c r="AA30" s="111">
        <v>74057.2960110732</v>
      </c>
      <c r="AB30" s="111">
        <v>76049.4359824385</v>
      </c>
      <c r="AC30" s="111">
        <v>78072.27955412</v>
      </c>
      <c r="AD30" s="111">
        <v>80127.3294539758</v>
      </c>
      <c r="AE30" s="111">
        <v>82216.0573141437</v>
      </c>
      <c r="AF30" s="111">
        <v>84339.9087780283</v>
      </c>
      <c r="AG30" s="111">
        <v>86500.3082081492</v>
      </c>
      <c r="AH30" s="111">
        <v>88698.6630175092</v>
      </c>
      <c r="AI30" s="111">
        <v>90936.3676503664</v>
      </c>
      <c r="AJ30" s="111">
        <v>93214.8072397056</v>
      </c>
      <c r="AK30" s="111">
        <v>95535.3609688957</v>
      </c>
      <c r="AL30" s="111">
        <v>97899.4051643823</v>
      </c>
      <c r="AM30" s="111">
        <v>100308.316145075</v>
      </c>
      <c r="AN30" s="111">
        <v>102763.47285261</v>
      </c>
      <c r="AO30" s="111">
        <v>105266.259284978</v>
      </c>
      <c r="AP30" s="111">
        <v>107818.066754285</v>
      </c>
      <c r="AQ30" s="111">
        <v>110420.295987683</v>
      </c>
    </row>
    <row r="31" spans="1:43">
      <c r="A31" s="102" t="s">
        <v>28</v>
      </c>
      <c r="B31" s="111">
        <v>18840.849270805</v>
      </c>
      <c r="C31" s="111">
        <v>19654.7525801753</v>
      </c>
      <c r="D31" s="111">
        <v>23483.22087617</v>
      </c>
      <c r="E31" s="111">
        <v>24797.4541591592</v>
      </c>
      <c r="F31" s="111">
        <v>26099.3773608788</v>
      </c>
      <c r="G31" s="111">
        <v>27389.4893762093</v>
      </c>
      <c r="H31" s="111">
        <v>28668.8355581424</v>
      </c>
      <c r="I31" s="111">
        <v>29938.8508233999</v>
      </c>
      <c r="J31" s="111">
        <v>31201.2317098946</v>
      </c>
      <c r="K31" s="111">
        <v>32457.8356592655</v>
      </c>
      <c r="L31" s="111">
        <v>33710.6042150303</v>
      </c>
      <c r="M31" s="111">
        <v>34961.5062672789</v>
      </c>
      <c r="N31" s="111">
        <v>36212.4975215156</v>
      </c>
      <c r="O31" s="111">
        <v>37465.4927336021</v>
      </c>
      <c r="P31" s="111">
        <v>38722.3477500406</v>
      </c>
      <c r="Q31" s="111">
        <v>39984.8489136677</v>
      </c>
      <c r="R31" s="111">
        <v>41254.7078806213</v>
      </c>
      <c r="S31" s="111">
        <v>42533.5603185091</v>
      </c>
      <c r="T31" s="111">
        <v>43822.9673103071</v>
      </c>
      <c r="U31" s="111">
        <v>45124.4185761262</v>
      </c>
      <c r="V31" s="111">
        <v>46439.3368529504</v>
      </c>
      <c r="W31" s="111">
        <v>47769.0829499289</v>
      </c>
      <c r="X31" s="111">
        <v>49114.9611328719</v>
      </c>
      <c r="Y31" s="111">
        <v>50478.2245945878</v>
      </c>
      <c r="Z31" s="111">
        <v>51860.0808446762</v>
      </c>
      <c r="AA31" s="111">
        <v>53261.6969092561</v>
      </c>
      <c r="AB31" s="111">
        <v>54684.2042725996</v>
      </c>
      <c r="AC31" s="111">
        <v>56128.7035224676</v>
      </c>
      <c r="AD31" s="111">
        <v>57596.2686820759</v>
      </c>
      <c r="AE31" s="111">
        <v>59087.951226233</v>
      </c>
      <c r="AF31" s="111">
        <v>60604.7837890598</v>
      </c>
      <c r="AG31" s="111">
        <v>62147.7835770715</v>
      </c>
      <c r="AH31" s="111">
        <v>63717.9555052687</v>
      </c>
      <c r="AI31" s="111">
        <v>65316.2950759687</v>
      </c>
      <c r="AJ31" s="111">
        <v>66943.7910209333</v>
      </c>
      <c r="AK31" s="111">
        <v>68601.4277273269</v>
      </c>
      <c r="AL31" s="111">
        <v>70290.1874674377</v>
      </c>
      <c r="AM31" s="111">
        <v>72011.052451143</v>
      </c>
      <c r="AN31" s="111">
        <v>73765.0067189283</v>
      </c>
      <c r="AO31" s="111">
        <v>75553.0378919884</v>
      </c>
      <c r="AP31" s="111">
        <v>77376.1387946344</v>
      </c>
      <c r="AQ31" s="111">
        <v>79235.3089629223</v>
      </c>
    </row>
    <row r="32" spans="1:43">
      <c r="A32" s="102" t="s">
        <v>29</v>
      </c>
      <c r="B32" s="111">
        <v>27690.2478135895</v>
      </c>
      <c r="C32" s="111">
        <v>29395.3624952991</v>
      </c>
      <c r="D32" s="111">
        <v>35271.5094540853</v>
      </c>
      <c r="E32" s="111">
        <v>37985.671006331</v>
      </c>
      <c r="F32" s="111">
        <v>40693.1026495596</v>
      </c>
      <c r="G32" s="111">
        <v>43392.1490426258</v>
      </c>
      <c r="H32" s="111">
        <v>46082.461245884</v>
      </c>
      <c r="I32" s="111">
        <v>48764.7192604488</v>
      </c>
      <c r="J32" s="111">
        <v>51440.3883682373</v>
      </c>
      <c r="K32" s="111">
        <v>54111.5135439307</v>
      </c>
      <c r="L32" s="111">
        <v>56780.5513752182</v>
      </c>
      <c r="M32" s="111">
        <v>59450.2362408842</v>
      </c>
      <c r="N32" s="111">
        <v>62123.4762674981</v>
      </c>
      <c r="O32" s="111">
        <v>64803.2742732384</v>
      </c>
      <c r="P32" s="111">
        <v>67492.6691227723</v>
      </c>
      <c r="Q32" s="111">
        <v>70194.6933993119</v>
      </c>
      <c r="R32" s="111">
        <v>72912.3438849124</v>
      </c>
      <c r="S32" s="111">
        <v>75648.5619314165</v>
      </c>
      <c r="T32" s="111">
        <v>78406.2213509199</v>
      </c>
      <c r="U32" s="111">
        <v>81188.121933124</v>
      </c>
      <c r="V32" s="111">
        <v>83996.9871011206</v>
      </c>
      <c r="W32" s="111">
        <v>86835.4645499538</v>
      </c>
      <c r="X32" s="111">
        <v>89706.1289810919</v>
      </c>
      <c r="Y32" s="111">
        <v>92611.4862597831</v>
      </c>
      <c r="Z32" s="111">
        <v>95553.9784903889</v>
      </c>
      <c r="AA32" s="111">
        <v>98535.9896355662</v>
      </c>
      <c r="AB32" s="111">
        <v>101559.851405988</v>
      </c>
      <c r="AC32" s="111">
        <v>104627.849224418</v>
      </c>
      <c r="AD32" s="111">
        <v>107742.228126432</v>
      </c>
      <c r="AE32" s="111">
        <v>110905.198504074</v>
      </c>
      <c r="AF32" s="111">
        <v>114118.941631546</v>
      </c>
      <c r="AG32" s="111">
        <v>117385.614936254</v>
      </c>
      <c r="AH32" s="111">
        <v>120707.356996178</v>
      </c>
      <c r="AI32" s="111">
        <v>124086.292257227</v>
      </c>
      <c r="AJ32" s="111">
        <v>127524.535473187</v>
      </c>
      <c r="AK32" s="111">
        <v>131024.195876968</v>
      </c>
      <c r="AL32" s="111">
        <v>134587.381095915</v>
      </c>
      <c r="AM32" s="111">
        <v>138216.200826433</v>
      </c>
      <c r="AN32" s="111">
        <v>141912.770284529</v>
      </c>
      <c r="AO32" s="111">
        <v>145679.213449478</v>
      </c>
      <c r="AP32" s="111">
        <v>149517.666117743</v>
      </c>
      <c r="AQ32" s="111">
        <v>153430.278783949</v>
      </c>
    </row>
    <row r="33" spans="1:43">
      <c r="A33" s="102" t="s">
        <v>30</v>
      </c>
      <c r="B33" s="111">
        <v>2984.86252946956</v>
      </c>
      <c r="C33" s="111">
        <v>3175.96148794014</v>
      </c>
      <c r="D33" s="111">
        <v>3735.99535824094</v>
      </c>
      <c r="E33" s="111">
        <v>3953.54781982389</v>
      </c>
      <c r="F33" s="111">
        <v>4169.27638200331</v>
      </c>
      <c r="G33" s="111">
        <v>4383.2329041603</v>
      </c>
      <c r="H33" s="111">
        <v>4595.56173871859</v>
      </c>
      <c r="I33" s="111">
        <v>4806.47429218593</v>
      </c>
      <c r="J33" s="111">
        <v>5016.22808140806</v>
      </c>
      <c r="K33" s="111">
        <v>5225.11008885751</v>
      </c>
      <c r="L33" s="111">
        <v>5433.42394086876</v>
      </c>
      <c r="M33" s="111">
        <v>5641.48032257715</v>
      </c>
      <c r="N33" s="111">
        <v>5849.59003588724</v>
      </c>
      <c r="O33" s="111">
        <v>6058.05915492699</v>
      </c>
      <c r="P33" s="111">
        <v>6267.18580647696</v>
      </c>
      <c r="Q33" s="111">
        <v>6477.25818229197</v>
      </c>
      <c r="R33" s="111">
        <v>6688.55346586248</v>
      </c>
      <c r="S33" s="111">
        <v>6901.33742310568</v>
      </c>
      <c r="T33" s="111">
        <v>7115.8644630511</v>
      </c>
      <c r="U33" s="111">
        <v>7332.37802087094</v>
      </c>
      <c r="V33" s="111">
        <v>7551.11115258361</v>
      </c>
      <c r="W33" s="111">
        <v>7772.28725974779</v>
      </c>
      <c r="X33" s="111">
        <v>7996.12088485239</v>
      </c>
      <c r="Y33" s="111">
        <v>8222.81853516667</v>
      </c>
      <c r="Z33" s="111">
        <v>8452.57950566221</v>
      </c>
      <c r="AA33" s="111">
        <v>8685.5966811854</v>
      </c>
      <c r="AB33" s="111">
        <v>8922.05730509927</v>
      </c>
      <c r="AC33" s="111">
        <v>9162.14370672846</v>
      </c>
      <c r="AD33" s="111">
        <v>9406.03398360964</v>
      </c>
      <c r="AE33" s="111">
        <v>9653.90263712711</v>
      </c>
      <c r="AF33" s="111">
        <v>9905.92116188562</v>
      </c>
      <c r="AG33" s="111">
        <v>10162.2585903606</v>
      </c>
      <c r="AH33" s="111">
        <v>10423.0819951086</v>
      </c>
      <c r="AI33" s="111">
        <v>10688.5569512672</v>
      </c>
      <c r="AJ33" s="111">
        <v>10958.8479622911</v>
      </c>
      <c r="AK33" s="111">
        <v>11234.1188519376</v>
      </c>
      <c r="AL33" s="111">
        <v>11514.5331254763</v>
      </c>
      <c r="AM33" s="111">
        <v>11800.2543029917</v>
      </c>
      <c r="AN33" s="111">
        <v>12091.4462274945</v>
      </c>
      <c r="AO33" s="111">
        <v>12388.2733503851</v>
      </c>
      <c r="AP33" s="111">
        <v>12690.9009966262</v>
      </c>
      <c r="AQ33" s="111">
        <v>12999.4956117897</v>
      </c>
    </row>
    <row r="34" spans="1:43">
      <c r="A34" s="102" t="s">
        <v>31</v>
      </c>
      <c r="B34" s="111">
        <v>3248.89424149793</v>
      </c>
      <c r="C34" s="111">
        <v>3526.92179864102</v>
      </c>
      <c r="D34" s="111">
        <v>3656.57405876987</v>
      </c>
      <c r="E34" s="111">
        <v>3784.71403657288</v>
      </c>
      <c r="F34" s="111">
        <v>3909.72185097504</v>
      </c>
      <c r="G34" s="111">
        <v>4031.9237074165</v>
      </c>
      <c r="H34" s="111">
        <v>4151.68071084358</v>
      </c>
      <c r="I34" s="111">
        <v>4269.36875644642</v>
      </c>
      <c r="J34" s="111">
        <v>4385.3639293818</v>
      </c>
      <c r="K34" s="111">
        <v>4500.03243514358</v>
      </c>
      <c r="L34" s="111">
        <v>4613.72408978341</v>
      </c>
      <c r="M34" s="111">
        <v>4726.76850286878</v>
      </c>
      <c r="N34" s="111">
        <v>4839.47322756768</v>
      </c>
      <c r="O34" s="111">
        <v>4952.12329781273</v>
      </c>
      <c r="P34" s="111">
        <v>5064.98170486181</v>
      </c>
      <c r="Q34" s="111">
        <v>5178.29047768471</v>
      </c>
      <c r="R34" s="111">
        <v>5292.27212220291</v>
      </c>
      <c r="S34" s="111">
        <v>5407.13124515515</v>
      </c>
      <c r="T34" s="111">
        <v>5523.05624214296</v>
      </c>
      <c r="U34" s="111">
        <v>5640.22096938666</v>
      </c>
      <c r="V34" s="111">
        <v>5758.78634783527</v>
      </c>
      <c r="W34" s="111">
        <v>5878.90186906401</v>
      </c>
      <c r="X34" s="111">
        <v>6000.70698692357</v>
      </c>
      <c r="Y34" s="111">
        <v>6124.33238882531</v>
      </c>
      <c r="Z34" s="111">
        <v>6249.9011471092</v>
      </c>
      <c r="AA34" s="111">
        <v>6377.52975510766</v>
      </c>
      <c r="AB34" s="111">
        <v>6507.32905499588</v>
      </c>
      <c r="AC34" s="111">
        <v>6639.40506582791</v>
      </c>
      <c r="AD34" s="111">
        <v>6773.8597206802</v>
      </c>
      <c r="AE34" s="111">
        <v>6910.79152182528</v>
      </c>
      <c r="AF34" s="111">
        <v>7050.29612253106</v>
      </c>
      <c r="AG34" s="111">
        <v>7192.46684356418</v>
      </c>
      <c r="AH34" s="111">
        <v>7337.39513184986</v>
      </c>
      <c r="AI34" s="111">
        <v>7485.17096807801</v>
      </c>
      <c r="AJ34" s="111">
        <v>7635.88322937996</v>
      </c>
      <c r="AK34" s="111">
        <v>7789.62001255828</v>
      </c>
      <c r="AL34" s="111">
        <v>7946.46892275042</v>
      </c>
      <c r="AM34" s="111">
        <v>8106.51733185158</v>
      </c>
      <c r="AN34" s="111">
        <v>8269.85261051637</v>
      </c>
      <c r="AO34" s="111">
        <v>8436.56233710495</v>
      </c>
      <c r="AP34" s="111">
        <v>8606.73448653108</v>
      </c>
      <c r="AQ34" s="111">
        <v>8780.45760160871</v>
      </c>
    </row>
    <row r="35" spans="1:43">
      <c r="A35" s="102" t="s">
        <v>32</v>
      </c>
      <c r="B35" s="111">
        <v>686.839766827454</v>
      </c>
      <c r="C35" s="111">
        <v>644.841456170486</v>
      </c>
      <c r="D35" s="111">
        <v>825.902523344127</v>
      </c>
      <c r="E35" s="111">
        <v>887.058128657383</v>
      </c>
      <c r="F35" s="111">
        <v>948.018051266164</v>
      </c>
      <c r="G35" s="111">
        <v>1008.75132088034</v>
      </c>
      <c r="H35" s="111">
        <v>1069.25598404859</v>
      </c>
      <c r="I35" s="111">
        <v>1129.55274270077</v>
      </c>
      <c r="J35" s="111">
        <v>1189.67941552987</v>
      </c>
      <c r="K35" s="111">
        <v>1249.68629998529</v>
      </c>
      <c r="L35" s="111">
        <v>1309.63240740109</v>
      </c>
      <c r="M35" s="111">
        <v>1369.58248685267</v>
      </c>
      <c r="N35" s="111">
        <v>1429.60472876889</v>
      </c>
      <c r="O35" s="111">
        <v>1489.76903480105</v>
      </c>
      <c r="P35" s="111">
        <v>1550.1457472152</v>
      </c>
      <c r="Q35" s="111">
        <v>1610.80474333785</v>
      </c>
      <c r="R35" s="111">
        <v>1671.81481474992</v>
      </c>
      <c r="S35" s="111">
        <v>1733.24326491917</v>
      </c>
      <c r="T35" s="111">
        <v>1795.15567171127</v>
      </c>
      <c r="U35" s="111">
        <v>1857.61577227418</v>
      </c>
      <c r="V35" s="111">
        <v>1920.68543705333</v>
      </c>
      <c r="W35" s="111">
        <v>1984.42470727445</v>
      </c>
      <c r="X35" s="111">
        <v>2048.89187631474</v>
      </c>
      <c r="Y35" s="111">
        <v>2114.14360019985</v>
      </c>
      <c r="Z35" s="111">
        <v>2180.23502623005</v>
      </c>
      <c r="AA35" s="111">
        <v>2247.21993165376</v>
      </c>
      <c r="AB35" s="111">
        <v>2315.15086654386</v>
      </c>
      <c r="AC35" s="111">
        <v>2384.07929673229</v>
      </c>
      <c r="AD35" s="111">
        <v>2454.05574394145</v>
      </c>
      <c r="AE35" s="111">
        <v>2525.12992121008</v>
      </c>
      <c r="AF35" s="111">
        <v>2597.3508624205</v>
      </c>
      <c r="AG35" s="111">
        <v>2670.76704525463</v>
      </c>
      <c r="AH35" s="111">
        <v>2745.4265072804</v>
      </c>
      <c r="AI35" s="111">
        <v>2821.37695513689</v>
      </c>
      <c r="AJ35" s="111">
        <v>2898.6658669707</v>
      </c>
      <c r="AK35" s="111">
        <v>2977.34058839916</v>
      </c>
      <c r="AL35" s="111">
        <v>3057.44842235497</v>
      </c>
      <c r="AM35" s="111">
        <v>3139.03671321216</v>
      </c>
      <c r="AN35" s="111">
        <v>3222.15292561519</v>
      </c>
      <c r="AO35" s="111">
        <v>3306.84471843872</v>
      </c>
      <c r="AP35" s="111">
        <v>3393.16001429777</v>
      </c>
      <c r="AQ35" s="111">
        <v>3481.14706501471</v>
      </c>
    </row>
    <row r="36" spans="1:43">
      <c r="A36" s="102" t="s">
        <v>33</v>
      </c>
      <c r="B36" s="111">
        <v>21865.6156464453</v>
      </c>
      <c r="C36" s="111">
        <v>22391.6227040129</v>
      </c>
      <c r="D36" s="111">
        <v>26114.108559394</v>
      </c>
      <c r="E36" s="111">
        <v>27898.9225596697</v>
      </c>
      <c r="F36" s="111">
        <v>29675.184367663</v>
      </c>
      <c r="G36" s="111">
        <v>31442.3983287119</v>
      </c>
      <c r="H36" s="111">
        <v>33200.8886059336</v>
      </c>
      <c r="I36" s="111">
        <v>34951.60644573</v>
      </c>
      <c r="J36" s="111">
        <v>36695.9654081598</v>
      </c>
      <c r="K36" s="111">
        <v>38435.7056406953</v>
      </c>
      <c r="L36" s="111">
        <v>40172.7854403233</v>
      </c>
      <c r="M36" s="111">
        <v>41909.2969201171</v>
      </c>
      <c r="N36" s="111">
        <v>43647.4020809165</v>
      </c>
      <c r="O36" s="111">
        <v>45389.2856184715</v>
      </c>
      <c r="P36" s="111">
        <v>47137.1211172048</v>
      </c>
      <c r="Q36" s="111">
        <v>48893.0477298676</v>
      </c>
      <c r="R36" s="111">
        <v>50659.1549193244</v>
      </c>
      <c r="S36" s="111">
        <v>52437.4732904108</v>
      </c>
      <c r="T36" s="111">
        <v>54229.969940142</v>
      </c>
      <c r="U36" s="111">
        <v>56038.5470947246</v>
      </c>
      <c r="V36" s="111">
        <v>57865.0430823162</v>
      </c>
      <c r="W36" s="111">
        <v>59711.2349167484</v>
      </c>
      <c r="X36" s="111">
        <v>61578.8419469025</v>
      </c>
      <c r="Y36" s="111">
        <v>63469.530166791</v>
      </c>
      <c r="Z36" s="111">
        <v>65384.9168899135</v>
      </c>
      <c r="AA36" s="111">
        <v>67326.5755745372</v>
      </c>
      <c r="AB36" s="111">
        <v>69296.0406494785</v>
      </c>
      <c r="AC36" s="111">
        <v>71294.8122372938</v>
      </c>
      <c r="AD36" s="111">
        <v>73324.3607069083</v>
      </c>
      <c r="AE36" s="111">
        <v>75386.1310136569</v>
      </c>
      <c r="AF36" s="111">
        <v>77481.5468034914</v>
      </c>
      <c r="AG36" s="111">
        <v>79612.0142716189</v>
      </c>
      <c r="AH36" s="111">
        <v>81778.9257753142</v>
      </c>
      <c r="AI36" s="111">
        <v>83983.6632071121</v>
      </c>
      <c r="AJ36" s="111">
        <v>86227.6011389135</v>
      </c>
      <c r="AK36" s="111">
        <v>88512.1097501513</v>
      </c>
      <c r="AL36" s="111">
        <v>90838.5575546907</v>
      </c>
      <c r="AM36" s="111">
        <v>93208.3139417791</v>
      </c>
      <c r="AN36" s="111">
        <v>95622.7515464102</v>
      </c>
      <c r="AO36" s="111">
        <v>98083.2484641586</v>
      </c>
      <c r="AP36" s="111">
        <v>100591.19032492</v>
      </c>
      <c r="AQ36" s="111">
        <v>103147.972239214</v>
      </c>
    </row>
    <row r="37" spans="1:43">
      <c r="A37" s="102" t="s">
        <v>34</v>
      </c>
      <c r="B37" s="111">
        <v>4006.22003589199</v>
      </c>
      <c r="C37" s="111">
        <v>3889.12984568015</v>
      </c>
      <c r="D37" s="111">
        <v>4933.46658361255</v>
      </c>
      <c r="E37" s="111">
        <v>5440.72309270081</v>
      </c>
      <c r="F37" s="111">
        <v>5949.06586139745</v>
      </c>
      <c r="G37" s="111">
        <v>6457.84874618512</v>
      </c>
      <c r="H37" s="111">
        <v>6966.69206240964</v>
      </c>
      <c r="I37" s="111">
        <v>7475.4365672002</v>
      </c>
      <c r="J37" s="111">
        <v>7984.1005003573</v>
      </c>
      <c r="K37" s="111">
        <v>8492.8414642161</v>
      </c>
      <c r="L37" s="111">
        <v>9001.92382352154</v>
      </c>
      <c r="M37" s="111">
        <v>9511.6916122071</v>
      </c>
      <c r="N37" s="111">
        <v>10022.5465381439</v>
      </c>
      <c r="O37" s="111">
        <v>10534.9304850684</v>
      </c>
      <c r="P37" s="111">
        <v>11049.3118493722</v>
      </c>
      <c r="Q37" s="111">
        <v>11566.1750651523</v>
      </c>
      <c r="R37" s="111">
        <v>12086.0127277791</v>
      </c>
      <c r="S37" s="111">
        <v>12609.3198010923</v>
      </c>
      <c r="T37" s="111">
        <v>13136.5894721573</v>
      </c>
      <c r="U37" s="111">
        <v>13668.3102924672</v>
      </c>
      <c r="V37" s="111">
        <v>14204.9643116514</v>
      </c>
      <c r="W37" s="111">
        <v>14747.0259677238</v>
      </c>
      <c r="X37" s="111">
        <v>15294.9615466073</v>
      </c>
      <c r="Y37" s="111">
        <v>15849.2290637813</v>
      </c>
      <c r="Z37" s="111">
        <v>16410.2784534593</v>
      </c>
      <c r="AA37" s="111">
        <v>16978.5519768257</v>
      </c>
      <c r="AB37" s="111">
        <v>17554.4847816007</v>
      </c>
      <c r="AC37" s="111">
        <v>18138.5055615523</v>
      </c>
      <c r="AD37" s="111">
        <v>18731.0372773809</v>
      </c>
      <c r="AE37" s="111">
        <v>19332.4979103434</v>
      </c>
      <c r="AF37" s="111">
        <v>19943.3012276774</v>
      </c>
      <c r="AG37" s="111">
        <v>20563.8575448078</v>
      </c>
      <c r="AH37" s="111">
        <v>21194.574473819</v>
      </c>
      <c r="AI37" s="111">
        <v>21835.8576511022</v>
      </c>
      <c r="AJ37" s="111">
        <v>22488.1114396724</v>
      </c>
      <c r="AK37" s="111">
        <v>23151.7396035552</v>
      </c>
      <c r="AL37" s="111">
        <v>23827.1459530635</v>
      </c>
      <c r="AM37" s="111">
        <v>24514.7349608166</v>
      </c>
      <c r="AN37" s="111">
        <v>25214.9123490759</v>
      </c>
      <c r="AO37" s="111">
        <v>25928.0856494776</v>
      </c>
      <c r="AP37" s="111">
        <v>26654.6647365896</v>
      </c>
      <c r="AQ37" s="111">
        <v>27395.0623369175</v>
      </c>
    </row>
    <row r="38" spans="1:43">
      <c r="A38" s="103" t="s">
        <v>35</v>
      </c>
      <c r="B38" s="111">
        <v>1672.71603212313</v>
      </c>
      <c r="C38" s="111">
        <v>1923.45414887106</v>
      </c>
      <c r="D38" s="111">
        <v>2048.20441524799</v>
      </c>
      <c r="E38" s="111">
        <v>2194.72071618798</v>
      </c>
      <c r="F38" s="111">
        <v>2340.66995920868</v>
      </c>
      <c r="G38" s="111">
        <v>2485.99206055303</v>
      </c>
      <c r="H38" s="111">
        <v>2630.69552014235</v>
      </c>
      <c r="I38" s="111">
        <v>2774.84193613575</v>
      </c>
      <c r="J38" s="111">
        <v>2918.53262744133</v>
      </c>
      <c r="K38" s="111">
        <v>3061.89750931371</v>
      </c>
      <c r="L38" s="111">
        <v>3205.08612325405</v>
      </c>
      <c r="M38" s="111">
        <v>3348.26059407807</v>
      </c>
      <c r="N38" s="111">
        <v>3491.59023513012</v>
      </c>
      <c r="O38" s="111">
        <v>3635.24751737188</v>
      </c>
      <c r="P38" s="111">
        <v>3779.40513854894</v>
      </c>
      <c r="Q38" s="111">
        <v>3924.23396113691</v>
      </c>
      <c r="R38" s="111">
        <v>4069.90162390478</v>
      </c>
      <c r="S38" s="111">
        <v>4216.57166695674</v>
      </c>
      <c r="T38" s="111">
        <v>4364.40304163787</v>
      </c>
      <c r="U38" s="111">
        <v>4513.54990377919</v>
      </c>
      <c r="V38" s="111">
        <v>4664.16161130085</v>
      </c>
      <c r="W38" s="111">
        <v>4816.38286552635</v>
      </c>
      <c r="X38" s="111">
        <v>4970.35395020282</v>
      </c>
      <c r="Y38" s="111">
        <v>5126.2110337541</v>
      </c>
      <c r="Z38" s="111">
        <v>5284.08650926842</v>
      </c>
      <c r="AA38" s="111">
        <v>5444.10935363737</v>
      </c>
      <c r="AB38" s="111">
        <v>5606.40549253973</v>
      </c>
      <c r="AC38" s="111">
        <v>5771.09816195882</v>
      </c>
      <c r="AD38" s="111">
        <v>5938.30825991546</v>
      </c>
      <c r="AE38" s="111">
        <v>6108.15468432472</v>
      </c>
      <c r="AF38" s="111">
        <v>6280.75465451918</v>
      </c>
      <c r="AG38" s="111">
        <v>6456.22401516905</v>
      </c>
      <c r="AH38" s="111">
        <v>6634.67752217582</v>
      </c>
      <c r="AI38" s="111">
        <v>6816.22911071182</v>
      </c>
      <c r="AJ38" s="111">
        <v>7000.99214597922</v>
      </c>
      <c r="AK38" s="111">
        <v>7189.07965752702</v>
      </c>
      <c r="AL38" s="111">
        <v>7380.60455812412</v>
      </c>
      <c r="AM38" s="111">
        <v>7575.67984827291</v>
      </c>
      <c r="AN38" s="111">
        <v>7774.41880747961</v>
      </c>
      <c r="AO38" s="111">
        <v>7976.93517339448</v>
      </c>
      <c r="AP38" s="111">
        <v>8183.34330990348</v>
      </c>
      <c r="AQ38" s="111">
        <v>8393.7583652068</v>
      </c>
    </row>
    <row r="39" spans="1:43">
      <c r="A39" s="104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</row>
    <row r="40" spans="1:43">
      <c r="A40" s="95" t="s">
        <v>36</v>
      </c>
      <c r="B40" s="111">
        <v>525710.7</v>
      </c>
      <c r="C40" s="111">
        <v>614155.623294682</v>
      </c>
      <c r="D40" s="111">
        <v>633869.157568274</v>
      </c>
      <c r="E40" s="111">
        <v>695895.596854505</v>
      </c>
      <c r="F40" s="111">
        <v>761355.698220215</v>
      </c>
      <c r="G40" s="111">
        <v>829731.178927114</v>
      </c>
      <c r="H40" s="111">
        <v>901904.481259666</v>
      </c>
      <c r="I40" s="111">
        <v>977180.553793446</v>
      </c>
      <c r="J40" s="111">
        <v>1055618.73946392</v>
      </c>
      <c r="K40" s="111">
        <v>1137694.75912057</v>
      </c>
      <c r="L40" s="111">
        <v>1222714.73493934</v>
      </c>
      <c r="M40" s="111">
        <v>1311113.75400351</v>
      </c>
      <c r="N40" s="111">
        <v>1402892.06447059</v>
      </c>
      <c r="O40" s="111">
        <v>1497642.03878633</v>
      </c>
      <c r="P40" s="111">
        <v>1595927.49959316</v>
      </c>
      <c r="Q40" s="111">
        <v>1697396.73877037</v>
      </c>
      <c r="R40" s="111">
        <v>1801856.25880129</v>
      </c>
      <c r="S40" s="111">
        <v>1910003.57433264</v>
      </c>
      <c r="T40" s="111">
        <v>2021207.71328289</v>
      </c>
      <c r="U40" s="111">
        <v>2136085.82784753</v>
      </c>
      <c r="V40" s="111">
        <v>2254325.65729374</v>
      </c>
      <c r="W40" s="111">
        <v>2375733.82762718</v>
      </c>
      <c r="X40" s="111">
        <v>2500905.25248957</v>
      </c>
      <c r="Y40" s="111">
        <v>2629649.01500372</v>
      </c>
      <c r="Z40" s="111">
        <v>2761909.76198147</v>
      </c>
      <c r="AA40" s="111">
        <v>2897849.56495553</v>
      </c>
      <c r="AB40" s="111">
        <v>3037576.37050446</v>
      </c>
      <c r="AC40" s="111">
        <v>3181333.01656565</v>
      </c>
      <c r="AD40" s="111">
        <v>3328815.92122765</v>
      </c>
      <c r="AE40" s="111">
        <v>3480127.88629483</v>
      </c>
      <c r="AF40" s="111">
        <v>3636027.30812301</v>
      </c>
      <c r="AG40" s="111">
        <v>3795835.59479996</v>
      </c>
      <c r="AH40" s="111">
        <v>3960026.13931538</v>
      </c>
      <c r="AI40" s="111">
        <v>4128710.21818026</v>
      </c>
      <c r="AJ40" s="111">
        <v>4301723.20557436</v>
      </c>
      <c r="AK40" s="111">
        <v>4479712.58212546</v>
      </c>
      <c r="AL40" s="111">
        <v>4662484.67259986</v>
      </c>
      <c r="AM40" s="111">
        <v>4850263.19494466</v>
      </c>
      <c r="AN40" s="111">
        <v>5043268.76618687</v>
      </c>
      <c r="AO40" s="111">
        <v>5241501.63653441</v>
      </c>
      <c r="AP40" s="111">
        <v>5445482.59998281</v>
      </c>
      <c r="AQ40" s="111">
        <v>5655046.40654168</v>
      </c>
    </row>
    <row r="41" spans="1:43">
      <c r="A41" s="97" t="s">
        <v>5</v>
      </c>
      <c r="B41" s="111">
        <v>42852.8</v>
      </c>
      <c r="C41" s="111">
        <v>41590.3</v>
      </c>
      <c r="D41" s="111">
        <v>46748.7</v>
      </c>
      <c r="E41" s="111">
        <v>49571.4364822779</v>
      </c>
      <c r="F41" s="111">
        <v>52454.7659604641</v>
      </c>
      <c r="G41" s="111">
        <v>55386.59398926</v>
      </c>
      <c r="H41" s="111">
        <v>58398.4582448331</v>
      </c>
      <c r="I41" s="111">
        <v>61466.790705694</v>
      </c>
      <c r="J41" s="111">
        <v>64591.1198170451</v>
      </c>
      <c r="K41" s="111">
        <v>67787.0901980879</v>
      </c>
      <c r="L41" s="111">
        <v>71035.6691963391</v>
      </c>
      <c r="M41" s="111">
        <v>74350.1233117828</v>
      </c>
      <c r="N41" s="111">
        <v>77727.9326182118</v>
      </c>
      <c r="O41" s="111">
        <v>81156.4378542387</v>
      </c>
      <c r="P41" s="111">
        <v>84653.5587728734</v>
      </c>
      <c r="Q41" s="111">
        <v>88210.9784243046</v>
      </c>
      <c r="R41" s="111">
        <v>91821.9970147885</v>
      </c>
      <c r="S41" s="111">
        <v>95503.3888324022</v>
      </c>
      <c r="T41" s="111">
        <v>99237.8581613251</v>
      </c>
      <c r="U41" s="111">
        <v>103046.981982496</v>
      </c>
      <c r="V41" s="111">
        <v>106917.898749302</v>
      </c>
      <c r="W41" s="111">
        <v>110838.452991281</v>
      </c>
      <c r="X41" s="111">
        <v>114833.978344712</v>
      </c>
      <c r="Y41" s="111">
        <v>118898.596867529</v>
      </c>
      <c r="Z41" s="111">
        <v>123024.926518282</v>
      </c>
      <c r="AA41" s="111">
        <v>127219.158951865</v>
      </c>
      <c r="AB41" s="111">
        <v>131485.683173428</v>
      </c>
      <c r="AC41" s="111">
        <v>135827.566593656</v>
      </c>
      <c r="AD41" s="111">
        <v>140235.025863739</v>
      </c>
      <c r="AE41" s="111">
        <v>144714.488005499</v>
      </c>
      <c r="AF41" s="111">
        <v>149285.737369738</v>
      </c>
      <c r="AG41" s="111">
        <v>153927.209595348</v>
      </c>
      <c r="AH41" s="111">
        <v>158652.322835648</v>
      </c>
      <c r="AI41" s="111">
        <v>163467.786181891</v>
      </c>
      <c r="AJ41" s="111">
        <v>168364.260746464</v>
      </c>
      <c r="AK41" s="111">
        <v>173360.271121197</v>
      </c>
      <c r="AL41" s="111">
        <v>178454.441494838</v>
      </c>
      <c r="AM41" s="111">
        <v>183651.307780921</v>
      </c>
      <c r="AN41" s="111">
        <v>188958.097451177</v>
      </c>
      <c r="AO41" s="111">
        <v>194375.81409921</v>
      </c>
      <c r="AP41" s="111">
        <v>199922.33248328</v>
      </c>
      <c r="AQ41" s="111">
        <v>205591.202225951</v>
      </c>
    </row>
    <row r="42" spans="1:43">
      <c r="A42" s="97" t="s">
        <v>6</v>
      </c>
      <c r="B42" s="111">
        <v>95138.9</v>
      </c>
      <c r="C42" s="111">
        <v>95047.9</v>
      </c>
      <c r="D42" s="111">
        <v>110280</v>
      </c>
      <c r="E42" s="111">
        <v>118836.748378051</v>
      </c>
      <c r="F42" s="111">
        <v>127731.673324714</v>
      </c>
      <c r="G42" s="111">
        <v>136908.534653802</v>
      </c>
      <c r="H42" s="111">
        <v>146453.701872446</v>
      </c>
      <c r="I42" s="111">
        <v>156310.350466667</v>
      </c>
      <c r="J42" s="111">
        <v>166476.44756609</v>
      </c>
      <c r="K42" s="111">
        <v>177019.98454529</v>
      </c>
      <c r="L42" s="111">
        <v>187862.744719765</v>
      </c>
      <c r="M42" s="111">
        <v>199051.098967554</v>
      </c>
      <c r="N42" s="111">
        <v>210601.094522693</v>
      </c>
      <c r="O42" s="111">
        <v>222456.596667612</v>
      </c>
      <c r="P42" s="111">
        <v>234690.469977891</v>
      </c>
      <c r="Q42" s="111">
        <v>247269.505233481</v>
      </c>
      <c r="R42" s="111">
        <v>260165.619123642</v>
      </c>
      <c r="S42" s="111">
        <v>273466.736289536</v>
      </c>
      <c r="T42" s="111">
        <v>287105.828201631</v>
      </c>
      <c r="U42" s="111">
        <v>301143.110928115</v>
      </c>
      <c r="V42" s="111">
        <v>315558.835798373</v>
      </c>
      <c r="W42" s="111">
        <v>330325.796064215</v>
      </c>
      <c r="X42" s="111">
        <v>345508.601782572</v>
      </c>
      <c r="Y42" s="111">
        <v>361092.789573835</v>
      </c>
      <c r="Z42" s="111">
        <v>377069.209293168</v>
      </c>
      <c r="AA42" s="111">
        <v>393464.040733486</v>
      </c>
      <c r="AB42" s="111">
        <v>410285.367950111</v>
      </c>
      <c r="AC42" s="111">
        <v>427554.805348981</v>
      </c>
      <c r="AD42" s="111">
        <v>445251.244761171</v>
      </c>
      <c r="AE42" s="111">
        <v>463384.220086456</v>
      </c>
      <c r="AF42" s="111">
        <v>482040.339262911</v>
      </c>
      <c r="AG42" s="111">
        <v>501142.653241079</v>
      </c>
      <c r="AH42" s="111">
        <v>520751.71181559</v>
      </c>
      <c r="AI42" s="111">
        <v>540879.363142711</v>
      </c>
      <c r="AJ42" s="111">
        <v>561504.190944653</v>
      </c>
      <c r="AK42" s="111">
        <v>582712.895342686</v>
      </c>
      <c r="AL42" s="111">
        <v>604479.325118057</v>
      </c>
      <c r="AM42" s="111">
        <v>626833.872386468</v>
      </c>
      <c r="AN42" s="111">
        <v>649817.1919525</v>
      </c>
      <c r="AO42" s="111">
        <v>673421.169572324</v>
      </c>
      <c r="AP42" s="111">
        <v>697722.941816427</v>
      </c>
      <c r="AQ42" s="111">
        <v>722710.808304362</v>
      </c>
    </row>
    <row r="43" spans="1:43">
      <c r="A43" s="97" t="s">
        <v>7</v>
      </c>
      <c r="B43" s="111">
        <v>17953.1</v>
      </c>
      <c r="C43" s="111">
        <v>15896.1</v>
      </c>
      <c r="D43" s="111">
        <v>17821.2</v>
      </c>
      <c r="E43" s="111">
        <v>19511.6113969661</v>
      </c>
      <c r="F43" s="111">
        <v>21300.4693931499</v>
      </c>
      <c r="G43" s="111">
        <v>23179.9274036523</v>
      </c>
      <c r="H43" s="111">
        <v>25170.4100299735</v>
      </c>
      <c r="I43" s="111">
        <v>27260.4020363203</v>
      </c>
      <c r="J43" s="111">
        <v>29453.5537166246</v>
      </c>
      <c r="K43" s="111">
        <v>31761.2686647596</v>
      </c>
      <c r="L43" s="111">
        <v>34174.1726761804</v>
      </c>
      <c r="M43" s="111">
        <v>36704.0213657153</v>
      </c>
      <c r="N43" s="111">
        <v>39349.6600877637</v>
      </c>
      <c r="O43" s="111">
        <v>42105.1694749562</v>
      </c>
      <c r="P43" s="111">
        <v>44988.9249260637</v>
      </c>
      <c r="Q43" s="111">
        <v>47994.6409297483</v>
      </c>
      <c r="R43" s="111">
        <v>51116.1227505982</v>
      </c>
      <c r="S43" s="111">
        <v>54373.3255219391</v>
      </c>
      <c r="T43" s="111">
        <v>57757.2019463933</v>
      </c>
      <c r="U43" s="111">
        <v>61283.098452676</v>
      </c>
      <c r="V43" s="111">
        <v>64942.4148177854</v>
      </c>
      <c r="W43" s="111">
        <v>68735.0228116874</v>
      </c>
      <c r="X43" s="111">
        <v>72677.7508707381</v>
      </c>
      <c r="Y43" s="111">
        <v>76767.6801167646</v>
      </c>
      <c r="Z43" s="111">
        <v>81005.0326433181</v>
      </c>
      <c r="AA43" s="111">
        <v>85394.8288196951</v>
      </c>
      <c r="AB43" s="111">
        <v>89944.5415450491</v>
      </c>
      <c r="AC43" s="111">
        <v>94663.4331797615</v>
      </c>
      <c r="AD43" s="111">
        <v>99548.3134422413</v>
      </c>
      <c r="AE43" s="111">
        <v>104601.059027218</v>
      </c>
      <c r="AF43" s="111">
        <v>109849.201486499</v>
      </c>
      <c r="AG43" s="111">
        <v>115278.147897785</v>
      </c>
      <c r="AH43" s="111">
        <v>120906.475612283</v>
      </c>
      <c r="AI43" s="111">
        <v>126742.182578755</v>
      </c>
      <c r="AJ43" s="111">
        <v>132785.051468944</v>
      </c>
      <c r="AK43" s="111">
        <v>139060.117152897</v>
      </c>
      <c r="AL43" s="111">
        <v>145574.622175386</v>
      </c>
      <c r="AM43" s="111">
        <v>152340.744063426</v>
      </c>
      <c r="AN43" s="111">
        <v>159377.161271761</v>
      </c>
      <c r="AO43" s="111">
        <v>166692.11102352</v>
      </c>
      <c r="AP43" s="111">
        <v>174316.157759398</v>
      </c>
      <c r="AQ43" s="111">
        <v>182264.595021069</v>
      </c>
    </row>
    <row r="44" spans="1:43">
      <c r="A44" s="97" t="s">
        <v>8</v>
      </c>
      <c r="B44" s="111">
        <v>76691.7</v>
      </c>
      <c r="C44" s="111">
        <v>84280.5</v>
      </c>
      <c r="D44" s="111">
        <v>91083.2</v>
      </c>
      <c r="E44" s="111">
        <v>100929.79493446</v>
      </c>
      <c r="F44" s="111">
        <v>111451.292334021</v>
      </c>
      <c r="G44" s="111">
        <v>122579.852861655</v>
      </c>
      <c r="H44" s="111">
        <v>134446.503036723</v>
      </c>
      <c r="I44" s="111">
        <v>146997.06340603</v>
      </c>
      <c r="J44" s="111">
        <v>160247.829076322</v>
      </c>
      <c r="K44" s="111">
        <v>174310.0402285</v>
      </c>
      <c r="L44" s="111">
        <v>189087.178476113</v>
      </c>
      <c r="M44" s="111">
        <v>204663.435428475</v>
      </c>
      <c r="N44" s="111">
        <v>221088.846095493</v>
      </c>
      <c r="O44" s="111">
        <v>238311.630593309</v>
      </c>
      <c r="P44" s="111">
        <v>256440.668908824</v>
      </c>
      <c r="Q44" s="111">
        <v>275470.022336704</v>
      </c>
      <c r="R44" s="111">
        <v>295373.011723464</v>
      </c>
      <c r="S44" s="111">
        <v>316316.134438454</v>
      </c>
      <c r="T44" s="111">
        <v>338205.506910228</v>
      </c>
      <c r="U44" s="111">
        <v>361167.017969065</v>
      </c>
      <c r="V44" s="111">
        <v>385200.112183859</v>
      </c>
      <c r="W44" s="111">
        <v>410290.37834474</v>
      </c>
      <c r="X44" s="111">
        <v>436566.845192522</v>
      </c>
      <c r="Y44" s="111">
        <v>464044.284177463</v>
      </c>
      <c r="Z44" s="111">
        <v>492725.078591998</v>
      </c>
      <c r="AA44" s="111">
        <v>522704.717538838</v>
      </c>
      <c r="AB44" s="111">
        <v>554002.898370908</v>
      </c>
      <c r="AC44" s="111">
        <v>586717.765850949</v>
      </c>
      <c r="AD44" s="111">
        <v>620827.597378596</v>
      </c>
      <c r="AE44" s="111">
        <v>656369.210815567</v>
      </c>
      <c r="AF44" s="111">
        <v>693549.689994704</v>
      </c>
      <c r="AG44" s="111">
        <v>732243.316236847</v>
      </c>
      <c r="AH44" s="111">
        <v>772583.615171621</v>
      </c>
      <c r="AI44" s="111">
        <v>814632.245017939</v>
      </c>
      <c r="AJ44" s="111">
        <v>858370.982023073</v>
      </c>
      <c r="AK44" s="111">
        <v>903986.113373498</v>
      </c>
      <c r="AL44" s="111">
        <v>951430.462532648</v>
      </c>
      <c r="AM44" s="111">
        <v>1000779.73734117</v>
      </c>
      <c r="AN44" s="111">
        <v>1052115.27685246</v>
      </c>
      <c r="AO44" s="111">
        <v>1105431.49508179</v>
      </c>
      <c r="AP44" s="111">
        <v>1160899.38894382</v>
      </c>
      <c r="AQ44" s="111">
        <v>1218426.30775615</v>
      </c>
    </row>
    <row r="45" spans="1:43">
      <c r="A45" s="97" t="s">
        <v>9</v>
      </c>
      <c r="B45" s="111">
        <v>69436.5</v>
      </c>
      <c r="C45" s="111">
        <v>74547.7</v>
      </c>
      <c r="D45" s="111">
        <v>77516.4</v>
      </c>
      <c r="E45" s="111">
        <v>83624.5115368178</v>
      </c>
      <c r="F45" s="111">
        <v>90001.7972690434</v>
      </c>
      <c r="G45" s="111">
        <v>96616.650962293</v>
      </c>
      <c r="H45" s="111">
        <v>103540.352874701</v>
      </c>
      <c r="I45" s="111">
        <v>110732.128787847</v>
      </c>
      <c r="J45" s="111">
        <v>118196.598027638</v>
      </c>
      <c r="K45" s="111">
        <v>125967.337173468</v>
      </c>
      <c r="L45" s="111">
        <v>134005.237868064</v>
      </c>
      <c r="M45" s="111">
        <v>142345.590255868</v>
      </c>
      <c r="N45" s="111">
        <v>150994.12500812</v>
      </c>
      <c r="O45" s="111">
        <v>159922.269850563</v>
      </c>
      <c r="P45" s="111">
        <v>169174.603921004</v>
      </c>
      <c r="Q45" s="111">
        <v>178733.269132484</v>
      </c>
      <c r="R45" s="111">
        <v>188590.497919704</v>
      </c>
      <c r="S45" s="111">
        <v>198791.496083331</v>
      </c>
      <c r="T45" s="111">
        <v>209299.184384395</v>
      </c>
      <c r="U45" s="111">
        <v>220160.592915859</v>
      </c>
      <c r="V45" s="111">
        <v>231362.356685014</v>
      </c>
      <c r="W45" s="111">
        <v>242884.90628775</v>
      </c>
      <c r="X45" s="111">
        <v>254778.26175677</v>
      </c>
      <c r="Y45" s="111">
        <v>267033.776058813</v>
      </c>
      <c r="Z45" s="111">
        <v>279649.417759972</v>
      </c>
      <c r="AA45" s="111">
        <v>292639.153450094</v>
      </c>
      <c r="AB45" s="111">
        <v>306019.000726805</v>
      </c>
      <c r="AC45" s="111">
        <v>319808.887626175</v>
      </c>
      <c r="AD45" s="111">
        <v>333986.056530433</v>
      </c>
      <c r="AE45" s="111">
        <v>348577.221853631</v>
      </c>
      <c r="AF45" s="111">
        <v>363635.915878118</v>
      </c>
      <c r="AG45" s="111">
        <v>379117.45950827</v>
      </c>
      <c r="AH45" s="111">
        <v>395066.387276343</v>
      </c>
      <c r="AI45" s="111">
        <v>411504.494110592</v>
      </c>
      <c r="AJ45" s="111">
        <v>428426.883376424</v>
      </c>
      <c r="AK45" s="111">
        <v>445890.435414552</v>
      </c>
      <c r="AL45" s="111">
        <v>463899.812268891</v>
      </c>
      <c r="AM45" s="111">
        <v>482485.100921815</v>
      </c>
      <c r="AN45" s="111">
        <v>501684.000822372</v>
      </c>
      <c r="AO45" s="111">
        <v>521511.947802556</v>
      </c>
      <c r="AP45" s="111">
        <v>542027.329265846</v>
      </c>
      <c r="AQ45" s="111">
        <v>563251.860072493</v>
      </c>
    </row>
    <row r="46" spans="1:43">
      <c r="A46" s="105" t="s">
        <v>37</v>
      </c>
      <c r="B46" s="111">
        <v>33834.1649024097</v>
      </c>
      <c r="C46" s="111">
        <v>45205.1478340742</v>
      </c>
      <c r="D46" s="111">
        <v>43269.7756764989</v>
      </c>
      <c r="E46" s="111">
        <v>48165.7195345353</v>
      </c>
      <c r="F46" s="111">
        <v>53325.4609919568</v>
      </c>
      <c r="G46" s="111">
        <v>58697.822709314</v>
      </c>
      <c r="H46" s="111">
        <v>64362.1597851231</v>
      </c>
      <c r="I46" s="111">
        <v>70252.2229666489</v>
      </c>
      <c r="J46" s="111">
        <v>76371.9161028353</v>
      </c>
      <c r="K46" s="111">
        <v>82744.2041358387</v>
      </c>
      <c r="L46" s="111">
        <v>89314.6153047573</v>
      </c>
      <c r="M46" s="111">
        <v>96115.3083659733</v>
      </c>
      <c r="N46" s="111">
        <v>103139.459358675</v>
      </c>
      <c r="O46" s="111">
        <v>110354.442116098</v>
      </c>
      <c r="P46" s="111">
        <v>117797.868740191</v>
      </c>
      <c r="Q46" s="111">
        <v>125445.236116133</v>
      </c>
      <c r="R46" s="111">
        <v>133271.616821807</v>
      </c>
      <c r="S46" s="111">
        <v>141325.556144545</v>
      </c>
      <c r="T46" s="111">
        <v>149556.89595976</v>
      </c>
      <c r="U46" s="111">
        <v>158011.5090387</v>
      </c>
      <c r="V46" s="111">
        <v>166653.468436862</v>
      </c>
      <c r="W46" s="111">
        <v>175472.683602871</v>
      </c>
      <c r="X46" s="111">
        <v>184504.749028549</v>
      </c>
      <c r="Y46" s="111">
        <v>193732.651872605</v>
      </c>
      <c r="Z46" s="111">
        <v>203146.440063782</v>
      </c>
      <c r="AA46" s="111">
        <v>212752.022859206</v>
      </c>
      <c r="AB46" s="111">
        <v>222552.911433602</v>
      </c>
      <c r="AC46" s="111">
        <v>232560.138946699</v>
      </c>
      <c r="AD46" s="111">
        <v>242748.795508713</v>
      </c>
      <c r="AE46" s="111">
        <v>253117.985055701</v>
      </c>
      <c r="AF46" s="111">
        <v>263714.537644488</v>
      </c>
      <c r="AG46" s="111">
        <v>274481.100216885</v>
      </c>
      <c r="AH46" s="111">
        <v>285448.497546201</v>
      </c>
      <c r="AI46" s="111">
        <v>296612.156460081</v>
      </c>
      <c r="AJ46" s="111">
        <v>307953.746192141</v>
      </c>
      <c r="AK46" s="111">
        <v>319505.562457422</v>
      </c>
      <c r="AL46" s="111">
        <v>331251.156210586</v>
      </c>
      <c r="AM46" s="111">
        <v>343186.413244057</v>
      </c>
      <c r="AN46" s="111">
        <v>355315.162294221</v>
      </c>
      <c r="AO46" s="111">
        <v>367631.870178152</v>
      </c>
      <c r="AP46" s="111">
        <v>380150.496250038</v>
      </c>
      <c r="AQ46" s="111">
        <v>392849.773336456</v>
      </c>
    </row>
    <row r="47" spans="1:43">
      <c r="A47" s="105" t="s">
        <v>38</v>
      </c>
      <c r="B47" s="111">
        <v>39869.5987758559</v>
      </c>
      <c r="C47" s="111">
        <v>55885.6074156169</v>
      </c>
      <c r="D47" s="111">
        <v>55382.826291477</v>
      </c>
      <c r="E47" s="111">
        <v>61481.7899934425</v>
      </c>
      <c r="F47" s="111">
        <v>67981.8983196996</v>
      </c>
      <c r="G47" s="111">
        <v>74797.592700125</v>
      </c>
      <c r="H47" s="111">
        <v>82012.7581069734</v>
      </c>
      <c r="I47" s="111">
        <v>89564.4637024246</v>
      </c>
      <c r="J47" s="111">
        <v>97426.2096879161</v>
      </c>
      <c r="K47" s="111">
        <v>105677.307320396</v>
      </c>
      <c r="L47" s="111">
        <v>114208.728610234</v>
      </c>
      <c r="M47" s="111">
        <v>123054.281898961</v>
      </c>
      <c r="N47" s="111">
        <v>132232.224844126</v>
      </c>
      <c r="O47" s="111">
        <v>141665.61902062</v>
      </c>
      <c r="P47" s="111">
        <v>151425.364016582</v>
      </c>
      <c r="Q47" s="111">
        <v>161461.109861714</v>
      </c>
      <c r="R47" s="111">
        <v>171724.837381471</v>
      </c>
      <c r="S47" s="111">
        <v>182316.281824842</v>
      </c>
      <c r="T47" s="111">
        <v>193142.555933949</v>
      </c>
      <c r="U47" s="111">
        <v>204258.392571464</v>
      </c>
      <c r="V47" s="111">
        <v>215635.006064292</v>
      </c>
      <c r="W47" s="111">
        <v>227226.372071277</v>
      </c>
      <c r="X47" s="111">
        <v>239106.725268565</v>
      </c>
      <c r="Y47" s="111">
        <v>251240.073572639</v>
      </c>
      <c r="Z47" s="111">
        <v>263615.367988101</v>
      </c>
      <c r="AA47" s="111">
        <v>276243.126573024</v>
      </c>
      <c r="AB47" s="111">
        <v>289118.979979654</v>
      </c>
      <c r="AC47" s="111">
        <v>302259.087433102</v>
      </c>
      <c r="AD47" s="111">
        <v>315641.452631893</v>
      </c>
      <c r="AE47" s="111">
        <v>329250.493900246</v>
      </c>
      <c r="AF47" s="111">
        <v>343164.567422735</v>
      </c>
      <c r="AG47" s="111">
        <v>357311.055669023</v>
      </c>
      <c r="AH47" s="111">
        <v>371726.829812999</v>
      </c>
      <c r="AI47" s="111">
        <v>386404.937528177</v>
      </c>
      <c r="AJ47" s="111">
        <v>401330.204032691</v>
      </c>
      <c r="AK47" s="111">
        <v>416576.723263426</v>
      </c>
      <c r="AL47" s="111">
        <v>432089.256962439</v>
      </c>
      <c r="AM47" s="111">
        <v>447903.167633537</v>
      </c>
      <c r="AN47" s="111">
        <v>464031.452705426</v>
      </c>
      <c r="AO47" s="111">
        <v>480444.733915699</v>
      </c>
      <c r="AP47" s="111">
        <v>497215.495414714</v>
      </c>
      <c r="AQ47" s="111">
        <v>514323.14967924</v>
      </c>
    </row>
    <row r="48" spans="1:43">
      <c r="A48" s="105" t="s">
        <v>39</v>
      </c>
      <c r="B48" s="111">
        <v>26417.7455990091</v>
      </c>
      <c r="C48" s="111">
        <v>37455.1925729503</v>
      </c>
      <c r="D48" s="111">
        <v>38797.3127021267</v>
      </c>
      <c r="E48" s="111">
        <v>43285.1319072979</v>
      </c>
      <c r="F48" s="111">
        <v>48027.4958743597</v>
      </c>
      <c r="G48" s="111">
        <v>52969.3022639608</v>
      </c>
      <c r="H48" s="111">
        <v>58190.8651290442</v>
      </c>
      <c r="I48" s="111">
        <v>63607.2895970606</v>
      </c>
      <c r="J48" s="111">
        <v>69235.2980759292</v>
      </c>
      <c r="K48" s="111">
        <v>75108.5402067716</v>
      </c>
      <c r="L48" s="111">
        <v>81166.5196575224</v>
      </c>
      <c r="M48" s="111">
        <v>87431.6678010852</v>
      </c>
      <c r="N48" s="111">
        <v>93909.4617174571</v>
      </c>
      <c r="O48" s="111">
        <v>100578.855730344</v>
      </c>
      <c r="P48" s="111">
        <v>107464.985347031</v>
      </c>
      <c r="Q48" s="111">
        <v>114527.982070807</v>
      </c>
      <c r="R48" s="111">
        <v>121765.287067772</v>
      </c>
      <c r="S48" s="111">
        <v>129232.228145691</v>
      </c>
      <c r="T48" s="111">
        <v>136862.678464305</v>
      </c>
      <c r="U48" s="111">
        <v>144714.481352861</v>
      </c>
      <c r="V48" s="111">
        <v>152742.067085387</v>
      </c>
      <c r="W48" s="111">
        <v>160955.408361557</v>
      </c>
      <c r="X48" s="111">
        <v>169385.835602519</v>
      </c>
      <c r="Y48" s="111">
        <v>178006.205352502</v>
      </c>
      <c r="Z48" s="111">
        <v>186814.012084976</v>
      </c>
      <c r="AA48" s="111">
        <v>195823.356030126</v>
      </c>
      <c r="AB48" s="111">
        <v>205035.269979418</v>
      </c>
      <c r="AC48" s="111">
        <v>214454.81766854</v>
      </c>
      <c r="AD48" s="111">
        <v>224053.991795485</v>
      </c>
      <c r="AE48" s="111">
        <v>233840.755311252</v>
      </c>
      <c r="AF48" s="111">
        <v>243849.007339441</v>
      </c>
      <c r="AG48" s="111">
        <v>254036.947241002</v>
      </c>
      <c r="AH48" s="111">
        <v>264416.98442224</v>
      </c>
      <c r="AI48" s="111">
        <v>274974.027150762</v>
      </c>
      <c r="AJ48" s="111">
        <v>285704.762048623</v>
      </c>
      <c r="AK48" s="111">
        <v>296633.826873789</v>
      </c>
      <c r="AL48" s="111">
        <v>307723.751722831</v>
      </c>
      <c r="AM48" s="111">
        <v>318970.850422093</v>
      </c>
      <c r="AN48" s="111">
        <v>330360.68454668</v>
      </c>
      <c r="AO48" s="111">
        <v>341884.743482783</v>
      </c>
      <c r="AP48" s="111">
        <v>353536.989705646</v>
      </c>
      <c r="AQ48" s="111">
        <v>365285.830935808</v>
      </c>
    </row>
    <row r="49" spans="1:43">
      <c r="A49" s="105" t="s">
        <v>40</v>
      </c>
      <c r="B49" s="111">
        <v>5657.37248065012</v>
      </c>
      <c r="C49" s="111">
        <v>7620.30370768509</v>
      </c>
      <c r="D49" s="111">
        <v>7215.5408100029</v>
      </c>
      <c r="E49" s="111">
        <v>8068.93736399129</v>
      </c>
      <c r="F49" s="111">
        <v>8974.94038481008</v>
      </c>
      <c r="G49" s="111">
        <v>9925.37456913778</v>
      </c>
      <c r="H49" s="111">
        <v>10938.156694843</v>
      </c>
      <c r="I49" s="111">
        <v>11994.1608912885</v>
      </c>
      <c r="J49" s="111">
        <v>13093.638434129</v>
      </c>
      <c r="K49" s="111">
        <v>14247.6922802439</v>
      </c>
      <c r="L49" s="111">
        <v>15442.3845002811</v>
      </c>
      <c r="M49" s="111">
        <v>16687.0908118421</v>
      </c>
      <c r="N49" s="111">
        <v>17974.8362461451</v>
      </c>
      <c r="O49" s="111">
        <v>19299.785686162</v>
      </c>
      <c r="P49" s="111">
        <v>20673.1329595001</v>
      </c>
      <c r="Q49" s="111">
        <v>22084.3437205493</v>
      </c>
      <c r="R49" s="111">
        <v>23530.1060986316</v>
      </c>
      <c r="S49" s="111">
        <v>25022.4084806481</v>
      </c>
      <c r="T49" s="111">
        <v>26548.9152714664</v>
      </c>
      <c r="U49" s="111">
        <v>28121.649357635</v>
      </c>
      <c r="V49" s="111">
        <v>29730.1205634234</v>
      </c>
      <c r="W49" s="111">
        <v>31370.7280847721</v>
      </c>
      <c r="X49" s="111">
        <v>33055.4843206441</v>
      </c>
      <c r="Y49" s="111">
        <v>34777.4247735401</v>
      </c>
      <c r="Z49" s="111">
        <v>36535.7331274698</v>
      </c>
      <c r="AA49" s="111">
        <v>38330.5438734034</v>
      </c>
      <c r="AB49" s="111">
        <v>40163.8086466054</v>
      </c>
      <c r="AC49" s="111">
        <v>42040.2413482142</v>
      </c>
      <c r="AD49" s="111">
        <v>43947.8649148382</v>
      </c>
      <c r="AE49" s="111">
        <v>45889.931071584</v>
      </c>
      <c r="AF49" s="111">
        <v>47879.6579646018</v>
      </c>
      <c r="AG49" s="111">
        <v>49902.7208048427</v>
      </c>
      <c r="AH49" s="111">
        <v>51967.6606739922</v>
      </c>
      <c r="AI49" s="111">
        <v>54071.9311388328</v>
      </c>
      <c r="AJ49" s="111">
        <v>56212.2194329011</v>
      </c>
      <c r="AK49" s="111">
        <v>58397.6439592637</v>
      </c>
      <c r="AL49" s="111">
        <v>60624.6793268293</v>
      </c>
      <c r="AM49" s="111">
        <v>62895.4656136692</v>
      </c>
      <c r="AN49" s="111">
        <v>65208.9576893052</v>
      </c>
      <c r="AO49" s="111">
        <v>67567.1041421002</v>
      </c>
      <c r="AP49" s="111">
        <v>69975.6133520433</v>
      </c>
      <c r="AQ49" s="111">
        <v>72427.2230149901</v>
      </c>
    </row>
    <row r="50" spans="1:43">
      <c r="A50" s="105" t="s">
        <v>41</v>
      </c>
      <c r="B50" s="111">
        <v>21176.2719360316</v>
      </c>
      <c r="C50" s="111">
        <v>29307.9351310399</v>
      </c>
      <c r="D50" s="111">
        <v>28552.719192916</v>
      </c>
      <c r="E50" s="111">
        <v>31883.8383769573</v>
      </c>
      <c r="F50" s="111">
        <v>35412.6751620396</v>
      </c>
      <c r="G50" s="111">
        <v>39111.28181289</v>
      </c>
      <c r="H50" s="111">
        <v>43055.1561310748</v>
      </c>
      <c r="I50" s="111">
        <v>47171.3619568381</v>
      </c>
      <c r="J50" s="111">
        <v>51467.3283831753</v>
      </c>
      <c r="K50" s="111">
        <v>55968.5548664153</v>
      </c>
      <c r="L50" s="111">
        <v>60626.2533124762</v>
      </c>
      <c r="M50" s="111">
        <v>65488.4565955845</v>
      </c>
      <c r="N50" s="111">
        <v>70509.8057755468</v>
      </c>
      <c r="O50" s="111">
        <v>75671.6351765627</v>
      </c>
      <c r="P50" s="111">
        <v>81024.5295402525</v>
      </c>
      <c r="Q50" s="111">
        <v>86520.2153654877</v>
      </c>
      <c r="R50" s="111">
        <v>92152.7499044865</v>
      </c>
      <c r="S50" s="111">
        <v>97960.1112187873</v>
      </c>
      <c r="T50" s="111">
        <v>103896.575193045</v>
      </c>
      <c r="U50" s="111">
        <v>110005.572779416</v>
      </c>
      <c r="V50" s="111">
        <v>116247.982405209</v>
      </c>
      <c r="W50" s="111">
        <v>122610.344018504</v>
      </c>
      <c r="X50" s="111">
        <v>129134.179616708</v>
      </c>
      <c r="Y50" s="111">
        <v>135792.943768636</v>
      </c>
      <c r="Z50" s="111">
        <v>142590.914429397</v>
      </c>
      <c r="AA50" s="111">
        <v>149514.347008924</v>
      </c>
      <c r="AB50" s="111">
        <v>156575.150031275</v>
      </c>
      <c r="AC50" s="111">
        <v>163799.335003468</v>
      </c>
      <c r="AD50" s="111">
        <v>171140.106077457</v>
      </c>
      <c r="AE50" s="111">
        <v>178607.090326436</v>
      </c>
      <c r="AF50" s="111">
        <v>186249.859577838</v>
      </c>
      <c r="AG50" s="111">
        <v>194014.772458739</v>
      </c>
      <c r="AH50" s="111">
        <v>201938.364144878</v>
      </c>
      <c r="AI50" s="111">
        <v>210017.191501381</v>
      </c>
      <c r="AJ50" s="111">
        <v>218235.546031308</v>
      </c>
      <c r="AK50" s="111">
        <v>226629.268541366</v>
      </c>
      <c r="AL50" s="111">
        <v>235192.376078597</v>
      </c>
      <c r="AM50" s="111">
        <v>243936.187527271</v>
      </c>
      <c r="AN50" s="111">
        <v>252865.184470877</v>
      </c>
      <c r="AO50" s="111">
        <v>261992.296097416</v>
      </c>
      <c r="AP50" s="111">
        <v>271337.284574917</v>
      </c>
      <c r="AQ50" s="111">
        <v>280889.337553091</v>
      </c>
    </row>
    <row r="51" spans="1:43">
      <c r="A51" s="105" t="s">
        <v>42</v>
      </c>
      <c r="B51" s="111">
        <v>28628.0289987842</v>
      </c>
      <c r="C51" s="111">
        <v>37456.5878253121</v>
      </c>
      <c r="D51" s="111">
        <v>34196.7283424984</v>
      </c>
      <c r="E51" s="111">
        <v>38079.6281768534</v>
      </c>
      <c r="F51" s="111">
        <v>42209.6572736051</v>
      </c>
      <c r="G51" s="111">
        <v>46544.2736836381</v>
      </c>
      <c r="H51" s="111">
        <v>51148.7418755831</v>
      </c>
      <c r="I51" s="111">
        <v>55951.4890130572</v>
      </c>
      <c r="J51" s="111">
        <v>60971.4678978163</v>
      </c>
      <c r="K51" s="111">
        <v>66230.7063073882</v>
      </c>
      <c r="L51" s="111">
        <v>71670.4654069865</v>
      </c>
      <c r="M51" s="111">
        <v>77329.5864521818</v>
      </c>
      <c r="N51" s="111">
        <v>83191.4579225809</v>
      </c>
      <c r="O51" s="111">
        <v>89229.8022495926</v>
      </c>
      <c r="P51" s="111">
        <v>95476.8825178556</v>
      </c>
      <c r="Q51" s="111">
        <v>101893.5989464</v>
      </c>
      <c r="R51" s="111">
        <v>108477.984168567</v>
      </c>
      <c r="S51" s="111">
        <v>115262.201618205</v>
      </c>
      <c r="T51" s="111">
        <v>122199.933631931</v>
      </c>
      <c r="U51" s="111">
        <v>129336.930013541</v>
      </c>
      <c r="V51" s="111">
        <v>136641.600837825</v>
      </c>
      <c r="W51" s="111">
        <v>144099.885603484</v>
      </c>
      <c r="X51" s="111">
        <v>151744.842422099</v>
      </c>
      <c r="Y51" s="111">
        <v>159553.593830487</v>
      </c>
      <c r="Z51" s="111">
        <v>167528.940136779</v>
      </c>
      <c r="AA51" s="111">
        <v>175665.51819952</v>
      </c>
      <c r="AB51" s="111">
        <v>183974.553513399</v>
      </c>
      <c r="AC51" s="111">
        <v>192470.633982421</v>
      </c>
      <c r="AD51" s="111">
        <v>201114.899229093</v>
      </c>
      <c r="AE51" s="111">
        <v>209920.080980016</v>
      </c>
      <c r="AF51" s="111">
        <v>218928.417431972</v>
      </c>
      <c r="AG51" s="111">
        <v>228088.14073428</v>
      </c>
      <c r="AH51" s="111">
        <v>237427.978504059</v>
      </c>
      <c r="AI51" s="111">
        <v>246950.168453303</v>
      </c>
      <c r="AJ51" s="111">
        <v>256639.354552738</v>
      </c>
      <c r="AK51" s="111">
        <v>266524.155754581</v>
      </c>
      <c r="AL51" s="111">
        <v>276595.950451031</v>
      </c>
      <c r="AM51" s="111">
        <v>286865.258785554</v>
      </c>
      <c r="AN51" s="111">
        <v>297331.686179001</v>
      </c>
      <c r="AO51" s="111">
        <v>308002.586300919</v>
      </c>
      <c r="AP51" s="111">
        <v>318888.696954413</v>
      </c>
      <c r="AQ51" s="111">
        <v>329982.518104052</v>
      </c>
    </row>
    <row r="52" spans="1:43">
      <c r="A52" s="105" t="s">
        <v>43</v>
      </c>
      <c r="B52" s="111">
        <v>19990.0852256542</v>
      </c>
      <c r="C52" s="111">
        <v>26634.09084306</v>
      </c>
      <c r="D52" s="111">
        <v>24907.0643364109</v>
      </c>
      <c r="E52" s="111">
        <v>27785.3009581482</v>
      </c>
      <c r="F52" s="111">
        <v>30834.6971303037</v>
      </c>
      <c r="G52" s="111">
        <v>34020.4837225029</v>
      </c>
      <c r="H52" s="111">
        <v>37394.5940618351</v>
      </c>
      <c r="I52" s="111">
        <v>40913.6290745255</v>
      </c>
      <c r="J52" s="111">
        <v>44580.6349406409</v>
      </c>
      <c r="K52" s="111">
        <v>48414.6946149679</v>
      </c>
      <c r="L52" s="111">
        <v>52374.3805896111</v>
      </c>
      <c r="M52" s="111">
        <v>56486.6445459302</v>
      </c>
      <c r="N52" s="111">
        <v>60747.40658655</v>
      </c>
      <c r="O52" s="111">
        <v>65127.4221211044</v>
      </c>
      <c r="P52" s="111">
        <v>69656.5379495895</v>
      </c>
      <c r="Q52" s="111">
        <v>74308.2809131449</v>
      </c>
      <c r="R52" s="111">
        <v>79078.0843850446</v>
      </c>
      <c r="S52" s="111">
        <v>83991.6377188666</v>
      </c>
      <c r="T52" s="111">
        <v>89014.1396874645</v>
      </c>
      <c r="U52" s="111">
        <v>94177.2791600525</v>
      </c>
      <c r="V52" s="111">
        <v>99464.9086061702</v>
      </c>
      <c r="W52" s="111">
        <v>104859.166956302</v>
      </c>
      <c r="X52" s="111">
        <v>110387.589358351</v>
      </c>
      <c r="Y52" s="111">
        <v>116036.954513323</v>
      </c>
      <c r="Z52" s="111">
        <v>121803.574525736</v>
      </c>
      <c r="AA52" s="111">
        <v>127690.220977205</v>
      </c>
      <c r="AB52" s="111">
        <v>133698.045807006</v>
      </c>
      <c r="AC52" s="111">
        <v>139840.995960565</v>
      </c>
      <c r="AD52" s="111">
        <v>146092.556212454</v>
      </c>
      <c r="AE52" s="111">
        <v>152458.780464393</v>
      </c>
      <c r="AF52" s="111">
        <v>158973.400679104</v>
      </c>
      <c r="AG52" s="111">
        <v>165594.810354962</v>
      </c>
      <c r="AH52" s="111">
        <v>172344.154661549</v>
      </c>
      <c r="AI52" s="111">
        <v>179226.515868795</v>
      </c>
      <c r="AJ52" s="111">
        <v>186225.820477444</v>
      </c>
      <c r="AK52" s="111">
        <v>193365.511823192</v>
      </c>
      <c r="AL52" s="111">
        <v>200636.589222864</v>
      </c>
      <c r="AM52" s="111">
        <v>208042.302305843</v>
      </c>
      <c r="AN52" s="111">
        <v>215587.756160163</v>
      </c>
      <c r="AO52" s="111">
        <v>223271.543423051</v>
      </c>
      <c r="AP52" s="111">
        <v>231105.604111197</v>
      </c>
      <c r="AQ52" s="111">
        <v>239078.399277844</v>
      </c>
    </row>
    <row r="53" spans="1:43">
      <c r="A53" s="105" t="s">
        <v>44</v>
      </c>
      <c r="B53" s="111">
        <v>11626.9178072683</v>
      </c>
      <c r="C53" s="111">
        <v>16144.8649184393</v>
      </c>
      <c r="D53" s="111">
        <v>15878.1696745547</v>
      </c>
      <c r="E53" s="111">
        <v>17610.1011278321</v>
      </c>
      <c r="F53" s="111">
        <v>19444.0230969355</v>
      </c>
      <c r="G53" s="111">
        <v>21373.6781860445</v>
      </c>
      <c r="H53" s="111">
        <v>23415.6059529692</v>
      </c>
      <c r="I53" s="111">
        <v>25553.3127131187</v>
      </c>
      <c r="J53" s="111">
        <v>27788.7713367604</v>
      </c>
      <c r="K53" s="111">
        <v>30125.0380504289</v>
      </c>
      <c r="L53" s="111">
        <v>32549.1237289801</v>
      </c>
      <c r="M53" s="111">
        <v>35065.2288345217</v>
      </c>
      <c r="N53" s="111">
        <v>37668.0829517222</v>
      </c>
      <c r="O53" s="111">
        <v>40350.7812468476</v>
      </c>
      <c r="P53" s="111">
        <v>43124.9252225012</v>
      </c>
      <c r="Q53" s="111">
        <v>45982.3897641132</v>
      </c>
      <c r="R53" s="111">
        <v>48907.4792378904</v>
      </c>
      <c r="S53" s="111">
        <v>51917.013799275</v>
      </c>
      <c r="T53" s="111">
        <v>55002.5221664106</v>
      </c>
      <c r="U53" s="111">
        <v>58167.0176350751</v>
      </c>
      <c r="V53" s="111">
        <v>61398.5567845308</v>
      </c>
      <c r="W53" s="111">
        <v>64698.2252829615</v>
      </c>
      <c r="X53" s="111">
        <v>68072.7332854799</v>
      </c>
      <c r="Y53" s="111">
        <v>71516.4488622477</v>
      </c>
      <c r="Z53" s="111">
        <v>75025.5476134818</v>
      </c>
      <c r="AA53" s="111">
        <v>78600.8435928405</v>
      </c>
      <c r="AB53" s="111">
        <v>82247.2843988078</v>
      </c>
      <c r="AC53" s="111">
        <v>85961.1426334865</v>
      </c>
      <c r="AD53" s="111">
        <v>89744.3995171325</v>
      </c>
      <c r="AE53" s="111">
        <v>93591.0474561063</v>
      </c>
      <c r="AF53" s="111">
        <v>97512.9750468677</v>
      </c>
      <c r="AG53" s="111">
        <v>101503.685055352</v>
      </c>
      <c r="AH53" s="111">
        <v>105567.272405322</v>
      </c>
      <c r="AI53" s="111">
        <v>109704.587148543</v>
      </c>
      <c r="AJ53" s="111">
        <v>113917.262942484</v>
      </c>
      <c r="AK53" s="111">
        <v>118216.10970749</v>
      </c>
      <c r="AL53" s="111">
        <v>122600.470349224</v>
      </c>
      <c r="AM53" s="111">
        <v>127075.831114355</v>
      </c>
      <c r="AN53" s="111">
        <v>131650.311219546</v>
      </c>
      <c r="AO53" s="111">
        <v>136324.659801332</v>
      </c>
      <c r="AP53" s="111">
        <v>141112.22464539</v>
      </c>
      <c r="AQ53" s="111">
        <v>146022.493052795</v>
      </c>
    </row>
    <row r="54" spans="1:43">
      <c r="A54" s="106" t="s">
        <v>45</v>
      </c>
      <c r="B54" s="111">
        <v>36437.5142743369</v>
      </c>
      <c r="C54" s="111">
        <v>47083.3930465046</v>
      </c>
      <c r="D54" s="111">
        <v>42219.5205417883</v>
      </c>
      <c r="E54" s="111">
        <v>47061.0466868748</v>
      </c>
      <c r="F54" s="111">
        <v>52204.8517051118</v>
      </c>
      <c r="G54" s="111">
        <v>57619.8094088397</v>
      </c>
      <c r="H54" s="111">
        <v>63377.0174635434</v>
      </c>
      <c r="I54" s="111">
        <v>69405.8884759246</v>
      </c>
      <c r="J54" s="111">
        <v>75717.9264010013</v>
      </c>
      <c r="K54" s="111">
        <v>82332.3005280122</v>
      </c>
      <c r="L54" s="111">
        <v>89197.2608920263</v>
      </c>
      <c r="M54" s="111">
        <v>96341.2193680397</v>
      </c>
      <c r="N54" s="111">
        <v>103757.670735505</v>
      </c>
      <c r="O54" s="111">
        <v>111411.590998321</v>
      </c>
      <c r="P54" s="111">
        <v>119335.046793</v>
      </c>
      <c r="Q54" s="111">
        <v>127495.165955297</v>
      </c>
      <c r="R54" s="111">
        <v>135880.865203426</v>
      </c>
      <c r="S54" s="111">
        <v>144525.054216116</v>
      </c>
      <c r="T54" s="111">
        <v>153377.917370588</v>
      </c>
      <c r="U54" s="111">
        <v>162492.193690577</v>
      </c>
      <c r="V54" s="111">
        <v>171830.328275707</v>
      </c>
      <c r="W54" s="111">
        <v>181366.457145783</v>
      </c>
      <c r="X54" s="111">
        <v>191147.675639335</v>
      </c>
      <c r="Y54" s="111">
        <v>201155.591663333</v>
      </c>
      <c r="Z54" s="111">
        <v>211375.567205006</v>
      </c>
      <c r="AA54" s="111">
        <v>221807.686347306</v>
      </c>
      <c r="AB54" s="111">
        <v>232472.874948394</v>
      </c>
      <c r="AC54" s="111">
        <v>243374.164989636</v>
      </c>
      <c r="AD54" s="111">
        <v>254483.617364401</v>
      </c>
      <c r="AE54" s="111">
        <v>265805.521940728</v>
      </c>
      <c r="AF54" s="111">
        <v>277394.001023994</v>
      </c>
      <c r="AG54" s="111">
        <v>289193.575785549</v>
      </c>
      <c r="AH54" s="111">
        <v>301227.884432659</v>
      </c>
      <c r="AI54" s="111">
        <v>313522.631898495</v>
      </c>
      <c r="AJ54" s="111">
        <v>326052.921304472</v>
      </c>
      <c r="AK54" s="111">
        <v>338853.947340102</v>
      </c>
      <c r="AL54" s="111">
        <v>351931.778685641</v>
      </c>
      <c r="AM54" s="111">
        <v>365296.955804477</v>
      </c>
      <c r="AN54" s="111">
        <v>378965.842571379</v>
      </c>
      <c r="AO54" s="111">
        <v>392949.561613566</v>
      </c>
      <c r="AP54" s="111">
        <v>407272.044705681</v>
      </c>
      <c r="AQ54" s="111">
        <v>421942.908207383</v>
      </c>
    </row>
  </sheetData>
  <dataValidations count="1">
    <dataValidation type="list" allowBlank="1" showInputMessage="1" showErrorMessage="1" sqref="A1">
      <formula1>[1]GDP预测模型结果!#REF!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7" sqref="J17"/>
    </sheetView>
  </sheetViews>
  <sheetFormatPr defaultColWidth="9" defaultRowHeight="13.5" outlineLevelCol="5"/>
  <sheetData>
    <row r="1" spans="1:1">
      <c r="A1" s="107" t="s">
        <v>46</v>
      </c>
    </row>
    <row r="3" spans="1:1">
      <c r="A3" s="107" t="s">
        <v>47</v>
      </c>
    </row>
    <row r="4" spans="1:1">
      <c r="A4" s="107"/>
    </row>
    <row r="5" spans="2:4">
      <c r="B5" s="107" t="s">
        <v>48</v>
      </c>
      <c r="C5" s="108"/>
      <c r="D5" s="108"/>
    </row>
    <row r="6" spans="2:4">
      <c r="B6" s="109" t="s">
        <v>49</v>
      </c>
      <c r="C6" s="108"/>
      <c r="D6" s="108"/>
    </row>
    <row r="7" spans="2:4">
      <c r="B7" s="110">
        <v>2020</v>
      </c>
      <c r="C7" s="108"/>
      <c r="D7" s="108"/>
    </row>
    <row r="8" spans="2:4">
      <c r="B8" s="109" t="s">
        <v>50</v>
      </c>
      <c r="C8" s="108"/>
      <c r="D8" s="108"/>
    </row>
    <row r="10" spans="1:6">
      <c r="A10" s="107" t="s">
        <v>51</v>
      </c>
      <c r="B10" s="109"/>
      <c r="C10" s="108"/>
      <c r="D10" s="108"/>
      <c r="E10" s="108"/>
      <c r="F10" s="108"/>
    </row>
    <row r="11" spans="1:6">
      <c r="A11" s="109" t="s">
        <v>52</v>
      </c>
      <c r="B11" s="109"/>
      <c r="C11" s="108"/>
      <c r="D11" s="108"/>
      <c r="E11" s="108"/>
      <c r="F11" s="108"/>
    </row>
    <row r="12" spans="1:1">
      <c r="A12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4"/>
  <sheetViews>
    <sheetView workbookViewId="0">
      <selection activeCell="K14" sqref="K14"/>
    </sheetView>
  </sheetViews>
  <sheetFormatPr defaultColWidth="9" defaultRowHeight="13.5"/>
  <cols>
    <col min="1" max="1" width="16.75" customWidth="1"/>
    <col min="2" max="43" width="12.625"/>
    <col min="44" max="44" width="10.375"/>
  </cols>
  <sheetData>
    <row r="1" spans="1:44">
      <c r="A1" s="94" t="s">
        <v>54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100000000</v>
      </c>
    </row>
    <row r="2" spans="1:43">
      <c r="A2" s="95" t="s">
        <v>1</v>
      </c>
      <c r="B2">
        <f>('分行业工业增加值（当年人民币）'!B2*汇率!$B$2)*100000000</f>
        <v>13606245217024.3</v>
      </c>
      <c r="C2">
        <f>('分行业工业增加值（当年人民币）'!C2*汇率!$C$2)*100000000</f>
        <v>14881891389306.7</v>
      </c>
      <c r="D2">
        <f>('分行业工业增加值（当年人民币）'!D2*汇率!$D$2)*100000000</f>
        <v>15748845159720.5</v>
      </c>
      <c r="E2">
        <f>('分行业工业增加值（当年人民币）'!E2*汇率!$E$2)*100000000</f>
        <v>16617161179164</v>
      </c>
      <c r="F2">
        <f>('分行业工业增加值（当年人民币）'!F2*汇率!$F$2)*100000000</f>
        <v>17486803562025</v>
      </c>
      <c r="G2">
        <f>('分行业工业增加值（当年人民币）'!G2*汇率!$G$2)*100000000</f>
        <v>18349297627346.2</v>
      </c>
      <c r="H2">
        <f>('分行业工业增加值（当年人民币）'!H2*汇率!$H$2)*100000000</f>
        <v>19216666941029.2</v>
      </c>
      <c r="I2">
        <f>('分行业工业增加值（当年人民币）'!I2*汇率!$I$2)*100000000</f>
        <v>20077717186063.9</v>
      </c>
      <c r="J2">
        <f>('分行业工业增加值（当年人民币）'!J2*汇率!$J$2)*100000000</f>
        <v>20932938521653.7</v>
      </c>
      <c r="K2">
        <f>('分行业工业增加值（当年人民币）'!K2*汇率!$K$2)*100000000</f>
        <v>21787640179544.5</v>
      </c>
      <c r="L2">
        <f>('分行业工业增加值（当年人民币）'!L2*汇率!$L$2)*100000000</f>
        <v>22632211687095.8</v>
      </c>
      <c r="M2">
        <f>('分行业工业增加值（当年人民币）'!M2*汇率!$M$2)*100000000</f>
        <v>23472086224951.8</v>
      </c>
      <c r="N2">
        <f>('分行业工业增加值（当年人民币）'!N2*汇率!$N$2)*100000000</f>
        <v>24305877336615.6</v>
      </c>
      <c r="O2">
        <f>('分行业工业增加值（当年人民币）'!O2*汇率!$O$2)*100000000</f>
        <v>25128241756610.6</v>
      </c>
      <c r="P2">
        <f>('分行业工业增加值（当年人民币）'!P2*汇率!$P$2)*100000000</f>
        <v>25945643990541.4</v>
      </c>
      <c r="Q2">
        <f>('分行业工业增加值（当年人民币）'!Q2*汇率!$Q$2)*100000000</f>
        <v>26753115552324.3</v>
      </c>
      <c r="R2">
        <f>('分行业工业增加值（当年人民币）'!R2*汇率!$R$2)*100000000</f>
        <v>27548045218416.9</v>
      </c>
      <c r="S2">
        <f>('分行业工业增加值（当年人民币）'!S2*汇率!$S$2)*100000000</f>
        <v>28337527645773.2</v>
      </c>
      <c r="T2">
        <f>('分行业工业增加值（当年人民币）'!T2*汇率!$T$2)*100000000</f>
        <v>29114300512709.7</v>
      </c>
      <c r="U2">
        <f>('分行业工业增加值（当年人民币）'!U2*汇率!$U$2)*100000000</f>
        <v>29884560304797</v>
      </c>
      <c r="V2">
        <f>('分行业工业增加值（当年人民币）'!V2*汇率!$V$2)*100000000</f>
        <v>30643985161715.7</v>
      </c>
      <c r="W2">
        <f>('分行业工业增加值（当年人民币）'!W2*汇率!$W$2)*100000000</f>
        <v>31390277458621.1</v>
      </c>
      <c r="X2">
        <f>('分行业工业增加值（当年人民币）'!X2*汇率!$X$2)*100000000</f>
        <v>32129000479227.4</v>
      </c>
      <c r="Y2">
        <f>('分行业工业增加值（当年人民币）'!Y2*汇率!$Y$2)*100000000</f>
        <v>32857523723218.1</v>
      </c>
      <c r="Z2">
        <f>('分行业工业增加值（当年人民币）'!Z2*汇率!$Z$2)*100000000</f>
        <v>33574852590295.3</v>
      </c>
      <c r="AA2">
        <f>('分行业工业增加值（当年人民币）'!AA2*汇率!$AA$2)*100000000</f>
        <v>34281857372111.5</v>
      </c>
      <c r="AB2">
        <f>('分行业工业增加值（当年人民币）'!AB2*汇率!$AB$2)*100000000</f>
        <v>34979160362424.2</v>
      </c>
      <c r="AC2">
        <f>('分行业工业增加值（当年人民币）'!AC2*汇率!$AC$2)*100000000</f>
        <v>35668352867664.9</v>
      </c>
      <c r="AD2">
        <f>('分行业工业增加值（当年人民币）'!AD2*汇率!$AD$2)*100000000</f>
        <v>36346032081907.9</v>
      </c>
      <c r="AE2">
        <f>('分行业工业增加值（当年人民币）'!AE2*汇率!$AE$2)*100000000</f>
        <v>37012770123078.8</v>
      </c>
      <c r="AF2">
        <f>('分行业工业增加值（当年人民币）'!AF2*汇率!$AF$2)*100000000</f>
        <v>37674235192435</v>
      </c>
      <c r="AG2">
        <f>('分行业工业增加值（当年人民币）'!AG2*汇率!$AG$2)*100000000</f>
        <v>38324230856666.7</v>
      </c>
      <c r="AH2">
        <f>('分行业工业增加值（当年人民币）'!AH2*汇率!$AH$2)*100000000</f>
        <v>38966123992577.9</v>
      </c>
      <c r="AI2">
        <f>('分行业工业增加值（当年人民币）'!AI2*汇率!$AI$2)*100000000</f>
        <v>39600140963273.2</v>
      </c>
      <c r="AJ2">
        <f>('分行业工业增加值（当年人民币）'!AJ2*汇率!$AJ$2)*100000000</f>
        <v>40224500266016.5</v>
      </c>
      <c r="AK2">
        <f>('分行业工业增加值（当年人民币）'!AK2*汇率!$AK$2)*100000000</f>
        <v>40843377675875.5</v>
      </c>
      <c r="AL2">
        <f>('分行业工业增加值（当年人民币）'!AL2*汇率!$AL$2)*100000000</f>
        <v>41454889209095.1</v>
      </c>
      <c r="AM2">
        <f>('分行业工业增加值（当年人民币）'!AM2*汇率!$AM$2)*100000000</f>
        <v>42060076838881.9</v>
      </c>
      <c r="AN2">
        <f>('分行业工业增加值（当年人民币）'!AN2*汇率!$AN$2)*100000000</f>
        <v>42659693503754.1</v>
      </c>
      <c r="AO2">
        <f>('分行业工业增加值（当年人民币）'!AO2*汇率!$AO$2)*100000000</f>
        <v>43253227057140.7</v>
      </c>
      <c r="AP2">
        <f>('分行业工业增加值（当年人民币）'!AP2*汇率!$AP$2)*100000000</f>
        <v>43843545393636.1</v>
      </c>
      <c r="AQ2">
        <f>('分行业工业增加值（当年人民币）'!AQ2*汇率!$AQ$2)*100000000</f>
        <v>44428839333595.5</v>
      </c>
    </row>
    <row r="3" spans="1:43">
      <c r="A3" s="96" t="s">
        <v>2</v>
      </c>
      <c r="B3">
        <f>('分行业工业增加值（当年人民币）'!B3*汇率!$B$2)*100000000</f>
        <v>1019121542392.69</v>
      </c>
      <c r="C3">
        <f>('分行业工业增加值（当年人民币）'!C3*汇率!$C$2)*100000000</f>
        <v>1116128133906.58</v>
      </c>
      <c r="D3">
        <f>('分行业工业增加值（当年人民币）'!D3*汇率!$D$2)*100000000</f>
        <v>1168759312410.55</v>
      </c>
      <c r="E3">
        <f>('分行业工业增加值（当年人民币）'!E3*汇率!$E$2)*100000000</f>
        <v>1213205542351.31</v>
      </c>
      <c r="F3">
        <f>('分行业工业增加值（当年人民币）'!F3*汇率!$F$2)*100000000</f>
        <v>1256789583736.96</v>
      </c>
      <c r="G3">
        <f>('分行业工业增加值（当年人民币）'!G3*汇率!$G$2)*100000000</f>
        <v>1299242417303.08</v>
      </c>
      <c r="H3">
        <f>('分行业工业增加值（当年人民币）'!H3*汇率!$H$2)*100000000</f>
        <v>1341462818829.92</v>
      </c>
      <c r="I3">
        <f>('分行业工业增加值（当年人民币）'!I3*汇率!$I$2)*100000000</f>
        <v>1382618156567.1</v>
      </c>
      <c r="J3">
        <f>('分行业工业增加值（当年人民币）'!J3*汇率!$J$2)*100000000</f>
        <v>1422871649160.63</v>
      </c>
      <c r="K3">
        <f>('分行业工业增加值（当年人民币）'!K3*汇率!$K$2)*100000000</f>
        <v>1462447571434.54</v>
      </c>
      <c r="L3">
        <f>('分行业工业增加值（当年人民币）'!L3*汇率!$L$2)*100000000</f>
        <v>1500970654181.67</v>
      </c>
      <c r="M3">
        <f>('分行业工业增加值（当年人民币）'!M3*汇率!$M$2)*100000000</f>
        <v>1538923426751.67</v>
      </c>
      <c r="N3">
        <f>('分行业工业增加值（当年人民币）'!N3*汇率!$N$2)*100000000</f>
        <v>1575863728605.52</v>
      </c>
      <c r="O3">
        <f>('分行业工业增加值（当年人民币）'!O3*汇率!$O$2)*100000000</f>
        <v>1611673586718.8</v>
      </c>
      <c r="P3">
        <f>('分行业工业增加值（当年人民币）'!P3*汇率!$P$2)*100000000</f>
        <v>1646810947967.82</v>
      </c>
      <c r="Q3">
        <f>('分行业工业增加值（当年人民币）'!Q3*汇率!$Q$2)*100000000</f>
        <v>1680921141988.95</v>
      </c>
      <c r="R3">
        <f>('分行业工业增加值（当年人民币）'!R3*汇率!$R$2)*100000000</f>
        <v>1713900160335.24</v>
      </c>
      <c r="S3">
        <f>('分行业工业增加值（当年人民币）'!S3*汇率!$S$2)*100000000</f>
        <v>1746048151281.66</v>
      </c>
      <c r="T3">
        <f>('分行业工业增加值（当年人民币）'!T3*汇率!$T$2)*100000000</f>
        <v>1777131662111.19</v>
      </c>
      <c r="U3">
        <f>('分行业工业增加值（当年人民币）'!U3*汇率!$U$2)*100000000</f>
        <v>1807584178562.13</v>
      </c>
      <c r="V3">
        <f>('分行业工业增加值（当年人民币）'!V3*汇率!$V$2)*100000000</f>
        <v>1836989914690.9</v>
      </c>
      <c r="W3">
        <f>('分行业工业增加值（当年人民币）'!W3*汇率!$W$2)*100000000</f>
        <v>1865271466494.13</v>
      </c>
      <c r="X3">
        <f>('分行业工业增加值（当年人民币）'!X3*汇率!$X$2)*100000000</f>
        <v>1892816336239.34</v>
      </c>
      <c r="Y3">
        <f>('分行业工业增加值（当年人民币）'!Y3*汇率!$Y$2)*100000000</f>
        <v>1919445774382.07</v>
      </c>
      <c r="Z3">
        <f>('分行业工业增加值（当年人民币）'!Z3*汇率!$Z$2)*100000000</f>
        <v>1945100763401.19</v>
      </c>
      <c r="AA3">
        <f>('分行业工业增加值（当年人民币）'!AA3*汇率!$AA$2)*100000000</f>
        <v>1969862862040.94</v>
      </c>
      <c r="AB3">
        <f>('分行业工业增加值（当年人民币）'!AB3*汇率!$AB$2)*100000000</f>
        <v>1993808279563.25</v>
      </c>
      <c r="AC3">
        <f>('分行业工业增加值（当年人民币）'!AC3*汇率!$AC$2)*100000000</f>
        <v>2017097375313.25</v>
      </c>
      <c r="AD3">
        <f>('分行业工业增加值（当年人民币）'!AD3*汇率!$AD$2)*100000000</f>
        <v>2039503013422.16</v>
      </c>
      <c r="AE3">
        <f>('分行业工业增加值（当年人民币）'!AE3*汇率!$AE$2)*100000000</f>
        <v>2061089569759.51</v>
      </c>
      <c r="AF3">
        <f>('分行业工业增加值（当年人民币）'!AF3*汇率!$AF$2)*100000000</f>
        <v>2082185626105.22</v>
      </c>
      <c r="AG3">
        <f>('分行业工业增加值（当年人民币）'!AG3*汇率!$AG$2)*100000000</f>
        <v>2102463233454.83</v>
      </c>
      <c r="AH3">
        <f>('分行业工业增加值（当年人民币）'!AH3*汇率!$AH$2)*100000000</f>
        <v>2122174930715.88</v>
      </c>
      <c r="AI3">
        <f>('分行业工业增加值（当年人民币）'!AI3*汇率!$AI$2)*100000000</f>
        <v>2141367113286.76</v>
      </c>
      <c r="AJ3">
        <f>('分行业工业增加值（当年人民币）'!AJ3*汇率!$AJ$2)*100000000</f>
        <v>2159939284242.11</v>
      </c>
      <c r="AK3">
        <f>('分行业工业增加值（当年人民币）'!AK3*汇率!$AK$2)*100000000</f>
        <v>2178118654526.27</v>
      </c>
      <c r="AL3">
        <f>('分行业工业增加值（当年人民币）'!AL3*汇率!$AL$2)*100000000</f>
        <v>2195941630364.61</v>
      </c>
      <c r="AM3">
        <f>('分行业工业增加值（当年人民币）'!AM3*汇率!$AM$2)*100000000</f>
        <v>2213464123755.4</v>
      </c>
      <c r="AN3">
        <f>('分行业工业增加值（当年人民币）'!AN3*汇率!$AN$2)*100000000</f>
        <v>2230776591597.95</v>
      </c>
      <c r="AO3">
        <f>('分行业工业增加值（当年人民币）'!AO3*汇率!$AO$2)*100000000</f>
        <v>2247859689395.47</v>
      </c>
      <c r="AP3">
        <f>('分行业工业增加值（当年人民币）'!AP3*汇率!$AP$2)*100000000</f>
        <v>2264933203235.73</v>
      </c>
      <c r="AQ3">
        <f>('分行业工业增加值（当年人民币）'!AQ3*汇率!$AQ$2)*100000000</f>
        <v>2281962718604.02</v>
      </c>
    </row>
    <row r="4" spans="1:43">
      <c r="A4" s="97" t="s">
        <v>3</v>
      </c>
      <c r="B4">
        <f>('分行业工业增加值（当年人民币）'!B4*汇率!$B$2)*100000000</f>
        <v>4327367463142.85</v>
      </c>
      <c r="C4">
        <f>('分行业工业增加值（当年人民币）'!C4*汇率!$C$2)*100000000</f>
        <v>4306625831467.02</v>
      </c>
      <c r="D4">
        <f>('分行业工业增加值（当年人民币）'!D4*汇率!$D$2)*100000000</f>
        <v>4964175057819.96</v>
      </c>
      <c r="E4">
        <f>('分行业工业增加值（当年人民币）'!E4*汇率!$E$2)*100000000</f>
        <v>5098886010934.98</v>
      </c>
      <c r="F4">
        <f>('分行业工业增加值（当年人民币）'!F4*汇率!$F$2)*100000000</f>
        <v>5222535012490.86</v>
      </c>
      <c r="G4">
        <f>('分行业工业增加值（当年人民币）'!G4*汇率!$G$2)*100000000</f>
        <v>5335792583997.64</v>
      </c>
      <c r="H4">
        <f>('分行业工业增加值（当年人民币）'!H4*汇率!$H$2)*100000000</f>
        <v>5439383110793.86</v>
      </c>
      <c r="I4">
        <f>('分行业工业增加值（当年人民币）'!I4*汇率!$I$2)*100000000</f>
        <v>5534048693362.36</v>
      </c>
      <c r="J4">
        <f>('分行业工业增加值（当年人民币）'!J4*汇率!$J$2)*100000000</f>
        <v>5620522917024.64</v>
      </c>
      <c r="K4">
        <f>('分行业工业增加值（当年人民币）'!K4*汇率!$K$2)*100000000</f>
        <v>5699512814569.1</v>
      </c>
      <c r="L4">
        <f>('分行业工业增加值（当年人民币）'!L4*汇率!$L$2)*100000000</f>
        <v>5771687289234.7</v>
      </c>
      <c r="M4">
        <f>('分行业工业增加值（当年人民币）'!M4*汇率!$M$2)*100000000</f>
        <v>5837670437943.24</v>
      </c>
      <c r="N4">
        <f>('分行业工业增加值（当年人民币）'!N4*汇率!$N$2)*100000000</f>
        <v>5898038461154.96</v>
      </c>
      <c r="O4">
        <f>('分行业工业增加值（当年人民币）'!O4*汇率!$O$2)*100000000</f>
        <v>5953319103961.06</v>
      </c>
      <c r="P4">
        <f>('分行业工业增加值（当年人民币）'!P4*汇率!$P$2)*100000000</f>
        <v>6003992810448.25</v>
      </c>
      <c r="Q4">
        <f>('分行业工业增加值（当年人民币）'!Q4*汇率!$Q$2)*100000000</f>
        <v>6050494976060.16</v>
      </c>
      <c r="R4">
        <f>('分行业工业增加值（当年人民币）'!R4*汇率!$R$2)*100000000</f>
        <v>6093218847476.09</v>
      </c>
      <c r="S4">
        <f>('分行业工业增加值（当年人民币）'!S4*汇率!$S$2)*100000000</f>
        <v>6132518748863.66</v>
      </c>
      <c r="T4">
        <f>('分行业工业增加值（当年人民币）'!T4*汇率!$T$2)*100000000</f>
        <v>6168713412106.53</v>
      </c>
      <c r="U4">
        <f>('分行业工业增加值（当年人民币）'!U4*汇率!$U$2)*100000000</f>
        <v>6202089262271.78</v>
      </c>
      <c r="V4">
        <f>('分行业工业增加值（当年人民币）'!V4*汇率!$V$2)*100000000</f>
        <v>6232903563406.73</v>
      </c>
      <c r="W4">
        <f>('分行业工业增加值（当年人民币）'!W4*汇率!$W$2)*100000000</f>
        <v>6261387368293.16</v>
      </c>
      <c r="X4">
        <f>('分行业工业增加值（当年人民币）'!X4*汇率!$X$2)*100000000</f>
        <v>6287748242798.34</v>
      </c>
      <c r="Y4">
        <f>('分行业工业增加值（当年人民币）'!Y4*汇率!$Y$2)*100000000</f>
        <v>6312172753933.62</v>
      </c>
      <c r="Z4">
        <f>('分行业工业增加值（当年人民币）'!Z4*汇率!$Z$2)*100000000</f>
        <v>6334828722979.51</v>
      </c>
      <c r="AA4">
        <f>('分行业工业增加值（当年人民币）'!AA4*汇率!$AA$2)*100000000</f>
        <v>6355867252818.32</v>
      </c>
      <c r="AB4">
        <f>('分行业工业增加值（当年人民币）'!AB4*汇率!$AB$2)*100000000</f>
        <v>6375424543245.52</v>
      </c>
      <c r="AC4">
        <f>('分行业工业增加值（当年人民币）'!AC4*汇率!$AC$2)*100000000</f>
        <v>6393623510476.45</v>
      </c>
      <c r="AD4">
        <f>('分行业工业增加值（当年人民币）'!AD4*汇率!$AD$2)*100000000</f>
        <v>6410575228028.6</v>
      </c>
      <c r="AE4">
        <f>('分行业工业增加值（当年人民币）'!AE4*汇率!$AE$2)*100000000</f>
        <v>6426380206147.12</v>
      </c>
      <c r="AF4">
        <f>('分行业工业增加值（当年人民币）'!AF4*汇率!$AF$2)*100000000</f>
        <v>6441129526310.7</v>
      </c>
      <c r="AG4">
        <f>('分行业工业增加值（当年人民币）'!AG4*汇率!$AG$2)*100000000</f>
        <v>6454905846357.11</v>
      </c>
      <c r="AH4">
        <f>('分行业工业增加值（当年人民币）'!AH4*汇率!$AH$2)*100000000</f>
        <v>6467784290574.07</v>
      </c>
      <c r="AI4">
        <f>('分行业工业增加值（当年人民币）'!AI4*汇率!$AI$2)*100000000</f>
        <v>6479833237829.87</v>
      </c>
      <c r="AJ4">
        <f>('分行业工业增加值（当年人民币）'!AJ4*汇率!$AJ$2)*100000000</f>
        <v>6491115019543.04</v>
      </c>
      <c r="AK4">
        <f>('分行业工业增加值（当年人民币）'!AK4*汇率!$AK$2)*100000000</f>
        <v>6501686538061.62</v>
      </c>
      <c r="AL4">
        <f>('分行业工业增加值（当年人民币）'!AL4*汇率!$AL$2)*100000000</f>
        <v>6511599814867.65</v>
      </c>
      <c r="AM4">
        <f>('分行业工业增加值（当年人民币）'!AM4*汇率!$AM$2)*100000000</f>
        <v>6520902476956.46</v>
      </c>
      <c r="AN4">
        <f>('分行业工业增加值（当年人民币）'!AN4*汇率!$AN$2)*100000000</f>
        <v>6529638188770.39</v>
      </c>
      <c r="AO4">
        <f>('分行业工业增加值（当年人民币）'!AO4*汇率!$AO$2)*100000000</f>
        <v>6537847036191.72</v>
      </c>
      <c r="AP4">
        <f>('分行业工业增加值（当年人民币）'!AP4*汇率!$AP$2)*100000000</f>
        <v>6545565868317.12</v>
      </c>
      <c r="AQ4">
        <f>('分行业工业增加值（当年人民币）'!AQ4*汇率!$AQ$2)*100000000</f>
        <v>6552828602040.75</v>
      </c>
    </row>
    <row r="5" spans="1:43">
      <c r="A5" s="97" t="s">
        <v>4</v>
      </c>
      <c r="B5">
        <f>('分行业工业增加值（当年人民币）'!B5*汇率!$B$2)*100000000</f>
        <v>978070959665.669</v>
      </c>
      <c r="C5">
        <f>('分行业工业增加值（当年人民币）'!C5*汇率!$C$2)*100000000</f>
        <v>1005243630253.15</v>
      </c>
      <c r="D5">
        <f>('分行业工业增加值（当年人民币）'!D5*汇率!$D$2)*100000000</f>
        <v>1078482287033.66</v>
      </c>
      <c r="E5">
        <f>('分行业工业增加值（当年人民币）'!E5*汇率!$E$2)*100000000</f>
        <v>1133138798531.46</v>
      </c>
      <c r="F5">
        <f>('分行业工业增加值（当年人民币）'!F5*汇率!$F$2)*100000000</f>
        <v>1187931408344.83</v>
      </c>
      <c r="G5">
        <f>('分行业工业增加值（当年人民币）'!G5*汇率!$G$2)*100000000</f>
        <v>1242334719449.12</v>
      </c>
      <c r="H5">
        <f>('分行业工业增加值（当年人民币）'!H5*汇率!$H$2)*100000000</f>
        <v>1297116607385.49</v>
      </c>
      <c r="I5">
        <f>('分行业工业增加值（当年人民币）'!I5*汇率!$I$2)*100000000</f>
        <v>1351513892049.24</v>
      </c>
      <c r="J5">
        <f>('分行业工业增加值（当年人民币）'!J5*汇率!$J$2)*100000000</f>
        <v>1405690109707.77</v>
      </c>
      <c r="K5">
        <f>('分行业工业增加值（当年人民币）'!K5*汇率!$K$2)*100000000</f>
        <v>1459803627307.66</v>
      </c>
      <c r="L5">
        <f>('分行业工业增加值（当年人民币）'!L5*汇率!$L$2)*100000000</f>
        <v>1513350800620.42</v>
      </c>
      <c r="M5">
        <f>('分行业工业增加值（当年人民币）'!M5*汇率!$M$2)*100000000</f>
        <v>1566773014581.44</v>
      </c>
      <c r="N5">
        <f>('分行业工业增加值（当年人民币）'!N5*汇率!$N$2)*100000000</f>
        <v>1619782580521.35</v>
      </c>
      <c r="O5">
        <f>('分行业工业增加值（当年人民币）'!O5*汇率!$O$2)*100000000</f>
        <v>1672084184871.11</v>
      </c>
      <c r="P5">
        <f>('分行业工业增加值（当年人民币）'!P5*汇率!$P$2)*100000000</f>
        <v>1724150967078.64</v>
      </c>
      <c r="Q5">
        <f>('分行业工业增加值（当年人民币）'!Q5*汇率!$Q$2)*100000000</f>
        <v>1775635490173.6</v>
      </c>
      <c r="R5">
        <f>('分行业工业增加值（当年人民币）'!R5*汇率!$R$2)*100000000</f>
        <v>1826373402580.53</v>
      </c>
      <c r="S5">
        <f>('分行业工业增加值（当年人民币）'!S5*汇率!$S$2)*100000000</f>
        <v>1876690754871.95</v>
      </c>
      <c r="T5">
        <f>('分行业工业增加值（当年人民币）'!T5*汇率!$T$2)*100000000</f>
        <v>1926306637474.47</v>
      </c>
      <c r="U5">
        <f>('分行业工业增加值（当年人民币）'!U5*汇率!$U$2)*100000000</f>
        <v>1975511218469.23</v>
      </c>
      <c r="V5">
        <f>('分行业工业增加值（当年人民币）'!V5*汇率!$V$2)*100000000</f>
        <v>2023951896249.55</v>
      </c>
      <c r="W5">
        <f>('分行业工业增加值（当年人民币）'!W5*汇率!$W$2)*100000000</f>
        <v>2071577089875.67</v>
      </c>
      <c r="X5">
        <f>('分行业工业增加值（当年人民币）'!X5*汇率!$X$2)*100000000</f>
        <v>2118667918860.98</v>
      </c>
      <c r="Y5">
        <f>('分行业工业增加值（当年人民币）'!Y5*汇率!$Y$2)*100000000</f>
        <v>2165058720416.19</v>
      </c>
      <c r="Z5">
        <f>('分行业工业增加值（当年人民币）'!Z5*汇率!$Z$2)*100000000</f>
        <v>2210757094830.52</v>
      </c>
      <c r="AA5">
        <f>('分行业工业增加值（当年人民币）'!AA5*汇率!$AA$2)*100000000</f>
        <v>2255683118513.78</v>
      </c>
      <c r="AB5">
        <f>('分行业工业增加值（当年人民币）'!AB5*汇率!$AB$2)*100000000</f>
        <v>2300005422175.86</v>
      </c>
      <c r="AC5">
        <f>('分行业工业增加值（当年人民币）'!AC5*汇率!$AC$2)*100000000</f>
        <v>2343778191543.66</v>
      </c>
      <c r="AD5">
        <f>('分行业工业增加值（当年人民币）'!AD5*汇率!$AD$2)*100000000</f>
        <v>2386764483517.42</v>
      </c>
      <c r="AE5">
        <f>('分行业工业增加值（当年人民币）'!AE5*汇率!$AE$2)*100000000</f>
        <v>2429090166539.25</v>
      </c>
      <c r="AF5">
        <f>('分行业工业增加值（当年人民币）'!AF5*汇率!$AF$2)*100000000</f>
        <v>2471021052328.94</v>
      </c>
      <c r="AG5">
        <f>('分行业工业增加值（当年人民币）'!AG5*汇率!$AG$2)*100000000</f>
        <v>2512289841139.73</v>
      </c>
      <c r="AH5">
        <f>('分行业工业增加值（当年人民币）'!AH5*汇率!$AH$2)*100000000</f>
        <v>2553104087055.56</v>
      </c>
      <c r="AI5">
        <f>('分行业工业增加值（当年人民币）'!AI5*汇率!$AI$2)*100000000</f>
        <v>2593474568975.17</v>
      </c>
      <c r="AJ5">
        <f>('分行业工业增加值（当年人民币）'!AJ5*汇率!$AJ$2)*100000000</f>
        <v>2633399469750.35</v>
      </c>
      <c r="AK5">
        <f>('分行业工业增加值（当年人民币）'!AK5*汇率!$AK$2)*100000000</f>
        <v>2673058179340.91</v>
      </c>
      <c r="AL5">
        <f>('分行业工业增加值（当年人民币）'!AL5*汇率!$AL$2)*100000000</f>
        <v>2712514083141.13</v>
      </c>
      <c r="AM5">
        <f>('分行业工业增加值（当年人民币）'!AM5*汇率!$AM$2)*100000000</f>
        <v>2751893629511.08</v>
      </c>
      <c r="AN5">
        <f>('分行业工业增加值（当年人民币）'!AN5*汇率!$AN$2)*100000000</f>
        <v>2791175538915.54</v>
      </c>
      <c r="AO5">
        <f>('分行业工业增加值（当年人民币）'!AO5*汇率!$AO$2)*100000000</f>
        <v>2830546520433.8</v>
      </c>
      <c r="AP5">
        <f>('分行业工业增加值（当年人民币）'!AP5*汇率!$AP$2)*100000000</f>
        <v>2870177359014.09</v>
      </c>
      <c r="AQ5">
        <f>('分行业工业增加值（当年人民币）'!AQ5*汇率!$AQ$2)*100000000</f>
        <v>2910065778036.92</v>
      </c>
    </row>
    <row r="6" spans="1:43">
      <c r="A6" s="97" t="s">
        <v>5</v>
      </c>
      <c r="B6">
        <f>('分行业工业增加值（当年人民币）'!B6*汇率!$B$2)*100000000</f>
        <v>593559540940.151</v>
      </c>
      <c r="C6">
        <f>('分行业工业增加值（当年人民币）'!C6*汇率!$C$2)*100000000</f>
        <v>572493299273.405</v>
      </c>
      <c r="D6">
        <f>('分行业工业增加值（当年人民币）'!D6*汇率!$D$2)*100000000</f>
        <v>629646795505.729</v>
      </c>
      <c r="E6">
        <f>('分行业工业增加值（当年人民币）'!E6*汇率!$E$2)*100000000</f>
        <v>653293094067.143</v>
      </c>
      <c r="F6">
        <f>('分行业工业增加值（当年人民币）'!F6*汇率!$F$2)*100000000</f>
        <v>676410936879.171</v>
      </c>
      <c r="G6">
        <f>('分行业工业增加值（当年人民币）'!G6*汇率!$G$2)*100000000</f>
        <v>698842696141.787</v>
      </c>
      <c r="H6">
        <f>('分行业工业增加值（当年人民币）'!H6*汇率!$H$2)*100000000</f>
        <v>720983386483.072</v>
      </c>
      <c r="I6">
        <f>('分行业工业增加值（当年人民币）'!I6*汇率!$I$2)*100000000</f>
        <v>742529168280.353</v>
      </c>
      <c r="J6">
        <f>('分行业工业增加值（当年人民币）'!J6*汇率!$J$2)*100000000</f>
        <v>763475136348.247</v>
      </c>
      <c r="K6">
        <f>('分行业工业增加值（当年人民币）'!K6*汇率!$K$2)*100000000</f>
        <v>784003822941.172</v>
      </c>
      <c r="L6">
        <f>('分行业工业增加值（当年人民币）'!L6*汇率!$L$2)*100000000</f>
        <v>803890263705.659</v>
      </c>
      <c r="M6">
        <f>('分行业工业增加值（当年人民币）'!M6*汇率!$M$2)*100000000</f>
        <v>823286681871.005</v>
      </c>
      <c r="N6">
        <f>('分行业工业增加值（当年人民币）'!N6*汇率!$N$2)*100000000</f>
        <v>842161954167.453</v>
      </c>
      <c r="O6">
        <f>('分行业工业增加值（当年人民币）'!O6*汇率!$O$2)*100000000</f>
        <v>860380545581.633</v>
      </c>
      <c r="P6">
        <f>('分行业工业增加值（当年人民币）'!P6*汇率!$P$2)*100000000</f>
        <v>878136298970.886</v>
      </c>
      <c r="Q6">
        <f>('分行业工业增加值（当年人民币）'!Q6*汇率!$Q$2)*100000000</f>
        <v>895340959702.455</v>
      </c>
      <c r="R6">
        <f>('分行业工业增加值（当年人民币）'!R6*汇率!$R$2)*100000000</f>
        <v>911930312233.353</v>
      </c>
      <c r="S6">
        <f>('分行业工业增加值（当年人民币）'!S6*汇率!$S$2)*100000000</f>
        <v>928074423717.245</v>
      </c>
      <c r="T6">
        <f>('分行业工业增加值（当年人民币）'!T6*汇率!$T$2)*100000000</f>
        <v>943605597820.86</v>
      </c>
      <c r="U6">
        <f>('分行业工业增加值（当年人民币）'!U6*汇率!$U$2)*100000000</f>
        <v>958732626905.389</v>
      </c>
      <c r="V6">
        <f>('分行业工业增加值（当年人民币）'!V6*汇率!$V$2)*100000000</f>
        <v>973333676060.511</v>
      </c>
      <c r="W6">
        <f>('分行业工业增加值（当年人民币）'!W6*汇率!$W$2)*100000000</f>
        <v>987303995165.497</v>
      </c>
      <c r="X6">
        <f>('分行业工业增加值（当年人民币）'!X6*汇率!$X$2)*100000000</f>
        <v>1000875259159.69</v>
      </c>
      <c r="Y6">
        <f>('分行业工业增加值（当年人民币）'!Y6*汇率!$Y$2)*100000000</f>
        <v>1013993980274.55</v>
      </c>
      <c r="Z6">
        <f>('分行业工业增加值（当年人民币）'!Z6*汇率!$Z$2)*100000000</f>
        <v>1026599068250.73</v>
      </c>
      <c r="AA6">
        <f>('分行业工业增加值（当年人民币）'!AA6*汇率!$AA$2)*100000000</f>
        <v>1038746027164.26</v>
      </c>
      <c r="AB6">
        <f>('分行业工业增加值（当年人民币）'!AB6*汇率!$AB$2)*100000000</f>
        <v>1050471869766.93</v>
      </c>
      <c r="AC6">
        <f>('分行业工业增加值（当年人民币）'!AC6*汇率!$AC$2)*100000000</f>
        <v>1061800643610.48</v>
      </c>
      <c r="AD6">
        <f>('分行业工业增加值（当年人民币）'!AD6*汇率!$AD$2)*100000000</f>
        <v>1072656496001.12</v>
      </c>
      <c r="AE6">
        <f>('分行业工业增加值（当年人民币）'!AE6*汇率!$AE$2)*100000000</f>
        <v>1083091842519.37</v>
      </c>
      <c r="AF6">
        <f>('分行业工业增加值（当年人民币）'!AF6*汇率!$AF$2)*100000000</f>
        <v>1093253041479.58</v>
      </c>
      <c r="AG6">
        <f>('分行业工业增加值（当年人民币）'!AG6*汇率!$AG$2)*100000000</f>
        <v>1102978069314.16</v>
      </c>
      <c r="AH6">
        <f>('分行业工业增加值（当年人民币）'!AH6*汇率!$AH$2)*100000000</f>
        <v>1112364243173.59</v>
      </c>
      <c r="AI6">
        <f>('分行业工业增加值（当年人民币）'!AI6*汇率!$AI$2)*100000000</f>
        <v>1121455048465.37</v>
      </c>
      <c r="AJ6">
        <f>('分行业工业增加值（当年人民币）'!AJ6*汇率!$AJ$2)*100000000</f>
        <v>1130182819943.73</v>
      </c>
      <c r="AK6">
        <f>('分行业工业增加值（当年人民币）'!AK6*汇率!$AK$2)*100000000</f>
        <v>1138668942143.96</v>
      </c>
      <c r="AL6">
        <f>('分行业工业增加值（当年人民币）'!AL6*汇率!$AL$2)*100000000</f>
        <v>1146896858910.79</v>
      </c>
      <c r="AM6">
        <f>('分行业工业增加值（当年人民币）'!AM6*汇率!$AM$2)*100000000</f>
        <v>1154888698282.49</v>
      </c>
      <c r="AN6">
        <f>('分行业工业增加值（当年人民币）'!AN6*汇率!$AN$2)*100000000</f>
        <v>1162681381036.11</v>
      </c>
      <c r="AO6">
        <f>('分行业工业增加值（当年人民币）'!AO6*汇率!$AO$2)*100000000</f>
        <v>1170271260559.7</v>
      </c>
      <c r="AP6">
        <f>('分行业工业增加值（当年人民币）'!AP6*汇率!$AP$2)*100000000</f>
        <v>1177754381845.24</v>
      </c>
      <c r="AQ6">
        <f>('分行业工业增加值（当年人民币）'!AQ6*汇率!$AQ$2)*100000000</f>
        <v>1185078308736.64</v>
      </c>
    </row>
    <row r="7" spans="1:43">
      <c r="A7" s="97" t="s">
        <v>6</v>
      </c>
      <c r="B7">
        <f>('分行业工业增加值（当年人民币）'!B7*汇率!$B$2)*100000000</f>
        <v>1317780910688.47</v>
      </c>
      <c r="C7">
        <f>('分行业工业增加值（当年人民币）'!C7*汇率!$C$2)*100000000</f>
        <v>1308340787635.79</v>
      </c>
      <c r="D7">
        <f>('分行业工业增加值（当年人民币）'!D7*汇率!$D$2)*100000000</f>
        <v>1485334321775.19</v>
      </c>
      <c r="E7">
        <f>('分行业工业增加值（当年人民币）'!E7*汇率!$E$2)*100000000</f>
        <v>1566128249370.59</v>
      </c>
      <c r="F7">
        <f>('分行业工业增加值（当年人民币）'!F7*汇率!$F$2)*100000000</f>
        <v>1647116315185.44</v>
      </c>
      <c r="G7">
        <f>('分行业工业增加值（当年人民币）'!G7*汇率!$G$2)*100000000</f>
        <v>1727449236196.7</v>
      </c>
      <c r="H7">
        <f>('分行业工业增加值（当年人民币）'!H7*汇率!$H$2)*100000000</f>
        <v>1808107424622.31</v>
      </c>
      <c r="I7">
        <f>('分行业工业增加值（当年人民币）'!I7*汇率!$I$2)*100000000</f>
        <v>1888255319548.89</v>
      </c>
      <c r="J7">
        <f>('分行业工业增加值（当年人民币）'!J7*汇率!$J$2)*100000000</f>
        <v>1967772487368.33</v>
      </c>
      <c r="K7">
        <f>('分行业工业增加值（当年人民币）'!K7*汇率!$K$2)*100000000</f>
        <v>2047356572098.58</v>
      </c>
      <c r="L7">
        <f>('分行业工业增加值（当年人民币）'!L7*汇率!$L$2)*100000000</f>
        <v>2125988719495.63</v>
      </c>
      <c r="M7">
        <f>('分行业工业增加值（当年人民币）'!M7*汇率!$M$2)*100000000</f>
        <v>2204113611279.03</v>
      </c>
      <c r="N7">
        <f>('分行业工业增加值（当年人民币）'!N7*汇率!$N$2)*100000000</f>
        <v>2281808139478.03</v>
      </c>
      <c r="O7">
        <f>('分行业工业增加值（当年人民币）'!O7*汇率!$O$2)*100000000</f>
        <v>2358375171084.68</v>
      </c>
      <c r="P7">
        <f>('分行业工业增加值（当年人民币）'!P7*汇率!$P$2)*100000000</f>
        <v>2434513370702.65</v>
      </c>
      <c r="Q7">
        <f>('分行业工业增加值（当年人民币）'!Q7*汇率!$Q$2)*100000000</f>
        <v>2509784156978.55</v>
      </c>
      <c r="R7">
        <f>('分行业工业增加值（当年人民币）'!R7*汇率!$R$2)*100000000</f>
        <v>2583835268161.24</v>
      </c>
      <c r="S7">
        <f>('分行业工业增加值（当年人民币）'!S7*汇率!$S$2)*100000000</f>
        <v>2657470973445.07</v>
      </c>
      <c r="T7">
        <f>('分行业工业增加值（当年人民币）'!T7*汇率!$T$2)*100000000</f>
        <v>2729952778884.48</v>
      </c>
      <c r="U7">
        <f>('分行业工业增加值（当年人民币）'!U7*汇率!$U$2)*100000000</f>
        <v>2801787303810.77</v>
      </c>
      <c r="V7">
        <f>('分行业工业增加值（当年人民币）'!V7*汇率!$V$2)*100000000</f>
        <v>2872709296141.22</v>
      </c>
      <c r="W7">
        <f>('分行业工业增加值（当年人民币）'!W7*汇率!$W$2)*100000000</f>
        <v>2942408246947.27</v>
      </c>
      <c r="X7">
        <f>('分行业工业增加值（当年人民币）'!X7*汇率!$X$2)*100000000</f>
        <v>3011399729729.54</v>
      </c>
      <c r="Y7">
        <f>('分行业工业增加值（当年人民币）'!Y7*汇率!$Y$2)*100000000</f>
        <v>3079480537153.48</v>
      </c>
      <c r="Z7">
        <f>('分行业工业增加值（当年人民币）'!Z7*汇率!$Z$2)*100000000</f>
        <v>3146507865370.55</v>
      </c>
      <c r="AA7">
        <f>('分行业工业增加值（当年人民币）'!AA7*汇率!$AA$2)*100000000</f>
        <v>3212638823516.7</v>
      </c>
      <c r="AB7">
        <f>('分行业工业增加值（当年人民币）'!AB7*汇率!$AB$2)*100000000</f>
        <v>3277871987325.71</v>
      </c>
      <c r="AC7">
        <f>('分行业工业增加值（当年人民币）'!AC7*汇率!$AC$2)*100000000</f>
        <v>3342310982102.97</v>
      </c>
      <c r="AD7">
        <f>('分行业工业增加值（当年人民币）'!AD7*汇率!$AD$2)*100000000</f>
        <v>3405722907697.28</v>
      </c>
      <c r="AE7">
        <f>('分行业工业增加值（当年人民币）'!AE7*汇率!$AE$2)*100000000</f>
        <v>3468123168903.22</v>
      </c>
      <c r="AF7">
        <f>('分行业工业增加值（当年人民币）'!AF7*汇率!$AF$2)*100000000</f>
        <v>3530089855200.41</v>
      </c>
      <c r="AG7">
        <f>('分行业工业增加值（当年人民币）'!AG7*汇率!$AG$2)*100000000</f>
        <v>3590978863164.71</v>
      </c>
      <c r="AH7">
        <f>('分行业工业增加值（当年人民币）'!AH7*汇率!$AH$2)*100000000</f>
        <v>3651163584886.03</v>
      </c>
      <c r="AI7">
        <f>('分行业工业增加值（当年人民币）'!AI7*汇率!$AI$2)*100000000</f>
        <v>3710650927468.94</v>
      </c>
      <c r="AJ7">
        <f>('分行业工业增加值（当年人民币）'!AJ7*汇率!$AJ$2)*100000000</f>
        <v>3769222678960.85</v>
      </c>
      <c r="AK7">
        <f>('分行业工业增加值（当年人民币）'!AK7*汇率!$AK$2)*100000000</f>
        <v>3827388315801.78</v>
      </c>
      <c r="AL7">
        <f>('分行业工业增加值（当年人民币）'!AL7*汇率!$AL$2)*100000000</f>
        <v>3884887556998.5</v>
      </c>
      <c r="AM7">
        <f>('分行业工业增加值（当年人民币）'!AM7*汇率!$AM$2)*100000000</f>
        <v>3941836100526.72</v>
      </c>
      <c r="AN7">
        <f>('分行业工业增加值（当年人民币）'!AN7*汇率!$AN$2)*100000000</f>
        <v>3998401552257.13</v>
      </c>
      <c r="AO7">
        <f>('分行业工业增加值（当年人民币）'!AO7*汇率!$AO$2)*100000000</f>
        <v>4054441879280.04</v>
      </c>
      <c r="AP7">
        <f>('分行业工业增加值（当年人民币）'!AP7*汇率!$AP$2)*100000000</f>
        <v>4110327454822.86</v>
      </c>
      <c r="AQ7">
        <f>('分行业工业增加值（当年人民币）'!AQ7*汇率!$AQ$2)*100000000</f>
        <v>4165883039439.29</v>
      </c>
    </row>
    <row r="8" spans="1:43">
      <c r="A8" s="97" t="s">
        <v>7</v>
      </c>
      <c r="B8">
        <f>('分行业工业增加值（当年人民币）'!B8*汇率!$B$2)*100000000</f>
        <v>248670653830.149</v>
      </c>
      <c r="C8">
        <f>('分行业工业增加值（当年人民币）'!C8*汇率!$C$2)*100000000</f>
        <v>218810894236.877</v>
      </c>
      <c r="D8">
        <f>('分行业工业增加值（当年人民币）'!D8*汇率!$D$2)*100000000</f>
        <v>240029379898.622</v>
      </c>
      <c r="E8">
        <f>('分行业工业增加值（当年人民币）'!E8*汇率!$E$2)*100000000</f>
        <v>257140036365.837</v>
      </c>
      <c r="F8">
        <f>('分行业工业增加值（当年人民币）'!F8*汇率!$F$2)*100000000</f>
        <v>274672285623.122</v>
      </c>
      <c r="G8">
        <f>('分行业工业增加值（当年人民币）'!G8*汇率!$G$2)*100000000</f>
        <v>292473716045.447</v>
      </c>
      <c r="H8">
        <f>('分行业工业增加值（当年人民币）'!H8*汇率!$H$2)*100000000</f>
        <v>310752167231.802</v>
      </c>
      <c r="I8">
        <f>('分行业工业增加值（当年人民币）'!I8*汇率!$I$2)*100000000</f>
        <v>329310240841.025</v>
      </c>
      <c r="J8">
        <f>('分行业工业增加值（当年人民币）'!J8*汇率!$J$2)*100000000</f>
        <v>348144698581.402</v>
      </c>
      <c r="K8">
        <f>('分行业工业增加值（当年人民币）'!K8*汇率!$K$2)*100000000</f>
        <v>367340683629.692</v>
      </c>
      <c r="L8">
        <f>('分行业工业增加值（当年人民币）'!L8*汇率!$L$2)*100000000</f>
        <v>386739295840.873</v>
      </c>
      <c r="M8">
        <f>('分行业工业增加值（当年人民币）'!M8*汇率!$M$2)*100000000</f>
        <v>406427462598.617</v>
      </c>
      <c r="N8">
        <f>('分行业工业增加值（当年人民币）'!N8*汇率!$N$2)*100000000</f>
        <v>426343342979.53</v>
      </c>
      <c r="O8">
        <f>('分行业工业增加值（当年人民币）'!O8*汇率!$O$2)*100000000</f>
        <v>446378249741.993</v>
      </c>
      <c r="P8">
        <f>('分行业工业增加值（当年人民币）'!P8*汇率!$P$2)*100000000</f>
        <v>466683369275.105</v>
      </c>
      <c r="Q8">
        <f>('分行业工业增加值（当年人民币）'!Q8*汇率!$Q$2)*100000000</f>
        <v>487145349005.399</v>
      </c>
      <c r="R8">
        <f>('分行业工业增加值（当年人民币）'!R8*汇率!$R$2)*100000000</f>
        <v>507659855977.69</v>
      </c>
      <c r="S8">
        <f>('分行业工业增加值（当年人民币）'!S8*汇率!$S$2)*100000000</f>
        <v>528384315638.473</v>
      </c>
      <c r="T8">
        <f>('分行业工业增加值（当年人民币）'!T8*汇率!$T$2)*100000000</f>
        <v>549185765199.498</v>
      </c>
      <c r="U8">
        <f>('分行业工业增加值（当年人民币）'!U8*汇率!$U$2)*100000000</f>
        <v>570168139173.801</v>
      </c>
      <c r="V8">
        <f>('分行业工业增加值（当年人民币）'!V8*汇率!$V$2)*100000000</f>
        <v>591207272928.699</v>
      </c>
      <c r="W8">
        <f>('分行业工业增加值（当年人民币）'!W8*汇率!$W$2)*100000000</f>
        <v>612263711720.236</v>
      </c>
      <c r="X8">
        <f>('分行业工业增加值（当年人民币）'!X8*汇率!$X$2)*100000000</f>
        <v>633448076836.075</v>
      </c>
      <c r="Y8">
        <f>('分行业工业增加值（当年人民币）'!Y8*汇率!$Y$2)*100000000</f>
        <v>654692044892.416</v>
      </c>
      <c r="Z8">
        <f>('分行业工业增加值（当年人民币）'!Z8*汇率!$Z$2)*100000000</f>
        <v>675958063042.558</v>
      </c>
      <c r="AA8">
        <f>('分行业工业增加值（当年人民币）'!AA8*汇率!$AA$2)*100000000</f>
        <v>697249847488.713</v>
      </c>
      <c r="AB8">
        <f>('分行业工业增加值（当年人民币）'!AB8*汇率!$AB$2)*100000000</f>
        <v>718589343354.843</v>
      </c>
      <c r="AC8">
        <f>('分行业工业增加值（当年人民币）'!AC8*汇率!$AC$2)*100000000</f>
        <v>740009534127.534</v>
      </c>
      <c r="AD8">
        <f>('分行业工业增加值（当年人民币）'!AD8*汇率!$AD$2)*100000000</f>
        <v>761444185730.967</v>
      </c>
      <c r="AE8">
        <f>('分行业工业增加值（当年人民币）'!AE8*汇率!$AE$2)*100000000</f>
        <v>782869464645.18</v>
      </c>
      <c r="AF8">
        <f>('分行业工业增加值（当年人民币）'!AF8*汇率!$AF$2)*100000000</f>
        <v>804450416664.939</v>
      </c>
      <c r="AG8">
        <f>('分行业工业增加值（当年人民币）'!AG8*汇率!$AG$2)*100000000</f>
        <v>826035041736.07</v>
      </c>
      <c r="AH8">
        <f>('分行业工业增加值（当年人民币）'!AH8*汇率!$AH$2)*100000000</f>
        <v>847715544502.722</v>
      </c>
      <c r="AI8">
        <f>('分行业工业增加值（当年人民币）'!AI8*汇率!$AI$2)*100000000</f>
        <v>869502571890.895</v>
      </c>
      <c r="AJ8">
        <f>('分行业工业增加值（当年人民币）'!AJ8*汇率!$AJ$2)*100000000</f>
        <v>891349406638.822</v>
      </c>
      <c r="AK8">
        <f>('分行业工业增加值（当年人民币）'!AK8*汇率!$AK$2)*100000000</f>
        <v>913377877577.301</v>
      </c>
      <c r="AL8">
        <f>('分行业工业增加值（当年人民币）'!AL8*汇率!$AL$2)*100000000</f>
        <v>935583757465.09</v>
      </c>
      <c r="AM8">
        <f>('分行业工业增加值（当年人民币）'!AM8*汇率!$AM$2)*100000000</f>
        <v>957992653211.442</v>
      </c>
      <c r="AN8">
        <f>('分行业工业增加值（当年人民币）'!AN8*汇率!$AN$2)*100000000</f>
        <v>980666404206.073</v>
      </c>
      <c r="AO8">
        <f>('分行业工业增加值（当年人民币）'!AO8*汇率!$AO$2)*100000000</f>
        <v>1003597015384.25</v>
      </c>
      <c r="AP8">
        <f>('分行业工业增加值（当年人民币）'!AP8*汇率!$AP$2)*100000000</f>
        <v>1026906879674.02</v>
      </c>
      <c r="AQ8">
        <f>('分行业工业增加值（当年人民币）'!AQ8*汇率!$AQ$2)*100000000</f>
        <v>1050618001507.42</v>
      </c>
    </row>
    <row r="9" spans="1:43">
      <c r="A9" s="97" t="s">
        <v>8</v>
      </c>
      <c r="B9">
        <f>('分行业工业增加值（当年人民币）'!B9*汇率!$B$2)*100000000</f>
        <v>1062266415401.56</v>
      </c>
      <c r="C9">
        <f>('分行业工业增加值（当年人民币）'!C9*汇率!$C$2)*100000000</f>
        <v>1160126796618.74</v>
      </c>
      <c r="D9">
        <f>('分行业工业增加值（当年人民币）'!D9*汇率!$D$2)*100000000</f>
        <v>1226777322244.41</v>
      </c>
      <c r="E9">
        <f>('分行业工业增加值（当年人民币）'!E9*汇率!$E$2)*100000000</f>
        <v>1330135713131.26</v>
      </c>
      <c r="F9">
        <f>('分行业工业增加值（当年人民币）'!F9*汇率!$F$2)*100000000</f>
        <v>1437178713577.14</v>
      </c>
      <c r="G9">
        <f>('分行业工业增加值（当年人民币）'!G9*汇率!$G$2)*100000000</f>
        <v>1546656486642.12</v>
      </c>
      <c r="H9">
        <f>('分行业工业增加值（当年人民币）'!H9*汇率!$H$2)*100000000</f>
        <v>1659867365912.85</v>
      </c>
      <c r="I9">
        <f>('分行业工业增加值（当年人民币）'!I9*汇率!$I$2)*100000000</f>
        <v>1775749245688.57</v>
      </c>
      <c r="J9">
        <f>('分行业工业增加值（当年人民币）'!J9*汇率!$J$2)*100000000</f>
        <v>1894149435713.45</v>
      </c>
      <c r="K9">
        <f>('分行业工业增加值（当年人民币）'!K9*汇率!$K$2)*100000000</f>
        <v>2016014222130.28</v>
      </c>
      <c r="L9">
        <f>('分行业工业增加值（当年人民币）'!L9*汇率!$L$2)*100000000</f>
        <v>2139845284604.64</v>
      </c>
      <c r="M9">
        <f>('分行业工业增加值（当年人民币）'!M9*汇率!$M$2)*100000000</f>
        <v>2266259599162.31</v>
      </c>
      <c r="N9">
        <f>('分行业工业增加值（当年人民币）'!N9*汇率!$N$2)*100000000</f>
        <v>2395440202777.02</v>
      </c>
      <c r="O9">
        <f>('分行业工业增加值（当年人民币）'!O9*汇率!$O$2)*100000000</f>
        <v>2526462424540.86</v>
      </c>
      <c r="P9">
        <f>('分行业工业增加值（当年人民币）'!P9*汇率!$P$2)*100000000</f>
        <v>2660134590506.71</v>
      </c>
      <c r="Q9">
        <f>('分行业工业增加值（当年人民币）'!Q9*汇率!$Q$2)*100000000</f>
        <v>2796019254903.14</v>
      </c>
      <c r="R9">
        <f>('分行业工业增加值（当年人民币）'!R9*汇率!$R$2)*100000000</f>
        <v>2933497544851.94</v>
      </c>
      <c r="S9">
        <f>('分行业工业增加值（当年人民币）'!S9*汇率!$S$2)*100000000</f>
        <v>3073869082243.86</v>
      </c>
      <c r="T9">
        <f>('分行业工业增加值（当年人民币）'!T9*汇率!$T$2)*100000000</f>
        <v>3215835321793.6</v>
      </c>
      <c r="U9">
        <f>('分行业工业增加值（当年人民币）'!U9*汇率!$U$2)*100000000</f>
        <v>3360240127633.11</v>
      </c>
      <c r="V9">
        <f>('分行业工业增加值（当年人民币）'!V9*汇率!$V$2)*100000000</f>
        <v>3506692944742.19</v>
      </c>
      <c r="W9">
        <f>('分行业工业增加值（当年人民币）'!W9*汇率!$W$2)*100000000</f>
        <v>3654700320921.93</v>
      </c>
      <c r="X9">
        <f>('分行业工业增加值（当年人民币）'!X9*汇率!$X$2)*100000000</f>
        <v>3805049347075.2</v>
      </c>
      <c r="Y9">
        <f>('分行业工业增加值（当年人民币）'!Y9*汇率!$Y$2)*100000000</f>
        <v>3957474042027.68</v>
      </c>
      <c r="Z9">
        <f>('分行业工业增加值（当年人民币）'!Z9*汇率!$Z$2)*100000000</f>
        <v>4111614783294.73</v>
      </c>
      <c r="AA9">
        <f>('分行业工业增加值（当年人民币）'!AA9*汇率!$AA$2)*100000000</f>
        <v>4267890569288.54</v>
      </c>
      <c r="AB9">
        <f>('分行业工业增加值（当年人民币）'!AB9*汇率!$AB$2)*100000000</f>
        <v>4426067131129.25</v>
      </c>
      <c r="AC9">
        <f>('分行业工业增加值（当年人民币）'!AC9*汇率!$AC$2)*100000000</f>
        <v>4586530680196.51</v>
      </c>
      <c r="AD9">
        <f>('分行业工业增加值（当年人民币）'!AD9*汇率!$AD$2)*100000000</f>
        <v>4748704905377.8</v>
      </c>
      <c r="AE9">
        <f>('分行业工业增加值（当年人民币）'!AE9*汇率!$AE$2)*100000000</f>
        <v>4912487669432.24</v>
      </c>
      <c r="AF9">
        <f>('分行业工业增加值（当年人民币）'!AF9*汇率!$AF$2)*100000000</f>
        <v>5079020416572.15</v>
      </c>
      <c r="AG9">
        <f>('分行业工业增加值（当年人民币）'!AG9*汇率!$AG$2)*100000000</f>
        <v>5246949654543.22</v>
      </c>
      <c r="AH9">
        <f>('分行业工业增加值（当年人民币）'!AH9*汇率!$AH$2)*100000000</f>
        <v>5416840882115.31</v>
      </c>
      <c r="AI9">
        <f>('分行业工业增加值（当年人民币）'!AI9*汇率!$AI$2)*100000000</f>
        <v>5588706283704.8</v>
      </c>
      <c r="AJ9">
        <f>('分行业工业增加值（当年人民币）'!AJ9*汇率!$AJ$2)*100000000</f>
        <v>5762007522971.76</v>
      </c>
      <c r="AK9">
        <f>('分行业工业增加值（当年人民币）'!AK9*汇率!$AK$2)*100000000</f>
        <v>5937582496673.71</v>
      </c>
      <c r="AL9">
        <f>('分行业工业增加值（当年人民币）'!AL9*汇率!$AL$2)*100000000</f>
        <v>6114684508887.93</v>
      </c>
      <c r="AM9">
        <f>('分行业工业增加值（当年人民币）'!AM9*汇率!$AM$2)*100000000</f>
        <v>6293389478631.89</v>
      </c>
      <c r="AN9">
        <f>('分行业工业增加值（当年人民币）'!AN9*汇率!$AN$2)*100000000</f>
        <v>6473788948981.54</v>
      </c>
      <c r="AO9">
        <f>('分行业工业增加值（当年人民币）'!AO9*汇率!$AO$2)*100000000</f>
        <v>6655430436172.82</v>
      </c>
      <c r="AP9">
        <f>('分行业工业增加值（当年人民币）'!AP9*汇率!$AP$2)*100000000</f>
        <v>6838927523639.15</v>
      </c>
      <c r="AQ9">
        <f>('分行业工业增加值（当年人民币）'!AQ9*汇率!$AQ$2)*100000000</f>
        <v>7023309229589.33</v>
      </c>
    </row>
    <row r="10" spans="1:43">
      <c r="A10" s="97" t="s">
        <v>9</v>
      </c>
      <c r="B10">
        <f>('分行业工业增加值（当年人民币）'!B10*汇率!$B$2)*100000000</f>
        <v>961773724575.542</v>
      </c>
      <c r="C10">
        <f>('分行业工业增加值（当年人民币）'!C10*汇率!$C$2)*100000000</f>
        <v>1026154144746.35</v>
      </c>
      <c r="D10">
        <f>('分行业工业增加值（当年人民币）'!D10*汇率!$D$2)*100000000</f>
        <v>1044049414403.83</v>
      </c>
      <c r="E10">
        <f>('分行业工业增加值（当年人民币）'!E10*汇率!$E$2)*100000000</f>
        <v>1102072478800.81</v>
      </c>
      <c r="F10">
        <f>('分行业工业增加值（当年人民币）'!F10*汇率!$F$2)*100000000</f>
        <v>1160584722796.16</v>
      </c>
      <c r="G10">
        <f>('分行业工业增加值（当年人民币）'!G10*汇率!$G$2)*100000000</f>
        <v>1219064686732.16</v>
      </c>
      <c r="H10">
        <f>('分行业工业增加值（当年人民币）'!H10*汇率!$H$2)*100000000</f>
        <v>1278302141818.25</v>
      </c>
      <c r="I10">
        <f>('分行业工业增加值（当年人民币）'!I10*汇率!$I$2)*100000000</f>
        <v>1337662737012.5</v>
      </c>
      <c r="J10">
        <f>('分行业工业增加值（当年人民币）'!J10*汇率!$J$2)*100000000</f>
        <v>1397098611243.4</v>
      </c>
      <c r="K10">
        <f>('分行业工业增加值（当年人民币）'!K10*汇率!$K$2)*100000000</f>
        <v>1456897967166.39</v>
      </c>
      <c r="L10">
        <f>('分行业工业增加值（当年人民币）'!L10*汇率!$L$2)*100000000</f>
        <v>1516498784715.45</v>
      </c>
      <c r="M10">
        <f>('分行业工业增加值（当年人民币）'!M10*汇率!$M$2)*100000000</f>
        <v>1576207589989.98</v>
      </c>
      <c r="N10">
        <f>('分行业工业增加值（当年人民币）'!N10*汇率!$N$2)*100000000</f>
        <v>1635982112238.1</v>
      </c>
      <c r="O10">
        <f>('分行业工业增加值（当年人民币）'!O10*汇率!$O$2)*100000000</f>
        <v>1695417066379.95</v>
      </c>
      <c r="P10">
        <f>('分行业工业增加值（当年人民币）'!P10*汇率!$P$2)*100000000</f>
        <v>1754897995081.81</v>
      </c>
      <c r="Q10">
        <f>('分行业工业增加值（当年人民币）'!Q10*汇率!$Q$2)*100000000</f>
        <v>1814141726737.08</v>
      </c>
      <c r="R10">
        <f>('分行业工业增加值（当年人民币）'!R10*汇率!$R$2)*100000000</f>
        <v>1872986835871.81</v>
      </c>
      <c r="S10">
        <f>('分行业工业增加值（当年人民币）'!S10*汇率!$S$2)*100000000</f>
        <v>1931798498702.41</v>
      </c>
      <c r="T10">
        <f>('分行业工业增加值（当年人民币）'!T10*汇率!$T$2)*100000000</f>
        <v>1990126406027.41</v>
      </c>
      <c r="U10">
        <f>('分行业工业增加值（当年人民币）'!U10*汇率!$U$2)*100000000</f>
        <v>2048338918097.81</v>
      </c>
      <c r="V10">
        <f>('分行业工业增加值（当年人民币）'!V10*汇率!$V$2)*100000000</f>
        <v>2106221463089.85</v>
      </c>
      <c r="W10">
        <f>('分行业工业增加值（当年人民币）'!W10*汇率!$W$2)*100000000</f>
        <v>2163520257379.96</v>
      </c>
      <c r="X10">
        <f>('分行业工业增加值（当年人民币）'!X10*汇率!$X$2)*100000000</f>
        <v>2220608067749.71</v>
      </c>
      <c r="Y10">
        <f>('分行业工业增加值（当年人民币）'!Y10*汇率!$Y$2)*100000000</f>
        <v>2277324111362.71</v>
      </c>
      <c r="Z10">
        <f>('分行业工业增加值（当年人民币）'!Z10*汇率!$Z$2)*100000000</f>
        <v>2333574502615.82</v>
      </c>
      <c r="AA10">
        <f>('分行业工业增加值（当年人民币）'!AA10*汇率!$AA$2)*100000000</f>
        <v>2389402355300.99</v>
      </c>
      <c r="AB10">
        <f>('分行业工业增加值（当年人民币）'!AB10*汇率!$AB$2)*100000000</f>
        <v>2444862011734.66</v>
      </c>
      <c r="AC10">
        <f>('分行业工业增加值（当年人民币）'!AC10*汇率!$AC$2)*100000000</f>
        <v>2500032145386.92</v>
      </c>
      <c r="AD10">
        <f>('分行业工业增加值（当年人民币）'!AD10*汇率!$AD$2)*100000000</f>
        <v>2554656448377.36</v>
      </c>
      <c r="AE10">
        <f>('分行业工业增加值（当年人民币）'!AE10*汇率!$AE$2)*100000000</f>
        <v>2608869026737.56</v>
      </c>
      <c r="AF10">
        <f>('分行业工业增加值（当年人民币）'!AF10*汇率!$AF$2)*100000000</f>
        <v>2662987623796.62</v>
      </c>
      <c r="AG10">
        <f>('分行业工业增加值（当年人民币）'!AG10*汇率!$AG$2)*100000000</f>
        <v>2716597310059.71</v>
      </c>
      <c r="AH10">
        <f>('分行业工业增加值（当年人民币）'!AH10*汇率!$AH$2)*100000000</f>
        <v>2769941939906.03</v>
      </c>
      <c r="AI10">
        <f>('分行业工业增加值（当年人民币）'!AI10*汇率!$AI$2)*100000000</f>
        <v>2823087062994.9</v>
      </c>
      <c r="AJ10">
        <f>('分行业工业增加值（当年人民币）'!AJ10*汇率!$AJ$2)*100000000</f>
        <v>2875911437779.65</v>
      </c>
      <c r="AK10">
        <f>('分行业工业增加值（当年人民币）'!AK10*汇率!$AK$2)*100000000</f>
        <v>2928707870159.28</v>
      </c>
      <c r="AL10">
        <f>('分行业工业增加值（当年人民币）'!AL10*汇率!$AL$2)*100000000</f>
        <v>2981406532018.91</v>
      </c>
      <c r="AM10">
        <f>('分行业工业增加值（当年人民币）'!AM10*汇率!$AM$2)*100000000</f>
        <v>3034100856003.69</v>
      </c>
      <c r="AN10">
        <f>('分行业工业增加值（当年人民币）'!AN10*汇率!$AN$2)*100000000</f>
        <v>3086920617787.18</v>
      </c>
      <c r="AO10">
        <f>('分行业工业增加值（当年人民币）'!AO10*汇率!$AO$2)*100000000</f>
        <v>3139847657385.68</v>
      </c>
      <c r="AP10">
        <f>('分行业工业增加值（当年人民币）'!AP10*汇率!$AP$2)*100000000</f>
        <v>3193115317300.1</v>
      </c>
      <c r="AQ10">
        <f>('分行业工业增加值（当年人民币）'!AQ10*汇率!$AQ$2)*100000000</f>
        <v>3246722401058.18</v>
      </c>
    </row>
    <row r="11" spans="1:43">
      <c r="A11" s="98" t="s">
        <v>10</v>
      </c>
      <c r="B11">
        <f>('分行业工业增加值（当年人民币）'!B11*汇率!$B$2)*100000000</f>
        <v>3097634006387.25</v>
      </c>
      <c r="C11">
        <f>('分行业工业增加值（当年人民币）'!C11*汇率!$C$2)*100000000</f>
        <v>4167967871168.8</v>
      </c>
      <c r="D11">
        <f>('分行业工业增加值（当年人民币）'!D11*汇率!$D$2)*100000000</f>
        <v>3911591268628.54</v>
      </c>
      <c r="E11">
        <f>('分行业工业增加值（当年人民币）'!E11*汇率!$E$2)*100000000</f>
        <v>4263161255610.65</v>
      </c>
      <c r="F11">
        <f>('分行业工业增加值（当年人民币）'!F11*汇率!$F$2)*100000000</f>
        <v>4623584583391.35</v>
      </c>
      <c r="G11">
        <f>('分行业工业增加值（当年人民币）'!G11*汇率!$G$2)*100000000</f>
        <v>4987441084838.17</v>
      </c>
      <c r="H11">
        <f>('分行业工业增加值（当年人民币）'!H11*汇率!$H$2)*100000000</f>
        <v>5360691917951.61</v>
      </c>
      <c r="I11">
        <f>('分行业工业增加值（当年人民币）'!I11*汇率!$I$2)*100000000</f>
        <v>5736029732713.83</v>
      </c>
      <c r="J11">
        <f>('分行业工业增加值（当年人民币）'!J11*汇率!$J$2)*100000000</f>
        <v>6113213476505.82</v>
      </c>
      <c r="K11">
        <f>('分行业工业增加值（当年人民币）'!K11*汇率!$K$2)*100000000</f>
        <v>6494262898267.09</v>
      </c>
      <c r="L11">
        <f>('分行业工业增加值（当年人民币）'!L11*汇率!$L$2)*100000000</f>
        <v>6873240594696.72</v>
      </c>
      <c r="M11">
        <f>('分行业工业增加值（当年人民币）'!M11*汇率!$M$2)*100000000</f>
        <v>7252424400774.5</v>
      </c>
      <c r="N11">
        <f>('分行业工业增加值（当年人民币）'!N11*汇率!$N$2)*100000000</f>
        <v>7630456814693.67</v>
      </c>
      <c r="O11">
        <f>('分行业工业增加值（当年人民币）'!O11*汇率!$O$2)*100000000</f>
        <v>8004151423730.47</v>
      </c>
      <c r="P11">
        <f>('分行业工业增加值（当年人民币）'!P11*汇率!$P$2)*100000000</f>
        <v>8376323640509.5</v>
      </c>
      <c r="Q11">
        <f>('分行业工业增加值（当年人民币）'!Q11*汇率!$Q$2)*100000000</f>
        <v>8743632496775</v>
      </c>
      <c r="R11">
        <f>('分行业工业增加值（当年人民币）'!R11*汇率!$R$2)*100000000</f>
        <v>9104642990928.99</v>
      </c>
      <c r="S11">
        <f>('分行业工业增加值（当年人民币）'!S11*汇率!$S$2)*100000000</f>
        <v>9462672697008.9</v>
      </c>
      <c r="T11">
        <f>('分行业工业增加值（当年人民币）'!T11*汇率!$T$2)*100000000</f>
        <v>9813442931291.69</v>
      </c>
      <c r="U11">
        <f>('分行业工业增加值（当年人民币）'!U11*汇率!$U$2)*100000000</f>
        <v>10160108529873</v>
      </c>
      <c r="V11">
        <f>('分行业工业增加值（当年人民币）'!V11*汇率!$V$2)*100000000</f>
        <v>10499975134406.1</v>
      </c>
      <c r="W11">
        <f>('分行业工业增加值（当年人民币）'!W11*汇率!$W$2)*100000000</f>
        <v>10831845001823.2</v>
      </c>
      <c r="X11">
        <f>('分行业工业增加值（当年人民币）'!X11*汇率!$X$2)*100000000</f>
        <v>11158387500778.5</v>
      </c>
      <c r="Y11">
        <f>('分行业工业增加值（当年人民币）'!Y11*汇率!$Y$2)*100000000</f>
        <v>11477881758775.4</v>
      </c>
      <c r="Z11">
        <f>('分行业工业增加值（当年人民币）'!Z11*汇率!$Z$2)*100000000</f>
        <v>11789911726509.7</v>
      </c>
      <c r="AA11">
        <f>('分行业工业增加值（当年人民币）'!AA11*汇率!$AA$2)*100000000</f>
        <v>12094516515979.3</v>
      </c>
      <c r="AB11">
        <f>('分行业工业增加值（当年人民币）'!AB11*汇率!$AB$2)*100000000</f>
        <v>12392059774128.2</v>
      </c>
      <c r="AC11">
        <f>('分行业工业增加值（当年人民币）'!AC11*汇率!$AC$2)*100000000</f>
        <v>12683169804907.1</v>
      </c>
      <c r="AD11">
        <f>('分行业工业增加值（当年人民币）'!AD11*汇率!$AD$2)*100000000</f>
        <v>12966004413755.3</v>
      </c>
      <c r="AE11">
        <f>('分行业工业增加值（当年人民币）'!AE11*汇率!$AE$2)*100000000</f>
        <v>13240769008395.4</v>
      </c>
      <c r="AF11">
        <f>('分行业工业增加值（当年人民币）'!AF11*汇率!$AF$2)*100000000</f>
        <v>13510097633976.4</v>
      </c>
      <c r="AG11">
        <f>('分行业工业增加值（当年人民币）'!AG11*汇率!$AG$2)*100000000</f>
        <v>13771032996897.2</v>
      </c>
      <c r="AH11">
        <f>('分行业工业增加值（当年人民币）'!AH11*汇率!$AH$2)*100000000</f>
        <v>14025034489648.7</v>
      </c>
      <c r="AI11">
        <f>('分行业工业增加值（当年人民币）'!AI11*汇率!$AI$2)*100000000</f>
        <v>14272064148656.5</v>
      </c>
      <c r="AJ11">
        <f>('分行业工业增加值（当年人民币）'!AJ11*汇率!$AJ$2)*100000000</f>
        <v>14511372626186.2</v>
      </c>
      <c r="AK11">
        <f>('分行业工业增加值（当年人民币）'!AK11*汇率!$AK$2)*100000000</f>
        <v>14744788801590.6</v>
      </c>
      <c r="AL11">
        <f>('分行业工业增加值（当年人民币）'!AL11*汇率!$AL$2)*100000000</f>
        <v>14971374466440.5</v>
      </c>
      <c r="AM11">
        <f>('分行业工业增加值（当年人民币）'!AM11*汇率!$AM$2)*100000000</f>
        <v>15191608822002.7</v>
      </c>
      <c r="AN11">
        <f>('分行业工业增加值（当年人民币）'!AN11*汇率!$AN$2)*100000000</f>
        <v>15405644280202.1</v>
      </c>
      <c r="AO11">
        <f>('分行业工业增加值（当年人民币）'!AO11*汇率!$AO$2)*100000000</f>
        <v>15613385562337.2</v>
      </c>
      <c r="AP11">
        <f>('分行业工业增加值（当年人民币）'!AP11*汇率!$AP$2)*100000000</f>
        <v>15815837405787.8</v>
      </c>
      <c r="AQ11">
        <f>('分行业工业增加值（当年人民币）'!AQ11*汇率!$AQ$2)*100000000</f>
        <v>16012371254583</v>
      </c>
    </row>
    <row r="12" spans="1:1">
      <c r="A12" s="99"/>
    </row>
    <row r="13" spans="1:43">
      <c r="A13" s="100" t="s">
        <v>3</v>
      </c>
      <c r="B13">
        <f>('分行业工业增加值（当年人民币）'!B13*汇率!$B$2)*100000000</f>
        <v>4327367463142.85</v>
      </c>
      <c r="C13">
        <f>('分行业工业增加值（当年人民币）'!C13*汇率!$C$2)*100000000</f>
        <v>4306625831467.02</v>
      </c>
      <c r="D13">
        <f>('分行业工业增加值（当年人民币）'!D13*汇率!$D$2)*100000000</f>
        <v>4964175057819.96</v>
      </c>
      <c r="E13">
        <f>('分行业工业增加值（当年人民币）'!E13*汇率!$E$2)*100000000</f>
        <v>5098886010934.98</v>
      </c>
      <c r="F13">
        <f>('分行业工业增加值（当年人民币）'!F13*汇率!$F$2)*100000000</f>
        <v>5222535012490.86</v>
      </c>
      <c r="G13">
        <f>('分行业工业增加值（当年人民币）'!G13*汇率!$G$2)*100000000</f>
        <v>5335792583997.64</v>
      </c>
      <c r="H13">
        <f>('分行业工业增加值（当年人民币）'!H13*汇率!$H$2)*100000000</f>
        <v>5439383110793.86</v>
      </c>
      <c r="I13">
        <f>('分行业工业增加值（当年人民币）'!I13*汇率!$I$2)*100000000</f>
        <v>5534048693362.36</v>
      </c>
      <c r="J13">
        <f>('分行业工业增加值（当年人民币）'!J13*汇率!$J$2)*100000000</f>
        <v>5620522917024.64</v>
      </c>
      <c r="K13">
        <f>('分行业工业增加值（当年人民币）'!K13*汇率!$K$2)*100000000</f>
        <v>5699512814569.1</v>
      </c>
      <c r="L13">
        <f>('分行业工业增加值（当年人民币）'!L13*汇率!$L$2)*100000000</f>
        <v>5771687289234.7</v>
      </c>
      <c r="M13">
        <f>('分行业工业增加值（当年人民币）'!M13*汇率!$M$2)*100000000</f>
        <v>5837670437943.24</v>
      </c>
      <c r="N13">
        <f>('分行业工业增加值（当年人民币）'!N13*汇率!$N$2)*100000000</f>
        <v>5898038461154.96</v>
      </c>
      <c r="O13">
        <f>('分行业工业增加值（当年人民币）'!O13*汇率!$O$2)*100000000</f>
        <v>5953319103961.06</v>
      </c>
      <c r="P13">
        <f>('分行业工业增加值（当年人民币）'!P13*汇率!$P$2)*100000000</f>
        <v>6003992810448.25</v>
      </c>
      <c r="Q13">
        <f>('分行业工业增加值（当年人民币）'!Q13*汇率!$Q$2)*100000000</f>
        <v>6050494976060.16</v>
      </c>
      <c r="R13">
        <f>('分行业工业增加值（当年人民币）'!R13*汇率!$R$2)*100000000</f>
        <v>6093218847476.09</v>
      </c>
      <c r="S13">
        <f>('分行业工业增加值（当年人民币）'!S13*汇率!$S$2)*100000000</f>
        <v>6132518748863.66</v>
      </c>
      <c r="T13">
        <f>('分行业工业增加值（当年人民币）'!T13*汇率!$T$2)*100000000</f>
        <v>6168713412106.53</v>
      </c>
      <c r="U13">
        <f>('分行业工业增加值（当年人民币）'!U13*汇率!$U$2)*100000000</f>
        <v>6202089262271.78</v>
      </c>
      <c r="V13">
        <f>('分行业工业增加值（当年人民币）'!V13*汇率!$V$2)*100000000</f>
        <v>6232903563406.73</v>
      </c>
      <c r="W13">
        <f>('分行业工业增加值（当年人民币）'!W13*汇率!$W$2)*100000000</f>
        <v>6261387368293.16</v>
      </c>
      <c r="X13">
        <f>('分行业工业增加值（当年人民币）'!X13*汇率!$X$2)*100000000</f>
        <v>6287748242798.34</v>
      </c>
      <c r="Y13">
        <f>('分行业工业增加值（当年人民币）'!Y13*汇率!$Y$2)*100000000</f>
        <v>6312172753933.62</v>
      </c>
      <c r="Z13">
        <f>('分行业工业增加值（当年人民币）'!Z13*汇率!$Z$2)*100000000</f>
        <v>6334828722979.51</v>
      </c>
      <c r="AA13">
        <f>('分行业工业增加值（当年人民币）'!AA13*汇率!$AA$2)*100000000</f>
        <v>6355867252818.32</v>
      </c>
      <c r="AB13">
        <f>('分行业工业增加值（当年人民币）'!AB13*汇率!$AB$2)*100000000</f>
        <v>6375424543245.52</v>
      </c>
      <c r="AC13">
        <f>('分行业工业增加值（当年人民币）'!AC13*汇率!$AC$2)*100000000</f>
        <v>6393623510476.45</v>
      </c>
      <c r="AD13">
        <f>('分行业工业增加值（当年人民币）'!AD13*汇率!$AD$2)*100000000</f>
        <v>6410575228028.6</v>
      </c>
      <c r="AE13">
        <f>('分行业工业增加值（当年人民币）'!AE13*汇率!$AE$2)*100000000</f>
        <v>6426380206147.12</v>
      </c>
      <c r="AF13">
        <f>('分行业工业增加值（当年人民币）'!AF13*汇率!$AF$2)*100000000</f>
        <v>6441129526310.7</v>
      </c>
      <c r="AG13">
        <f>('分行业工业增加值（当年人民币）'!AG13*汇率!$AG$2)*100000000</f>
        <v>6454905846357.11</v>
      </c>
      <c r="AH13">
        <f>('分行业工业增加值（当年人民币）'!AH13*汇率!$AH$2)*100000000</f>
        <v>6467784290574.07</v>
      </c>
      <c r="AI13">
        <f>('分行业工业增加值（当年人民币）'!AI13*汇率!$AI$2)*100000000</f>
        <v>6479833237829.87</v>
      </c>
      <c r="AJ13">
        <f>('分行业工业增加值（当年人民币）'!AJ13*汇率!$AJ$2)*100000000</f>
        <v>6491115019543.04</v>
      </c>
      <c r="AK13">
        <f>('分行业工业增加值（当年人民币）'!AK13*汇率!$AK$2)*100000000</f>
        <v>6501686538061.62</v>
      </c>
      <c r="AL13">
        <f>('分行业工业增加值（当年人民币）'!AL13*汇率!$AL$2)*100000000</f>
        <v>6511599814867.65</v>
      </c>
      <c r="AM13">
        <f>('分行业工业增加值（当年人民币）'!AM13*汇率!$AM$2)*100000000</f>
        <v>6520902476956.46</v>
      </c>
      <c r="AN13">
        <f>('分行业工业增加值（当年人民币）'!AN13*汇率!$AN$2)*100000000</f>
        <v>6529638188770.39</v>
      </c>
      <c r="AO13">
        <f>('分行业工业增加值（当年人民币）'!AO13*汇率!$AO$2)*100000000</f>
        <v>6537847036191.72</v>
      </c>
      <c r="AP13">
        <f>('分行业工业增加值（当年人民币）'!AP13*汇率!$AP$2)*100000000</f>
        <v>6545565868317.12</v>
      </c>
      <c r="AQ13">
        <f>('分行业工业增加值（当年人民币）'!AQ13*汇率!$AQ$2)*100000000</f>
        <v>6552828602040.75</v>
      </c>
    </row>
    <row r="14" spans="1:43">
      <c r="A14" s="101" t="s">
        <v>11</v>
      </c>
      <c r="B14">
        <f>('分行业工业增加值（当年人民币）'!B14*汇率!$B$2)*100000000</f>
        <v>121045761682.207</v>
      </c>
      <c r="C14">
        <f>('分行业工业增加值（当年人民币）'!C14*汇率!$C$2)*100000000</f>
        <v>143749828011.041</v>
      </c>
      <c r="D14">
        <f>('分行业工业增加值（当年人民币）'!D14*汇率!$D$2)*100000000</f>
        <v>145490032972.614</v>
      </c>
      <c r="E14">
        <f>('分行业工业增加值（当年人民币）'!E14*汇率!$E$2)*100000000</f>
        <v>147046437717.261</v>
      </c>
      <c r="F14">
        <f>('分行业工业增加值（当年人民币）'!F14*汇率!$F$2)*100000000</f>
        <v>148344428948.986</v>
      </c>
      <c r="G14">
        <f>('分行业工业增加值（当年人民币）'!G14*汇率!$G$2)*100000000</f>
        <v>149410173462.06</v>
      </c>
      <c r="H14">
        <f>('分行业工业增加值（当年人民币）'!H14*汇率!$H$2)*100000000</f>
        <v>150269298237.492</v>
      </c>
      <c r="I14">
        <f>('分行业工业增加值（当年人民币）'!I14*汇率!$I$2)*100000000</f>
        <v>150946148650.686</v>
      </c>
      <c r="J14">
        <f>('分行业工业增加值（当年人民币）'!J14*汇率!$J$2)*100000000</f>
        <v>151463337685.055</v>
      </c>
      <c r="K14">
        <f>('分行业工业增加值（当年人民币）'!K14*汇率!$K$2)*100000000</f>
        <v>151841513663.154</v>
      </c>
      <c r="L14">
        <f>('分行业工业增加值（当年人民币）'!L14*汇率!$L$2)*100000000</f>
        <v>152099284239.799</v>
      </c>
      <c r="M14">
        <f>('分行业工业增加值（当年人民币）'!M14*汇率!$M$2)*100000000</f>
        <v>152253246573.845</v>
      </c>
      <c r="N14">
        <f>('分行业工业增加值（当年人民币）'!N14*汇率!$N$2)*100000000</f>
        <v>152318085305.447</v>
      </c>
      <c r="O14">
        <f>('分行业工业增加值（当年人民币）'!O14*汇率!$O$2)*100000000</f>
        <v>152306710102.364</v>
      </c>
      <c r="P14">
        <f>('分行业工业增加值（当年人民币）'!P14*汇率!$P$2)*100000000</f>
        <v>152230412756.636</v>
      </c>
      <c r="Q14">
        <f>('分行业工业增加值（当年人民币）'!Q14*汇率!$Q$2)*100000000</f>
        <v>152099030173.541</v>
      </c>
      <c r="R14">
        <f>('分行业工业增加值（当年人民币）'!R14*汇率!$R$2)*100000000</f>
        <v>151921104343.411</v>
      </c>
      <c r="S14">
        <f>('分行业工业增加值（当年人民币）'!S14*汇率!$S$2)*100000000</f>
        <v>151704033824.666</v>
      </c>
      <c r="T14">
        <f>('分行业工业增加值（当年人民币）'!T14*汇率!$T$2)*100000000</f>
        <v>151454213684.743</v>
      </c>
      <c r="U14">
        <f>('分行业工业增加值（当年人民币）'!U14*汇率!$U$2)*100000000</f>
        <v>151177162496.678</v>
      </c>
      <c r="V14">
        <f>('分行业工业增加值（当年人民币）'!V14*汇率!$V$2)*100000000</f>
        <v>150877636078.484</v>
      </c>
      <c r="W14">
        <f>('分行业工业增加值（当年人民币）'!W14*汇率!$W$2)*100000000</f>
        <v>150559728350.118</v>
      </c>
      <c r="X14">
        <f>('分行业工业增加值（当年人民币）'!X14*汇率!$X$2)*100000000</f>
        <v>150226960089.517</v>
      </c>
      <c r="Y14">
        <f>('分行业工业增加值（当年人民币）'!Y14*汇率!$Y$2)*100000000</f>
        <v>149882356584.192</v>
      </c>
      <c r="Z14">
        <f>('分行业工业增加值（当年人民币）'!Z14*汇率!$Z$2)*100000000</f>
        <v>149528515262.366</v>
      </c>
      <c r="AA14">
        <f>('分行业工业增加值（当年人民币）'!AA14*汇率!$AA$2)*100000000</f>
        <v>149167664393.309</v>
      </c>
      <c r="AB14">
        <f>('分行业工业增加值（当年人民币）'!AB14*汇率!$AB$2)*100000000</f>
        <v>148801713902.153</v>
      </c>
      <c r="AC14">
        <f>('分行业工业增加值（当年人民币）'!AC14*汇率!$AC$2)*100000000</f>
        <v>148432299271.564</v>
      </c>
      <c r="AD14">
        <f>('分行业工业增加值（当年人民币）'!AD14*汇率!$AD$2)*100000000</f>
        <v>148060819415.909</v>
      </c>
      <c r="AE14">
        <f>('分行业工业增加值（当年人民币）'!AE14*汇率!$AE$2)*100000000</f>
        <v>147688469322.203</v>
      </c>
      <c r="AF14">
        <f>('分行业工业增加值（当年人民币）'!AF14*汇率!$AF$2)*100000000</f>
        <v>147316268162.122</v>
      </c>
      <c r="AG14">
        <f>('分行业工业增加值（当年人民币）'!AG14*汇率!$AG$2)*100000000</f>
        <v>146945083494.279</v>
      </c>
      <c r="AH14">
        <f>('分行业工业增加值（当年人民币）'!AH14*汇率!$AH$2)*100000000</f>
        <v>146575652097.484</v>
      </c>
      <c r="AI14">
        <f>('分行业工业增加值（当年人民币）'!AI14*汇率!$AI$2)*100000000</f>
        <v>146208597904.895</v>
      </c>
      <c r="AJ14">
        <f>('分行业工业增加值（当年人民币）'!AJ14*汇率!$AJ$2)*100000000</f>
        <v>145844447445.758</v>
      </c>
      <c r="AK14">
        <f>('分行业工业增加值（当年人民币）'!AK14*汇率!$AK$2)*100000000</f>
        <v>145483643145.717</v>
      </c>
      <c r="AL14">
        <f>('分行业工业增加值（当年人民币）'!AL14*汇率!$AL$2)*100000000</f>
        <v>145126554787.874</v>
      </c>
      <c r="AM14">
        <f>('分行业工业增加值（当年人民币）'!AM14*汇率!$AM$2)*100000000</f>
        <v>144773489394.333</v>
      </c>
      <c r="AN14">
        <f>('分行业工业增加值（当年人民币）'!AN14*汇率!$AN$2)*100000000</f>
        <v>144424699751.181</v>
      </c>
      <c r="AO14">
        <f>('分行业工业增加值（当年人民币）'!AO14*汇率!$AO$2)*100000000</f>
        <v>144080391768.128</v>
      </c>
      <c r="AP14">
        <f>('分行业工业增加值（当年人民币）'!AP14*汇率!$AP$2)*100000000</f>
        <v>143740730836.701</v>
      </c>
      <c r="AQ14">
        <f>('分行业工业增加值（当年人民币）'!AQ14*汇率!$AQ$2)*100000000</f>
        <v>143405847327.436</v>
      </c>
    </row>
    <row r="15" spans="1:43">
      <c r="A15" s="102" t="s">
        <v>12</v>
      </c>
      <c r="B15">
        <f>('分行业工业增加值（当年人民币）'!B15*汇率!$B$2)*100000000</f>
        <v>71468966628.2183</v>
      </c>
      <c r="C15">
        <f>('分行业工业增加值（当年人民币）'!C15*汇率!$C$2)*100000000</f>
        <v>52662594696.9317</v>
      </c>
      <c r="D15">
        <f>('分行业工业增加值（当年人民币）'!D15*汇率!$D$2)*100000000</f>
        <v>57479072881.888</v>
      </c>
      <c r="E15">
        <f>('分行业工业增加值（当年人民币）'!E15*汇率!$E$2)*100000000</f>
        <v>56763856623.0419</v>
      </c>
      <c r="F15">
        <f>('分行业工业增加值（当年人民币）'!F15*汇率!$F$2)*100000000</f>
        <v>55983136518.1197</v>
      </c>
      <c r="G15">
        <f>('分行业工业增加值（当年人民币）'!G15*汇率!$G$2)*100000000</f>
        <v>55150873640.5291</v>
      </c>
      <c r="H15">
        <f>('分行业工业增加值（当年人民币）'!H15*汇率!$H$2)*100000000</f>
        <v>54279637653.2383</v>
      </c>
      <c r="I15">
        <f>('分行业工业增加值（当年人民币）'!I15*汇率!$I$2)*100000000</f>
        <v>53380490405.0953</v>
      </c>
      <c r="J15">
        <f>('分行业工业增加值（当年人民币）'!J15*汇率!$J$2)*100000000</f>
        <v>52462984672.4378</v>
      </c>
      <c r="K15">
        <f>('分行业工业增加值（当年人民币）'!K15*汇率!$K$2)*100000000</f>
        <v>51535237217.8709</v>
      </c>
      <c r="L15">
        <f>('分行业工业增加值（当年人民币）'!L15*汇率!$L$2)*100000000</f>
        <v>50604045187.9498</v>
      </c>
      <c r="M15">
        <f>('分行业工业增加值（当年人民币）'!M15*汇率!$M$2)*100000000</f>
        <v>49675023638.6478</v>
      </c>
      <c r="N15">
        <f>('分行业工业增加值（当年人民币）'!N15*汇率!$N$2)*100000000</f>
        <v>48752749098.8039</v>
      </c>
      <c r="O15">
        <f>('分行业工业增加值（当年人民币）'!O15*汇率!$O$2)*100000000</f>
        <v>47840899514.8154</v>
      </c>
      <c r="P15">
        <f>('分行业工业增加值（当年人民币）'!P15*汇率!$P$2)*100000000</f>
        <v>46942384866.8305</v>
      </c>
      <c r="Q15">
        <f>('分行业工业增加值（当年人民币）'!Q15*汇率!$Q$2)*100000000</f>
        <v>46059465493.2686</v>
      </c>
      <c r="R15">
        <f>('分行业工业增加值（当年人民币）'!R15*汇率!$R$2)*100000000</f>
        <v>45193856991.4016</v>
      </c>
      <c r="S15">
        <f>('分行业工业增加值（当年人民币）'!S15*汇率!$S$2)*100000000</f>
        <v>44346821723.7334</v>
      </c>
      <c r="T15">
        <f>('分行业工业增加值（当年人民币）'!T15*汇率!$T$2)*100000000</f>
        <v>43519247650.7373</v>
      </c>
      <c r="U15">
        <f>('分行业工业增加值（当年人民币）'!U15*汇率!$U$2)*100000000</f>
        <v>42711715580.3991</v>
      </c>
      <c r="V15">
        <f>('分行业工业增加值（当年人民币）'!V15*汇率!$V$2)*100000000</f>
        <v>41924556083.9462</v>
      </c>
      <c r="W15">
        <f>('分行业工业增加值（当年人民币）'!W15*汇率!$W$2)*100000000</f>
        <v>41157897353.0647</v>
      </c>
      <c r="X15">
        <f>('分行业工业增加值（当年人民币）'!X15*汇率!$X$2)*100000000</f>
        <v>40411705220.5312</v>
      </c>
      <c r="Y15">
        <f>('分行业工业增加值（当年人民币）'!Y15*汇率!$Y$2)*100000000</f>
        <v>39685816469.5926</v>
      </c>
      <c r="Z15">
        <f>('分行业工业增加值（当年人民币）'!Z15*汇率!$Z$2)*100000000</f>
        <v>38979966441.0461</v>
      </c>
      <c r="AA15">
        <f>('分行业工业增加值（当年人民币）'!AA15*汇率!$AA$2)*100000000</f>
        <v>38293811825.5229</v>
      </c>
      <c r="AB15">
        <f>('分行业工业增加值（当年人民币）'!AB15*汇率!$AB$2)*100000000</f>
        <v>37626949410.7719</v>
      </c>
      <c r="AC15">
        <f>('分行业工业增加值（当年人民币）'!AC15*汇率!$AC$2)*100000000</f>
        <v>36978931444.5859</v>
      </c>
      <c r="AD15">
        <f>('分行业工业增加值（当年人民币）'!AD15*汇率!$AD$2)*100000000</f>
        <v>36349278175.7537</v>
      </c>
      <c r="AE15">
        <f>('分行业工业增加值（当年人民币）'!AE15*汇率!$AE$2)*100000000</f>
        <v>35737488048.7456</v>
      </c>
      <c r="AF15">
        <f>('分行业工业增加值（当年人民币）'!AF15*汇率!$AF$2)*100000000</f>
        <v>35143045952.5316</v>
      </c>
      <c r="AG15">
        <f>('分行业工业增加值（当年人民币）'!AG15*汇率!$AG$2)*100000000</f>
        <v>34565429859.2131</v>
      </c>
      <c r="AH15">
        <f>('分行业工业增加值（当年人民币）'!AH15*汇率!$AH$2)*100000000</f>
        <v>34004116133.0057</v>
      </c>
      <c r="AI15">
        <f>('分行业工业增加值（当年人民币）'!AI15*汇率!$AI$2)*100000000</f>
        <v>33458583743.4337</v>
      </c>
      <c r="AJ15">
        <f>('分行业工业增加值（当年人民币）'!AJ15*汇率!$AJ$2)*100000000</f>
        <v>32928317577.2798</v>
      </c>
      <c r="AK15">
        <f>('分行业工业增加值（当年人民币）'!AK15*汇率!$AK$2)*100000000</f>
        <v>32412811010.847</v>
      </c>
      <c r="AL15">
        <f>('分行业工业增加值（当年人民币）'!AL15*汇率!$AL$2)*100000000</f>
        <v>31911567876.5115</v>
      </c>
      <c r="AM15">
        <f>('分行业工业增加值（当年人民币）'!AM15*汇率!$AM$2)*100000000</f>
        <v>31424103934.5249</v>
      </c>
      <c r="AN15">
        <f>('分行业工业增加值（当年人民币）'!AN15*汇率!$AN$2)*100000000</f>
        <v>30949947941.8653</v>
      </c>
      <c r="AO15">
        <f>('分行业工业增加值（当年人民币）'!AO15*汇率!$AO$2)*100000000</f>
        <v>30488642394.0024</v>
      </c>
      <c r="AP15">
        <f>('分行业工业增加值（当年人民币）'!AP15*汇率!$AP$2)*100000000</f>
        <v>30039744002.2088</v>
      </c>
      <c r="AQ15">
        <f>('分行业工业增加值（当年人民币）'!AQ15*汇率!$AQ$2)*100000000</f>
        <v>29602823958.0747</v>
      </c>
    </row>
    <row r="16" spans="1:43">
      <c r="A16" s="102" t="s">
        <v>13</v>
      </c>
      <c r="B16">
        <f>('分行业工业增加值（当年人民币）'!B16*汇率!$B$2)*100000000</f>
        <v>38891808814.5179</v>
      </c>
      <c r="C16">
        <f>('分行业工业增加值（当年人民币）'!C16*汇率!$C$2)*100000000</f>
        <v>40030605799.7267</v>
      </c>
      <c r="D16">
        <f>('分行业工业增加值（当年人民币）'!D16*汇率!$D$2)*100000000</f>
        <v>43691772528.6839</v>
      </c>
      <c r="E16">
        <f>('分行业工业增加值（当年人民币）'!E16*汇率!$E$2)*100000000</f>
        <v>43148112644.7722</v>
      </c>
      <c r="F16">
        <f>('分行业工业增加值（当年人民币）'!F16*汇率!$F$2)*100000000</f>
        <v>42554661088.883</v>
      </c>
      <c r="G16">
        <f>('分行业工业增加值（当年人民币）'!G16*汇率!$G$2)*100000000</f>
        <v>41922030141.5036</v>
      </c>
      <c r="H16">
        <f>('分行业工业增加值（当年人民币）'!H16*汇率!$H$2)*100000000</f>
        <v>41259774425.3453</v>
      </c>
      <c r="I16">
        <f>('分行业工业增加值（当年人民币）'!I16*汇率!$I$2)*100000000</f>
        <v>40576302422.9978</v>
      </c>
      <c r="J16">
        <f>('分行业工业增加值（当年人民币）'!J16*汇率!$J$2)*100000000</f>
        <v>39878875520.3857</v>
      </c>
      <c r="K16">
        <f>('分行业工业增加值（当年人民币）'!K16*汇率!$K$2)*100000000</f>
        <v>39173663541.1963</v>
      </c>
      <c r="L16">
        <f>('分行业工业增加值（当年人民币）'!L16*汇率!$L$2)*100000000</f>
        <v>38465833224.6664</v>
      </c>
      <c r="M16">
        <f>('分行业工业增加值（当年人民币）'!M16*汇率!$M$2)*100000000</f>
        <v>37759652763.3052</v>
      </c>
      <c r="N16">
        <f>('分行业工业增加值（当年人民币）'!N16*汇率!$N$2)*100000000</f>
        <v>37058600930.29</v>
      </c>
      <c r="O16">
        <f>('分行业工业增加值（当年人民币）'!O16*汇率!$O$2)*100000000</f>
        <v>36365473456.1245</v>
      </c>
      <c r="P16">
        <f>('分行业工业增加值（当年人民币）'!P16*汇率!$P$2)*100000000</f>
        <v>35682482314.3898</v>
      </c>
      <c r="Q16">
        <f>('分行业工业增加值（当年人民币）'!Q16*汇率!$Q$2)*100000000</f>
        <v>35011345664.1849</v>
      </c>
      <c r="R16">
        <f>('分行业工业增加值（当年人民币）'!R16*汇率!$R$2)*100000000</f>
        <v>34353367588.5785</v>
      </c>
      <c r="S16">
        <f>('分行业工业增加值（当年人民币）'!S16*汇率!$S$2)*100000000</f>
        <v>33709507651.6797</v>
      </c>
      <c r="T16">
        <f>('分行业工业增加值（当年人民币）'!T16*汇率!$T$2)*100000000</f>
        <v>33080440822.048</v>
      </c>
      <c r="U16">
        <f>('分行业工业增加值（当年人民币）'!U16*汇率!$U$2)*100000000</f>
        <v>32466608591.3275</v>
      </c>
      <c r="V16">
        <f>('分行业工业增加值（当年人民币）'!V16*汇率!$V$2)*100000000</f>
        <v>31868262237.8036</v>
      </c>
      <c r="W16">
        <f>('分行业工业增加值（当年人民币）'!W16*汇率!$W$2)*100000000</f>
        <v>31285499204.2795</v>
      </c>
      <c r="X16">
        <f>('分行业工业增加值（当年人民币）'!X16*汇率!$X$2)*100000000</f>
        <v>30718293519.1018</v>
      </c>
      <c r="Y16">
        <f>('分行业工业增加值（当年人民币）'!Y16*汇率!$Y$2)*100000000</f>
        <v>30166521115.7384</v>
      </c>
      <c r="Z16">
        <f>('分行业工业增加值（当年人民币）'!Z16*汇率!$Z$2)*100000000</f>
        <v>29629980817.8461</v>
      </c>
      <c r="AA16">
        <f>('分行业工业增加值（当年人民币）'!AA16*汇率!$AA$2)*100000000</f>
        <v>29108411664.4509</v>
      </c>
      <c r="AB16">
        <f>('分行业工业增加值（当年人民币）'!AB16*汇率!$AB$2)*100000000</f>
        <v>28601507160.3873</v>
      </c>
      <c r="AC16">
        <f>('分行业工业增加值（当年人民币）'!AC16*汇率!$AC$2)*100000000</f>
        <v>28108926954.1742</v>
      </c>
      <c r="AD16">
        <f>('分行业工业增加值（当年人民币）'!AD16*汇率!$AD$2)*100000000</f>
        <v>27630306370.8136</v>
      </c>
      <c r="AE16">
        <f>('分行业工业增加值（当年人民币）'!AE16*汇率!$AE$2)*100000000</f>
        <v>27165264161.113</v>
      </c>
      <c r="AF16">
        <f>('分行业工业增加值（当年人民币）'!AF16*汇率!$AF$2)*100000000</f>
        <v>26713408771.8894</v>
      </c>
      <c r="AG16">
        <f>('分行业工业增加值（当年人民币）'!AG16*汇率!$AG$2)*100000000</f>
        <v>26274343392.2157</v>
      </c>
      <c r="AH16">
        <f>('分行业工业增加值（当年人民币）'!AH16*汇率!$AH$2)*100000000</f>
        <v>25847669988.9568</v>
      </c>
      <c r="AI16">
        <f>('分行业工业增加值（当年人民币）'!AI16*汇率!$AI$2)*100000000</f>
        <v>25432992509.3603</v>
      </c>
      <c r="AJ16">
        <f>('分行业工业增加值（当年人民币）'!AJ16*汇率!$AJ$2)*100000000</f>
        <v>25029919398.5802</v>
      </c>
      <c r="AK16">
        <f>('分行业工业增加值（当年人民币）'!AK16*汇率!$AK$2)*100000000</f>
        <v>24638065554.9403</v>
      </c>
      <c r="AL16">
        <f>('分行业工业增加值（当年人民币）'!AL16*汇率!$AL$2)*100000000</f>
        <v>24257053824.7763</v>
      </c>
      <c r="AM16">
        <f>('分行业工业增加值（当年人民币）'!AM16*汇率!$AM$2)*100000000</f>
        <v>23886516121.2024</v>
      </c>
      <c r="AN16">
        <f>('分行业工业增加值（当年人民币）'!AN16*汇率!$AN$2)*100000000</f>
        <v>23526094236.5807</v>
      </c>
      <c r="AO16">
        <f>('分行业工业增加值（当年人民币）'!AO16*汇率!$AO$2)*100000000</f>
        <v>23175440406.3622</v>
      </c>
      <c r="AP16">
        <f>('分行业工业增加值（当年人民币）'!AP16*汇率!$AP$2)*100000000</f>
        <v>22834217671.9064</v>
      </c>
      <c r="AQ16">
        <f>('分行业工业增加值（当年人民币）'!AQ16*汇率!$AQ$2)*100000000</f>
        <v>22502100081.5487</v>
      </c>
    </row>
    <row r="17" spans="1:43">
      <c r="A17" s="102" t="s">
        <v>14</v>
      </c>
      <c r="B17">
        <f>('分行业工业增加值（当年人民币）'!B17*汇率!$B$2)*100000000</f>
        <v>34238927425.0571</v>
      </c>
      <c r="C17">
        <f>('分行业工业增加值（当年人民币）'!C17*汇率!$C$2)*100000000</f>
        <v>30799014743.6443</v>
      </c>
      <c r="D17">
        <f>('分行业工业增加值（当年人民币）'!D17*汇率!$D$2)*100000000</f>
        <v>33615867644.3532</v>
      </c>
      <c r="E17">
        <f>('分行业工业增加值（当年人民币）'!E17*汇率!$E$2)*100000000</f>
        <v>33197582973.2719</v>
      </c>
      <c r="F17">
        <f>('分行业工业增加值（当年人民币）'!F17*汇率!$F$2)*100000000</f>
        <v>32740989253.1839</v>
      </c>
      <c r="G17">
        <f>('分行业工业增加值（当年人民币）'!G17*汇率!$G$2)*100000000</f>
        <v>32254251431.3008</v>
      </c>
      <c r="H17">
        <f>('分行业工业增加值（当年人民币）'!H17*汇率!$H$2)*100000000</f>
        <v>31744720707.0327</v>
      </c>
      <c r="I17">
        <f>('分行业工业增加值（当年人民币）'!I17*汇率!$I$2)*100000000</f>
        <v>31218866454.8517</v>
      </c>
      <c r="J17">
        <f>('分行业工业增加值（当年人民币）'!J17*汇率!$J$2)*100000000</f>
        <v>30682275488.339</v>
      </c>
      <c r="K17">
        <f>('分行业工业增加值（当年人民币）'!K17*汇率!$K$2)*100000000</f>
        <v>30139694787.6343</v>
      </c>
      <c r="L17">
        <f>('分行业工业增加值（当年人民币）'!L17*汇率!$L$2)*100000000</f>
        <v>29595099573.0659</v>
      </c>
      <c r="M17">
        <f>('分行业工业增加值（当年人民币）'!M17*汇率!$M$2)*100000000</f>
        <v>29051773735.0821</v>
      </c>
      <c r="N17">
        <f>('分行业工业增加值（当年人民币）'!N17*汇率!$N$2)*100000000</f>
        <v>28512393795.4151</v>
      </c>
      <c r="O17">
        <f>('分行业工业增加值（当年人民币）'!O17*汇率!$O$2)*100000000</f>
        <v>27979110751.8645</v>
      </c>
      <c r="P17">
        <f>('分行业工业增加值（当年人民币）'!P17*汇率!$P$2)*100000000</f>
        <v>27453626467.4322</v>
      </c>
      <c r="Q17">
        <f>('分行业工业增加值（当年人民币）'!Q17*汇率!$Q$2)*100000000</f>
        <v>26937262870.8362</v>
      </c>
      <c r="R17">
        <f>('分行业工业增加值（当年人民币）'!R17*汇率!$R$2)*100000000</f>
        <v>26431023306.2145</v>
      </c>
      <c r="S17">
        <f>('分行业工业增加值（当年人民币）'!S17*汇率!$S$2)*100000000</f>
        <v>25935646049.4076</v>
      </c>
      <c r="T17">
        <f>('分行业工业增加值（当年人民币）'!T17*汇率!$T$2)*100000000</f>
        <v>25451650412.2319</v>
      </c>
      <c r="U17">
        <f>('分行业工业增加值（当年人民币）'!U17*汇率!$U$2)*100000000</f>
        <v>24979376072.4763</v>
      </c>
      <c r="V17">
        <f>('分行业工业增加值（当年人民币）'!V17*汇率!$V$2)*100000000</f>
        <v>24519016360.3054</v>
      </c>
      <c r="W17">
        <f>('分行业工业增加值（当年人民币）'!W17*汇率!$W$2)*100000000</f>
        <v>24070646246.9138</v>
      </c>
      <c r="X17">
        <f>('分行业工业增加值（当年人民币）'!X17*汇率!$X$2)*100000000</f>
        <v>23634245750.0573</v>
      </c>
      <c r="Y17">
        <f>('分行业工业增加值（当年人民币）'!Y17*汇率!$Y$2)*100000000</f>
        <v>23209719414.5992</v>
      </c>
      <c r="Z17">
        <f>('分行业工业增加值（当年人民币）'!Z17*汇率!$Z$2)*100000000</f>
        <v>22796912458.1415</v>
      </c>
      <c r="AA17">
        <f>('分行业工业增加值（当年人民币）'!AA17*汇率!$AA$2)*100000000</f>
        <v>22395624100.7877</v>
      </c>
      <c r="AB17">
        <f>('分行业工业增加值（当年人民币）'!AB17*汇率!$AB$2)*100000000</f>
        <v>22005618529.2412</v>
      </c>
      <c r="AC17">
        <f>('分行业工业增加值（当年人民币）'!AC17*汇率!$AC$2)*100000000</f>
        <v>21626633881.6073</v>
      </c>
      <c r="AD17">
        <f>('分行业工业增加值（当年人民币）'!AD17*汇率!$AD$2)*100000000</f>
        <v>21258389581.8011</v>
      </c>
      <c r="AE17">
        <f>('分行业工业增加值（当年人民币）'!AE17*汇率!$AE$2)*100000000</f>
        <v>20900592301.7739</v>
      </c>
      <c r="AF17">
        <f>('分行业工业增加值（当年人民币）'!AF17*汇率!$AF$2)*100000000</f>
        <v>20552940785.7234</v>
      </c>
      <c r="AG17">
        <f>('分行业工业增加值（当年人民币）'!AG17*汇率!$AG$2)*100000000</f>
        <v>20215129732.6095</v>
      </c>
      <c r="AH17">
        <f>('分行业工业增加值（当年人民币）'!AH17*汇率!$AH$2)*100000000</f>
        <v>19886852901.0412</v>
      </c>
      <c r="AI17">
        <f>('分行业工业增加值（当年人民币）'!AI17*汇率!$AI$2)*100000000</f>
        <v>19567805573.3079</v>
      </c>
      <c r="AJ17">
        <f>('分行业工业增加值（当年人民币）'!AJ17*汇率!$AJ$2)*100000000</f>
        <v>19257686492.328</v>
      </c>
      <c r="AK17">
        <f>('分行业工业增加值（当年人民币）'!AK17*汇率!$AK$2)*100000000</f>
        <v>18956199366.0027</v>
      </c>
      <c r="AL17">
        <f>('分行业工业增加值（当年人民币）'!AL17*汇率!$AL$2)*100000000</f>
        <v>18663054017.3279</v>
      </c>
      <c r="AM17">
        <f>('分行业工业增加值（当年人民币）'!AM17*汇率!$AM$2)*100000000</f>
        <v>18377967245.158</v>
      </c>
      <c r="AN17">
        <f>('分行业工业增加值（当年人民币）'!AN17*汇率!$AN$2)*100000000</f>
        <v>18100663449.3091</v>
      </c>
      <c r="AO17">
        <f>('分行业工业增加值（当年人民币）'!AO17*汇率!$AO$2)*100000000</f>
        <v>17830875064.3707</v>
      </c>
      <c r="AP17">
        <f>('分行业工业增加值（当年人民币）'!AP17*汇率!$AP$2)*100000000</f>
        <v>17568342838.8543</v>
      </c>
      <c r="AQ17">
        <f>('分行业工业增加值（当年人民币）'!AQ17*汇率!$AQ$2)*100000000</f>
        <v>17312815989.8922</v>
      </c>
    </row>
    <row r="18" spans="1:43">
      <c r="A18" s="102" t="s">
        <v>15</v>
      </c>
      <c r="B18">
        <f>('分行业工业增加值（当年人民币）'!B18*汇率!$B$2)*100000000</f>
        <v>399218427208.463</v>
      </c>
      <c r="C18">
        <f>('分行业工业增加值（当年人民币）'!C18*汇率!$C$2)*100000000</f>
        <v>395445504912.588</v>
      </c>
      <c r="D18">
        <f>('分行业工业增加值（当年人民币）'!D18*汇率!$D$2)*100000000</f>
        <v>454080021577.365</v>
      </c>
      <c r="E18">
        <f>('分行业工业增加值（当年人民币）'!E18*汇率!$E$2)*100000000</f>
        <v>460524288241.445</v>
      </c>
      <c r="F18">
        <f>('分行业工业增加值（当年人民币）'!F18*汇率!$F$2)*100000000</f>
        <v>466118390849.646</v>
      </c>
      <c r="G18">
        <f>('分行业工业增加值（当年人民币）'!G18*汇率!$G$2)*100000000</f>
        <v>470939674797.793</v>
      </c>
      <c r="H18">
        <f>('分行业工业增加值（当年人民币）'!H18*汇率!$H$2)*100000000</f>
        <v>475065206095.983</v>
      </c>
      <c r="I18">
        <f>('分行业工业增加值（当年人民币）'!I18*汇率!$I$2)*100000000</f>
        <v>478569245473.375</v>
      </c>
      <c r="J18">
        <f>('分行业工业增加值（当年人民币）'!J18*汇率!$J$2)*100000000</f>
        <v>481521630512.749</v>
      </c>
      <c r="K18">
        <f>('分行业工业增加值（当年人民币）'!K18*汇率!$K$2)*100000000</f>
        <v>483986854116.922</v>
      </c>
      <c r="L18">
        <f>('分行业工业增加值（当年人民币）'!L18*汇率!$L$2)*100000000</f>
        <v>486023652618.976</v>
      </c>
      <c r="M18">
        <f>('分行业工业增加值（当年人民币）'!M18*汇率!$M$2)*100000000</f>
        <v>487684950116.681</v>
      </c>
      <c r="N18">
        <f>('分行业工业增加值（当年人民币）'!N18*汇率!$N$2)*100000000</f>
        <v>489018039182.852</v>
      </c>
      <c r="O18">
        <f>('分行业工业增加值（当年人民币）'!O18*汇率!$O$2)*100000000</f>
        <v>490064908036.953</v>
      </c>
      <c r="P18">
        <f>('分行业工业增加值（当年人民币）'!P18*汇率!$P$2)*100000000</f>
        <v>490862649075.654</v>
      </c>
      <c r="Q18">
        <f>('分行业工业增加值（当年人民币）'!Q18*汇率!$Q$2)*100000000</f>
        <v>491443903232.822</v>
      </c>
      <c r="R18">
        <f>('分行业工业增加值（当年人民币）'!R18*汇率!$R$2)*100000000</f>
        <v>491837309514.214</v>
      </c>
      <c r="S18">
        <f>('分行业工业增加值（当年人民币）'!S18*汇率!$S$2)*100000000</f>
        <v>492067940015.602</v>
      </c>
      <c r="T18">
        <f>('分行业工业增加值（当年人民币）'!T18*汇率!$T$2)*100000000</f>
        <v>492157708596.163</v>
      </c>
      <c r="U18">
        <f>('分行业工业增加值（当年人民币）'!U18*汇率!$U$2)*100000000</f>
        <v>492125746869.16</v>
      </c>
      <c r="V18">
        <f>('分行业工业增加值（当年人民币）'!V18*汇率!$V$2)*100000000</f>
        <v>491988744895.635</v>
      </c>
      <c r="W18">
        <f>('分行业工业增加值（当年人民币）'!W18*汇率!$W$2)*100000000</f>
        <v>491761256406.162</v>
      </c>
      <c r="X18">
        <f>('分行业工业增加值（当年人民币）'!X18*汇率!$X$2)*100000000</f>
        <v>491455969900.454</v>
      </c>
      <c r="Y18">
        <f>('分行业工业增加值（当年人民币）'!Y18*汇率!$Y$2)*100000000</f>
        <v>491083947862.024</v>
      </c>
      <c r="Z18">
        <f>('分行业工业增加值（当年人民币）'!Z18*汇率!$Z$2)*100000000</f>
        <v>490654836778.422</v>
      </c>
      <c r="AA18">
        <f>('分行业工业增加值（当年人民币）'!AA18*汇率!$AA$2)*100000000</f>
        <v>490177050822.75</v>
      </c>
      <c r="AB18">
        <f>('分行业工业增加值（当年人民币）'!AB18*汇率!$AB$2)*100000000</f>
        <v>489657932033.06</v>
      </c>
      <c r="AC18">
        <f>('分行业工业增加值（当年人民币）'!AC18*汇率!$AC$2)*100000000</f>
        <v>489103889694.8</v>
      </c>
      <c r="AD18">
        <f>('分行业工业增加值（当年人民币）'!AD18*汇率!$AD$2)*100000000</f>
        <v>488520521436.807</v>
      </c>
      <c r="AE18">
        <f>('分行业工业增加值（当年人民币）'!AE18*汇率!$AE$2)*100000000</f>
        <v>487912718326.746</v>
      </c>
      <c r="AF18">
        <f>('分行业工业增加值（当年人民币）'!AF18*汇率!$AF$2)*100000000</f>
        <v>487284756018.445</v>
      </c>
      <c r="AG18">
        <f>('分行业工业增加值（当年人民币）'!AG18*汇率!$AG$2)*100000000</f>
        <v>486640373774.919</v>
      </c>
      <c r="AH18">
        <f>('分行业工业增加值（当年人民币）'!AH18*汇率!$AH$2)*100000000</f>
        <v>485982842975.02</v>
      </c>
      <c r="AI18">
        <f>('分行业工业增加值（当年人民币）'!AI18*汇率!$AI$2)*100000000</f>
        <v>485315026512.673</v>
      </c>
      <c r="AJ18">
        <f>('分行业工业增加值（当年人民币）'!AJ18*汇率!$AJ$2)*100000000</f>
        <v>484639430317.693</v>
      </c>
      <c r="AK18">
        <f>('分行业工业增加值（当年人民币）'!AK18*汇率!$AK$2)*100000000</f>
        <v>483958248066.265</v>
      </c>
      <c r="AL18">
        <f>('分行业工业增加值（当年人民币）'!AL18*汇率!$AL$2)*100000000</f>
        <v>483273400006.818</v>
      </c>
      <c r="AM18">
        <f>('分行业工业增加值（当年人民币）'!AM18*汇率!$AM$2)*100000000</f>
        <v>482586566701.926</v>
      </c>
      <c r="AN18">
        <f>('分行业工业增加值（当年人民币）'!AN18*汇率!$AN$2)*100000000</f>
        <v>481899218377.732</v>
      </c>
      <c r="AO18">
        <f>('分行业工业增加值（当年人民币）'!AO18*汇率!$AO$2)*100000000</f>
        <v>481212640477.23</v>
      </c>
      <c r="AP18">
        <f>('分行业工业增加值（当年人民币）'!AP18*汇率!$AP$2)*100000000</f>
        <v>480527955931.516</v>
      </c>
      <c r="AQ18">
        <f>('分行业工业增加值（当年人民币）'!AQ18*汇率!$AQ$2)*100000000</f>
        <v>479846144591.935</v>
      </c>
    </row>
    <row r="19" spans="1:43">
      <c r="A19" s="102" t="s">
        <v>16</v>
      </c>
      <c r="B19">
        <f>('分行业工业增加值（当年人民币）'!B19*汇率!$B$2)*100000000</f>
        <v>94687856839.5225</v>
      </c>
      <c r="C19">
        <f>('分行业工业增加值（当年人民币）'!C19*汇率!$C$2)*100000000</f>
        <v>88772170854.6967</v>
      </c>
      <c r="D19">
        <f>('分行业工业增加值（当年人民币）'!D19*汇率!$D$2)*100000000</f>
        <v>96891201578.7518</v>
      </c>
      <c r="E19">
        <f>('分行业工业增加值（当年人民币）'!E19*汇率!$E$2)*100000000</f>
        <v>95685577353.555</v>
      </c>
      <c r="F19">
        <f>('分行业工业增加值（当年人民币）'!F19*汇率!$F$2)*100000000</f>
        <v>94369534744.1337</v>
      </c>
      <c r="G19">
        <f>('分行业工业增加值（当年人民币）'!G19*汇率!$G$2)*100000000</f>
        <v>92966607623.0779</v>
      </c>
      <c r="H19">
        <f>('分行业工业增加值（当年人民币）'!H19*汇率!$H$2)*100000000</f>
        <v>91497984393.1815</v>
      </c>
      <c r="I19">
        <f>('分行业工业增加值（当年人民币）'!I19*汇率!$I$2)*100000000</f>
        <v>89982311768.3319</v>
      </c>
      <c r="J19">
        <f>('分行业工业增加值（当年人民币）'!J19*汇率!$J$2)*100000000</f>
        <v>88435692652.2712</v>
      </c>
      <c r="K19">
        <f>('分行业工业增加值（当年人民币）'!K19*汇率!$K$2)*100000000</f>
        <v>86871809292.1597</v>
      </c>
      <c r="L19">
        <f>('分行业工业增加值（当年人民币）'!L19*汇率!$L$2)*100000000</f>
        <v>85302119487.5762</v>
      </c>
      <c r="M19">
        <f>('分行业工业增加值（当年人民币）'!M19*汇率!$M$2)*100000000</f>
        <v>83736088414.156</v>
      </c>
      <c r="N19">
        <f>('分行业工业增加值（当年人民币）'!N19*汇率!$N$2)*100000000</f>
        <v>82181430625.3189</v>
      </c>
      <c r="O19">
        <f>('分行业工业增加值（当年人民币）'!O19*汇率!$O$2)*100000000</f>
        <v>80644345953.9415</v>
      </c>
      <c r="P19">
        <f>('分行业工业增加值（当年人民币）'!P19*汇率!$P$2)*100000000</f>
        <v>79129739689.1838</v>
      </c>
      <c r="Q19">
        <f>('分行业工业增加值（当年人民币）'!Q19*汇率!$Q$2)*100000000</f>
        <v>77641422033.5153</v>
      </c>
      <c r="R19">
        <f>('分行业工业增加值（当年人民币）'!R19*汇率!$R$2)*100000000</f>
        <v>76182284931.304</v>
      </c>
      <c r="S19">
        <f>('分行业工业增加值（当年人民币）'!S19*汇率!$S$2)*100000000</f>
        <v>74754456319.0958</v>
      </c>
      <c r="T19">
        <f>('分行业工业增加值（当年人民币）'!T19*汇率!$T$2)*100000000</f>
        <v>73359433012.2171</v>
      </c>
      <c r="U19">
        <f>('分行业工业增加值（当年人民币）'!U19*汇率!$U$2)*100000000</f>
        <v>71998194065.8405</v>
      </c>
      <c r="V19">
        <f>('分行业工业增加值（当年人民币）'!V19*汇率!$V$2)*100000000</f>
        <v>70671296716.571</v>
      </c>
      <c r="W19">
        <f>('分行业工业增加值（当年人民币）'!W19*汇率!$W$2)*100000000</f>
        <v>69378957054.298</v>
      </c>
      <c r="X19">
        <f>('分行业工业增加值（当年人民币）'!X19*汇率!$X$2)*100000000</f>
        <v>68121117484.0887</v>
      </c>
      <c r="Y19">
        <f>('分行业工业增加值（当年人民币）'!Y19*汇率!$Y$2)*100000000</f>
        <v>66897502875.0732</v>
      </c>
      <c r="Z19">
        <f>('分行业工业增加值（当年人民币）'!Z19*汇率!$Z$2)*100000000</f>
        <v>65707667097.0884</v>
      </c>
      <c r="AA19">
        <f>('分行业工业增加值（当年人民币）'!AA19*汇率!$AA$2)*100000000</f>
        <v>64551031441.1261</v>
      </c>
      <c r="AB19">
        <f>('分行业工业增加值（当年人民币）'!AB19*汇率!$AB$2)*100000000</f>
        <v>63426916221.2146</v>
      </c>
      <c r="AC19">
        <f>('分行业工业增加值（当年人民币）'!AC19*汇率!$AC$2)*100000000</f>
        <v>62334566671.3637</v>
      </c>
      <c r="AD19">
        <f>('分行业工业增加值（当年人民币）'!AD19*汇率!$AD$2)*100000000</f>
        <v>61273174085.5698</v>
      </c>
      <c r="AE19">
        <f>('分行业工业增加值（当年人民币）'!AE19*汇率!$AE$2)*100000000</f>
        <v>60241893002.7722</v>
      </c>
      <c r="AF19">
        <f>('分行业工业增加值（当年人民币）'!AF19*汇率!$AF$2)*100000000</f>
        <v>59239855111.7033</v>
      </c>
      <c r="AG19">
        <f>('分行业工业增加值（当年人民币）'!AG19*汇率!$AG$2)*100000000</f>
        <v>58266180441.4828</v>
      </c>
      <c r="AH19">
        <f>('分行业工业增加值（当年人民币）'!AH19*汇率!$AH$2)*100000000</f>
        <v>57319986310.853</v>
      </c>
      <c r="AI19">
        <f>('分行业工业增加值（当年人民币）'!AI19*汇率!$AI$2)*100000000</f>
        <v>56400394430.2677</v>
      </c>
      <c r="AJ19">
        <f>('分行业工业增加值（当年人民币）'!AJ19*汇率!$AJ$2)*100000000</f>
        <v>55506536484.7719</v>
      </c>
      <c r="AK19">
        <f>('分行业工业增加值（当年人民币）'!AK19*汇率!$AK$2)*100000000</f>
        <v>54637558470.0073</v>
      </c>
      <c r="AL19">
        <f>('分行业工业增加值（当年人民币）'!AL19*汇率!$AL$2)*100000000</f>
        <v>53792624007.187</v>
      </c>
      <c r="AM19">
        <f>('分行业工业增加值（当年人民币）'!AM19*汇率!$AM$2)*100000000</f>
        <v>52970916824.0796</v>
      </c>
      <c r="AN19">
        <f>('分行业工业增加值（当年人民币）'!AN19*汇率!$AN$2)*100000000</f>
        <v>52171642556.7483</v>
      </c>
      <c r="AO19">
        <f>('分行业工业增加值（当年人民币）'!AO19*汇率!$AO$2)*100000000</f>
        <v>51394029999.9274</v>
      </c>
      <c r="AP19">
        <f>('分行业工业增加值（当年人民币）'!AP19*汇率!$AP$2)*100000000</f>
        <v>50637331911.6157</v>
      </c>
      <c r="AQ19">
        <f>('分行业工业增加值（当年人民币）'!AQ19*汇率!$AQ$2)*100000000</f>
        <v>49900825458.9633</v>
      </c>
    </row>
    <row r="20" spans="1:43">
      <c r="A20" s="102" t="s">
        <v>17</v>
      </c>
      <c r="B20">
        <f>('分行业工业增加值（当年人民币）'!B20*汇率!$B$2)*100000000</f>
        <v>103916423772.554</v>
      </c>
      <c r="C20">
        <f>('分行业工业增加值（当年人民币）'!C20*汇率!$C$2)*100000000</f>
        <v>87643503637.0935</v>
      </c>
      <c r="D20">
        <f>('分行业工业增加值（当年人民币）'!D20*汇率!$D$2)*100000000</f>
        <v>95659307373.1328</v>
      </c>
      <c r="E20">
        <f>('分行业工业增加值（当年人民币）'!E20*汇率!$E$2)*100000000</f>
        <v>94469011696.5862</v>
      </c>
      <c r="F20">
        <f>('分行业工业增加值（当年人民币）'!F20*汇率!$F$2)*100000000</f>
        <v>93169701517.3389</v>
      </c>
      <c r="G20">
        <f>('分行业工业增加值（当年人民币）'!G20*汇率!$G$2)*100000000</f>
        <v>91784611493.5961</v>
      </c>
      <c r="H20">
        <f>('分行业工业增加值（当年人民币）'!H20*汇率!$H$2)*100000000</f>
        <v>90334660634.5411</v>
      </c>
      <c r="I20">
        <f>('分行业工业增加值（当年人民币）'!I20*汇率!$I$2)*100000000</f>
        <v>88838258575.9941</v>
      </c>
      <c r="J20">
        <f>('分行业工业增加值（当年人民币）'!J20*汇率!$J$2)*100000000</f>
        <v>87311303486.1436</v>
      </c>
      <c r="K20">
        <f>('分行业工业增加值（当年人民币）'!K20*汇率!$K$2)*100000000</f>
        <v>85767303653.31</v>
      </c>
      <c r="L20">
        <f>('分行业工业增加值（当年人民币）'!L20*汇率!$L$2)*100000000</f>
        <v>84217571200.3062</v>
      </c>
      <c r="M20">
        <f>('分行业工业增加值（当年人民币）'!M20*汇率!$M$2)*100000000</f>
        <v>82671450960.6226</v>
      </c>
      <c r="N20">
        <f>('分行业工业增加值（当年人民币）'!N20*汇率!$N$2)*100000000</f>
        <v>81136559403.2965</v>
      </c>
      <c r="O20">
        <f>('分行业工业增加值（当年人民币）'!O20*汇率!$O$2)*100000000</f>
        <v>79619017535.2837</v>
      </c>
      <c r="P20">
        <f>('分行业工业增加值（当年人民币）'!P20*汇率!$P$2)*100000000</f>
        <v>78123668278.9122</v>
      </c>
      <c r="Q20">
        <f>('分行业工业增加值（当年人民币）'!Q20*汇率!$Q$2)*100000000</f>
        <v>76654273392.9716</v>
      </c>
      <c r="R20">
        <f>('分行业工业增加值（当年人民币）'!R20*汇率!$R$2)*100000000</f>
        <v>75213688053.0682</v>
      </c>
      <c r="S20">
        <f>('分行业工业增加值（当年人民币）'!S20*汇率!$S$2)*100000000</f>
        <v>73804013140.7351</v>
      </c>
      <c r="T20">
        <f>('分行业工业增加值（当年人民币）'!T20*汇率!$T$2)*100000000</f>
        <v>72426726440.4879</v>
      </c>
      <c r="U20">
        <f>('分行业工业增加值（当年人民币）'!U20*汇率!$U$2)*100000000</f>
        <v>71082794559.5948</v>
      </c>
      <c r="V20">
        <f>('分行业工业增加值（当年人民币）'!V20*汇率!$V$2)*100000000</f>
        <v>69772767649.8428</v>
      </c>
      <c r="W20">
        <f>('分行业工业增加值（当年人民币）'!W20*汇率!$W$2)*100000000</f>
        <v>68496859053.7111</v>
      </c>
      <c r="X20">
        <f>('分行业工业增加值（当年人民币）'!X20*汇率!$X$2)*100000000</f>
        <v>67255011908.5403</v>
      </c>
      <c r="Y20">
        <f>('分行业工业增加值（当年人民币）'!Y20*汇率!$Y$2)*100000000</f>
        <v>66046954581.5297</v>
      </c>
      <c r="Z20">
        <f>('分行业工业增加值（当年人民币）'!Z20*汇率!$Z$2)*100000000</f>
        <v>64872246614.7048</v>
      </c>
      <c r="AA20">
        <f>('分行业工业增加值（当年人民币）'!AA20*汇率!$AA$2)*100000000</f>
        <v>63730316656.88</v>
      </c>
      <c r="AB20">
        <f>('分行业工业增加值（当年人民币）'!AB20*汇率!$AB$2)*100000000</f>
        <v>62620493663.7475</v>
      </c>
      <c r="AC20">
        <f>('分行业工业增加值（当年人民币）'!AC20*汇率!$AC$2)*100000000</f>
        <v>61542032465.5637</v>
      </c>
      <c r="AD20">
        <f>('分行业工业增加值（当年人民币）'!AD20*汇率!$AD$2)*100000000</f>
        <v>60494134638.3755</v>
      </c>
      <c r="AE20">
        <f>('分行业工业增加值（当年人民币）'!AE20*汇率!$AE$2)*100000000</f>
        <v>59475965470.4842</v>
      </c>
      <c r="AF20">
        <f>('分行业工业增加值（当年人民币）'!AF20*汇率!$AF$2)*100000000</f>
        <v>58486667690.5059</v>
      </c>
      <c r="AG20">
        <f>('分行业工业增加值（当年人民币）'!AG20*汇率!$AG$2)*100000000</f>
        <v>57525372515.687</v>
      </c>
      <c r="AH20">
        <f>('分行业工业增加值（当年人民币）'!AH20*汇率!$AH$2)*100000000</f>
        <v>56591208487.3567</v>
      </c>
      <c r="AI20">
        <f>('分行业工业增加值（当年人民币）'!AI20*汇率!$AI$2)*100000000</f>
        <v>55683308482.7186</v>
      </c>
      <c r="AJ20">
        <f>('分行业工业增加值（当年人民币）'!AJ20*汇率!$AJ$2)*100000000</f>
        <v>54800815226.7483</v>
      </c>
      <c r="AK20">
        <f>('分行业工业增加值（当年人民币）'!AK20*汇率!$AK$2)*100000000</f>
        <v>53942885573.0707</v>
      </c>
      <c r="AL20">
        <f>('分行业工业增加值（当年人民币）'!AL20*汇率!$AL$2)*100000000</f>
        <v>53108693776.7869</v>
      </c>
      <c r="AM20">
        <f>('分行业工业增加值（当年人民币）'!AM20*汇率!$AM$2)*100000000</f>
        <v>52297433943.9146</v>
      </c>
      <c r="AN20">
        <f>('分行业工业增加值（当年人民币）'!AN20*汇率!$AN$2)*100000000</f>
        <v>51508321810.2196</v>
      </c>
      <c r="AO20">
        <f>('分行业工业增加值（当年人民币）'!AO20*汇率!$AO$2)*100000000</f>
        <v>50740595975.6949</v>
      </c>
      <c r="AP20">
        <f>('分行业工业增加值（当年人民币）'!AP20*汇率!$AP$2)*100000000</f>
        <v>49993518698.9245</v>
      </c>
      <c r="AQ20">
        <f>('分行业工业增加值（当年人民币）'!AQ20*汇率!$AQ$2)*100000000</f>
        <v>49266376337.3004</v>
      </c>
    </row>
    <row r="21" spans="1:43">
      <c r="A21" s="102" t="s">
        <v>18</v>
      </c>
      <c r="B21">
        <f>('分行业工业增加值（当年人民币）'!B21*汇率!$B$2)*100000000</f>
        <v>72724990862.8426</v>
      </c>
      <c r="C21">
        <f>('分行业工业增加值（当年人民币）'!C21*汇率!$C$2)*100000000</f>
        <v>67232207384.9171</v>
      </c>
      <c r="D21">
        <f>('分行业工业增加值（当年人民币）'!D21*汇率!$D$2)*100000000</f>
        <v>78201547503.8148</v>
      </c>
      <c r="E21">
        <f>('分行业工业增加值（当年人民币）'!E21*汇率!$E$2)*100000000</f>
        <v>77530363321.2797</v>
      </c>
      <c r="F21">
        <f>('分行业工业增加值（当年人民币）'!F21*汇率!$F$2)*100000000</f>
        <v>76761755609.7743</v>
      </c>
      <c r="G21">
        <f>('分行业工业增加值（当年人民币）'!G21*汇率!$G$2)*100000000</f>
        <v>75913896368.6799</v>
      </c>
      <c r="H21">
        <f>('分行业工业增加值（当年人民币）'!H21*汇率!$H$2)*100000000</f>
        <v>75003331946.2663</v>
      </c>
      <c r="I21">
        <f>('分行业工业增加值（当年人民币）'!I21*汇率!$I$2)*100000000</f>
        <v>74044784575.3914</v>
      </c>
      <c r="J21">
        <f>('分行业工业增加值（当年人民币）'!J21*汇率!$J$2)*100000000</f>
        <v>73051110526.7583</v>
      </c>
      <c r="K21">
        <f>('分行业工业增加值（当年人民币）'!K21*汇率!$K$2)*100000000</f>
        <v>72033362098.814</v>
      </c>
      <c r="L21">
        <f>('分行业工业增加值（当年人民币）'!L21*汇率!$L$2)*100000000</f>
        <v>71000912746.3394</v>
      </c>
      <c r="M21">
        <f>('分行业工业增加值（当年人民币）'!M21*汇率!$M$2)*100000000</f>
        <v>69961615679.2952</v>
      </c>
      <c r="N21">
        <f>('分行业工业增加值（当年人民币）'!N21*汇率!$N$2)*100000000</f>
        <v>68921975385.9434</v>
      </c>
      <c r="O21">
        <f>('分行业工业增加值（当年人民币）'!O21*汇率!$O$2)*100000000</f>
        <v>67887318601.8918</v>
      </c>
      <c r="P21">
        <f>('分行业工业增加值（当年人民币）'!P21*汇率!$P$2)*100000000</f>
        <v>66861956457.728</v>
      </c>
      <c r="Q21">
        <f>('分行业工业增加值（当年人民币）'!Q21*汇率!$Q$2)*100000000</f>
        <v>65849333221.6319</v>
      </c>
      <c r="R21">
        <f>('分行业工业增加值（当年人民币）'!R21*汇率!$R$2)*100000000</f>
        <v>64852159554.6058</v>
      </c>
      <c r="S21">
        <f>('分行业工业增加值（当年人民币）'!S21*汇率!$S$2)*100000000</f>
        <v>63872529821.4067</v>
      </c>
      <c r="T21">
        <f>('分行业工业增加值（当年人民币）'!T21*汇率!$T$2)*100000000</f>
        <v>62912024000.2028</v>
      </c>
      <c r="U21">
        <f>('分行业工业增加值（当年人民币）'!U21*汇率!$U$2)*100000000</f>
        <v>61971795301.3026</v>
      </c>
      <c r="V21">
        <f>('分行业工业增加值（当年人民币）'!V21*汇率!$V$2)*100000000</f>
        <v>61052644883.1607</v>
      </c>
      <c r="W21">
        <f>('分行业工业增加值（当年人民币）'!W21*汇率!$W$2)*100000000</f>
        <v>60155085144.8916</v>
      </c>
      <c r="X21">
        <f>('分行业工业增加值（当年人民币）'!X21*汇率!$X$2)*100000000</f>
        <v>59279393050.4965</v>
      </c>
      <c r="Y21">
        <f>('分行业工业增加值（当年人民币）'!Y21*汇率!$Y$2)*100000000</f>
        <v>58425654849.7854</v>
      </c>
      <c r="Z21">
        <f>('分行业工业增加值（当年人民币）'!Z21*汇率!$Z$2)*100000000</f>
        <v>57593803436.9012</v>
      </c>
      <c r="AA21">
        <f>('分行业工业增加值（当年人民币）'!AA21*汇率!$AA$2)*100000000</f>
        <v>56783649450.1887</v>
      </c>
      <c r="AB21">
        <f>('分行业工业增加值（当年人民币）'!AB21*汇率!$AB$2)*100000000</f>
        <v>55994907079.7474</v>
      </c>
      <c r="AC21">
        <f>('分行业工业增加值（当年人民币）'!AC21*汇率!$AC$2)*100000000</f>
        <v>55227215418.7337</v>
      </c>
      <c r="AD21">
        <f>('分行业工业增加值（当年人民币）'!AD21*汇率!$AD$2)*100000000</f>
        <v>54480156075.3229</v>
      </c>
      <c r="AE21">
        <f>('分行业工业增加值（当年人民币）'!AE21*汇率!$AE$2)*100000000</f>
        <v>53753267655.7902</v>
      </c>
      <c r="AF21">
        <f>('分行业工业增加值（当年人民币）'!AF21*汇率!$AF$2)*100000000</f>
        <v>53046057635.7443</v>
      </c>
      <c r="AG21">
        <f>('分行业工业增加值（当年人民币）'!AG21*汇率!$AG$2)*100000000</f>
        <v>52358012055.5428</v>
      </c>
      <c r="AH21">
        <f>('分行业工业增加值（当年人民币）'!AH21*汇率!$AH$2)*100000000</f>
        <v>51688603406.385</v>
      </c>
      <c r="AI21">
        <f>('分行业工业增加值（当年人民币）'!AI21*汇率!$AI$2)*100000000</f>
        <v>51037297014.3104</v>
      </c>
      <c r="AJ21">
        <f>('分行业工业增加值（当年人民币）'!AJ21*汇率!$AJ$2)*100000000</f>
        <v>50403556179.0953</v>
      </c>
      <c r="AK21">
        <f>('分行业工业增加值（当年人民币）'!AK21*汇率!$AK$2)*100000000</f>
        <v>49786846282.6552</v>
      </c>
      <c r="AL21">
        <f>('分行业工业增加值（当年人民币）'!AL21*汇率!$AL$2)*100000000</f>
        <v>49186638045.9218</v>
      </c>
      <c r="AM21">
        <f>('分行业工业增加值（当年人民币）'!AM21*汇率!$AM$2)*100000000</f>
        <v>48602410083.2595</v>
      </c>
      <c r="AN21">
        <f>('分行业工业增加值（当年人民币）'!AN21*汇率!$AN$2)*100000000</f>
        <v>48033650878.4756</v>
      </c>
      <c r="AO21">
        <f>('分行业工业增加值（当年人民币）'!AO21*汇率!$AO$2)*100000000</f>
        <v>47479860285.5662</v>
      </c>
      <c r="AP21">
        <f>('分行业工业增加值（当年人民币）'!AP21*汇率!$AP$2)*100000000</f>
        <v>46940550639.8924</v>
      </c>
      <c r="AQ21">
        <f>('分行业工业增加值（当年人民币）'!AQ21*汇率!$AQ$2)*100000000</f>
        <v>46415247550.9367</v>
      </c>
    </row>
    <row r="22" spans="1:43">
      <c r="A22" s="102" t="s">
        <v>19</v>
      </c>
      <c r="B22">
        <f>('分行业工业增加值（当年人民币）'!B22*汇率!$B$2)*100000000</f>
        <v>136593382049.642</v>
      </c>
      <c r="C22">
        <f>('分行业工业增加值（当年人民币）'!C22*汇率!$C$2)*100000000</f>
        <v>132680025732.883</v>
      </c>
      <c r="D22">
        <f>('分行业工业增加值（当年人民币）'!D22*汇率!$D$2)*100000000</f>
        <v>155199889542.785</v>
      </c>
      <c r="E22">
        <f>('分行业工业增加值（当年人民币）'!E22*汇率!$E$2)*100000000</f>
        <v>158001147761.789</v>
      </c>
      <c r="F22">
        <f>('分行业工业增加值（当年人民币）'!F22*汇率!$F$2)*100000000</f>
        <v>160495360519.916</v>
      </c>
      <c r="G22">
        <f>('分行业工业增加值（当年人民币）'!G22*汇率!$G$2)*100000000</f>
        <v>162707332853.648</v>
      </c>
      <c r="H22">
        <f>('分行业工业增加值（当年人民币）'!H22*汇率!$H$2)*100000000</f>
        <v>164662304584.504</v>
      </c>
      <c r="I22">
        <f>('分行业工业增加值（当年人民币）'!I22*汇率!$I$2)*100000000</f>
        <v>166385007481.334</v>
      </c>
      <c r="J22">
        <f>('分行业工业增加值（当年人民币）'!J22*汇率!$J$2)*100000000</f>
        <v>167899032698.212</v>
      </c>
      <c r="K22">
        <f>('分行业工业增加值（当年人民币）'!K22*汇率!$K$2)*100000000</f>
        <v>169226441618.418</v>
      </c>
      <c r="L22">
        <f>('分行业工业增加值（当年人民币）'!L22*汇率!$L$2)*100000000</f>
        <v>170387559169.318</v>
      </c>
      <c r="M22">
        <f>('分行业工业增加值（当年人民币）'!M22*汇率!$M$2)*100000000</f>
        <v>171400898262.151</v>
      </c>
      <c r="N22">
        <f>('分行业工业增加值（当年人民币）'!N22*汇率!$N$2)*100000000</f>
        <v>172283174362.224</v>
      </c>
      <c r="O22">
        <f>('分行业工业增加值（当年人民币）'!O22*汇率!$O$2)*100000000</f>
        <v>173049378782.954</v>
      </c>
      <c r="P22">
        <f>('分行业工业增加值（当年人民币）'!P22*汇率!$P$2)*100000000</f>
        <v>173712887462.717</v>
      </c>
      <c r="Q22">
        <f>('分行业工业增加值（当年人民币）'!Q22*汇率!$Q$2)*100000000</f>
        <v>174285588568.012</v>
      </c>
      <c r="R22">
        <f>('分行业工业增加值（当年人民币）'!R22*汇率!$R$2)*100000000</f>
        <v>174778017370.812</v>
      </c>
      <c r="S22">
        <f>('分行业工业增加值（当年人民币）'!S22*汇率!$S$2)*100000000</f>
        <v>175199490683.465</v>
      </c>
      <c r="T22">
        <f>('分行业工业增加值（当年人民币）'!T22*汇率!$T$2)*100000000</f>
        <v>175558235941.179</v>
      </c>
      <c r="U22">
        <f>('分行业工业增加值（当年人民币）'!U22*汇率!$U$2)*100000000</f>
        <v>175861512025.63</v>
      </c>
      <c r="V22">
        <f>('分行业工业增加值（当年人民币）'!V22*汇率!$V$2)*100000000</f>
        <v>176115720318.245</v>
      </c>
      <c r="W22">
        <f>('分行业工业增加值（当年人民币）'!W22*汇率!$W$2)*100000000</f>
        <v>176326505415.966</v>
      </c>
      <c r="X22">
        <f>('分行业工业增加值（当年人民币）'!X22*汇率!$X$2)*100000000</f>
        <v>176498845559.83</v>
      </c>
      <c r="Y22">
        <f>('分行业工业增加值（当年人民币）'!Y22*汇率!$Y$2)*100000000</f>
        <v>176637133211.707</v>
      </c>
      <c r="Z22">
        <f>('分行业工业增加值（当年人民币）'!Z22*汇率!$Z$2)*100000000</f>
        <v>176745246437.432</v>
      </c>
      <c r="AA22">
        <f>('分行业工业增加值（当年人民币）'!AA22*汇率!$AA$2)*100000000</f>
        <v>176826611866.66</v>
      </c>
      <c r="AB22">
        <f>('分行业工业增加值（当年人民币）'!AB22*汇率!$AB$2)*100000000</f>
        <v>176884260038.372</v>
      </c>
      <c r="AC22">
        <f>('分行业工业增加值（当年人民币）'!AC22*汇率!$AC$2)*100000000</f>
        <v>176920873932.181</v>
      </c>
      <c r="AD22">
        <f>('分行业工业增加值（当年人民币）'!AD22*汇率!$AD$2)*100000000</f>
        <v>176938831447.868</v>
      </c>
      <c r="AE22">
        <f>('分行业工业增加值（当年人民币）'!AE22*汇率!$AE$2)*100000000</f>
        <v>176940242541.556</v>
      </c>
      <c r="AF22">
        <f>('分行业工业增加值（当年人民币）'!AF22*汇率!$AF$2)*100000000</f>
        <v>176926981665.059</v>
      </c>
      <c r="AG22">
        <f>('分行业工业增加值（当年人民币）'!AG22*汇率!$AG$2)*100000000</f>
        <v>176900716090.771</v>
      </c>
      <c r="AH22">
        <f>('分行业工业增加值（当年人民币）'!AH22*汇率!$AH$2)*100000000</f>
        <v>176862930641.562</v>
      </c>
      <c r="AI22">
        <f>('分行业工业增加值（当年人民币）'!AI22*汇率!$AI$2)*100000000</f>
        <v>176814949285.529</v>
      </c>
      <c r="AJ22">
        <f>('分行业工业增加值（当年人民币）'!AJ22*汇率!$AJ$2)*100000000</f>
        <v>176757954000.452</v>
      </c>
      <c r="AK22">
        <f>('分行业工业增加值（当年人民币）'!AK22*汇率!$AK$2)*100000000</f>
        <v>176693001262.66</v>
      </c>
      <c r="AL22">
        <f>('分行业工业增加值（当年人民币）'!AL22*汇率!$AL$2)*100000000</f>
        <v>176621036470.194</v>
      </c>
      <c r="AM22">
        <f>('分行业工业增加值（当年人民币）'!AM22*汇率!$AM$2)*100000000</f>
        <v>176542906570.126</v>
      </c>
      <c r="AN22">
        <f>('分行业工业增加值（当年人民币）'!AN22*汇率!$AN$2)*100000000</f>
        <v>176459371124.706</v>
      </c>
      <c r="AO22">
        <f>('分行业工业增加值（当年人民币）'!AO22*汇率!$AO$2)*100000000</f>
        <v>176371112020.051</v>
      </c>
      <c r="AP22">
        <f>('分行业工业增加值（当年人民币）'!AP22*汇率!$AP$2)*100000000</f>
        <v>176278741993.997</v>
      </c>
      <c r="AQ22">
        <f>('分行业工业增加值（当年人民币）'!AQ22*汇率!$AQ$2)*100000000</f>
        <v>176182812136.26</v>
      </c>
    </row>
    <row r="23" spans="1:43">
      <c r="A23" s="102" t="s">
        <v>20</v>
      </c>
      <c r="B23">
        <f>('分行业工业增加值（当年人民币）'!B23*汇率!$B$2)*100000000</f>
        <v>156934752533.505</v>
      </c>
      <c r="C23">
        <f>('分行业工业增加值（当年人民币）'!C23*汇率!$C$2)*100000000</f>
        <v>144883285453.649</v>
      </c>
      <c r="D23">
        <f>('分行业工业增加值（当年人民币）'!D23*汇率!$D$2)*100000000</f>
        <v>185311644345.927</v>
      </c>
      <c r="E23">
        <f>('分行业工业增加值（当年人民币）'!E23*汇率!$E$2)*100000000</f>
        <v>193390265869.812</v>
      </c>
      <c r="F23">
        <f>('分行业工业增加值（当年人民币）'!F23*汇率!$F$2)*100000000</f>
        <v>200972051717.754</v>
      </c>
      <c r="G23">
        <f>('分行业工业增加值（当年人民币）'!G23*汇率!$G$2)*100000000</f>
        <v>208073724231.47</v>
      </c>
      <c r="H23">
        <f>('分行业工业增加值（当年人民币）'!H23*汇率!$H$2)*100000000</f>
        <v>214716717921.177</v>
      </c>
      <c r="I23">
        <f>('分行业工业增加值（当年人民币）'!I23*汇率!$I$2)*100000000</f>
        <v>220925424972.742</v>
      </c>
      <c r="J23">
        <f>('分行业工业增加值（当年人民币）'!J23*汇率!$J$2)*100000000</f>
        <v>226725810600.109</v>
      </c>
      <c r="K23">
        <f>('分行业工业增加值（当年人民币）'!K23*汇率!$K$2)*100000000</f>
        <v>232144361783.793</v>
      </c>
      <c r="L23">
        <f>('分行业工业增加值（当年人民币）'!L23*汇率!$L$2)*100000000</f>
        <v>237207319354.124</v>
      </c>
      <c r="M23">
        <f>('分行业工业增加值（当年人民币）'!M23*汇率!$M$2)*100000000</f>
        <v>241940140740.331</v>
      </c>
      <c r="N23">
        <f>('分行业工业增加值（当年人民币）'!N23*汇率!$N$2)*100000000</f>
        <v>246367144186.658</v>
      </c>
      <c r="O23">
        <f>('分行业工业增加值（当年人民币）'!O23*汇率!$O$2)*100000000</f>
        <v>250511291601.815</v>
      </c>
      <c r="P23">
        <f>('分行业工业增加值（当年人民币）'!P23*汇率!$P$2)*100000000</f>
        <v>254394074464.764</v>
      </c>
      <c r="Q23">
        <f>('分行业工业增加值（当年人民币）'!Q23*汇率!$Q$2)*100000000</f>
        <v>258035474240.622</v>
      </c>
      <c r="R23">
        <f>('分行业工业增加值（当年人民币）'!R23*汇率!$R$2)*100000000</f>
        <v>261453975015.637</v>
      </c>
      <c r="S23">
        <f>('分行业工业增加值（当年人民币）'!S23*汇率!$S$2)*100000000</f>
        <v>264666611338.19</v>
      </c>
      <c r="T23">
        <f>('分行业工业增加值（当年人民币）'!T23*汇率!$T$2)*100000000</f>
        <v>267689038545.503</v>
      </c>
      <c r="U23">
        <f>('分行业工业增加值（当年人民币）'!U23*汇率!$U$2)*100000000</f>
        <v>270535616253.196</v>
      </c>
      <c r="V23">
        <f>('分行业工业增加值（当年人民币）'!V23*汇率!$V$2)*100000000</f>
        <v>273219498316.488</v>
      </c>
      <c r="W23">
        <f>('分行业工业增加值（当年人民币）'!W23*汇率!$W$2)*100000000</f>
        <v>275752724574.036</v>
      </c>
      <c r="X23">
        <f>('分行业工业增加值（当年人民币）'!X23*汇率!$X$2)*100000000</f>
        <v>278146311184.41</v>
      </c>
      <c r="Y23">
        <f>('分行业工业增加值（当年人民币）'!Y23*汇率!$Y$2)*100000000</f>
        <v>280410337471.14</v>
      </c>
      <c r="Z23">
        <f>('分行业工业增加值（当年人民币）'!Z23*汇率!$Z$2)*100000000</f>
        <v>282554027995.513</v>
      </c>
      <c r="AA23">
        <f>('分行业工业增加值（当年人民币）'!AA23*汇率!$AA$2)*100000000</f>
        <v>284585829150.43</v>
      </c>
      <c r="AB23">
        <f>('分行业工业增加值（当年人民币）'!AB23*汇率!$AB$2)*100000000</f>
        <v>286513479971.211</v>
      </c>
      <c r="AC23">
        <f>('分行业工业增加值（当年人民币）'!AC23*汇率!$AC$2)*100000000</f>
        <v>288344077134.748</v>
      </c>
      <c r="AD23">
        <f>('分行业工业增加值（当年人民币）'!AD23*汇率!$AD$2)*100000000</f>
        <v>290084134301.079</v>
      </c>
      <c r="AE23">
        <f>('分行业工业增加值（当年人民币）'!AE23*汇率!$AE$2)*100000000</f>
        <v>291739636067.018</v>
      </c>
      <c r="AF23">
        <f>('分行业工业增加值（当年人民币）'!AF23*汇率!$AF$2)*100000000</f>
        <v>293316086869.083</v>
      </c>
      <c r="AG23">
        <f>('分行业工业增加值（当年人民币）'!AG23*汇率!$AG$2)*100000000</f>
        <v>294818555206.98</v>
      </c>
      <c r="AH23">
        <f>('分行业工业增加值（当年人民币）'!AH23*汇率!$AH$2)*100000000</f>
        <v>296251713569.781</v>
      </c>
      <c r="AI23">
        <f>('分行业工业增加值（当年人民币）'!AI23*汇率!$AI$2)*100000000</f>
        <v>297619874442.275</v>
      </c>
      <c r="AJ23">
        <f>('分行业工业增加值（当年人民币）'!AJ23*汇率!$AJ$2)*100000000</f>
        <v>298927022754.295</v>
      </c>
      <c r="AK23">
        <f>('分行业工业增加值（当年人民币）'!AK23*汇率!$AK$2)*100000000</f>
        <v>300176845115.181</v>
      </c>
      <c r="AL23">
        <f>('分行业工业增加值（当年人民币）'!AL23*汇率!$AL$2)*100000000</f>
        <v>301372756151.293</v>
      </c>
      <c r="AM23">
        <f>('分行业工业增加值（当年人民币）'!AM23*汇率!$AM$2)*100000000</f>
        <v>302517922239.231</v>
      </c>
      <c r="AN23">
        <f>('分行业工业增加值（当年人民币）'!AN23*汇率!$AN$2)*100000000</f>
        <v>303615282901.657</v>
      </c>
      <c r="AO23">
        <f>('分行业工业增加值（当年人民币）'!AO23*汇率!$AO$2)*100000000</f>
        <v>304667570107.818</v>
      </c>
      <c r="AP23">
        <f>('分行业工业增加值（当年人民币）'!AP23*汇率!$AP$2)*100000000</f>
        <v>305677325697.261</v>
      </c>
      <c r="AQ23">
        <f>('分行业工业增加值（当年人民币）'!AQ23*汇率!$AQ$2)*100000000</f>
        <v>306646917123.172</v>
      </c>
    </row>
    <row r="24" spans="1:43">
      <c r="A24" s="102" t="s">
        <v>21</v>
      </c>
      <c r="B24">
        <f>('分行业工业增加值（当年人民币）'!B24*汇率!$B$2)*100000000</f>
        <v>525453134022.422</v>
      </c>
      <c r="C24">
        <f>('分行业工业增加值（当年人民币）'!C24*汇率!$C$2)*100000000</f>
        <v>515301292652.264</v>
      </c>
      <c r="D24">
        <f>('分行业工业增加值（当年人民币）'!D24*汇率!$D$2)*100000000</f>
        <v>613610242160.116</v>
      </c>
      <c r="E24">
        <f>('分行业工业增加值（当年人民币）'!E24*汇率!$E$2)*100000000</f>
        <v>628067529757.982</v>
      </c>
      <c r="F24">
        <f>('分行业工业增加值（当年人民币）'!F24*汇率!$F$2)*100000000</f>
        <v>641217827420.975</v>
      </c>
      <c r="G24">
        <f>('分行业工业增加值（当年人民币）'!G24*汇率!$G$2)*100000000</f>
        <v>653149993424.802</v>
      </c>
      <c r="H24">
        <f>('分行业工业增加值（当年人民币）'!H24*汇率!$H$2)*100000000</f>
        <v>663957600670.535</v>
      </c>
      <c r="I24">
        <f>('分行业工业增加值（当年人民币）'!I24*汇率!$I$2)*100000000</f>
        <v>673734759827.385</v>
      </c>
      <c r="J24">
        <f>('分行业工业增加值（当年人民币）'!J24*汇率!$J$2)*100000000</f>
        <v>682573168755.217</v>
      </c>
      <c r="K24">
        <f>('分行业工业增加值（当年人民币）'!K24*汇率!$K$2)*100000000</f>
        <v>690560154821.188</v>
      </c>
      <c r="L24">
        <f>('分行业工业增加值（当年人民币）'!L24*汇率!$L$2)*100000000</f>
        <v>697777485421.944</v>
      </c>
      <c r="M24">
        <f>('分行业工业增加值（当年人民币）'!M24*汇率!$M$2)*100000000</f>
        <v>704300749870.683</v>
      </c>
      <c r="N24">
        <f>('分行业工业增加值（当年人民币）'!N24*汇率!$N$2)*100000000</f>
        <v>710199150391.189</v>
      </c>
      <c r="O24">
        <f>('分行业工业增加值（当年人民币）'!O24*汇率!$O$2)*100000000</f>
        <v>715535574236.849</v>
      </c>
      <c r="P24">
        <f>('分行业工业增加值（当年人民币）'!P24*汇率!$P$2)*100000000</f>
        <v>720366849455.426</v>
      </c>
      <c r="Q24">
        <f>('分行业工业增加值（当年人民币）'!Q24*汇率!$Q$2)*100000000</f>
        <v>724744112259.609</v>
      </c>
      <c r="R24">
        <f>('分行业工业增加值（当年人民币）'!R24*汇率!$R$2)*100000000</f>
        <v>728713234259.101</v>
      </c>
      <c r="S24">
        <f>('分行业工业增加值（当年人民币）'!S24*汇率!$S$2)*100000000</f>
        <v>732315273472.972</v>
      </c>
      <c r="T24">
        <f>('分行业工业增加值（当年人民币）'!T24*汇率!$T$2)*100000000</f>
        <v>735586924810.723</v>
      </c>
      <c r="U24">
        <f>('分行业工业增加值（当年人民币）'!U24*汇率!$U$2)*100000000</f>
        <v>738560954349.47</v>
      </c>
      <c r="V24">
        <f>('分行业工业增加值（当年人民币）'!V24*汇率!$V$2)*100000000</f>
        <v>741266607940.499</v>
      </c>
      <c r="W24">
        <f>('分行业工业增加值（当年人民币）'!W24*汇率!$W$2)*100000000</f>
        <v>743729989036.496</v>
      </c>
      <c r="X24">
        <f>('分行业工业增加值（当年人民币）'!X24*汇率!$X$2)*100000000</f>
        <v>745974403616.558</v>
      </c>
      <c r="Y24">
        <f>('分行业工业增加值（当年人民币）'!Y24*汇率!$Y$2)*100000000</f>
        <v>748020672069.916</v>
      </c>
      <c r="Z24">
        <f>('分行业工业增加值（当年人民币）'!Z24*汇率!$Z$2)*100000000</f>
        <v>749887409164.09</v>
      </c>
      <c r="AA24">
        <f>('分行业工业增加值（当年人民币）'!AA24*汇率!$AA$2)*100000000</f>
        <v>751591273981.32</v>
      </c>
      <c r="AB24">
        <f>('分行业工业增加值（当年人民币）'!AB24*汇率!$AB$2)*100000000</f>
        <v>753147192114.146</v>
      </c>
      <c r="AC24">
        <f>('分行业工业增加值（当年人民币）'!AC24*汇率!$AC$2)*100000000</f>
        <v>754568552580.481</v>
      </c>
      <c r="AD24">
        <f>('分行业工业增加值（当年人民币）'!AD24*汇率!$AD$2)*100000000</f>
        <v>755867381932.569</v>
      </c>
      <c r="AE24">
        <f>('分行业工业增加值（当年人民币）'!AE24*汇率!$AE$2)*100000000</f>
        <v>757054497948.727</v>
      </c>
      <c r="AF24">
        <f>('分行业工业增加值（当年人民币）'!AF24*汇率!$AF$2)*100000000</f>
        <v>758139645153.631</v>
      </c>
      <c r="AG24">
        <f>('分行业工业增加值（当年人民币）'!AG24*汇率!$AG$2)*100000000</f>
        <v>759131614238.033</v>
      </c>
      <c r="AH24">
        <f>('分行业工业增加值（当年人民币）'!AH24*汇率!$AH$2)*100000000</f>
        <v>760038347261.505</v>
      </c>
      <c r="AI24">
        <f>('分行业工业增加值（当年人民币）'!AI24*汇率!$AI$2)*100000000</f>
        <v>760867030333.988</v>
      </c>
      <c r="AJ24">
        <f>('分行业工业增加值（当年人民币）'!AJ24*汇率!$AJ$2)*100000000</f>
        <v>761624175290.25</v>
      </c>
      <c r="AK24">
        <f>('分行业工业增加值（当年人民币）'!AK24*汇率!$AK$2)*100000000</f>
        <v>762315691701.835</v>
      </c>
      <c r="AL24">
        <f>('分行业工业增加值（当年人民币）'!AL24*汇率!$AL$2)*100000000</f>
        <v>762946950414.355</v>
      </c>
      <c r="AM24">
        <f>('分行业工业增加值（当年人民币）'!AM24*汇率!$AM$2)*100000000</f>
        <v>763522839655.848</v>
      </c>
      <c r="AN24">
        <f>('分行业工业增加值（当年人民币）'!AN24*汇率!$AN$2)*100000000</f>
        <v>764047814634.736</v>
      </c>
      <c r="AO24">
        <f>('分行业工业增加值（当年人民币）'!AO24*汇率!$AO$2)*100000000</f>
        <v>764525941431.722</v>
      </c>
      <c r="AP24">
        <f>('分行业工业增加值（当年人民币）'!AP24*汇率!$AP$2)*100000000</f>
        <v>764960935889.633</v>
      </c>
      <c r="AQ24">
        <f>('分行业工业增加值（当年人民币）'!AQ24*汇率!$AQ$2)*100000000</f>
        <v>765356198116.158</v>
      </c>
    </row>
    <row r="25" spans="1:43">
      <c r="A25" s="102" t="s">
        <v>22</v>
      </c>
      <c r="B25">
        <f>('分行业工业增加值（当年人民币）'!B25*汇率!$B$2)*100000000</f>
        <v>250966725724.935</v>
      </c>
      <c r="C25">
        <f>('分行业工业增加值（当年人民币）'!C25*汇率!$C$2)*100000000</f>
        <v>238422820986.671</v>
      </c>
      <c r="D25">
        <f>('分行业工业增加值（当年人民币）'!D25*汇率!$D$2)*100000000</f>
        <v>281664320427.434</v>
      </c>
      <c r="E25">
        <f>('分行业工业增加值（当年人民币）'!E25*汇率!$E$2)*100000000</f>
        <v>291050989209.647</v>
      </c>
      <c r="F25">
        <f>('分行业工业增加值（当年人民币）'!F25*汇率!$F$2)*100000000</f>
        <v>299762056776.828</v>
      </c>
      <c r="G25">
        <f>('分行业工业增加值（当年人民币）'!G25*汇率!$G$2)*100000000</f>
        <v>307830819395.358</v>
      </c>
      <c r="H25">
        <f>('分行业工业增加值（当年人民币）'!H25*汇率!$H$2)*100000000</f>
        <v>315295173618.682</v>
      </c>
      <c r="I25">
        <f>('分行业工业增加值（当年人民币）'!I25*汇率!$I$2)*100000000</f>
        <v>322195333703.491</v>
      </c>
      <c r="J25">
        <f>('分行业工业增加值（当年人民币）'!J25*汇率!$J$2)*100000000</f>
        <v>328572111556.937</v>
      </c>
      <c r="K25">
        <f>('分行业工业增加值（当年人民币）'!K25*汇率!$K$2)*100000000</f>
        <v>334465677290.354</v>
      </c>
      <c r="L25">
        <f>('分行业工业增加值（当年人民币）'!L25*汇率!$L$2)*100000000</f>
        <v>339914710439.429</v>
      </c>
      <c r="M25">
        <f>('分行业工业增加值（当年人民币）'!M25*汇率!$M$2)*100000000</f>
        <v>344955856509.027</v>
      </c>
      <c r="N25">
        <f>('分行业工业增加值（当年人民币）'!N25*汇率!$N$2)*100000000</f>
        <v>349623414216.038</v>
      </c>
      <c r="O25">
        <f>('分行业工业增加值（当年人民币）'!O25*汇率!$O$2)*100000000</f>
        <v>353949191584.143</v>
      </c>
      <c r="P25">
        <f>('分行业工业增加值（当年人民币）'!P25*汇率!$P$2)*100000000</f>
        <v>357962481597.442</v>
      </c>
      <c r="Q25">
        <f>('分行业工业增加值（当年人民币）'!Q25*汇率!$Q$2)*100000000</f>
        <v>361690119314.301</v>
      </c>
      <c r="R25">
        <f>('分行业工业增加值（当年人民币）'!R25*汇率!$R$2)*100000000</f>
        <v>365156591752.185</v>
      </c>
      <c r="S25">
        <f>('分行业工业增加值（当年人民币）'!S25*汇率!$S$2)*100000000</f>
        <v>368384179449.961</v>
      </c>
      <c r="T25">
        <f>('分行业工业增加值（当年人民币）'!T25*汇率!$T$2)*100000000</f>
        <v>371393114563.523</v>
      </c>
      <c r="U25">
        <f>('分行业工业增加值（当年人民币）'!U25*汇率!$U$2)*100000000</f>
        <v>374201744900.355</v>
      </c>
      <c r="V25">
        <f>('分行业工业增加值（当年人民币）'!V25*汇率!$V$2)*100000000</f>
        <v>376826696708.484</v>
      </c>
      <c r="W25">
        <f>('分行业工业增加值（当年人民币）'!W25*汇率!$W$2)*100000000</f>
        <v>379283031543.96</v>
      </c>
      <c r="X25">
        <f>('分行业工业增加值（当年人民币）'!X25*汇率!$X$2)*100000000</f>
        <v>381584394354.033</v>
      </c>
      <c r="Y25">
        <f>('分行业工业增加值（当年人民币）'!Y25*汇率!$Y$2)*100000000</f>
        <v>383743151199.41</v>
      </c>
      <c r="Z25">
        <f>('分行业工业增加值（当年人民币）'!Z25*汇率!$Z$2)*100000000</f>
        <v>385770515931.54</v>
      </c>
      <c r="AA25">
        <f>('分行业工业增加值（当年人民币）'!AA25*汇率!$AA$2)*100000000</f>
        <v>387676665744.654</v>
      </c>
      <c r="AB25">
        <f>('分行业工业增加值（当年人民币）'!AB25*汇率!$AB$2)*100000000</f>
        <v>389470845916.223</v>
      </c>
      <c r="AC25">
        <f>('分行业工业增加值（当年人民币）'!AC25*汇率!$AC$2)*100000000</f>
        <v>391161464293.667</v>
      </c>
      <c r="AD25">
        <f>('分行业工业增加值（当年人民币）'!AD25*汇率!$AD$2)*100000000</f>
        <v>392756176223.536</v>
      </c>
      <c r="AE25">
        <f>('分行业工业增加值（当年人民币）'!AE25*汇率!$AE$2)*100000000</f>
        <v>394261960685.093</v>
      </c>
      <c r="AF25">
        <f>('分行业工业增加值（当年人民币）'!AF25*汇率!$AF$2)*100000000</f>
        <v>395685188406.52</v>
      </c>
      <c r="AG25">
        <f>('分行业工业增加值（当年人民币）'!AG25*汇率!$AG$2)*100000000</f>
        <v>397031682726.043</v>
      </c>
      <c r="AH25">
        <f>('分行业工业增加值（当年人民币）'!AH25*汇率!$AH$2)*100000000</f>
        <v>398306773924.319</v>
      </c>
      <c r="AI25">
        <f>('分行业工业增加值（当年人民币）'!AI25*汇率!$AI$2)*100000000</f>
        <v>399515347706.675</v>
      </c>
      <c r="AJ25">
        <f>('分行业工业增加值（当年人民币）'!AJ25*汇率!$AJ$2)*100000000</f>
        <v>400661888460.318</v>
      </c>
      <c r="AK25">
        <f>('分行业工业增加值（当年人民币）'!AK25*汇率!$AK$2)*100000000</f>
        <v>401750517856.267</v>
      </c>
      <c r="AL25">
        <f>('分行业工业增加值（当年人民币）'!AL25*汇率!$AL$2)*100000000</f>
        <v>402785029311.141</v>
      </c>
      <c r="AM25">
        <f>('分行业工业增加值（当年人民币）'!AM25*汇率!$AM$2)*100000000</f>
        <v>403768918771.577</v>
      </c>
      <c r="AN25">
        <f>('分行业工业增加值（当年人民币）'!AN25*汇率!$AN$2)*100000000</f>
        <v>404705412235.156</v>
      </c>
      <c r="AO25">
        <f>('分行业工业增加值（当年人民币）'!AO25*汇率!$AO$2)*100000000</f>
        <v>405597490376.464</v>
      </c>
      <c r="AP25">
        <f>('分行业工业增加值（当年人民币）'!AP25*汇率!$AP$2)*100000000</f>
        <v>406447910605.792</v>
      </c>
      <c r="AQ25">
        <f>('分行业工业增加值（当年人民币）'!AQ25*汇率!$AQ$2)*100000000</f>
        <v>407259226850.679</v>
      </c>
    </row>
    <row r="26" spans="1:43">
      <c r="A26" s="102" t="s">
        <v>23</v>
      </c>
      <c r="B26">
        <f>('分行业工业增加值（当年人民币）'!B26*汇率!$B$2)*100000000</f>
        <v>366456286414.764</v>
      </c>
      <c r="C26">
        <f>('分行业工业增加值（当年人民币）'!C26*汇率!$C$2)*100000000</f>
        <v>363183068202.539</v>
      </c>
      <c r="D26">
        <f>('分行业工业增加值（当年人民币）'!D26*汇率!$D$2)*100000000</f>
        <v>409616281556.375</v>
      </c>
      <c r="E26">
        <f>('分行业工业增加值（当年人民币）'!E26*汇率!$E$2)*100000000</f>
        <v>419474062787.017</v>
      </c>
      <c r="F26">
        <f>('分行业工业增加值（当年人民币）'!F26*汇率!$F$2)*100000000</f>
        <v>428453672652.439</v>
      </c>
      <c r="G26">
        <f>('分行业工业增加值（当年人民币）'!G26*汇率!$G$2)*100000000</f>
        <v>436613865266.659</v>
      </c>
      <c r="H26">
        <f>('分行业工业增加值（当年人民币）'!H26*汇率!$H$2)*100000000</f>
        <v>444016725171.848</v>
      </c>
      <c r="I26">
        <f>('分行业工业增加值（当年人民币）'!I26*汇率!$I$2)*100000000</f>
        <v>450724851605.911</v>
      </c>
      <c r="J26">
        <f>('分行业工业增加值（当年人民币）'!J26*汇率!$J$2)*100000000</f>
        <v>456799361347.133</v>
      </c>
      <c r="K26">
        <f>('分行业工业增加值（当年人民币）'!K26*汇率!$K$2)*100000000</f>
        <v>462298556234.248</v>
      </c>
      <c r="L26">
        <f>('分行业工业增加值（当年人民币）'!L26*汇率!$L$2)*100000000</f>
        <v>467277106363.225</v>
      </c>
      <c r="M26">
        <f>('分行业工业增加值（当年人民币）'!M26*汇率!$M$2)*100000000</f>
        <v>471785617936.533</v>
      </c>
      <c r="N26">
        <f>('分行业工业增加值（当年人民币）'!N26*汇率!$N$2)*100000000</f>
        <v>475870477438.341</v>
      </c>
      <c r="O26">
        <f>('分行业工业增加值（当年人民币）'!O26*汇率!$O$2)*100000000</f>
        <v>479573886468.265</v>
      </c>
      <c r="P26">
        <f>('分行业工业增加值（当年人民币）'!P26*汇率!$P$2)*100000000</f>
        <v>482934021819.254</v>
      </c>
      <c r="Q26">
        <f>('分行业工业增加值（当年人民币）'!Q26*汇率!$Q$2)*100000000</f>
        <v>485985272331.104</v>
      </c>
      <c r="R26">
        <f>('分行业工业增加值（当年人民币）'!R26*汇率!$R$2)*100000000</f>
        <v>488758517606.308</v>
      </c>
      <c r="S26">
        <f>('分行业工业增加值（当年人民币）'!S26*汇率!$S$2)*100000000</f>
        <v>491281424161.652</v>
      </c>
      <c r="T26">
        <f>('分行业工业增加值（当年人民币）'!T26*汇率!$T$2)*100000000</f>
        <v>493578742486.502</v>
      </c>
      <c r="U26">
        <f>('分行业工业增加值（当年人民币）'!U26*汇率!$U$2)*100000000</f>
        <v>495672594290.09</v>
      </c>
      <c r="V26">
        <f>('分行业工业增加值（当年人民币）'!V26*汇率!$V$2)*100000000</f>
        <v>497582743404.618</v>
      </c>
      <c r="W26">
        <f>('分行业工业增加值（当年人民币）'!W26*汇率!$W$2)*100000000</f>
        <v>499326846758.718</v>
      </c>
      <c r="X26">
        <f>('分行业工业增加值（当年人民币）'!X26*汇率!$X$2)*100000000</f>
        <v>500920683862.097</v>
      </c>
      <c r="Y26">
        <f>('分行业工业增加值（当年人民币）'!Y26*汇率!$Y$2)*100000000</f>
        <v>502378364594.769</v>
      </c>
      <c r="Z26">
        <f>('分行业工业增加值（当年人民币）'!Z26*汇率!$Z$2)*100000000</f>
        <v>503712515962.12</v>
      </c>
      <c r="AA26">
        <f>('分行业工业增加值（当年人民币）'!AA26*汇率!$AA$2)*100000000</f>
        <v>504934449002.249</v>
      </c>
      <c r="AB26">
        <f>('分行业工业增加值（当年人民币）'!AB26*汇率!$AB$2)*100000000</f>
        <v>506054307319.394</v>
      </c>
      <c r="AC26">
        <f>('分行业工业增加值（当年人民币）'!AC26*汇率!$AC$2)*100000000</f>
        <v>507081198842.93</v>
      </c>
      <c r="AD26">
        <f>('分行业工业增加值（当年人民币）'!AD26*汇率!$AD$2)*100000000</f>
        <v>508023312430.569</v>
      </c>
      <c r="AE26">
        <f>('分行业工业增加值（当年人民币）'!AE26*汇率!$AE$2)*100000000</f>
        <v>508888020885.416</v>
      </c>
      <c r="AF26">
        <f>('分行业工业增加值（当年人民币）'!AF26*汇率!$AF$2)*100000000</f>
        <v>509681971866.96</v>
      </c>
      <c r="AG26">
        <f>('分行业工业增加值（当年人民币）'!AG26*汇率!$AG$2)*100000000</f>
        <v>510411168064.295</v>
      </c>
      <c r="AH26">
        <f>('分行业工业增加值（当年人民币）'!AH26*汇率!$AH$2)*100000000</f>
        <v>511081037878.657</v>
      </c>
      <c r="AI26">
        <f>('分行业工业增加值（当年人民币）'!AI26*汇率!$AI$2)*100000000</f>
        <v>511696497739.566</v>
      </c>
      <c r="AJ26">
        <f>('分行业工业增加值（当年人民币）'!AJ26*汇率!$AJ$2)*100000000</f>
        <v>512262007060.348</v>
      </c>
      <c r="AK26">
        <f>('分行业工业增加值（当年人民币）'!AK26*汇率!$AK$2)*100000000</f>
        <v>512781616726.823</v>
      </c>
      <c r="AL26">
        <f>('分行业工业增加值（当年人民币）'!AL26*汇率!$AL$2)*100000000</f>
        <v>513259011909.909</v>
      </c>
      <c r="AM26">
        <f>('分行业工业增加值（当年人民币）'!AM26*汇率!$AM$2)*100000000</f>
        <v>513697549899.018</v>
      </c>
      <c r="AN26">
        <f>('分行业工业增加值（当年人民币）'!AN26*汇率!$AN$2)*100000000</f>
        <v>514100293568.648</v>
      </c>
      <c r="AO26">
        <f>('分行业工业增加值（当年人民币）'!AO26*汇率!$AO$2)*100000000</f>
        <v>514470041015.242</v>
      </c>
      <c r="AP26">
        <f>('分行业工业增加值（当年人民币）'!AP26*汇率!$AP$2)*100000000</f>
        <v>514809351834.467</v>
      </c>
      <c r="AQ26">
        <f>('分行业工业增加值（当年人民币）'!AQ26*汇率!$AQ$2)*100000000</f>
        <v>515120570450.11</v>
      </c>
    </row>
    <row r="27" spans="1:43">
      <c r="A27" s="102" t="s">
        <v>24</v>
      </c>
      <c r="B27">
        <f>('分行业工业增加值（当年人民币）'!B27*汇率!$B$2)*100000000</f>
        <v>142205591450.752</v>
      </c>
      <c r="C27">
        <f>('分行业工业增加值（当年人民币）'!C27*汇率!$C$2)*100000000</f>
        <v>141610734598.802</v>
      </c>
      <c r="D27">
        <f>('分行业工业增加值（当年人民币）'!D27*汇率!$D$2)*100000000</f>
        <v>159204896362.081</v>
      </c>
      <c r="E27">
        <f>('分行业工业增加值（当年人民币）'!E27*汇率!$E$2)*100000000</f>
        <v>162396592026.209</v>
      </c>
      <c r="F27">
        <f>('分行业工业增加值（当年人民币）'!F27*汇率!$F$2)*100000000</f>
        <v>165264567226.967</v>
      </c>
      <c r="G27">
        <f>('分行业工业增加值（当年人民币）'!G27*汇率!$G$2)*100000000</f>
        <v>167833400446.91</v>
      </c>
      <c r="H27">
        <f>('分行业工业增加值（当年人民币）'!H27*汇率!$H$2)*100000000</f>
        <v>170128397974.89</v>
      </c>
      <c r="I27">
        <f>('分行业工业增加值（当年人民币）'!I27*汇率!$I$2)*100000000</f>
        <v>172174584483.043</v>
      </c>
      <c r="J27">
        <f>('分行业工业增加值（当年人民币）'!J27*汇率!$J$2)*100000000</f>
        <v>173996011843.867</v>
      </c>
      <c r="K27">
        <f>('分行业工业增加值（当年人民币）'!K27*汇率!$K$2)*100000000</f>
        <v>175615320508.01</v>
      </c>
      <c r="L27">
        <f>('分行业工业增加值（当年人民币）'!L27*汇率!$L$2)*100000000</f>
        <v>177053492461.826</v>
      </c>
      <c r="M27">
        <f>('分行业工业增加值（当年人民币）'!M27*汇率!$M$2)*100000000</f>
        <v>178329743673.653</v>
      </c>
      <c r="N27">
        <f>('分行业工业增加值（当年人民币）'!N27*汇率!$N$2)*100000000</f>
        <v>179461513959.544</v>
      </c>
      <c r="O27">
        <f>('分行业工业增加值（当年人民币）'!O27*汇率!$O$2)*100000000</f>
        <v>180464521693.039</v>
      </c>
      <c r="P27">
        <f>('分行业工业增加值（当年人民币）'!P27*汇率!$P$2)*100000000</f>
        <v>181352858992.126</v>
      </c>
      <c r="Q27">
        <f>('分行业工业增加值（当年人民币）'!Q27*汇率!$Q$2)*100000000</f>
        <v>182139109715.207</v>
      </c>
      <c r="R27">
        <f>('分行业工业增加值（当年人民币）'!R27*汇率!$R$2)*100000000</f>
        <v>182834477844.723</v>
      </c>
      <c r="S27">
        <f>('分行业工业增加值（当年人民币）'!S27*汇率!$S$2)*100000000</f>
        <v>183448917818.53</v>
      </c>
      <c r="T27">
        <f>('分行业工业增加值（当年人民币）'!T27*汇率!$T$2)*100000000</f>
        <v>183991261311.435</v>
      </c>
      <c r="U27">
        <f>('分行业工业增加值（当年人民币）'!U27*汇率!$U$2)*100000000</f>
        <v>184469337092.128</v>
      </c>
      <c r="V27">
        <f>('分行业工业增加值（当年人民币）'!V27*汇率!$V$2)*100000000</f>
        <v>184890082076.629</v>
      </c>
      <c r="W27">
        <f>('分行业工业增加值（当年人民币）'!W27*汇率!$W$2)*100000000</f>
        <v>185259642726.809</v>
      </c>
      <c r="X27">
        <f>('分行业工业增加值（当年人民币）'!X27*汇率!$X$2)*100000000</f>
        <v>185583466627.193</v>
      </c>
      <c r="Y27">
        <f>('分行业工业增加值（当年人民币）'!Y27*汇率!$Y$2)*100000000</f>
        <v>185866384511.621</v>
      </c>
      <c r="Z27">
        <f>('分行业工业增加值（当年人民币）'!Z27*汇率!$Z$2)*100000000</f>
        <v>186112683276.07</v>
      </c>
      <c r="AA27">
        <f>('分行业工业增加值（当年人民币）'!AA27*汇率!$AA$2)*100000000</f>
        <v>186326170658.561</v>
      </c>
      <c r="AB27">
        <f>('分行业工业增加值（当年人民币）'!AB27*汇率!$AB$2)*100000000</f>
        <v>186510232330.588</v>
      </c>
      <c r="AC27">
        <f>('分行业工业增加值（当年人民币）'!AC27*汇率!$AC$2)*100000000</f>
        <v>186667882154.724</v>
      </c>
      <c r="AD27">
        <f>('分行业工业增加值（当年人民币）'!AD27*汇率!$AD$2)*100000000</f>
        <v>186801806339.706</v>
      </c>
      <c r="AE27">
        <f>('分行业工业增加值（当年人民币）'!AE27*汇率!$AE$2)*100000000</f>
        <v>186914402180.942</v>
      </c>
      <c r="AF27">
        <f>('分行业工业增加值（当年人民币）'!AF27*汇率!$AF$2)*100000000</f>
        <v>187007812020.446</v>
      </c>
      <c r="AG27">
        <f>('分行业工业增加值（当年人民币）'!AG27*汇率!$AG$2)*100000000</f>
        <v>187083953001.833</v>
      </c>
      <c r="AH27">
        <f>('分行业工业增加值（当年人民币）'!AH27*汇率!$AH$2)*100000000</f>
        <v>187144543137.2</v>
      </c>
      <c r="AI27">
        <f>('分行业工业增加值（当年人民币）'!AI27*汇率!$AI$2)*100000000</f>
        <v>187191124146.135</v>
      </c>
      <c r="AJ27">
        <f>('分行业工业增加值（当年人民币）'!AJ27*汇率!$AJ$2)*100000000</f>
        <v>187225081473.983</v>
      </c>
      <c r="AK27">
        <f>('分行业工业增加值（当年人民币）'!AK27*汇率!$AK$2)*100000000</f>
        <v>187247661847.813</v>
      </c>
      <c r="AL27">
        <f>('分行业工业增加值（当年人民币）'!AL27*汇率!$AL$2)*100000000</f>
        <v>187259988684.432</v>
      </c>
      <c r="AM27">
        <f>('分行业工业增加值（当年人民币）'!AM27*汇率!$AM$2)*100000000</f>
        <v>187263075625.302</v>
      </c>
      <c r="AN27">
        <f>('分行业工业增加值（当年人民币）'!AN27*汇率!$AN$2)*100000000</f>
        <v>187257838438.193</v>
      </c>
      <c r="AO27">
        <f>('分行业工业增加值（当年人民币）'!AO27*汇率!$AO$2)*100000000</f>
        <v>187245105494.432</v>
      </c>
      <c r="AP27">
        <f>('分行业工业增加值（当年人民币）'!AP27*汇率!$AP$2)*100000000</f>
        <v>187225627003.512</v>
      </c>
      <c r="AQ27">
        <f>('分行业工业增加值（当年人民币）'!AQ27*汇率!$AQ$2)*100000000</f>
        <v>187200083162.986</v>
      </c>
    </row>
    <row r="28" spans="1:43">
      <c r="A28" s="102" t="s">
        <v>25</v>
      </c>
      <c r="B28">
        <f>('分行业工业增加值（当年人民币）'!B28*汇率!$B$2)*100000000</f>
        <v>175577901679.149</v>
      </c>
      <c r="C28">
        <f>('分行业工业增加值（当年人民币）'!C28*汇率!$C$2)*100000000</f>
        <v>178831213062.831</v>
      </c>
      <c r="D28">
        <f>('分行业工业增加值（当年人民币）'!D28*汇率!$D$2)*100000000</f>
        <v>197444307109.884</v>
      </c>
      <c r="E28">
        <f>('分行业工业增加值（当年人民币）'!E28*汇率!$E$2)*100000000</f>
        <v>200552177854.96</v>
      </c>
      <c r="F28">
        <f>('分行业工业增加值（当年人民币）'!F28*汇率!$F$2)*100000000</f>
        <v>203281967296.047</v>
      </c>
      <c r="G28">
        <f>('分行业工业增加值（当年人民币）'!G28*汇率!$G$2)*100000000</f>
        <v>205666474066.107</v>
      </c>
      <c r="H28">
        <f>('分行业工业增加值（当年人民币）'!H28*汇率!$H$2)*100000000</f>
        <v>207738646139.647</v>
      </c>
      <c r="I28">
        <f>('分行业工业增加值（当年人民币）'!I28*汇率!$I$2)*100000000</f>
        <v>209530441907.096</v>
      </c>
      <c r="J28">
        <f>('分行业工业增加值（当年人民币）'!J28*汇率!$J$2)*100000000</f>
        <v>211072086040.463</v>
      </c>
      <c r="K28">
        <f>('分行业工业增加值（当年人民币）'!K28*汇率!$K$2)*100000000</f>
        <v>212391630901.366</v>
      </c>
      <c r="L28">
        <f>('分行业工业增加值（当年人民币）'!L28*汇率!$L$2)*100000000</f>
        <v>213514743782.537</v>
      </c>
      <c r="M28">
        <f>('分行业工业增加值（当年人民币）'!M28*汇率!$M$2)*100000000</f>
        <v>214464653829.739</v>
      </c>
      <c r="N28">
        <f>('分行业工业增加值（当年人民币）'!N28*汇率!$N$2)*100000000</f>
        <v>215262206515.231</v>
      </c>
      <c r="O28">
        <f>('分行业工业增加值（当年人民币）'!O28*汇率!$O$2)*100000000</f>
        <v>215925986221.303</v>
      </c>
      <c r="P28">
        <f>('分行业工业增加值（当年人民币）'!P28*汇率!$P$2)*100000000</f>
        <v>216472478120.395</v>
      </c>
      <c r="Q28">
        <f>('分行业工业增加值（当年人民币）'!Q28*汇率!$Q$2)*100000000</f>
        <v>216916248995.33</v>
      </c>
      <c r="R28">
        <f>('分行业工业增加值（当年人民币）'!R28*汇率!$R$2)*100000000</f>
        <v>217270133121.449</v>
      </c>
      <c r="S28">
        <f>('分行业工业增加值（当年人民币）'!S28*汇率!$S$2)*100000000</f>
        <v>217545414144.621</v>
      </c>
      <c r="T28">
        <f>('分行业工业增加值（当年人民币）'!T28*汇率!$T$2)*100000000</f>
        <v>217751997369.139</v>
      </c>
      <c r="U28">
        <f>('分行业工业增加值（当年人民币）'!U28*汇率!$U$2)*100000000</f>
        <v>217898569321.502</v>
      </c>
      <c r="V28">
        <f>('分行业工业增加值（当年人民币）'!V28*汇率!$V$2)*100000000</f>
        <v>217992743137.777</v>
      </c>
      <c r="W28">
        <f>('分行业工业增加值（当年人民币）'!W28*汇率!$W$2)*100000000</f>
        <v>218041189439.341</v>
      </c>
      <c r="X28">
        <f>('分行业工业增加值（当年人民币）'!X28*汇率!$X$2)*100000000</f>
        <v>218049753073.975</v>
      </c>
      <c r="Y28">
        <f>('分行业工业增加值（当年人民币）'!Y28*汇率!$Y$2)*100000000</f>
        <v>218023556526.952</v>
      </c>
      <c r="Z28">
        <f>('分行业工业增加值（当年人民币）'!Z28*汇率!$Z$2)*100000000</f>
        <v>217967091038.504</v>
      </c>
      <c r="AA28">
        <f>('分行业工业增加值（当年人民币）'!AA28*汇率!$AA$2)*100000000</f>
        <v>217884296564.335</v>
      </c>
      <c r="AB28">
        <f>('分行业工业增加值（当年人民币）'!AB28*汇率!$AB$2)*100000000</f>
        <v>217778631730.592</v>
      </c>
      <c r="AC28">
        <f>('分行业工业增加值（当年人民币）'!AC28*汇率!$AC$2)*100000000</f>
        <v>217653134895.999</v>
      </c>
      <c r="AD28">
        <f>('分行业工业增加值（当年人民币）'!AD28*汇率!$AD$2)*100000000</f>
        <v>217510477363.902</v>
      </c>
      <c r="AE28">
        <f>('分行业工业增加值（当年人民币）'!AE28*汇率!$AE$2)*100000000</f>
        <v>217353009701.024</v>
      </c>
      <c r="AF28">
        <f>('分行业工业增加值（当年人民币）'!AF28*汇率!$AF$2)*100000000</f>
        <v>217182802027.24</v>
      </c>
      <c r="AG28">
        <f>('分行业工业增加值（当年人民币）'!AG28*汇率!$AG$2)*100000000</f>
        <v>217001679048.515</v>
      </c>
      <c r="AH28">
        <f>('分行业工业增加值（当年人民币）'!AH28*汇率!$AH$2)*100000000</f>
        <v>216811250516.759</v>
      </c>
      <c r="AI28">
        <f>('分行业工业增加值（当年人民币）'!AI28*汇率!$AI$2)*100000000</f>
        <v>216612937718.185</v>
      </c>
      <c r="AJ28">
        <f>('分行业工业增加值（当年人民币）'!AJ28*汇率!$AJ$2)*100000000</f>
        <v>216407996516.772</v>
      </c>
      <c r="AK28">
        <f>('分行业工业增加值（当年人民币）'!AK28*汇率!$AK$2)*100000000</f>
        <v>216197537411.987</v>
      </c>
      <c r="AL28">
        <f>('分行业工业增加值（当年人民币）'!AL28*汇率!$AL$2)*100000000</f>
        <v>215982543009.957</v>
      </c>
      <c r="AM28">
        <f>('分行业工业增加值（当年人民币）'!AM28*汇率!$AM$2)*100000000</f>
        <v>215763883254.301</v>
      </c>
      <c r="AN28">
        <f>('分行业工业增加值（当年人民币）'!AN28*汇率!$AN$2)*100000000</f>
        <v>215542328716.423</v>
      </c>
      <c r="AO28">
        <f>('分行业工业增加值（当年人民币）'!AO28*汇率!$AO$2)*100000000</f>
        <v>215318562204.54</v>
      </c>
      <c r="AP28">
        <f>('分行业工业增加值（当年人民币）'!AP28*汇率!$AP$2)*100000000</f>
        <v>215093188915.429</v>
      </c>
      <c r="AQ28">
        <f>('分行业工业增加值（当年人民币）'!AQ28*汇率!$AQ$2)*100000000</f>
        <v>214866745322.401</v>
      </c>
    </row>
    <row r="29" spans="1:43">
      <c r="A29" s="102" t="s">
        <v>26</v>
      </c>
      <c r="B29">
        <f>('分行业工业增加值（当年人民币）'!B29*汇率!$B$2)*100000000</f>
        <v>145714885836.788</v>
      </c>
      <c r="C29">
        <f>('分行业工业增加值（当年人民币）'!C29*汇率!$C$2)*100000000</f>
        <v>164745108176.099</v>
      </c>
      <c r="D29">
        <f>('分行业工业增加值（当年人民币）'!D29*汇率!$D$2)*100000000</f>
        <v>173420790803.26</v>
      </c>
      <c r="E29">
        <f>('分行业工业增加值（当年人民币）'!E29*汇率!$E$2)*100000000</f>
        <v>177581864693.075</v>
      </c>
      <c r="F29">
        <f>('分行业工业增加值（当年人民币）'!F29*汇率!$F$2)*100000000</f>
        <v>181371486387.54</v>
      </c>
      <c r="G29">
        <f>('分行业工业增加值（当年人民币）'!G29*汇率!$G$2)*100000000</f>
        <v>184814564758.049</v>
      </c>
      <c r="H29">
        <f>('分行业工业增加值（当年人民币）'!H29*汇率!$H$2)*100000000</f>
        <v>187937407662.427</v>
      </c>
      <c r="I29">
        <f>('分行业工业增加值（当年人民币）'!I29*汇率!$I$2)*100000000</f>
        <v>190766531491.493</v>
      </c>
      <c r="J29">
        <f>('分行业工业增加值（当年人民币）'!J29*汇率!$J$2)*100000000</f>
        <v>193327817281.356</v>
      </c>
      <c r="K29">
        <f>('分行业工业增加值（当年人民币）'!K29*汇率!$K$2)*100000000</f>
        <v>195645948119.368</v>
      </c>
      <c r="L29">
        <f>('分行业工业增加值（当年人民币）'!L29*汇率!$L$2)*100000000</f>
        <v>197744064701.871</v>
      </c>
      <c r="M29">
        <f>('分行业工业增加值（当年人民币）'!M29*汇率!$M$2)*100000000</f>
        <v>199643583548.806</v>
      </c>
      <c r="N29">
        <f>('分行业工业增加值（当年人民币）'!N29*汇率!$N$2)*100000000</f>
        <v>201364132013.192</v>
      </c>
      <c r="O29">
        <f>('分行业工业增加值（当年人民币）'!O29*汇率!$O$2)*100000000</f>
        <v>202923563830.237</v>
      </c>
      <c r="P29">
        <f>('分行业工业增加值（当年人民币）'!P29*汇率!$P$2)*100000000</f>
        <v>204338027531.884</v>
      </c>
      <c r="Q29">
        <f>('分行业工业增加值（当年人民币）'!Q29*汇率!$Q$2)*100000000</f>
        <v>205622067229.255</v>
      </c>
      <c r="R29">
        <f>('分行业工业增加值（当年人民币）'!R29*汇率!$R$2)*100000000</f>
        <v>206788741004.045</v>
      </c>
      <c r="S29">
        <f>('分行业工业增加值（当年人民币）'!S29*汇率!$S$2)*100000000</f>
        <v>207849746587.715</v>
      </c>
      <c r="T29">
        <f>('分行业工业增加值（当年人民币）'!T29*汇率!$T$2)*100000000</f>
        <v>208815547348.613</v>
      </c>
      <c r="U29">
        <f>('分行业工业增加值（当年人民币）'!U29*汇率!$U$2)*100000000</f>
        <v>209695494064.812</v>
      </c>
      <c r="V29">
        <f>('分行业工业增加值（当年人民币）'!V29*汇率!$V$2)*100000000</f>
        <v>210497939729.533</v>
      </c>
      <c r="W29">
        <f>('分行业工业增加值（当年人民币）'!W29*汇率!$W$2)*100000000</f>
        <v>211230345881.734</v>
      </c>
      <c r="X29">
        <f>('分行业工业增加值（当年人民币）'!X29*汇率!$X$2)*100000000</f>
        <v>211899379810.284</v>
      </c>
      <c r="Y29">
        <f>('分行业工业增加值（当年人民币）'!Y29*汇率!$Y$2)*100000000</f>
        <v>212511002551.095</v>
      </c>
      <c r="Z29">
        <f>('分行业工业增加值（当年人民币）'!Z29*汇率!$Z$2)*100000000</f>
        <v>213070547962.644</v>
      </c>
      <c r="AA29">
        <f>('分行业工业增加值（当年人民币）'!AA29*汇率!$AA$2)*100000000</f>
        <v>213582793386.43</v>
      </c>
      <c r="AB29">
        <f>('分行业工业增加值（当年人民币）'!AB29*汇率!$AB$2)*100000000</f>
        <v>214052022519.693</v>
      </c>
      <c r="AC29">
        <f>('分行业工业增加值（当年人民币）'!AC29*汇率!$AC$2)*100000000</f>
        <v>214482081180.169</v>
      </c>
      <c r="AD29">
        <f>('分行业工业增加值（当年人民币）'!AD29*汇率!$AD$2)*100000000</f>
        <v>214876426650.156</v>
      </c>
      <c r="AE29">
        <f>('分行业工业增加值（当年人民币）'!AE29*汇率!$AE$2)*100000000</f>
        <v>215238171265.945</v>
      </c>
      <c r="AF29">
        <f>('分行业工业增加值（当年人民币）'!AF29*汇率!$AF$2)*100000000</f>
        <v>215570120880.398</v>
      </c>
      <c r="AG29">
        <f>('分行业工业增加值（当年人民币）'!AG29*汇率!$AG$2)*100000000</f>
        <v>215874808778.829</v>
      </c>
      <c r="AH29">
        <f>('分行业工业增加值（当年人民币）'!AH29*汇率!$AH$2)*100000000</f>
        <v>216154525576.775</v>
      </c>
      <c r="AI29">
        <f>('分行业工业增加值（当年人民币）'!AI29*汇率!$AI$2)*100000000</f>
        <v>216411345576.137</v>
      </c>
      <c r="AJ29">
        <f>('分行业工业增加值（当年人民币）'!AJ29*汇率!$AJ$2)*100000000</f>
        <v>216647150005.796</v>
      </c>
      <c r="AK29">
        <f>('分行业工业增加值（当年人民币）'!AK29*汇率!$AK$2)*100000000</f>
        <v>216863647525.337</v>
      </c>
      <c r="AL29">
        <f>('分行业工业增加值（当年人民币）'!AL29*汇率!$AL$2)*100000000</f>
        <v>217062392326.813</v>
      </c>
      <c r="AM29">
        <f>('分行业工业增加值（当年人民币）'!AM29*汇率!$AM$2)*100000000</f>
        <v>217244800129.634</v>
      </c>
      <c r="AN29">
        <f>('分行业工业增加值（当年人民币）'!AN29*汇率!$AN$2)*100000000</f>
        <v>217412162327.927</v>
      </c>
      <c r="AO29">
        <f>('分行业工业增加值（当年人民币）'!AO29*汇率!$AO$2)*100000000</f>
        <v>217565658517.726</v>
      </c>
      <c r="AP29">
        <f>('分行业工业增加值（当年人民币）'!AP29*汇率!$AP$2)*100000000</f>
        <v>217706367603.037</v>
      </c>
      <c r="AQ29">
        <f>('分行业工业增加值（当年人民币）'!AQ29*汇率!$AQ$2)*100000000</f>
        <v>217835277654.82</v>
      </c>
    </row>
    <row r="30" spans="1:43">
      <c r="A30" s="102" t="s">
        <v>27</v>
      </c>
      <c r="B30">
        <f>('分行业工业增加值（当年人民币）'!B30*汇率!$B$2)*100000000</f>
        <v>369382424092.663</v>
      </c>
      <c r="C30">
        <f>('分行业工业增加值（当年人民币）'!C30*汇率!$C$2)*100000000</f>
        <v>356079946337.817</v>
      </c>
      <c r="D30">
        <f>('分行业工业增加值（当年人民币）'!D30*汇率!$D$2)*100000000</f>
        <v>435789243610.444</v>
      </c>
      <c r="E30">
        <f>('分行业工业增加值（当年人民币）'!E30*汇率!$E$2)*100000000</f>
        <v>450625967310.717</v>
      </c>
      <c r="F30">
        <f>('分行业工业增加值（当年人民币）'!F30*汇率!$F$2)*100000000</f>
        <v>464408775150.568</v>
      </c>
      <c r="G30">
        <f>('分行业工业增加值（当年人民币）'!G30*汇率!$G$2)*100000000</f>
        <v>477188328282.46</v>
      </c>
      <c r="H30">
        <f>('分行业工业增加值（当年人民币）'!H30*汇率!$H$2)*100000000</f>
        <v>489022683279.997</v>
      </c>
      <c r="I30">
        <f>('分行业工业增加值（当年人民币）'!I30*汇率!$I$2)*100000000</f>
        <v>499973718870.903</v>
      </c>
      <c r="J30">
        <f>('分行业工业增加值（当年人民币）'!J30*汇率!$J$2)*100000000</f>
        <v>510104432972.695</v>
      </c>
      <c r="K30">
        <f>('分行业工业增加值（当年人民币）'!K30*汇率!$K$2)*100000000</f>
        <v>519476986153.164</v>
      </c>
      <c r="L30">
        <f>('分行业工业增加值（当年人民币）'!L30*汇率!$L$2)*100000000</f>
        <v>528151353866.581</v>
      </c>
      <c r="M30">
        <f>('分行业工业增加值（当年人民币）'!M30*汇率!$M$2)*100000000</f>
        <v>536184455996.944</v>
      </c>
      <c r="N30">
        <f>('分行业工业增加值（当年人民币）'!N30*汇率!$N$2)*100000000</f>
        <v>543629648230.21</v>
      </c>
      <c r="O30">
        <f>('分行业工业增加值（当年人民币）'!O30*汇率!$O$2)*100000000</f>
        <v>550536479213.791</v>
      </c>
      <c r="P30">
        <f>('分行业工业增加值（当年人民币）'!P30*汇率!$P$2)*100000000</f>
        <v>556950636718.89</v>
      </c>
      <c r="Q30">
        <f>('分行业工业增加值（当年人民币）'!Q30*汇率!$Q$2)*100000000</f>
        <v>562914023285.849</v>
      </c>
      <c r="R30">
        <f>('分行业工业增加值（当年人民币）'!R30*汇率!$R$2)*100000000</f>
        <v>568464916401.568</v>
      </c>
      <c r="S30">
        <f>('分行业工业增加值（当年人民币）'!S30*汇率!$S$2)*100000000</f>
        <v>573638180056.269</v>
      </c>
      <c r="T30">
        <f>('分行业工业增加值（当年人民币）'!T30*汇率!$T$2)*100000000</f>
        <v>578465503794.363</v>
      </c>
      <c r="U30">
        <f>('分行业工业增加值（当年人民币）'!U30*汇率!$U$2)*100000000</f>
        <v>582975652479.789</v>
      </c>
      <c r="V30">
        <f>('分行业工业增加值（当年人民币）'!V30*汇率!$V$2)*100000000</f>
        <v>587194715336.308</v>
      </c>
      <c r="W30">
        <f>('分行业工业增加值（当年人民币）'!W30*汇率!$W$2)*100000000</f>
        <v>591146346762.134</v>
      </c>
      <c r="X30">
        <f>('分行业工业增加值（当年人民币）'!X30*汇率!$X$2)*100000000</f>
        <v>594851994274.525</v>
      </c>
      <c r="Y30">
        <f>('分行业工业增加值（当年人民币）'!Y30*汇率!$Y$2)*100000000</f>
        <v>598331110972.06</v>
      </c>
      <c r="Z30">
        <f>('分行业工业增加值（当年人民币）'!Z30*汇率!$Z$2)*100000000</f>
        <v>601601351319.532</v>
      </c>
      <c r="AA30">
        <f>('分行业工业增加值（当年人民币）'!AA30*汇率!$AA$2)*100000000</f>
        <v>604678750023.304</v>
      </c>
      <c r="AB30">
        <f>('分行业工业增加值（当年人民币）'!AB30*汇率!$AB$2)*100000000</f>
        <v>607577884398.419</v>
      </c>
      <c r="AC30">
        <f>('分行业工业增加值（当年人民币）'!AC30*汇率!$AC$2)*100000000</f>
        <v>610312021025.144</v>
      </c>
      <c r="AD30">
        <f>('分行业工业增加值（当年人民币）'!AD30*汇率!$AD$2)*100000000</f>
        <v>612893247722.167</v>
      </c>
      <c r="AE30">
        <f>('分行业工业增加值（当年人民币）'!AE30*汇率!$AE$2)*100000000</f>
        <v>615332591977.037</v>
      </c>
      <c r="AF30">
        <f>('分行业工业增加值（当年人民币）'!AF30*汇率!$AF$2)*100000000</f>
        <v>617640127009.083</v>
      </c>
      <c r="AG30">
        <f>('分行业工业增加值（当年人民币）'!AG30*汇率!$AG$2)*100000000</f>
        <v>619825066622.836</v>
      </c>
      <c r="AH30">
        <f>('分行业工业增加值（当年人民币）'!AH30*汇率!$AH$2)*100000000</f>
        <v>621895849959.856</v>
      </c>
      <c r="AI30">
        <f>('分行业工业增加值（当年人民币）'!AI30*汇率!$AI$2)*100000000</f>
        <v>623860217187.575</v>
      </c>
      <c r="AJ30">
        <f>('分行业工业增加值（当年人民币）'!AJ30*汇率!$AJ$2)*100000000</f>
        <v>625725277084.342</v>
      </c>
      <c r="AK30">
        <f>('分行业工业增加值（当年人民币）'!AK30*汇率!$AK$2)*100000000</f>
        <v>627497567396.758</v>
      </c>
      <c r="AL30">
        <f>('分行业工业增加值（当年人民币）'!AL30*汇率!$AL$2)*100000000</f>
        <v>629183108762.875</v>
      </c>
      <c r="AM30">
        <f>('分行业工业增加值（当年人民币）'!AM30*汇率!$AM$2)*100000000</f>
        <v>630787452915.317</v>
      </c>
      <c r="AN30">
        <f>('分行业工业增加值（当年人民币）'!AN30*汇率!$AN$2)*100000000</f>
        <v>632315725803.766</v>
      </c>
      <c r="AO30">
        <f>('分行业工业增加值（当年人民币）'!AO30*汇率!$AO$2)*100000000</f>
        <v>633772666207.115</v>
      </c>
      <c r="AP30">
        <f>('分行业工业增加值（当年人民币）'!AP30*汇率!$AP$2)*100000000</f>
        <v>635162660342.42</v>
      </c>
      <c r="AQ30">
        <f>('分行业工业增加值（当年人民币）'!AQ30*汇率!$AQ$2)*100000000</f>
        <v>636489772920.67</v>
      </c>
    </row>
    <row r="31" spans="1:43">
      <c r="A31" s="102" t="s">
        <v>28</v>
      </c>
      <c r="B31">
        <f>('分行业工业增加值（当年人民币）'!B31*汇率!$B$2)*100000000</f>
        <v>260966981016.447</v>
      </c>
      <c r="C31">
        <f>('分行业工业增加值（当年人民币）'!C31*汇率!$C$2)*100000000</f>
        <v>270549001835.212</v>
      </c>
      <c r="D31">
        <f>('分行业工业增加值（当年人民币）'!D31*汇率!$D$2)*100000000</f>
        <v>316289752930.748</v>
      </c>
      <c r="E31">
        <f>('分行业工业增加值（当年人民币）'!E31*汇率!$E$2)*100000000</f>
        <v>326801212597.841</v>
      </c>
      <c r="F31">
        <f>('分行业工业增加值（当年人民币）'!F31*汇率!$F$2)*100000000</f>
        <v>336554819555.215</v>
      </c>
      <c r="G31">
        <f>('分行业工业增加值（当年人民币）'!G31*汇率!$G$2)*100000000</f>
        <v>345588042574.5</v>
      </c>
      <c r="H31">
        <f>('分行业工业增加值（当年人民币）'!H31*汇率!$H$2)*100000000</f>
        <v>353943490435.633</v>
      </c>
      <c r="I31">
        <f>('分行业工业增加值（当年人民币）'!I31*汇率!$I$2)*100000000</f>
        <v>361666352609.969</v>
      </c>
      <c r="J31">
        <f>('分行业工业增加值（当年人民币）'!J31*汇率!$J$2)*100000000</f>
        <v>368802471631.073</v>
      </c>
      <c r="K31">
        <f>('分行业工业增加值（当年人民币）'!K31*汇率!$K$2)*100000000</f>
        <v>375396954890.656</v>
      </c>
      <c r="L31">
        <f>('分行业工业增加值（当年人民币）'!L31*汇率!$L$2)*100000000</f>
        <v>381493224723.424</v>
      </c>
      <c r="M31">
        <f>('分行业工业增加值（当年人民币）'!M31*汇率!$M$2)*100000000</f>
        <v>387132410894.589</v>
      </c>
      <c r="N31">
        <f>('分行业工业增加值（当年人民币）'!N31*汇率!$N$2)*100000000</f>
        <v>392353001691.161</v>
      </c>
      <c r="O31">
        <f>('分行业工业增加值（当年人民币）'!O31*汇率!$O$2)*100000000</f>
        <v>397190684200.757</v>
      </c>
      <c r="P31">
        <f>('分行业工业增加值（当年人民币）'!P31*汇率!$P$2)*100000000</f>
        <v>401678318473.487</v>
      </c>
      <c r="Q31">
        <f>('分行业工业增加值（当年人民币）'!Q31*汇率!$Q$2)*100000000</f>
        <v>405846002837.863</v>
      </c>
      <c r="R31">
        <f>('分行业工业增加值（当年人民币）'!R31*汇率!$R$2)*100000000</f>
        <v>409721198207.131</v>
      </c>
      <c r="S31">
        <f>('分行业工业增加值（当年人民币）'!S31*汇率!$S$2)*100000000</f>
        <v>413328887737.335</v>
      </c>
      <c r="T31">
        <f>('分行业工业增加值（当年人民币）'!T31*汇率!$T$2)*100000000</f>
        <v>416691754873.462</v>
      </c>
      <c r="U31">
        <f>('分行业工业增加值（当年人民币）'!U31*汇率!$U$2)*100000000</f>
        <v>419830367923.019</v>
      </c>
      <c r="V31">
        <f>('分行业工业增加值（当年人民币）'!V31*汇率!$V$2)*100000000</f>
        <v>422763363119.214</v>
      </c>
      <c r="W31">
        <f>('分行业工业增加值（当年人民币）'!W31*汇率!$W$2)*100000000</f>
        <v>425507620947.821</v>
      </c>
      <c r="X31">
        <f>('分行业工业增加值（当年人民币）'!X31*汇率!$X$2)*100000000</f>
        <v>428078432543.001</v>
      </c>
      <c r="Y31">
        <f>('分行业工业增加值（当年人民币）'!Y31*汇率!$Y$2)*100000000</f>
        <v>430489654397.572</v>
      </c>
      <c r="Z31">
        <f>('分行业工业增加值（当年人民币）'!Z31*汇率!$Z$2)*100000000</f>
        <v>432753850632.383</v>
      </c>
      <c r="AA31">
        <f>('分行业工业增加值（当年人民币）'!AA31*汇率!$AA$2)*100000000</f>
        <v>434882422744.594</v>
      </c>
      <c r="AB31">
        <f>('分行业工业增加值（当年人民币）'!AB31*汇率!$AB$2)*100000000</f>
        <v>436885727194.997</v>
      </c>
      <c r="AC31">
        <f>('分行业工业增加值（当年人民币）'!AC31*汇率!$AC$2)*100000000</f>
        <v>438773181466.693</v>
      </c>
      <c r="AD31">
        <f>('分行业工业增加值（当年人民币）'!AD31*汇率!$AD$2)*100000000</f>
        <v>440553359381.734</v>
      </c>
      <c r="AE31">
        <f>('分行业工业增加值（当年人民币）'!AE31*汇率!$AE$2)*100000000</f>
        <v>442234076534.777</v>
      </c>
      <c r="AF31">
        <f>('分行业工业增加值（当年人民币）'!AF31*汇率!$AF$2)*100000000</f>
        <v>443822466720.339</v>
      </c>
      <c r="AG31">
        <f>('分行业工业增加值（当年人民币）'!AG31*汇率!$AG$2)*100000000</f>
        <v>445325050211.681</v>
      </c>
      <c r="AH31">
        <f>('分行业工业增加值（当年人民币）'!AH31*汇率!$AH$2)*100000000</f>
        <v>446747794708.373</v>
      </c>
      <c r="AI31">
        <f>('分行业工业增加值（当年人民币）'!AI31*汇率!$AI$2)*100000000</f>
        <v>448096169715.63</v>
      </c>
      <c r="AJ31">
        <f>('分行业工业增加值（当年人民币）'!AJ31*汇率!$AJ$2)*100000000</f>
        <v>449375195058.142</v>
      </c>
      <c r="AK31">
        <f>('分行业工业增加值（当年人民币）'!AK31*汇率!$AK$2)*100000000</f>
        <v>450589484168.667</v>
      </c>
      <c r="AL31">
        <f>('分行业工业增加值（当年人民币）'!AL31*汇率!$AL$2)*100000000</f>
        <v>451743282730.156</v>
      </c>
      <c r="AM31">
        <f>('分行业工业增加值（当年人民币）'!AM31*汇率!$AM$2)*100000000</f>
        <v>452840503191.299</v>
      </c>
      <c r="AN31">
        <f>('分行业工业增加值（当年人民币）'!AN31*汇率!$AN$2)*100000000</f>
        <v>453884755620.286</v>
      </c>
      <c r="AO31">
        <f>('分行业工业增加值（当年人民币）'!AO31*汇率!$AO$2)*100000000</f>
        <v>454879375310.773</v>
      </c>
      <c r="AP31">
        <f>('分行业工业增加值（当年人民币）'!AP31*汇率!$AP$2)*100000000</f>
        <v>455827447507.735</v>
      </c>
      <c r="AQ31">
        <f>('分行业工业增加值（当年人民币）'!AQ31*汇率!$AQ$2)*100000000</f>
        <v>456731829579.002</v>
      </c>
    </row>
    <row r="32" spans="1:43">
      <c r="A32" s="102" t="s">
        <v>29</v>
      </c>
      <c r="B32">
        <f>('分行业工业增加值（当年人民币）'!B32*汇率!$B$2)*100000000</f>
        <v>383541117050.77</v>
      </c>
      <c r="C32">
        <f>('分行业工业增加值（当年人民币）'!C32*汇率!$C$2)*100000000</f>
        <v>404629157718.782</v>
      </c>
      <c r="D32">
        <f>('分行业工业增加值（当年人民币）'!D32*汇率!$D$2)*100000000</f>
        <v>475063325833.977</v>
      </c>
      <c r="E32">
        <f>('分行业工业增加值（当年人民币）'!E32*汇率!$E$2)*100000000</f>
        <v>500606363320.02</v>
      </c>
      <c r="F32">
        <f>('分行业工业增加值（当年人民币）'!F32*汇率!$F$2)*100000000</f>
        <v>524742779492.24</v>
      </c>
      <c r="G32">
        <f>('分行业工业增加值（当年人民币）'!G32*汇率!$G$2)*100000000</f>
        <v>547502278876.636</v>
      </c>
      <c r="H32">
        <f>('分行业工业增加值（当年人民币）'!H32*汇率!$H$2)*100000000</f>
        <v>568930926690.551</v>
      </c>
      <c r="I32">
        <f>('分行业工业增加值（当年人民币）'!I32*汇率!$I$2)*100000000</f>
        <v>589086009179.452</v>
      </c>
      <c r="J32">
        <f>('分行业工业增加值（当年人民币）'!J32*汇率!$J$2)*100000000</f>
        <v>608031841443.362</v>
      </c>
      <c r="K32">
        <f>('分行业工业增加值（当年人民币）'!K32*汇率!$K$2)*100000000</f>
        <v>625836473576.371</v>
      </c>
      <c r="L32">
        <f>('分行业工业增加值（当年人民币）'!L32*汇率!$L$2)*100000000</f>
        <v>642569190025.02</v>
      </c>
      <c r="M32">
        <f>('分行业工业增加值（当年人民币）'!M32*汇率!$M$2)*100000000</f>
        <v>658298675927.661</v>
      </c>
      <c r="N32">
        <f>('分行业工业增加值（当年人民币）'!N32*汇率!$N$2)*100000000</f>
        <v>673091724053.567</v>
      </c>
      <c r="O32">
        <f>('分行业工业增加值（当年人民币）'!O32*汇率!$O$2)*100000000</f>
        <v>687012367088.177</v>
      </c>
      <c r="P32">
        <f>('分行业工业增加值（当年人民币）'!P32*汇率!$P$2)*100000000</f>
        <v>700121336069.923</v>
      </c>
      <c r="Q32">
        <f>('分行业工业增加值（当年人民币）'!Q32*汇率!$Q$2)*100000000</f>
        <v>712475762958.357</v>
      </c>
      <c r="R32">
        <f>('分行业工业增加值（当年人民币）'!R32*汇率!$R$2)*100000000</f>
        <v>724129061513.714</v>
      </c>
      <c r="S32">
        <f>('分行业工业增加值（当年人民币）'!S32*汇率!$S$2)*100000000</f>
        <v>735130934911.053</v>
      </c>
      <c r="T32">
        <f>('分行业工业增加值（当年人民币）'!T32*汇率!$T$2)*100000000</f>
        <v>745527470478.425</v>
      </c>
      <c r="U32">
        <f>('分行业工业增加值（当年人民币）'!U32*汇率!$U$2)*100000000</f>
        <v>755361291684.226</v>
      </c>
      <c r="V32">
        <f>('分行业工业增加值（当年人民币）'!V32*汇率!$V$2)*100000000</f>
        <v>764671745231.757</v>
      </c>
      <c r="W32">
        <f>('分行业工业增加值（当年人民币）'!W32*汇率!$W$2)*100000000</f>
        <v>773495107144.499</v>
      </c>
      <c r="X32">
        <f>('分行业工业增加值（当年人民币）'!X32*汇率!$X$2)*100000000</f>
        <v>781864796346.641</v>
      </c>
      <c r="Y32">
        <f>('分行业工业增加值（当年人民币）'!Y32*汇率!$Y$2)*100000000</f>
        <v>789811587737.46</v>
      </c>
      <c r="Z32">
        <f>('分行业工业增加值（当年人民币）'!Z32*汇率!$Z$2)*100000000</f>
        <v>797363819366.368</v>
      </c>
      <c r="AA32">
        <f>('分行业工业增加值（当年人民币）'!AA32*汇率!$AA$2)*100000000</f>
        <v>804547590236.545</v>
      </c>
      <c r="AB32">
        <f>('分行业工业增加值（当年人民币）'!AB32*汇率!$AB$2)*100000000</f>
        <v>811386946660.816</v>
      </c>
      <c r="AC32">
        <f>('分行业工业增加值（当年人民币）'!AC32*汇率!$AC$2)*100000000</f>
        <v>817904056092.069</v>
      </c>
      <c r="AD32">
        <f>('分行业工业增加值（当年人民币）'!AD32*汇率!$AD$2)*100000000</f>
        <v>824119368051.087</v>
      </c>
      <c r="AE32">
        <f>('分行业工业增加值（当年人民币）'!AE32*汇率!$AE$2)*100000000</f>
        <v>830051762254.716</v>
      </c>
      <c r="AF32">
        <f>('分行业工业增加值（当年人民币）'!AF32*汇率!$AF$2)*100000000</f>
        <v>835718684365.143</v>
      </c>
      <c r="AG32">
        <f>('分行业工业增加值（当年人民币）'!AG32*汇率!$AG$2)*100000000</f>
        <v>841136269981.194</v>
      </c>
      <c r="AH32">
        <f>('分行业工业增加值（当年人民币）'!AH32*汇率!$AH$2)*100000000</f>
        <v>846319457608.14</v>
      </c>
      <c r="AI32">
        <f>('分行业工业增加值（当年人民币）'!AI32*汇率!$AI$2)*100000000</f>
        <v>851282091398.582</v>
      </c>
      <c r="AJ32">
        <f>('分行业工业增加值（当年人民币）'!AJ32*汇率!$AJ$2)*100000000</f>
        <v>856037014471.477</v>
      </c>
      <c r="AK32">
        <f>('分行业工业增加值（当年人民币）'!AK32*汇率!$AK$2)*100000000</f>
        <v>860596153603.086</v>
      </c>
      <c r="AL32">
        <f>('分行业工业增加值（当年人民币）'!AL32*汇率!$AL$2)*100000000</f>
        <v>864970596052.098</v>
      </c>
      <c r="AM32">
        <f>('分行业工业增加值（当年人民币）'!AM32*汇率!$AM$2)*100000000</f>
        <v>869170659238.683</v>
      </c>
      <c r="AN32">
        <f>('分行业工业增加值（当年人民币）'!AN32*汇率!$AN$2)*100000000</f>
        <v>873205953948.12</v>
      </c>
      <c r="AO32">
        <f>('分行业工业增加值（当年人民币）'!AO32*汇率!$AO$2)*100000000</f>
        <v>877085441678.718</v>
      </c>
      <c r="AP32">
        <f>('分行业工业增加值（当年人民币）'!AP32*汇率!$AP$2)*100000000</f>
        <v>880817486701.604</v>
      </c>
      <c r="AQ32">
        <f>('分行业工业增加值（当年人民币）'!AQ32*汇率!$AQ$2)*100000000</f>
        <v>884409903350.046</v>
      </c>
    </row>
    <row r="33" spans="1:43">
      <c r="A33" s="102" t="s">
        <v>30</v>
      </c>
      <c r="B33">
        <f>('分行业工业增加值（当年人民币）'!B33*汇率!$B$2)*100000000</f>
        <v>41343707593.4691</v>
      </c>
      <c r="C33">
        <f>('分行业工业增加值（当年人民币）'!C33*汇率!$C$2)*100000000</f>
        <v>43717325207.9481</v>
      </c>
      <c r="D33">
        <f>('分行业工业增加值（当年人民币）'!D33*汇率!$D$2)*100000000</f>
        <v>50319206851.5421</v>
      </c>
      <c r="E33">
        <f>('分行业工业增加值（当年人民币）'!E33*汇率!$E$2)*100000000</f>
        <v>52103099507.2845</v>
      </c>
      <c r="F33">
        <f>('分行业工业增加值（当年人民币）'!F33*汇率!$F$2)*100000000</f>
        <v>53763353853.9595</v>
      </c>
      <c r="G33">
        <f>('分行业工业增加值（当年人民币）'!G33*汇率!$G$2)*100000000</f>
        <v>55305626866.2189</v>
      </c>
      <c r="H33">
        <f>('分行业工业增加值（当年人民币）'!H33*汇率!$H$2)*100000000</f>
        <v>56736492105.3633</v>
      </c>
      <c r="I33">
        <f>('分行业工业增加值（当年人民币）'!I33*汇率!$I$2)*100000000</f>
        <v>58063017729.7853</v>
      </c>
      <c r="J33">
        <f>('分行业工业增加值（当年人民币）'!J33*汇率!$J$2)*100000000</f>
        <v>59292444987.0938</v>
      </c>
      <c r="K33">
        <f>('分行业工业增加值（当年人民币）'!K33*汇率!$K$2)*100000000</f>
        <v>60431953532.4785</v>
      </c>
      <c r="L33">
        <f>('分行业工业增加值（当年人民币）'!L33*汇率!$L$2)*100000000</f>
        <v>61488498018.8901</v>
      </c>
      <c r="M33">
        <f>('分行业工业增加值（当年人民币）'!M33*汇率!$M$2)*100000000</f>
        <v>62468700907.7099</v>
      </c>
      <c r="N33">
        <f>('分行业工业增加值（当年人民币）'!N33*汇率!$N$2)*100000000</f>
        <v>63378788162.2755</v>
      </c>
      <c r="O33">
        <f>('分行业工业增加值（当年人民币）'!O33*汇率!$O$2)*100000000</f>
        <v>64224556654.9304</v>
      </c>
      <c r="P33">
        <f>('分行业工业增加值（当年人民币）'!P33*汇率!$P$2)*100000000</f>
        <v>65011364304.5812</v>
      </c>
      <c r="Q33">
        <f>('分行业工业增加值（当年人民币）'!Q33*汇率!$Q$2)*100000000</f>
        <v>65744135942.7887</v>
      </c>
      <c r="R33">
        <f>('分行业工业增加值（当年人民币）'!R33*汇率!$R$2)*100000000</f>
        <v>66427379591.0918</v>
      </c>
      <c r="S33">
        <f>('分行业工业增加值（当年人民币）'!S33*汇率!$S$2)*100000000</f>
        <v>67065209204.9533</v>
      </c>
      <c r="T33">
        <f>('分行业工业增加值（当年人民币）'!T33*汇率!$T$2)*100000000</f>
        <v>67661371023.8895</v>
      </c>
      <c r="U33">
        <f>('分行业工业增加值（当年人民币）'!U33*汇率!$U$2)*100000000</f>
        <v>68219271502.8479</v>
      </c>
      <c r="V33">
        <f>('分行业工业增加值（当年人民币）'!V33*汇率!$V$2)*100000000</f>
        <v>68742005430.9073</v>
      </c>
      <c r="W33">
        <f>('分行业工业增加值（当年人民币）'!W33*汇率!$W$2)*100000000</f>
        <v>69232383311.2912</v>
      </c>
      <c r="X33">
        <f>('分行业工业增加值（当年人民币）'!X33*汇率!$X$2)*100000000</f>
        <v>69692957417.8371</v>
      </c>
      <c r="Y33">
        <f>('分行业工业增加值（当年人民币）'!Y33*汇率!$Y$2)*100000000</f>
        <v>70126046187.3967</v>
      </c>
      <c r="Z33">
        <f>('分行业工业增加值（当年人民币）'!Z33*汇率!$Z$2)*100000000</f>
        <v>70533756779.2703</v>
      </c>
      <c r="AA33">
        <f>('分行业工业增加值（当年人民币）'!AA33*汇率!$AA$2)*100000000</f>
        <v>70918005750.5807</v>
      </c>
      <c r="AB33">
        <f>('分行业工业增加值（当年人民币）'!AB33*汇率!$AB$2)*100000000</f>
        <v>71280537874.9353</v>
      </c>
      <c r="AC33">
        <f>('分行业工业增加值（当年人民币）'!AC33*汇率!$AC$2)*100000000</f>
        <v>71622943181.7732</v>
      </c>
      <c r="AD33">
        <f>('分行业工业增加值（当年人民币）'!AD33*汇率!$AD$2)*100000000</f>
        <v>71946672323.7154</v>
      </c>
      <c r="AE33">
        <f>('分行业工业增加值（当年人民币）'!AE33*汇率!$AE$2)*100000000</f>
        <v>72253050395.0042</v>
      </c>
      <c r="AF33">
        <f>('分行业工业增加值（当年人民币）'!AF33*汇率!$AF$2)*100000000</f>
        <v>72543289330.2215</v>
      </c>
      <c r="AG33">
        <f>('分行业工业增加值（当年人民币）'!AG33*汇率!$AG$2)*100000000</f>
        <v>72818499012.184</v>
      </c>
      <c r="AH33">
        <f>('分行业工业增加值（当年人民币）'!AH33*汇率!$AH$2)*100000000</f>
        <v>73079697213.3589</v>
      </c>
      <c r="AI33">
        <f>('分行业工业增加值（当年人民币）'!AI33*汇率!$AI$2)*100000000</f>
        <v>73327818488.1676</v>
      </c>
      <c r="AJ33">
        <f>('分行业工业增加值（当年人民币）'!AJ33*汇率!$AJ$2)*100000000</f>
        <v>73563722125.1353</v>
      </c>
      <c r="AK33">
        <f>('分行业工业增加值（当年人民币）'!AK33*汇率!$AK$2)*100000000</f>
        <v>73788199258.8276</v>
      </c>
      <c r="AL33">
        <f>('分行业工业增加值（当年人民币）'!AL33*汇率!$AL$2)*100000000</f>
        <v>74001979232.4137</v>
      </c>
      <c r="AM33">
        <f>('分行业工业增加值（当年人民币）'!AM33*汇率!$AM$2)*100000000</f>
        <v>74205735292.8919</v>
      </c>
      <c r="AN33">
        <f>('分行业工业增加值（当年人民币）'!AN33*汇率!$AN$2)*100000000</f>
        <v>74400089692.5818</v>
      </c>
      <c r="AO33">
        <f>('分行业工业增加值（当年人民币）'!AO33*汇率!$AO$2)*100000000</f>
        <v>74585618262.7412</v>
      </c>
      <c r="AP33">
        <f>('分行业工业增加值（当年人民币）'!AP33*汇率!$AP$2)*100000000</f>
        <v>74762854517.9698</v>
      </c>
      <c r="AQ33">
        <f>('分行业工业增加值（当年人民币）'!AQ33*汇率!$AQ$2)*100000000</f>
        <v>74932293343.5549</v>
      </c>
    </row>
    <row r="34" spans="1:43">
      <c r="A34" s="102" t="s">
        <v>31</v>
      </c>
      <c r="B34">
        <f>('分行业工业增加值（当年人民币）'!B34*汇率!$B$2)*100000000</f>
        <v>45000844158.2956</v>
      </c>
      <c r="C34">
        <f>('分行业工业增加值（当年人民币）'!C34*汇率!$C$2)*100000000</f>
        <v>48548317679.4418</v>
      </c>
      <c r="D34">
        <f>('分行业工业增加值（当年人民币）'!D34*汇率!$D$2)*100000000</f>
        <v>49249500812.5108</v>
      </c>
      <c r="E34">
        <f>('分行业工业增加值（当年人民币）'!E34*汇率!$E$2)*100000000</f>
        <v>49878069278.7869</v>
      </c>
      <c r="F34">
        <f>('分行业工业增加值（当年人民币）'!F34*汇率!$F$2)*100000000</f>
        <v>50416364876.1344</v>
      </c>
      <c r="G34">
        <f>('分行业工业增加值（当年人民币）'!G34*汇率!$G$2)*100000000</f>
        <v>50872968192.9044</v>
      </c>
      <c r="H34">
        <f>('分行业工业增加值（当年人民币）'!H34*汇率!$H$2)*100000000</f>
        <v>51256367179.2704</v>
      </c>
      <c r="I34">
        <f>('分行业工业增加值（当年人民币）'!I34*汇率!$I$2)*100000000</f>
        <v>51574692535.7633</v>
      </c>
      <c r="J34">
        <f>('分行业工业增加值（当年人民币）'!J34*汇率!$J$2)*100000000</f>
        <v>51835551596.0247</v>
      </c>
      <c r="K34">
        <f>('分行业工业增加值（当年人民币）'!K34*汇率!$K$2)*100000000</f>
        <v>52045937098.0841</v>
      </c>
      <c r="L34">
        <f>('分行业工业增加值（当年人民币）'!L34*汇率!$L$2)*100000000</f>
        <v>52212190258.2467</v>
      </c>
      <c r="M34">
        <f>('分行业工业增加值（当年人民币）'!M34*汇率!$M$2)*100000000</f>
        <v>52340001379.4261</v>
      </c>
      <c r="N34">
        <f>('分行业工业增加值（当年人民币）'!N34*汇率!$N$2)*100000000</f>
        <v>52434434998.9125</v>
      </c>
      <c r="O34">
        <f>('分行业工业增加值（当年人民币）'!O34*汇率!$O$2)*100000000</f>
        <v>52499969902.7217</v>
      </c>
      <c r="P34">
        <f>('分行业工业增加值（当年人民币）'!P34*汇率!$P$2)*100000000</f>
        <v>52540547061.8897</v>
      </c>
      <c r="Q34">
        <f>('分行业工业增加值（当年人民币）'!Q34*汇率!$Q$2)*100000000</f>
        <v>52559620681.306</v>
      </c>
      <c r="R34">
        <f>('分行业工业增加值（当年人民币）'!R34*汇率!$R$2)*100000000</f>
        <v>52560209162.594</v>
      </c>
      <c r="S34">
        <f>('分行业工业增加值（当年人民币）'!S34*汇率!$S$2)*100000000</f>
        <v>52544943961.2796</v>
      </c>
      <c r="T34">
        <f>('分行业工业增加值（当年人民币）'!T34*汇率!$T$2)*100000000</f>
        <v>52516115157.316</v>
      </c>
      <c r="U34">
        <f>('分行业工业增加值（当年人民币）'!U34*汇率!$U$2)*100000000</f>
        <v>52475713138.5516</v>
      </c>
      <c r="V34">
        <f>('分行业工业增加值（当年人民币）'!V34*汇率!$V$2)*100000000</f>
        <v>52425466186.242</v>
      </c>
      <c r="W34">
        <f>('分行业工业增加值（当年人民币）'!W34*汇率!$W$2)*100000000</f>
        <v>52366874003.2794</v>
      </c>
      <c r="X34">
        <f>('分行业工业增加值（当年人民币）'!X34*汇率!$X$2)*100000000</f>
        <v>52301237379.8426</v>
      </c>
      <c r="Y34">
        <f>('分行业工业增加值（当年人民币）'!Y34*汇率!$Y$2)*100000000</f>
        <v>52229684277.8409</v>
      </c>
      <c r="Z34">
        <f>('分行业工业增加值（当年人民币）'!Z34*汇率!$Z$2)*100000000</f>
        <v>52153192656.6772</v>
      </c>
      <c r="AA34">
        <f>('分行业工业增加值（当年人民币）'!AA34*汇率!$AA$2)*100000000</f>
        <v>52072610374.2475</v>
      </c>
      <c r="AB34">
        <f>('分行业工业增加值（当年人民币）'!AB34*汇率!$AB$2)*100000000</f>
        <v>51988672489.7178</v>
      </c>
      <c r="AC34">
        <f>('分行业工业增加值（当年人民币）'!AC34*汇率!$AC$2)*100000000</f>
        <v>51902016276.0981</v>
      </c>
      <c r="AD34">
        <f>('分行业工业增加值（当年人民币）'!AD34*汇率!$AD$2)*100000000</f>
        <v>51813194226.1563</v>
      </c>
      <c r="AE34">
        <f>('分行业工业增加值（当年人民币）'!AE34*汇率!$AE$2)*100000000</f>
        <v>51722685308.1671</v>
      </c>
      <c r="AF34">
        <f>('分行业工业增加值（当年人民币）'!AF34*汇率!$AF$2)*100000000</f>
        <v>51630904700.5532</v>
      </c>
      <c r="AG34">
        <f>('分行业工业增加值（当年人民币）'!AG34*汇率!$AG$2)*100000000</f>
        <v>51538212208.066</v>
      </c>
      <c r="AH34">
        <f>('分行业工业增加值（当年人民币）'!AH34*汇率!$AH$2)*100000000</f>
        <v>51444919537.4266</v>
      </c>
      <c r="AI34">
        <f>('分行业工业增加值（当年人民币）'!AI34*汇率!$AI$2)*100000000</f>
        <v>51351296587.801</v>
      </c>
      <c r="AJ34">
        <f>('分行业工业增加值（当年人民币）'!AJ34*汇率!$AJ$2)*100000000</f>
        <v>51257576891.1986</v>
      </c>
      <c r="AK34">
        <f>('分行业工业增加值（当年人民币）'!AK34*汇率!$AK$2)*100000000</f>
        <v>51163962319.8455</v>
      </c>
      <c r="AL34">
        <f>('分行业工业增加值（当年人民币）'!AL34*汇率!$AL$2)*100000000</f>
        <v>51070627161.7133</v>
      </c>
      <c r="AM34">
        <f>('分行业工业增加值（当年人民币）'!AM34*汇率!$AM$2)*100000000</f>
        <v>50977721651.4822</v>
      </c>
      <c r="AN34">
        <f>('分行业工业增加值（当年人民币）'!AN34*汇率!$AN$2)*100000000</f>
        <v>50885375032.1266</v>
      </c>
      <c r="AO34">
        <f>('分行业工业增加值（当年人民币）'!AO34*汇率!$AO$2)*100000000</f>
        <v>50793698211.8311</v>
      </c>
      <c r="AP34">
        <f>('分行业工业增加值（当年人民币）'!AP34*汇率!$AP$2)*100000000</f>
        <v>50702786071.8776</v>
      </c>
      <c r="AQ34">
        <f>('分行业工业增加值（当年人民币）'!AQ34*汇率!$AQ$2)*100000000</f>
        <v>50612719473.3374</v>
      </c>
    </row>
    <row r="35" spans="1:43">
      <c r="A35" s="102" t="s">
        <v>32</v>
      </c>
      <c r="B35">
        <f>('分行业工业增加值（当年人民币）'!B35*汇率!$B$2)*100000000</f>
        <v>9513504291.37756</v>
      </c>
      <c r="C35">
        <f>('分行业工业增加值（当年人民币）'!C35*汇率!$C$2)*100000000</f>
        <v>8876286363.67874</v>
      </c>
      <c r="D35">
        <f>('分行业工业增加值（当年人民币）'!D35*汇率!$D$2)*100000000</f>
        <v>11123878893.3965</v>
      </c>
      <c r="E35">
        <f>('分行业工业增加值（当年人民币）'!E35*汇率!$E$2)*100000000</f>
        <v>11690380400.7207</v>
      </c>
      <c r="F35">
        <f>('分行业工业增加值（当年人民币）'!F35*汇率!$F$2)*100000000</f>
        <v>12224814399.4891</v>
      </c>
      <c r="G35">
        <f>('分行业工业增加值（当年人民币）'!G35*汇率!$G$2)*100000000</f>
        <v>12727962527.4901</v>
      </c>
      <c r="H35">
        <f>('分行业工业增加值（当年人民币）'!H35*汇率!$H$2)*100000000</f>
        <v>13200961524.7822</v>
      </c>
      <c r="I35">
        <f>('分行业工业增加值（当年人民币）'!I35*汇率!$I$2)*100000000</f>
        <v>13645187082.9283</v>
      </c>
      <c r="J35">
        <f>('分行业工业增加值（当年人民币）'!J35*汇率!$J$2)*100000000</f>
        <v>14062159884.441</v>
      </c>
      <c r="K35">
        <f>('分行业工业增加值（当年人民币）'!K35*汇率!$K$2)*100000000</f>
        <v>14453472391.3155</v>
      </c>
      <c r="L35">
        <f>('分行业工业增加值（当年人民币）'!L35*汇率!$L$2)*100000000</f>
        <v>14820733770.1465</v>
      </c>
      <c r="M35">
        <f>('分行业工业增加值（当年人民币）'!M35*汇率!$M$2)*100000000</f>
        <v>15165529940.2965</v>
      </c>
      <c r="N35">
        <f>('分行业工业增加值（当年人民币）'!N35*汇率!$N$2)*100000000</f>
        <v>15489395787.4927</v>
      </c>
      <c r="O35">
        <f>('分行业工业增加值（当年人民币）'!O35*汇率!$O$2)*100000000</f>
        <v>15793796879.7358</v>
      </c>
      <c r="P35">
        <f>('分行业工业增加值（当年人民币）'!P35*汇率!$P$2)*100000000</f>
        <v>16080118415.0715</v>
      </c>
      <c r="Q35">
        <f>('分行业工业增加值（当年人民币）'!Q35*汇率!$Q$2)*100000000</f>
        <v>16349659538.4776</v>
      </c>
      <c r="R35">
        <f>('分行业工业增加值（当年人民币）'!R35*汇率!$R$2)*100000000</f>
        <v>16603631543.3839</v>
      </c>
      <c r="S35">
        <f>('分行业工业增加值（当年人民币）'!S35*汇率!$S$2)*100000000</f>
        <v>16843158802.1921</v>
      </c>
      <c r="T35">
        <f>('分行业工业增加值（当年人民币）'!T35*汇率!$T$2)*100000000</f>
        <v>17069281544.0748</v>
      </c>
      <c r="U35">
        <f>('分行业工业增加值（当年人民币）'!U35*汇率!$U$2)*100000000</f>
        <v>17282959819.5883</v>
      </c>
      <c r="V35">
        <f>('分行业工业增加值（当年人民币）'!V35*汇率!$V$2)*100000000</f>
        <v>17485078166.2524</v>
      </c>
      <c r="W35">
        <f>('分行业工业增加值（当年人民币）'!W35*汇率!$W$2)*100000000</f>
        <v>17676450624.5076</v>
      </c>
      <c r="X35">
        <f>('分行业工业增加值（当年人民币）'!X35*汇率!$X$2)*100000000</f>
        <v>17857825856.5674</v>
      </c>
      <c r="Y35">
        <f>('分行业工业增加值（当年人民币）'!Y35*汇率!$Y$2)*100000000</f>
        <v>18029892198.1986</v>
      </c>
      <c r="Z35">
        <f>('分行业工业增加值（当年人民币）'!Z35*汇率!$Z$2)*100000000</f>
        <v>18193282530.9413</v>
      </c>
      <c r="AA35">
        <f>('分行业工业增加值（当年人民币）'!AA35*汇率!$AA$2)*100000000</f>
        <v>18348578904.3212</v>
      </c>
      <c r="AB35">
        <f>('分行业工业增加值（当年人民币）'!AB35*汇率!$AB$2)*100000000</f>
        <v>18496316867.9214</v>
      </c>
      <c r="AC35">
        <f>('分行业工业增加值（当年人民币）'!AC35*汇率!$AC$2)*100000000</f>
        <v>18636989494.642</v>
      </c>
      <c r="AD35">
        <f>('分行业工业增加值（当年人民币）'!AD35*汇率!$AD$2)*100000000</f>
        <v>18771051091.3688</v>
      </c>
      <c r="AE35">
        <f>('分行业工业增加值（当年人民币）'!AE35*汇率!$AE$2)*100000000</f>
        <v>18898920603.3074</v>
      </c>
      <c r="AF35">
        <f>('分行业工业增加值（当年人民币）'!AF35*汇率!$AF$2)*100000000</f>
        <v>19020984724.7365</v>
      </c>
      <c r="AG35">
        <f>('分行业工业增加值（当年人民币）'!AG35*汇率!$AG$2)*100000000</f>
        <v>19137600732.8847</v>
      </c>
      <c r="AH35">
        <f>('分行业工业增加值（当年人民币）'!AH35*汇率!$AH$2)*100000000</f>
        <v>19249099063.7641</v>
      </c>
      <c r="AI35">
        <f>('分行业工业增加值（当年人民币）'!AI35*汇率!$AI$2)*100000000</f>
        <v>19355785649.666</v>
      </c>
      <c r="AJ35">
        <f>('分行业工业增加值（当年人民币）'!AJ35*汇率!$AJ$2)*100000000</f>
        <v>19457944038.0216</v>
      </c>
      <c r="AK35">
        <f>('分行业工业增加值（当年人民币）'!AK35*汇率!$AK$2)*100000000</f>
        <v>19555837310.7563</v>
      </c>
      <c r="AL35">
        <f>('分行业工业增加值（当年人民币）'!AL35*汇率!$AL$2)*100000000</f>
        <v>19649709822.3364</v>
      </c>
      <c r="AM35">
        <f>('分行业工业增加值（当年人民币）'!AM35*汇率!$AM$2)*100000000</f>
        <v>19739788773.555</v>
      </c>
      <c r="AN35">
        <f>('分行业工业增加值（当年人民币）'!AN35*汇率!$AN$2)*100000000</f>
        <v>19826285636.8555</v>
      </c>
      <c r="AO35">
        <f>('分行业工业增加值（当年人民币）'!AO35*汇率!$AO$2)*100000000</f>
        <v>19909397447.7053</v>
      </c>
      <c r="AP35">
        <f>('分行业工业增加值（当年人民币）'!AP35*汇率!$AP$2)*100000000</f>
        <v>19989307975.2632</v>
      </c>
      <c r="AQ35">
        <f>('分行业工业增加值（当年人民币）'!AQ35*汇率!$AQ$2)*100000000</f>
        <v>20066188784.3682</v>
      </c>
    </row>
    <row r="36" spans="1:43">
      <c r="A36" s="102" t="s">
        <v>33</v>
      </c>
      <c r="B36">
        <f>('分行业工业增加值（当年人民币）'!B36*汇率!$B$2)*100000000</f>
        <v>302863401819.201</v>
      </c>
      <c r="C36">
        <f>('分行业工业增加值（当年人民币）'!C36*汇率!$C$2)*100000000</f>
        <v>308222204646.411</v>
      </c>
      <c r="D36">
        <f>('分行业工业增加值（当年人民币）'!D36*汇率!$D$2)*100000000</f>
        <v>351724535054.69</v>
      </c>
      <c r="E36">
        <f>('分行业工业增加值（当年人民币）'!E36*汇率!$E$2)*100000000</f>
        <v>367674909857.861</v>
      </c>
      <c r="F36">
        <f>('分行业工业增加值（当年人民币）'!F36*汇率!$F$2)*100000000</f>
        <v>382665309675.046</v>
      </c>
      <c r="G36">
        <f>('分行业工业增加值（当年人民币）'!G36*汇率!$G$2)*100000000</f>
        <v>396725792986.329</v>
      </c>
      <c r="H36">
        <f>('分行业工业增加值（当年人民币）'!H36*汇率!$H$2)*100000000</f>
        <v>409895908570.002</v>
      </c>
      <c r="I36">
        <f>('分行业工业增加值（当年人民币）'!I36*汇率!$I$2)*100000000</f>
        <v>422221283497.171</v>
      </c>
      <c r="J36">
        <f>('分行业工业增加值（当年人民币）'!J36*汇率!$J$2)*100000000</f>
        <v>433750913016.87</v>
      </c>
      <c r="K36">
        <f>('分行业工业增加值（当年人民币）'!K36*汇率!$K$2)*100000000</f>
        <v>444535088785.928</v>
      </c>
      <c r="L36">
        <f>('分行业工业增加值（当年人民币）'!L36*汇率!$L$2)*100000000</f>
        <v>454623873425.503</v>
      </c>
      <c r="M36">
        <f>('分行业工业增加值（当年人民币）'!M36*汇率!$M$2)*100000000</f>
        <v>464066022543.394</v>
      </c>
      <c r="N36">
        <f>('分行业工业增加值（当年人民币）'!N36*汇率!$N$2)*100000000</f>
        <v>472908260809.509</v>
      </c>
      <c r="O36">
        <f>('分行业工业增加值（当年人民币）'!O36*汇率!$O$2)*100000000</f>
        <v>481194830090.013</v>
      </c>
      <c r="P36">
        <f>('分行业工业增加值（当年人民币）'!P36*汇率!$P$2)*100000000</f>
        <v>488967241094.519</v>
      </c>
      <c r="Q36">
        <f>('分行业工业增加值（当年人民币）'!Q36*汇率!$Q$2)*100000000</f>
        <v>496264173226.494</v>
      </c>
      <c r="R36">
        <f>('分行业工业增加值（当年人民币）'!R36*汇率!$R$2)*100000000</f>
        <v>503121479220.463</v>
      </c>
      <c r="S36">
        <f>('分行业工业增加值（当年人民币）'!S36*汇率!$S$2)*100000000</f>
        <v>509572261258.599</v>
      </c>
      <c r="T36">
        <f>('分行业工业增加值（当年人民币）'!T36*汇率!$T$2)*100000000</f>
        <v>515646993529.305</v>
      </c>
      <c r="U36">
        <f>('分行业工业增加值（当年人民币）'!U36*汇率!$U$2)*100000000</f>
        <v>521373672770.087</v>
      </c>
      <c r="V36">
        <f>('分行业工业增加值（当年人民币）'!V36*汇率!$V$2)*100000000</f>
        <v>526777983457.876</v>
      </c>
      <c r="W36">
        <f>('分行业工业增加值（当年人民币）'!W36*汇率!$W$2)*100000000</f>
        <v>531883468223.873</v>
      </c>
      <c r="X36">
        <f>('分行业工业增加值（当年人民币）'!X36*汇率!$X$2)*100000000</f>
        <v>536711697014.873</v>
      </c>
      <c r="Y36">
        <f>('分行业工业增加值（当年人民币）'!Y36*汇率!$Y$2)*100000000</f>
        <v>541282430705.926</v>
      </c>
      <c r="Z36">
        <f>('分行业工业增加值（当年人民币）'!Z36*汇率!$Z$2)*100000000</f>
        <v>545613776463.928</v>
      </c>
      <c r="AA36">
        <f>('分行业工业增加值（当年人民币）'!AA36*汇率!$AA$2)*100000000</f>
        <v>549722333308.976</v>
      </c>
      <c r="AB36">
        <f>('分行业工业增加值（当年人民币）'!AB36*汇率!$AB$2)*100000000</f>
        <v>553623327130.518</v>
      </c>
      <c r="AC36">
        <f>('分行业工业增加值（当年人民币）'!AC36*汇率!$AC$2)*100000000</f>
        <v>557330734976.02</v>
      </c>
      <c r="AD36">
        <f>('分行业工业增加值（当年人民币）'!AD36*汇率!$AD$2)*100000000</f>
        <v>560857398805.756</v>
      </c>
      <c r="AE36">
        <f>('分行业工业增加值（当年人民币）'!AE36*汇率!$AE$2)*100000000</f>
        <v>564215129150.616</v>
      </c>
      <c r="AF36">
        <f>('分行业工业增加值（当年人民币）'!AF36*汇率!$AF$2)*100000000</f>
        <v>567414799256.17</v>
      </c>
      <c r="AG36">
        <f>('分行业工业增加值（当年人民币）'!AG36*汇率!$AG$2)*100000000</f>
        <v>570466430375.51</v>
      </c>
      <c r="AH36">
        <f>('分行业工业增加值（当年人民币）'!AH36*汇率!$AH$2)*100000000</f>
        <v>573379268905.142</v>
      </c>
      <c r="AI36">
        <f>('分行业工业增加值（当年人民币）'!AI36*汇率!$AI$2)*100000000</f>
        <v>576161856057.883</v>
      </c>
      <c r="AJ36">
        <f>('分行业工业增加值（当年人民币）'!AJ36*汇率!$AJ$2)*100000000</f>
        <v>578822090745.925</v>
      </c>
      <c r="AK36">
        <f>('分行业工业增加值（当年人民币）'!AK36*汇率!$AK$2)*100000000</f>
        <v>581367286312.529</v>
      </c>
      <c r="AL36">
        <f>('分行业工业增加值（当年人民币）'!AL36*汇率!$AL$2)*100000000</f>
        <v>583804221709.3</v>
      </c>
      <c r="AM36">
        <f>('分行业工业增加值（当年人民币）'!AM36*汇率!$AM$2)*100000000</f>
        <v>586139187670.46</v>
      </c>
      <c r="AN36">
        <f>('分行业工业增加值（当年人民币）'!AN36*汇率!$AN$2)*100000000</f>
        <v>588378028388.964</v>
      </c>
      <c r="AO36">
        <f>('分行业工业增加值（当年人民币）'!AO36*汇率!$AO$2)*100000000</f>
        <v>590526179153.928</v>
      </c>
      <c r="AP36">
        <f>('分行业工业增加值（当年人民币）'!AP36*汇率!$AP$2)*100000000</f>
        <v>592588700364.983</v>
      </c>
      <c r="AQ36">
        <f>('分行业工业增加值（当年人民币）'!AQ36*汇率!$AQ$2)*100000000</f>
        <v>594570308298.103</v>
      </c>
    </row>
    <row r="37" spans="1:43">
      <c r="A37" s="102" t="s">
        <v>34</v>
      </c>
      <c r="B37">
        <f>('分行业工业增加值（当年人民币）'!B37*汇率!$B$2)*100000000</f>
        <v>55490659313.027</v>
      </c>
      <c r="C37">
        <f>('分行业工业增加值（当年人民币）'!C37*汇率!$C$2)*100000000</f>
        <v>53534136004.2148</v>
      </c>
      <c r="D37">
        <f>('分行业工业增加值（当年人民币）'!D37*汇率!$D$2)*100000000</f>
        <v>66447653626.8653</v>
      </c>
      <c r="E37">
        <f>('分行业工业增加值（当年人民币）'!E37*汇率!$E$2)*100000000</f>
        <v>71702316402.7894</v>
      </c>
      <c r="F37">
        <f>('分行业工业增加值（当年人民币）'!F37*汇率!$F$2)*100000000</f>
        <v>76713967533.4116</v>
      </c>
      <c r="G37">
        <f>('分行业工业增加值（当年人民币）'!G37*汇率!$G$2)*100000000</f>
        <v>81482180145.1626</v>
      </c>
      <c r="H37">
        <f>('分行业工业增加值（当年人民币）'!H37*汇率!$H$2)*100000000</f>
        <v>86010305523.5237</v>
      </c>
      <c r="I37">
        <f>('分行业工业增加值（当年人民币）'!I37*汇率!$I$2)*100000000</f>
        <v>90304530837.6821</v>
      </c>
      <c r="J37">
        <f>('分行业工业增加值（当年人民币）'!J37*汇率!$J$2)*100000000</f>
        <v>94373069167.9354</v>
      </c>
      <c r="K37">
        <f>('分行业工业增加值（当年人民币）'!K37*汇率!$K$2)*100000000</f>
        <v>98225490371.7131</v>
      </c>
      <c r="L37">
        <f>('分行业工业增加值（当年人民币）'!L37*汇率!$L$2)*100000000</f>
        <v>101872186159.709</v>
      </c>
      <c r="M37">
        <f>('分行业工业增加值（当年人民币）'!M37*汇率!$M$2)*100000000</f>
        <v>105323954790.983</v>
      </c>
      <c r="N37">
        <f>('分行业工业增加值（当年人民币）'!N37*汇率!$N$2)*100000000</f>
        <v>108591687620.93</v>
      </c>
      <c r="O37">
        <f>('分行业工业增加值（当年人民币）'!O37*汇率!$O$2)*100000000</f>
        <v>111686139486.398</v>
      </c>
      <c r="P37">
        <f>('分行业工业增加值（当年人民币）'!P37*汇率!$P$2)*100000000</f>
        <v>114617766272.716</v>
      </c>
      <c r="Q37">
        <f>('分行业工业增加值（当年人民币）'!Q37*汇率!$Q$2)*100000000</f>
        <v>117396615114.143</v>
      </c>
      <c r="R37">
        <f>('分行业工业增加值（当年人民币）'!R37*汇率!$R$2)*100000000</f>
        <v>120032255002.304</v>
      </c>
      <c r="S37">
        <f>('分行业工业增加值（当年人民币）'!S37*汇率!$S$2)*100000000</f>
        <v>122533737817.425</v>
      </c>
      <c r="T37">
        <f>('分行业工业增加值（当年人民币）'!T37*汇率!$T$2)*100000000</f>
        <v>124909581805.475</v>
      </c>
      <c r="U37">
        <f>('分行业工业增加值（当年人民币）'!U37*汇率!$U$2)*100000000</f>
        <v>127167771243.228</v>
      </c>
      <c r="V37">
        <f>('分行业工业增加值（当年人民币）'!V37*汇率!$V$2)*100000000</f>
        <v>129315767458.049</v>
      </c>
      <c r="W37">
        <f>('分行业工业增加值（当年人民币）'!W37*汇率!$W$2)*100000000</f>
        <v>131360527522.775</v>
      </c>
      <c r="X37">
        <f>('分行业工业增加值（当年人民币）'!X37*汇率!$X$2)*100000000</f>
        <v>133308527863.112</v>
      </c>
      <c r="Y37">
        <f>('分行业工业增加值（当年人民币）'!Y37*汇率!$Y$2)*100000000</f>
        <v>135165790733.193</v>
      </c>
      <c r="Z37">
        <f>('分行业工业增加值（当年人民币）'!Z37*汇率!$Z$2)*100000000</f>
        <v>136937912070.632</v>
      </c>
      <c r="AA37">
        <f>('分行业工业增加值（当年人民币）'!AA37*汇率!$AA$2)*100000000</f>
        <v>138630089667.567</v>
      </c>
      <c r="AB37">
        <f>('分行业工业增加值（当年人民币）'!AB37*汇率!$AB$2)*100000000</f>
        <v>140247150916.046</v>
      </c>
      <c r="AC37">
        <f>('分行业工业增加值（当年人民币）'!AC37*汇率!$AC$2)*100000000</f>
        <v>141793579627.362</v>
      </c>
      <c r="AD37">
        <f>('分行业工业增加值（当年人民币）'!AD37*汇率!$AD$2)*100000000</f>
        <v>143273541603.967</v>
      </c>
      <c r="AE37">
        <f>('分行业工业增加值（当年人民币）'!AE37*汇率!$AE$2)*100000000</f>
        <v>144690908773.557</v>
      </c>
      <c r="AF37">
        <f>('分行业工业增加值（当年人民币）'!AF37*汇率!$AF$2)*100000000</f>
        <v>146049281789.738</v>
      </c>
      <c r="AG37">
        <f>('分行业工业增加值（当年人民币）'!AG37*汇率!$AG$2)*100000000</f>
        <v>147352011071.01</v>
      </c>
      <c r="AH37">
        <f>('分行业工业增加值（当年人民币）'!AH37*汇率!$AH$2)*100000000</f>
        <v>148602216296.442</v>
      </c>
      <c r="AI37">
        <f>('分行业工业增加值（当年人民币）'!AI37*汇率!$AI$2)*100000000</f>
        <v>149802804407.91</v>
      </c>
      <c r="AJ37">
        <f>('分行业工业增加值（当年人民币）'!AJ37*汇率!$AJ$2)*100000000</f>
        <v>150956486189.018</v>
      </c>
      <c r="AK37">
        <f>('分行业工业增加值（当年人民币）'!AK37*汇率!$AK$2)*100000000</f>
        <v>152065791502.729</v>
      </c>
      <c r="AL37">
        <f>('分行业工业增加值（当年人民币）'!AL37*汇率!$AL$2)*100000000</f>
        <v>153133083275.867</v>
      </c>
      <c r="AM37">
        <f>('分行业工业增加值（当年人民币）'!AM37*汇率!$AM$2)*100000000</f>
        <v>154160570320.637</v>
      </c>
      <c r="AN37">
        <f>('分行业工业增加值（当年人民币）'!AN37*汇率!$AN$2)*100000000</f>
        <v>155150319082.266</v>
      </c>
      <c r="AO37">
        <f>('分行业工业增加值（当年人民币）'!AO37*汇率!$AO$2)*100000000</f>
        <v>156104264399</v>
      </c>
      <c r="AP37">
        <f>('分行业工业增加值（当年人民币）'!AP37*汇率!$AP$2)*100000000</f>
        <v>157024219356.583</v>
      </c>
      <c r="AQ37">
        <f>('分行业工业增加值（当年人民币）'!AQ37*汇率!$AQ$2)*100000000</f>
        <v>157911884314.43</v>
      </c>
    </row>
    <row r="38" spans="1:43">
      <c r="A38" s="103" t="s">
        <v>35</v>
      </c>
      <c r="B38">
        <f>('分行业工业增加值（当年人民币）'!B38*汇率!$B$2)*100000000</f>
        <v>23169000862.2595</v>
      </c>
      <c r="C38">
        <f>('分行业工业增加值（当年人民币）'!C38*汇率!$C$2)*100000000</f>
        <v>26476476767.1382</v>
      </c>
      <c r="D38">
        <f>('分行业工业增加值（当年人民币）'!D38*汇率!$D$2)*100000000</f>
        <v>27586763837.3171</v>
      </c>
      <c r="E38">
        <f>('分行业工业增加值（当年人民币）'!E38*汇率!$E$2)*100000000</f>
        <v>28923831727.2547</v>
      </c>
      <c r="F38">
        <f>('分行业工业增加值（当年人民币）'!F38*汇率!$F$2)*100000000</f>
        <v>30183239426.263</v>
      </c>
      <c r="G38">
        <f>('分行业工业增加值（当年人民币）'!G38*汇率!$G$2)*100000000</f>
        <v>31367110144.3941</v>
      </c>
      <c r="H38">
        <f>('分行业工业增加值（当年人民币）'!H38*汇率!$H$2)*100000000</f>
        <v>32478387647.946</v>
      </c>
      <c r="I38">
        <f>('分行业工业增加值（当年人民币）'!I38*汇率!$I$2)*100000000</f>
        <v>33520557219.4849</v>
      </c>
      <c r="J38">
        <f>('分行业工业增加值（当年人民币）'!J38*汇率!$J$2)*100000000</f>
        <v>34497421657.7148</v>
      </c>
      <c r="K38">
        <f>('分行业工业增加值（当年人民币）'!K38*汇率!$K$2)*100000000</f>
        <v>35412928121.5808</v>
      </c>
      <c r="L38">
        <f>('分行业工业增加值（当年人民币）'!L38*汇率!$L$2)*100000000</f>
        <v>36271039014.2256</v>
      </c>
      <c r="M38">
        <f>('分行业工业增加值（当年人民币）'!M38*汇率!$M$2)*100000000</f>
        <v>37075639309.6812</v>
      </c>
      <c r="N38">
        <f>('分行业工业增加值（当年人民币）'!N38*汇率!$N$2)*100000000</f>
        <v>37830472991.1242</v>
      </c>
      <c r="O38">
        <f>('分行业工业增加值（当年人民币）'!O38*汇率!$O$2)*100000000</f>
        <v>38539102072.6933</v>
      </c>
      <c r="P38">
        <f>('分行业工业增加值（当年人民币）'!P38*汇率!$P$2)*100000000</f>
        <v>39204882686.4018</v>
      </c>
      <c r="Q38">
        <f>('分行业工业增加值（当年人民币）'!Q38*汇率!$Q$2)*100000000</f>
        <v>39830953738.67</v>
      </c>
      <c r="R38">
        <f>('分行业工业增加值（当年人民币）'!R38*汇率!$R$2)*100000000</f>
        <v>40420234576.7841</v>
      </c>
      <c r="S38">
        <f>('分行业工业增加值（当年人民币）'!S38*汇率!$S$2)*100000000</f>
        <v>40975428911.122</v>
      </c>
      <c r="T38">
        <f>('分行业工业增加值（当年人民币）'!T38*汇率!$T$2)*100000000</f>
        <v>41499032904.7715</v>
      </c>
      <c r="U38">
        <f>('分行业工业增加值（当年人民币）'!U38*汇率!$U$2)*100000000</f>
        <v>41993345876.4844</v>
      </c>
      <c r="V38">
        <f>('分行业工业增加值（当年人民币）'!V38*汇率!$V$2)*100000000</f>
        <v>42460482482.1009</v>
      </c>
      <c r="W38">
        <f>('分行业工业增加值（当年人民币）'!W38*汇率!$W$2)*100000000</f>
        <v>42902385562.4805</v>
      </c>
      <c r="X38">
        <f>('分行业工业增加值（当年人民币）'!X38*汇率!$X$2)*100000000</f>
        <v>43320839090.7735</v>
      </c>
      <c r="Y38">
        <f>('分行业工业增加值（当年人民币）'!Y38*汇率!$Y$2)*100000000</f>
        <v>43717480834.8237</v>
      </c>
      <c r="Z38">
        <f>('分行业工业增加值（当年人民币）'!Z38*汇率!$Z$2)*100000000</f>
        <v>44093814485.3525</v>
      </c>
      <c r="AA38">
        <f>('分行业工业增加值（当年人民币）'!AA38*汇率!$AA$2)*100000000</f>
        <v>44451221098.5316</v>
      </c>
      <c r="AB38">
        <f>('分行业工业增加值（当年人民币）'!AB38*汇率!$AB$2)*100000000</f>
        <v>44790969771.6044</v>
      </c>
      <c r="AC38">
        <f>('分行业工业增加值（当年人民币）'!AC38*汇率!$AC$2)*100000000</f>
        <v>45114227519.3592</v>
      </c>
      <c r="AD38">
        <f>('分行业工业增加值（当年人民币）'!AD38*汇率!$AD$2)*100000000</f>
        <v>45422068352.9141</v>
      </c>
      <c r="AE38">
        <f>('分行业工业增加值（当年人民币）'!AE38*汇率!$AE$2)*100000000</f>
        <v>45715481584.5885</v>
      </c>
      <c r="AF38">
        <f>('分行业工业增加值（当年人民币）'!AF38*汇率!$AF$2)*100000000</f>
        <v>45995379396.7194</v>
      </c>
      <c r="AG38">
        <f>('分行业工业增加值（当年人民币）'!AG38*汇率!$AG$2)*100000000</f>
        <v>46262603720.4929</v>
      </c>
      <c r="AH38">
        <f>('分行业工业增加值（当年人民币）'!AH38*汇率!$AH$2)*100000000</f>
        <v>46517932474.9076</v>
      </c>
      <c r="AI38">
        <f>('分行业工业增加值（当年人民币）'!AI38*汇率!$AI$2)*100000000</f>
        <v>46762085217.1987</v>
      </c>
      <c r="AJ38">
        <f>('分行业工业增加值（当年人民币）'!AJ38*汇率!$AJ$2)*100000000</f>
        <v>46995728255.3083</v>
      </c>
      <c r="AK38">
        <f>('分行业工业增加值（当年人民币）'!AK38*汇率!$AK$2)*100000000</f>
        <v>47219479271.0151</v>
      </c>
      <c r="AL38">
        <f>('分行业工业增加值（当年人民币）'!AL38*汇率!$AL$2)*100000000</f>
        <v>47433911499.5917</v>
      </c>
      <c r="AM38">
        <f>('分行业工业增加值（当年人民币）'!AM38*汇率!$AM$2)*100000000</f>
        <v>47639557508.6979</v>
      </c>
      <c r="AN38">
        <f>('分行业工业增加值（当年人民币）'!AN38*汇率!$AN$2)*100000000</f>
        <v>47836912615.8727</v>
      </c>
      <c r="AO38">
        <f>('分行业工业增加值（当年人民币）'!AO38*汇率!$AO$2)*100000000</f>
        <v>48026437980.6359</v>
      </c>
      <c r="AP38">
        <f>('分行业工业增加值（当年人民币）'!AP38*汇率!$AP$2)*100000000</f>
        <v>48208563403.935</v>
      </c>
      <c r="AQ38">
        <f>('分行业工业增加值（当年人民币）'!AQ38*汇率!$AQ$2)*100000000</f>
        <v>48383689864.5642</v>
      </c>
    </row>
    <row r="39" spans="1:1">
      <c r="A39" s="104"/>
    </row>
    <row r="40" spans="1:43">
      <c r="A40" s="95" t="s">
        <v>36</v>
      </c>
      <c r="B40">
        <f>('分行业工业增加值（当年人民币）'!B40*汇率!$B$2)*100000000</f>
        <v>7281685251823.11</v>
      </c>
      <c r="C40">
        <f>('分行业工业增加值（当年人民币）'!C40*汇率!$C$2)*100000000</f>
        <v>8453893793679.95</v>
      </c>
      <c r="D40">
        <f>('分行业工业增加值（当年人民币）'!D40*汇率!$D$2)*100000000</f>
        <v>8537428502456.32</v>
      </c>
      <c r="E40">
        <f>('分行业工业增加值（当年人民币）'!E40*汇率!$E$2)*100000000</f>
        <v>9171083589222.03</v>
      </c>
      <c r="F40">
        <f>('分行业工业增加值（当年人民币）'!F40*汇率!$F$2)*100000000</f>
        <v>9817779408635.35</v>
      </c>
      <c r="G40">
        <f>('分行业工业增加值（当年人民币）'!G40*汇率!$G$2)*100000000</f>
        <v>10469168302112.4</v>
      </c>
      <c r="H40">
        <f>('分行业工业增加值（当年人民币）'!H40*汇率!$H$2)*100000000</f>
        <v>11134851273927</v>
      </c>
      <c r="I40">
        <f>('分行业工业增加值（当年人民币）'!I40*汇率!$I$2)*100000000</f>
        <v>11804505417276.8</v>
      </c>
      <c r="J40">
        <f>('分行业工业增加值（当年人民币）'!J40*汇率!$J$2)*100000000</f>
        <v>12477545881335</v>
      </c>
      <c r="K40">
        <f>('分行业工业增加值（当年人民币）'!K40*汇率!$K$2)*100000000</f>
        <v>13158214018099.6</v>
      </c>
      <c r="L40">
        <f>('分行业工业增加值（当年人民币）'!L40*汇率!$L$2)*100000000</f>
        <v>13837111437500.7</v>
      </c>
      <c r="M40">
        <f>('分行业工业增加值（当年人民币）'!M40*汇率!$M$2)*100000000</f>
        <v>14518099553950.9</v>
      </c>
      <c r="N40">
        <f>('分行业工业增加值（当年人民币）'!N40*汇率!$N$2)*100000000</f>
        <v>15199971010469.8</v>
      </c>
      <c r="O40">
        <f>('分行业工业增加值（当年人民币）'!O40*汇率!$O$2)*100000000</f>
        <v>15877262586749.6</v>
      </c>
      <c r="P40">
        <f>('分行业工业增加值（当年人民币）'!P40*汇率!$P$2)*100000000</f>
        <v>16555026017024.1</v>
      </c>
      <c r="Q40">
        <f>('分行业工业增加值（当年人民币）'!Q40*汇率!$Q$2)*100000000</f>
        <v>17228567829463.6</v>
      </c>
      <c r="R40">
        <f>('分行业工业增加值（当年人民币）'!R40*汇率!$R$2)*100000000</f>
        <v>17895138355830.4</v>
      </c>
      <c r="S40">
        <f>('分行业工业增加值（当年人民币）'!S40*汇率!$S$2)*100000000</f>
        <v>18560864574736.7</v>
      </c>
      <c r="T40">
        <f>('分行业工业增加值（当年人民币）'!T40*汇率!$T$2)*100000000</f>
        <v>19218702901789.5</v>
      </c>
      <c r="U40">
        <f>('分行业工业增加值（当年人民币）'!U40*汇率!$U$2)*100000000</f>
        <v>19873800645374.7</v>
      </c>
      <c r="V40">
        <f>('分行业工业增加值（当年人民币）'!V40*汇率!$V$2)*100000000</f>
        <v>20522392459247.3</v>
      </c>
      <c r="W40">
        <f>('分行业工业增加值（当年人民币）'!W40*汇率!$W$2)*100000000</f>
        <v>21162073595980.7</v>
      </c>
      <c r="X40">
        <f>('分行业工业增加值（当年人民币）'!X40*汇率!$X$2)*100000000</f>
        <v>21797504787350.1</v>
      </c>
      <c r="Y40">
        <f>('分行业工业增加值（当年人民币）'!Y40*汇率!$Y$2)*100000000</f>
        <v>22426238338367.4</v>
      </c>
      <c r="Z40">
        <f>('分行业工业增加值（当年人民币）'!Z40*汇率!$Z$2)*100000000</f>
        <v>23047150431107.5</v>
      </c>
      <c r="AA40">
        <f>('分行业工业增加值（当年人民币）'!AA40*汇率!$AA$2)*100000000</f>
        <v>23660978013981</v>
      </c>
      <c r="AB40">
        <f>('分行业工业增加值（当年人民币）'!AB40*汇率!$AB$2)*100000000</f>
        <v>24267954141249.8</v>
      </c>
      <c r="AC40">
        <f>('分行业工业增加值（当年人民币）'!AC40*汇率!$AC$2)*100000000</f>
        <v>24869336389086.4</v>
      </c>
      <c r="AD40">
        <f>('分行业工业增加值（当年人民币）'!AD40*汇率!$AD$2)*100000000</f>
        <v>25462084097066.3</v>
      </c>
      <c r="AE40">
        <f>('分行业工业增加值（当年人民币）'!AE40*汇率!$AE$2)*100000000</f>
        <v>26046446188766.3</v>
      </c>
      <c r="AF40">
        <f>('分行业工业增加值（当年人民币）'!AF40*汇率!$AF$2)*100000000</f>
        <v>26627446020935.7</v>
      </c>
      <c r="AG40">
        <f>('分行业工业增加值（当年人民币）'!AG40*汇率!$AG$2)*100000000</f>
        <v>27199371877088.5</v>
      </c>
      <c r="AH40">
        <f>('分行业工业增加值（当年人民币）'!AH40*汇率!$AH$2)*100000000</f>
        <v>27765061366107</v>
      </c>
      <c r="AI40">
        <f>('分行业工业增加值（当年人民币）'!AI40*汇率!$AI$2)*100000000</f>
        <v>28324619950972</v>
      </c>
      <c r="AJ40">
        <f>('分行业工业增加值（当年人民币）'!AJ40*汇率!$AJ$2)*100000000</f>
        <v>28876280758982.4</v>
      </c>
      <c r="AK40">
        <f>('分行业工业增加值（当年人民币）'!AK40*汇率!$AK$2)*100000000</f>
        <v>29423751785850.1</v>
      </c>
      <c r="AL40">
        <f>('分行业工业增加值（当年人民币）'!AL40*汇率!$AL$2)*100000000</f>
        <v>29965009449648</v>
      </c>
      <c r="AM40">
        <f>('分行业工业增加值（当年人民币）'!AM40*汇率!$AM$2)*100000000</f>
        <v>30500812737033</v>
      </c>
      <c r="AN40">
        <f>('分行业工业增加值（当年人民币）'!AN40*汇率!$AN$2)*100000000</f>
        <v>31031825431675.4</v>
      </c>
      <c r="AO40">
        <f>('分行业工业增加值（当年人民币）'!AO40*汇率!$AO$2)*100000000</f>
        <v>31557314657892.7</v>
      </c>
      <c r="AP40">
        <f>('分行业工业增加值（当年人民币）'!AP40*汇率!$AP$2)*100000000</f>
        <v>32079662705656.7</v>
      </c>
      <c r="AQ40">
        <f>('分行业工业增加值（当年人民币）'!AQ40*汇率!$AQ$2)*100000000</f>
        <v>32597079829935</v>
      </c>
    </row>
    <row r="41" spans="1:43">
      <c r="A41" s="97" t="s">
        <v>5</v>
      </c>
      <c r="B41">
        <f>('分行业工业增加值（当年人民币）'!B41*汇率!$B$2)*100000000</f>
        <v>593559540940.151</v>
      </c>
      <c r="C41">
        <f>('分行业工业增加值（当年人民币）'!C41*汇率!$C$2)*100000000</f>
        <v>572493299273.405</v>
      </c>
      <c r="D41">
        <f>('分行业工业增加值（当年人民币）'!D41*汇率!$D$2)*100000000</f>
        <v>629646795505.729</v>
      </c>
      <c r="E41">
        <f>('分行业工业增加值（当年人民币）'!E41*汇率!$E$2)*100000000</f>
        <v>653293094067.143</v>
      </c>
      <c r="F41">
        <f>('分行业工业增加值（当年人民币）'!F41*汇率!$F$2)*100000000</f>
        <v>676410936879.171</v>
      </c>
      <c r="G41">
        <f>('分行业工业增加值（当年人民币）'!G41*汇率!$G$2)*100000000</f>
        <v>698842696141.787</v>
      </c>
      <c r="H41">
        <f>('分行业工业增加值（当年人民币）'!H41*汇率!$H$2)*100000000</f>
        <v>720983386483.072</v>
      </c>
      <c r="I41">
        <f>('分行业工业增加值（当年人民币）'!I41*汇率!$I$2)*100000000</f>
        <v>742529168280.353</v>
      </c>
      <c r="J41">
        <f>('分行业工业增加值（当年人民币）'!J41*汇率!$J$2)*100000000</f>
        <v>763475136348.247</v>
      </c>
      <c r="K41">
        <f>('分行业工业增加值（当年人民币）'!K41*汇率!$K$2)*100000000</f>
        <v>784003822941.172</v>
      </c>
      <c r="L41">
        <f>('分行业工业增加值（当年人民币）'!L41*汇率!$L$2)*100000000</f>
        <v>803890263705.659</v>
      </c>
      <c r="M41">
        <f>('分行业工业增加值（当年人民币）'!M41*汇率!$M$2)*100000000</f>
        <v>823286681871.005</v>
      </c>
      <c r="N41">
        <f>('分行业工业增加值（当年人民币）'!N41*汇率!$N$2)*100000000</f>
        <v>842161954167.453</v>
      </c>
      <c r="O41">
        <f>('分行业工业增加值（当年人民币）'!O41*汇率!$O$2)*100000000</f>
        <v>860380545581.633</v>
      </c>
      <c r="P41">
        <f>('分行业工业增加值（当年人民币）'!P41*汇率!$P$2)*100000000</f>
        <v>878136298970.886</v>
      </c>
      <c r="Q41">
        <f>('分行业工业增加值（当年人民币）'!Q41*汇率!$Q$2)*100000000</f>
        <v>895340959702.455</v>
      </c>
      <c r="R41">
        <f>('分行业工业增加值（当年人民币）'!R41*汇率!$R$2)*100000000</f>
        <v>911930312233.353</v>
      </c>
      <c r="S41">
        <f>('分行业工业增加值（当年人民币）'!S41*汇率!$S$2)*100000000</f>
        <v>928074423717.245</v>
      </c>
      <c r="T41">
        <f>('分行业工业增加值（当年人民币）'!T41*汇率!$T$2)*100000000</f>
        <v>943605597820.86</v>
      </c>
      <c r="U41">
        <f>('分行业工业增加值（当年人民币）'!U41*汇率!$U$2)*100000000</f>
        <v>958732626905.389</v>
      </c>
      <c r="V41">
        <f>('分行业工业增加值（当年人民币）'!V41*汇率!$V$2)*100000000</f>
        <v>973333676060.511</v>
      </c>
      <c r="W41">
        <f>('分行业工业增加值（当年人民币）'!W41*汇率!$W$2)*100000000</f>
        <v>987303995165.497</v>
      </c>
      <c r="X41">
        <f>('分行业工业增加值（当年人民币）'!X41*汇率!$X$2)*100000000</f>
        <v>1000875259159.69</v>
      </c>
      <c r="Y41">
        <f>('分行业工业增加值（当年人民币）'!Y41*汇率!$Y$2)*100000000</f>
        <v>1013993980274.55</v>
      </c>
      <c r="Z41">
        <f>('分行业工业增加值（当年人民币）'!Z41*汇率!$Z$2)*100000000</f>
        <v>1026599068250.73</v>
      </c>
      <c r="AA41">
        <f>('分行业工业增加值（当年人民币）'!AA41*汇率!$AA$2)*100000000</f>
        <v>1038746027164.26</v>
      </c>
      <c r="AB41">
        <f>('分行业工业增加值（当年人民币）'!AB41*汇率!$AB$2)*100000000</f>
        <v>1050471869766.93</v>
      </c>
      <c r="AC41">
        <f>('分行业工业增加值（当年人民币）'!AC41*汇率!$AC$2)*100000000</f>
        <v>1061800643610.48</v>
      </c>
      <c r="AD41">
        <f>('分行业工业增加值（当年人民币）'!AD41*汇率!$AD$2)*100000000</f>
        <v>1072656496001.12</v>
      </c>
      <c r="AE41">
        <f>('分行业工业增加值（当年人民币）'!AE41*汇率!$AE$2)*100000000</f>
        <v>1083091842519.37</v>
      </c>
      <c r="AF41">
        <f>('分行业工业增加值（当年人民币）'!AF41*汇率!$AF$2)*100000000</f>
        <v>1093253041479.58</v>
      </c>
      <c r="AG41">
        <f>('分行业工业增加值（当年人民币）'!AG41*汇率!$AG$2)*100000000</f>
        <v>1102978069314.16</v>
      </c>
      <c r="AH41">
        <f>('分行业工业增加值（当年人民币）'!AH41*汇率!$AH$2)*100000000</f>
        <v>1112364243173.59</v>
      </c>
      <c r="AI41">
        <f>('分行业工业增加值（当年人民币）'!AI41*汇率!$AI$2)*100000000</f>
        <v>1121455048465.37</v>
      </c>
      <c r="AJ41">
        <f>('分行业工业增加值（当年人民币）'!AJ41*汇率!$AJ$2)*100000000</f>
        <v>1130182819943.73</v>
      </c>
      <c r="AK41">
        <f>('分行业工业增加值（当年人民币）'!AK41*汇率!$AK$2)*100000000</f>
        <v>1138668942143.96</v>
      </c>
      <c r="AL41">
        <f>('分行业工业增加值（当年人民币）'!AL41*汇率!$AL$2)*100000000</f>
        <v>1146896858910.79</v>
      </c>
      <c r="AM41">
        <f>('分行业工业增加值（当年人民币）'!AM41*汇率!$AM$2)*100000000</f>
        <v>1154888698282.49</v>
      </c>
      <c r="AN41">
        <f>('分行业工业增加值（当年人民币）'!AN41*汇率!$AN$2)*100000000</f>
        <v>1162681381036.11</v>
      </c>
      <c r="AO41">
        <f>('分行业工业增加值（当年人民币）'!AO41*汇率!$AO$2)*100000000</f>
        <v>1170271260559.7</v>
      </c>
      <c r="AP41">
        <f>('分行业工业增加值（当年人民币）'!AP41*汇率!$AP$2)*100000000</f>
        <v>1177754381845.24</v>
      </c>
      <c r="AQ41">
        <f>('分行业工业增加值（当年人民币）'!AQ41*汇率!$AQ$2)*100000000</f>
        <v>1185078308736.64</v>
      </c>
    </row>
    <row r="42" spans="1:43">
      <c r="A42" s="97" t="s">
        <v>6</v>
      </c>
      <c r="B42">
        <f>('分行业工业增加值（当年人民币）'!B42*汇率!$B$2)*100000000</f>
        <v>1317780910688.47</v>
      </c>
      <c r="C42">
        <f>('分行业工业增加值（当年人民币）'!C42*汇率!$C$2)*100000000</f>
        <v>1308340787635.79</v>
      </c>
      <c r="D42">
        <f>('分行业工业增加值（当年人民币）'!D42*汇率!$D$2)*100000000</f>
        <v>1485334321775.19</v>
      </c>
      <c r="E42">
        <f>('分行业工业增加值（当年人民币）'!E42*汇率!$E$2)*100000000</f>
        <v>1566128249370.59</v>
      </c>
      <c r="F42">
        <f>('分行业工业增加值（当年人民币）'!F42*汇率!$F$2)*100000000</f>
        <v>1647116315185.44</v>
      </c>
      <c r="G42">
        <f>('分行业工业增加值（当年人民币）'!G42*汇率!$G$2)*100000000</f>
        <v>1727449236196.7</v>
      </c>
      <c r="H42">
        <f>('分行业工业增加值（当年人民币）'!H42*汇率!$H$2)*100000000</f>
        <v>1808107424622.31</v>
      </c>
      <c r="I42">
        <f>('分行业工业增加值（当年人民币）'!I42*汇率!$I$2)*100000000</f>
        <v>1888255319548.89</v>
      </c>
      <c r="J42">
        <f>('分行业工业增加值（当年人民币）'!J42*汇率!$J$2)*100000000</f>
        <v>1967772487368.33</v>
      </c>
      <c r="K42">
        <f>('分行业工业增加值（当年人民币）'!K42*汇率!$K$2)*100000000</f>
        <v>2047356572098.58</v>
      </c>
      <c r="L42">
        <f>('分行业工业增加值（当年人民币）'!L42*汇率!$L$2)*100000000</f>
        <v>2125988719495.63</v>
      </c>
      <c r="M42">
        <f>('分行业工业增加值（当年人民币）'!M42*汇率!$M$2)*100000000</f>
        <v>2204113611279.03</v>
      </c>
      <c r="N42">
        <f>('分行业工业增加值（当年人民币）'!N42*汇率!$N$2)*100000000</f>
        <v>2281808139478.03</v>
      </c>
      <c r="O42">
        <f>('分行业工业增加值（当年人民币）'!O42*汇率!$O$2)*100000000</f>
        <v>2358375171084.68</v>
      </c>
      <c r="P42">
        <f>('分行业工业增加值（当年人民币）'!P42*汇率!$P$2)*100000000</f>
        <v>2434513370702.65</v>
      </c>
      <c r="Q42">
        <f>('分行业工业增加值（当年人民币）'!Q42*汇率!$Q$2)*100000000</f>
        <v>2509784156978.55</v>
      </c>
      <c r="R42">
        <f>('分行业工业增加值（当年人民币）'!R42*汇率!$R$2)*100000000</f>
        <v>2583835268161.24</v>
      </c>
      <c r="S42">
        <f>('分行业工业增加值（当年人民币）'!S42*汇率!$S$2)*100000000</f>
        <v>2657470973445.07</v>
      </c>
      <c r="T42">
        <f>('分行业工业增加值（当年人民币）'!T42*汇率!$T$2)*100000000</f>
        <v>2729952778884.48</v>
      </c>
      <c r="U42">
        <f>('分行业工业增加值（当年人民币）'!U42*汇率!$U$2)*100000000</f>
        <v>2801787303810.77</v>
      </c>
      <c r="V42">
        <f>('分行业工业增加值（当年人民币）'!V42*汇率!$V$2)*100000000</f>
        <v>2872709296141.22</v>
      </c>
      <c r="W42">
        <f>('分行业工业增加值（当年人民币）'!W42*汇率!$W$2)*100000000</f>
        <v>2942408246947.27</v>
      </c>
      <c r="X42">
        <f>('分行业工业增加值（当年人民币）'!X42*汇率!$X$2)*100000000</f>
        <v>3011399729729.54</v>
      </c>
      <c r="Y42">
        <f>('分行业工业增加值（当年人民币）'!Y42*汇率!$Y$2)*100000000</f>
        <v>3079480537153.48</v>
      </c>
      <c r="Z42">
        <f>('分行业工业增加值（当年人民币）'!Z42*汇率!$Z$2)*100000000</f>
        <v>3146507865370.55</v>
      </c>
      <c r="AA42">
        <f>('分行业工业增加值（当年人民币）'!AA42*汇率!$AA$2)*100000000</f>
        <v>3212638823516.7</v>
      </c>
      <c r="AB42">
        <f>('分行业工业增加值（当年人民币）'!AB42*汇率!$AB$2)*100000000</f>
        <v>3277871987325.71</v>
      </c>
      <c r="AC42">
        <f>('分行业工业增加值（当年人民币）'!AC42*汇率!$AC$2)*100000000</f>
        <v>3342310982102.97</v>
      </c>
      <c r="AD42">
        <f>('分行业工业增加值（当年人民币）'!AD42*汇率!$AD$2)*100000000</f>
        <v>3405722907697.28</v>
      </c>
      <c r="AE42">
        <f>('分行业工业增加值（当年人民币）'!AE42*汇率!$AE$2)*100000000</f>
        <v>3468123168903.22</v>
      </c>
      <c r="AF42">
        <f>('分行业工业增加值（当年人民币）'!AF42*汇率!$AF$2)*100000000</f>
        <v>3530089855200.41</v>
      </c>
      <c r="AG42">
        <f>('分行业工业增加值（当年人民币）'!AG42*汇率!$AG$2)*100000000</f>
        <v>3590978863164.71</v>
      </c>
      <c r="AH42">
        <f>('分行业工业增加值（当年人民币）'!AH42*汇率!$AH$2)*100000000</f>
        <v>3651163584886.03</v>
      </c>
      <c r="AI42">
        <f>('分行业工业增加值（当年人民币）'!AI42*汇率!$AI$2)*100000000</f>
        <v>3710650927468.94</v>
      </c>
      <c r="AJ42">
        <f>('分行业工业增加值（当年人民币）'!AJ42*汇率!$AJ$2)*100000000</f>
        <v>3769222678960.85</v>
      </c>
      <c r="AK42">
        <f>('分行业工业增加值（当年人民币）'!AK42*汇率!$AK$2)*100000000</f>
        <v>3827388315801.78</v>
      </c>
      <c r="AL42">
        <f>('分行业工业增加值（当年人民币）'!AL42*汇率!$AL$2)*100000000</f>
        <v>3884887556998.5</v>
      </c>
      <c r="AM42">
        <f>('分行业工业增加值（当年人民币）'!AM42*汇率!$AM$2)*100000000</f>
        <v>3941836100526.72</v>
      </c>
      <c r="AN42">
        <f>('分行业工业增加值（当年人民币）'!AN42*汇率!$AN$2)*100000000</f>
        <v>3998401552257.13</v>
      </c>
      <c r="AO42">
        <f>('分行业工业增加值（当年人民币）'!AO42*汇率!$AO$2)*100000000</f>
        <v>4054441879280.04</v>
      </c>
      <c r="AP42">
        <f>('分行业工业增加值（当年人民币）'!AP42*汇率!$AP$2)*100000000</f>
        <v>4110327454822.86</v>
      </c>
      <c r="AQ42">
        <f>('分行业工业增加值（当年人民币）'!AQ42*汇率!$AQ$2)*100000000</f>
        <v>4165883039439.29</v>
      </c>
    </row>
    <row r="43" spans="1:43">
      <c r="A43" s="97" t="s">
        <v>7</v>
      </c>
      <c r="B43">
        <f>('分行业工业增加值（当年人民币）'!B43*汇率!$B$2)*100000000</f>
        <v>248670653830.149</v>
      </c>
      <c r="C43">
        <f>('分行业工业增加值（当年人民币）'!C43*汇率!$C$2)*100000000</f>
        <v>218810894236.877</v>
      </c>
      <c r="D43">
        <f>('分行业工业增加值（当年人民币）'!D43*汇率!$D$2)*100000000</f>
        <v>240029379898.622</v>
      </c>
      <c r="E43">
        <f>('分行业工业增加值（当年人民币）'!E43*汇率!$E$2)*100000000</f>
        <v>257140036365.837</v>
      </c>
      <c r="F43">
        <f>('分行业工业增加值（当年人民币）'!F43*汇率!$F$2)*100000000</f>
        <v>274672285623.122</v>
      </c>
      <c r="G43">
        <f>('分行业工业增加值（当年人民币）'!G43*汇率!$G$2)*100000000</f>
        <v>292473716045.447</v>
      </c>
      <c r="H43">
        <f>('分行业工业增加值（当年人民币）'!H43*汇率!$H$2)*100000000</f>
        <v>310752167231.802</v>
      </c>
      <c r="I43">
        <f>('分行业工业增加值（当年人民币）'!I43*汇率!$I$2)*100000000</f>
        <v>329310240841.025</v>
      </c>
      <c r="J43">
        <f>('分行业工业增加值（当年人民币）'!J43*汇率!$J$2)*100000000</f>
        <v>348144698581.402</v>
      </c>
      <c r="K43">
        <f>('分行业工业增加值（当年人民币）'!K43*汇率!$K$2)*100000000</f>
        <v>367340683629.692</v>
      </c>
      <c r="L43">
        <f>('分行业工业增加值（当年人民币）'!L43*汇率!$L$2)*100000000</f>
        <v>386739295840.873</v>
      </c>
      <c r="M43">
        <f>('分行业工业增加值（当年人民币）'!M43*汇率!$M$2)*100000000</f>
        <v>406427462598.617</v>
      </c>
      <c r="N43">
        <f>('分行业工业增加值（当年人民币）'!N43*汇率!$N$2)*100000000</f>
        <v>426343342979.53</v>
      </c>
      <c r="O43">
        <f>('分行业工业增加值（当年人民币）'!O43*汇率!$O$2)*100000000</f>
        <v>446378249741.993</v>
      </c>
      <c r="P43">
        <f>('分行业工业增加值（当年人民币）'!P43*汇率!$P$2)*100000000</f>
        <v>466683369275.105</v>
      </c>
      <c r="Q43">
        <f>('分行业工业增加值（当年人民币）'!Q43*汇率!$Q$2)*100000000</f>
        <v>487145349005.399</v>
      </c>
      <c r="R43">
        <f>('分行业工业增加值（当年人民币）'!R43*汇率!$R$2)*100000000</f>
        <v>507659855977.69</v>
      </c>
      <c r="S43">
        <f>('分行业工业增加值（当年人民币）'!S43*汇率!$S$2)*100000000</f>
        <v>528384315638.473</v>
      </c>
      <c r="T43">
        <f>('分行业工业增加值（当年人民币）'!T43*汇率!$T$2)*100000000</f>
        <v>549185765199.498</v>
      </c>
      <c r="U43">
        <f>('分行业工业增加值（当年人民币）'!U43*汇率!$U$2)*100000000</f>
        <v>570168139173.801</v>
      </c>
      <c r="V43">
        <f>('分行业工业增加值（当年人民币）'!V43*汇率!$V$2)*100000000</f>
        <v>591207272928.699</v>
      </c>
      <c r="W43">
        <f>('分行业工业增加值（当年人民币）'!W43*汇率!$W$2)*100000000</f>
        <v>612263711720.236</v>
      </c>
      <c r="X43">
        <f>('分行业工业增加值（当年人民币）'!X43*汇率!$X$2)*100000000</f>
        <v>633448076836.075</v>
      </c>
      <c r="Y43">
        <f>('分行业工业增加值（当年人民币）'!Y43*汇率!$Y$2)*100000000</f>
        <v>654692044892.416</v>
      </c>
      <c r="Z43">
        <f>('分行业工业增加值（当年人民币）'!Z43*汇率!$Z$2)*100000000</f>
        <v>675958063042.558</v>
      </c>
      <c r="AA43">
        <f>('分行业工业增加值（当年人民币）'!AA43*汇率!$AA$2)*100000000</f>
        <v>697249847488.713</v>
      </c>
      <c r="AB43">
        <f>('分行业工业增加值（当年人民币）'!AB43*汇率!$AB$2)*100000000</f>
        <v>718589343354.843</v>
      </c>
      <c r="AC43">
        <f>('分行业工业增加值（当年人民币）'!AC43*汇率!$AC$2)*100000000</f>
        <v>740009534127.534</v>
      </c>
      <c r="AD43">
        <f>('分行业工业增加值（当年人民币）'!AD43*汇率!$AD$2)*100000000</f>
        <v>761444185730.967</v>
      </c>
      <c r="AE43">
        <f>('分行业工业增加值（当年人民币）'!AE43*汇率!$AE$2)*100000000</f>
        <v>782869464645.18</v>
      </c>
      <c r="AF43">
        <f>('分行业工业增加值（当年人民币）'!AF43*汇率!$AF$2)*100000000</f>
        <v>804450416664.939</v>
      </c>
      <c r="AG43">
        <f>('分行业工业增加值（当年人民币）'!AG43*汇率!$AG$2)*100000000</f>
        <v>826035041736.07</v>
      </c>
      <c r="AH43">
        <f>('分行业工业增加值（当年人民币）'!AH43*汇率!$AH$2)*100000000</f>
        <v>847715544502.722</v>
      </c>
      <c r="AI43">
        <f>('分行业工业增加值（当年人民币）'!AI43*汇率!$AI$2)*100000000</f>
        <v>869502571890.895</v>
      </c>
      <c r="AJ43">
        <f>('分行业工业增加值（当年人民币）'!AJ43*汇率!$AJ$2)*100000000</f>
        <v>891349406638.822</v>
      </c>
      <c r="AK43">
        <f>('分行业工业增加值（当年人民币）'!AK43*汇率!$AK$2)*100000000</f>
        <v>913377877577.301</v>
      </c>
      <c r="AL43">
        <f>('分行业工业增加值（当年人民币）'!AL43*汇率!$AL$2)*100000000</f>
        <v>935583757465.09</v>
      </c>
      <c r="AM43">
        <f>('分行业工业增加值（当年人民币）'!AM43*汇率!$AM$2)*100000000</f>
        <v>957992653211.442</v>
      </c>
      <c r="AN43">
        <f>('分行业工业增加值（当年人民币）'!AN43*汇率!$AN$2)*100000000</f>
        <v>980666404206.073</v>
      </c>
      <c r="AO43">
        <f>('分行业工业增加值（当年人民币）'!AO43*汇率!$AO$2)*100000000</f>
        <v>1003597015384.25</v>
      </c>
      <c r="AP43">
        <f>('分行业工业增加值（当年人民币）'!AP43*汇率!$AP$2)*100000000</f>
        <v>1026906879674.02</v>
      </c>
      <c r="AQ43">
        <f>('分行业工业增加值（当年人民币）'!AQ43*汇率!$AQ$2)*100000000</f>
        <v>1050618001507.42</v>
      </c>
    </row>
    <row r="44" spans="1:43">
      <c r="A44" s="97" t="s">
        <v>8</v>
      </c>
      <c r="B44">
        <f>('分行业工业增加值（当年人民币）'!B44*汇率!$B$2)*100000000</f>
        <v>1062266415401.56</v>
      </c>
      <c r="C44">
        <f>('分行业工业增加值（当年人民币）'!C44*汇率!$C$2)*100000000</f>
        <v>1160126796618.74</v>
      </c>
      <c r="D44">
        <f>('分行业工业增加值（当年人民币）'!D44*汇率!$D$2)*100000000</f>
        <v>1226777322244.41</v>
      </c>
      <c r="E44">
        <f>('分行业工业增加值（当年人民币）'!E44*汇率!$E$2)*100000000</f>
        <v>1330135713131.26</v>
      </c>
      <c r="F44">
        <f>('分行业工业增加值（当年人民币）'!F44*汇率!$F$2)*100000000</f>
        <v>1437178713577.14</v>
      </c>
      <c r="G44">
        <f>('分行业工业增加值（当年人民币）'!G44*汇率!$G$2)*100000000</f>
        <v>1546656486642.12</v>
      </c>
      <c r="H44">
        <f>('分行业工业增加值（当年人民币）'!H44*汇率!$H$2)*100000000</f>
        <v>1659867365912.85</v>
      </c>
      <c r="I44">
        <f>('分行业工业增加值（当年人民币）'!I44*汇率!$I$2)*100000000</f>
        <v>1775749245688.57</v>
      </c>
      <c r="J44">
        <f>('分行业工业增加值（当年人民币）'!J44*汇率!$J$2)*100000000</f>
        <v>1894149435713.45</v>
      </c>
      <c r="K44">
        <f>('分行业工业增加值（当年人民币）'!K44*汇率!$K$2)*100000000</f>
        <v>2016014222130.28</v>
      </c>
      <c r="L44">
        <f>('分行业工业增加值（当年人民币）'!L44*汇率!$L$2)*100000000</f>
        <v>2139845284604.64</v>
      </c>
      <c r="M44">
        <f>('分行业工业增加值（当年人民币）'!M44*汇率!$M$2)*100000000</f>
        <v>2266259599162.31</v>
      </c>
      <c r="N44">
        <f>('分行业工业增加值（当年人民币）'!N44*汇率!$N$2)*100000000</f>
        <v>2395440202777.02</v>
      </c>
      <c r="O44">
        <f>('分行业工业增加值（当年人民币）'!O44*汇率!$O$2)*100000000</f>
        <v>2526462424540.86</v>
      </c>
      <c r="P44">
        <f>('分行业工业增加值（当年人民币）'!P44*汇率!$P$2)*100000000</f>
        <v>2660134590506.71</v>
      </c>
      <c r="Q44">
        <f>('分行业工业增加值（当年人民币）'!Q44*汇率!$Q$2)*100000000</f>
        <v>2796019254903.14</v>
      </c>
      <c r="R44">
        <f>('分行业工业增加值（当年人民币）'!R44*汇率!$R$2)*100000000</f>
        <v>2933497544851.94</v>
      </c>
      <c r="S44">
        <f>('分行业工业增加值（当年人民币）'!S44*汇率!$S$2)*100000000</f>
        <v>3073869082243.86</v>
      </c>
      <c r="T44">
        <f>('分行业工业增加值（当年人民币）'!T44*汇率!$T$2)*100000000</f>
        <v>3215835321793.6</v>
      </c>
      <c r="U44">
        <f>('分行业工业增加值（当年人民币）'!U44*汇率!$U$2)*100000000</f>
        <v>3360240127633.11</v>
      </c>
      <c r="V44">
        <f>('分行业工业增加值（当年人民币）'!V44*汇率!$V$2)*100000000</f>
        <v>3506692944742.19</v>
      </c>
      <c r="W44">
        <f>('分行业工业增加值（当年人民币）'!W44*汇率!$W$2)*100000000</f>
        <v>3654700320921.93</v>
      </c>
      <c r="X44">
        <f>('分行业工业增加值（当年人民币）'!X44*汇率!$X$2)*100000000</f>
        <v>3805049347075.2</v>
      </c>
      <c r="Y44">
        <f>('分行业工业增加值（当年人民币）'!Y44*汇率!$Y$2)*100000000</f>
        <v>3957474042027.68</v>
      </c>
      <c r="Z44">
        <f>('分行业工业增加值（当年人民币）'!Z44*汇率!$Z$2)*100000000</f>
        <v>4111614783294.73</v>
      </c>
      <c r="AA44">
        <f>('分行业工业增加值（当年人民币）'!AA44*汇率!$AA$2)*100000000</f>
        <v>4267890569288.54</v>
      </c>
      <c r="AB44">
        <f>('分行业工业增加值（当年人民币）'!AB44*汇率!$AB$2)*100000000</f>
        <v>4426067131129.25</v>
      </c>
      <c r="AC44">
        <f>('分行业工业增加值（当年人民币）'!AC44*汇率!$AC$2)*100000000</f>
        <v>4586530680196.51</v>
      </c>
      <c r="AD44">
        <f>('分行业工业增加值（当年人民币）'!AD44*汇率!$AD$2)*100000000</f>
        <v>4748704905377.8</v>
      </c>
      <c r="AE44">
        <f>('分行业工业增加值（当年人民币）'!AE44*汇率!$AE$2)*100000000</f>
        <v>4912487669432.24</v>
      </c>
      <c r="AF44">
        <f>('分行业工业增加值（当年人民币）'!AF44*汇率!$AF$2)*100000000</f>
        <v>5079020416572.15</v>
      </c>
      <c r="AG44">
        <f>('分行业工业增加值（当年人民币）'!AG44*汇率!$AG$2)*100000000</f>
        <v>5246949654543.22</v>
      </c>
      <c r="AH44">
        <f>('分行业工业增加值（当年人民币）'!AH44*汇率!$AH$2)*100000000</f>
        <v>5416840882115.31</v>
      </c>
      <c r="AI44">
        <f>('分行业工业增加值（当年人民币）'!AI44*汇率!$AI$2)*100000000</f>
        <v>5588706283704.8</v>
      </c>
      <c r="AJ44">
        <f>('分行业工业增加值（当年人民币）'!AJ44*汇率!$AJ$2)*100000000</f>
        <v>5762007522971.76</v>
      </c>
      <c r="AK44">
        <f>('分行业工业增加值（当年人民币）'!AK44*汇率!$AK$2)*100000000</f>
        <v>5937582496673.71</v>
      </c>
      <c r="AL44">
        <f>('分行业工业增加值（当年人民币）'!AL44*汇率!$AL$2)*100000000</f>
        <v>6114684508887.93</v>
      </c>
      <c r="AM44">
        <f>('分行业工业增加值（当年人民币）'!AM44*汇率!$AM$2)*100000000</f>
        <v>6293389478631.89</v>
      </c>
      <c r="AN44">
        <f>('分行业工业增加值（当年人民币）'!AN44*汇率!$AN$2)*100000000</f>
        <v>6473788948981.54</v>
      </c>
      <c r="AO44">
        <f>('分行业工业增加值（当年人民币）'!AO44*汇率!$AO$2)*100000000</f>
        <v>6655430436172.82</v>
      </c>
      <c r="AP44">
        <f>('分行业工业增加值（当年人民币）'!AP44*汇率!$AP$2)*100000000</f>
        <v>6838927523639.15</v>
      </c>
      <c r="AQ44">
        <f>('分行业工业增加值（当年人民币）'!AQ44*汇率!$AQ$2)*100000000</f>
        <v>7023309229589.33</v>
      </c>
    </row>
    <row r="45" spans="1:43">
      <c r="A45" s="97" t="s">
        <v>9</v>
      </c>
      <c r="B45">
        <f>('分行业工业增加值（当年人民币）'!B45*汇率!$B$2)*100000000</f>
        <v>961773724575.542</v>
      </c>
      <c r="C45">
        <f>('分行业工业增加值（当年人民币）'!C45*汇率!$C$2)*100000000</f>
        <v>1026154144746.35</v>
      </c>
      <c r="D45">
        <f>('分行业工业增加值（当年人民币）'!D45*汇率!$D$2)*100000000</f>
        <v>1044049414403.83</v>
      </c>
      <c r="E45">
        <f>('分行业工业增加值（当年人民币）'!E45*汇率!$E$2)*100000000</f>
        <v>1102072478800.81</v>
      </c>
      <c r="F45">
        <f>('分行业工业增加值（当年人民币）'!F45*汇率!$F$2)*100000000</f>
        <v>1160584722796.16</v>
      </c>
      <c r="G45">
        <f>('分行业工业增加值（当年人民币）'!G45*汇率!$G$2)*100000000</f>
        <v>1219064686732.16</v>
      </c>
      <c r="H45">
        <f>('分行业工业增加值（当年人民币）'!H45*汇率!$H$2)*100000000</f>
        <v>1278302141818.25</v>
      </c>
      <c r="I45">
        <f>('分行业工业增加值（当年人民币）'!I45*汇率!$I$2)*100000000</f>
        <v>1337662737012.5</v>
      </c>
      <c r="J45">
        <f>('分行业工业增加值（当年人民币）'!J45*汇率!$J$2)*100000000</f>
        <v>1397098611243.4</v>
      </c>
      <c r="K45">
        <f>('分行业工业增加值（当年人民币）'!K45*汇率!$K$2)*100000000</f>
        <v>1456897967166.39</v>
      </c>
      <c r="L45">
        <f>('分行业工业增加值（当年人民币）'!L45*汇率!$L$2)*100000000</f>
        <v>1516498784715.45</v>
      </c>
      <c r="M45">
        <f>('分行业工业增加值（当年人民币）'!M45*汇率!$M$2)*100000000</f>
        <v>1576207589989.98</v>
      </c>
      <c r="N45">
        <f>('分行业工业增加值（当年人民币）'!N45*汇率!$N$2)*100000000</f>
        <v>1635982112238.1</v>
      </c>
      <c r="O45">
        <f>('分行业工业增加值（当年人民币）'!O45*汇率!$O$2)*100000000</f>
        <v>1695417066379.95</v>
      </c>
      <c r="P45">
        <f>('分行业工业增加值（当年人民币）'!P45*汇率!$P$2)*100000000</f>
        <v>1754897995081.81</v>
      </c>
      <c r="Q45">
        <f>('分行业工业增加值（当年人民币）'!Q45*汇率!$Q$2)*100000000</f>
        <v>1814141726737.08</v>
      </c>
      <c r="R45">
        <f>('分行业工业增加值（当年人民币）'!R45*汇率!$R$2)*100000000</f>
        <v>1872986835871.81</v>
      </c>
      <c r="S45">
        <f>('分行业工业增加值（当年人民币）'!S45*汇率!$S$2)*100000000</f>
        <v>1931798498702.41</v>
      </c>
      <c r="T45">
        <f>('分行业工业增加值（当年人民币）'!T45*汇率!$T$2)*100000000</f>
        <v>1990126406027.41</v>
      </c>
      <c r="U45">
        <f>('分行业工业增加值（当年人民币）'!U45*汇率!$U$2)*100000000</f>
        <v>2048338918097.81</v>
      </c>
      <c r="V45">
        <f>('分行业工业增加值（当年人民币）'!V45*汇率!$V$2)*100000000</f>
        <v>2106221463089.85</v>
      </c>
      <c r="W45">
        <f>('分行业工业增加值（当年人民币）'!W45*汇率!$W$2)*100000000</f>
        <v>2163520257379.96</v>
      </c>
      <c r="X45">
        <f>('分行业工业增加值（当年人民币）'!X45*汇率!$X$2)*100000000</f>
        <v>2220608067749.71</v>
      </c>
      <c r="Y45">
        <f>('分行业工业增加值（当年人民币）'!Y45*汇率!$Y$2)*100000000</f>
        <v>2277324111362.71</v>
      </c>
      <c r="Z45">
        <f>('分行业工业增加值（当年人民币）'!Z45*汇率!$Z$2)*100000000</f>
        <v>2333574502615.82</v>
      </c>
      <c r="AA45">
        <f>('分行业工业增加值（当年人民币）'!AA45*汇率!$AA$2)*100000000</f>
        <v>2389402355300.99</v>
      </c>
      <c r="AB45">
        <f>('分行业工业增加值（当年人民币）'!AB45*汇率!$AB$2)*100000000</f>
        <v>2444862011734.66</v>
      </c>
      <c r="AC45">
        <f>('分行业工业增加值（当年人民币）'!AC45*汇率!$AC$2)*100000000</f>
        <v>2500032145386.92</v>
      </c>
      <c r="AD45">
        <f>('分行业工业增加值（当年人民币）'!AD45*汇率!$AD$2)*100000000</f>
        <v>2554656448377.36</v>
      </c>
      <c r="AE45">
        <f>('分行业工业增加值（当年人民币）'!AE45*汇率!$AE$2)*100000000</f>
        <v>2608869026737.56</v>
      </c>
      <c r="AF45">
        <f>('分行业工业增加值（当年人民币）'!AF45*汇率!$AF$2)*100000000</f>
        <v>2662987623796.62</v>
      </c>
      <c r="AG45">
        <f>('分行业工业增加值（当年人民币）'!AG45*汇率!$AG$2)*100000000</f>
        <v>2716597310059.71</v>
      </c>
      <c r="AH45">
        <f>('分行业工业增加值（当年人民币）'!AH45*汇率!$AH$2)*100000000</f>
        <v>2769941939906.03</v>
      </c>
      <c r="AI45">
        <f>('分行业工业增加值（当年人民币）'!AI45*汇率!$AI$2)*100000000</f>
        <v>2823087062994.9</v>
      </c>
      <c r="AJ45">
        <f>('分行业工业增加值（当年人民币）'!AJ45*汇率!$AJ$2)*100000000</f>
        <v>2875911437779.65</v>
      </c>
      <c r="AK45">
        <f>('分行业工业增加值（当年人民币）'!AK45*汇率!$AK$2)*100000000</f>
        <v>2928707870159.28</v>
      </c>
      <c r="AL45">
        <f>('分行业工业增加值（当年人民币）'!AL45*汇率!$AL$2)*100000000</f>
        <v>2981406532018.91</v>
      </c>
      <c r="AM45">
        <f>('分行业工业增加值（当年人民币）'!AM45*汇率!$AM$2)*100000000</f>
        <v>3034100856003.69</v>
      </c>
      <c r="AN45">
        <f>('分行业工业增加值（当年人民币）'!AN45*汇率!$AN$2)*100000000</f>
        <v>3086920617787.18</v>
      </c>
      <c r="AO45">
        <f>('分行业工业增加值（当年人民币）'!AO45*汇率!$AO$2)*100000000</f>
        <v>3139847657385.68</v>
      </c>
      <c r="AP45">
        <f>('分行业工业增加值（当年人民币）'!AP45*汇率!$AP$2)*100000000</f>
        <v>3193115317300.1</v>
      </c>
      <c r="AQ45">
        <f>('分行业工业增加值（当年人民币）'!AQ45*汇率!$AQ$2)*100000000</f>
        <v>3246722401058.18</v>
      </c>
    </row>
    <row r="46" spans="1:43">
      <c r="A46" s="105" t="s">
        <v>37</v>
      </c>
      <c r="B46">
        <f>('分行业工业增加值（当年人民币）'!B46*汇率!$B$2)*100000000</f>
        <v>468641288027.1</v>
      </c>
      <c r="C46">
        <f>('分行业工业增加值（当年人民币）'!C46*汇率!$C$2)*100000000</f>
        <v>622251924791.866</v>
      </c>
      <c r="D46">
        <f>('分行业工业增加值（当年人民币）'!D46*汇率!$D$2)*100000000</f>
        <v>582790015486.191</v>
      </c>
      <c r="E46">
        <f>('分行业工业增加值（当年人民币）'!E46*汇率!$E$2)*100000000</f>
        <v>634767401867.327</v>
      </c>
      <c r="F46">
        <f>('分行业工业增加值（当年人民币）'!F46*汇率!$F$2)*100000000</f>
        <v>687638661018.326</v>
      </c>
      <c r="G46">
        <f>('分行业工业增加值（当年人民币）'!G46*汇率!$G$2)*100000000</f>
        <v>740622264799.021</v>
      </c>
      <c r="H46">
        <f>('分行业工业增加值（当年人民币）'!H46*汇率!$H$2)*100000000</f>
        <v>794610839359.758</v>
      </c>
      <c r="I46">
        <f>('分行业工业增加值（当年人民币）'!I46*汇率!$I$2)*100000000</f>
        <v>848658667393.861</v>
      </c>
      <c r="J46">
        <f>('分行业工业增加值（当年人民币）'!J46*汇率!$J$2)*100000000</f>
        <v>902725625828.244</v>
      </c>
      <c r="K46">
        <f>('分行业工业增加值（当年人民币）'!K46*汇率!$K$2)*100000000</f>
        <v>956993022995.287</v>
      </c>
      <c r="L46">
        <f>('分行业工业增加值（当年人民币）'!L46*汇率!$L$2)*100000000</f>
        <v>1010747846292</v>
      </c>
      <c r="M46">
        <f>('分行业工业增加值（当年人民币）'!M46*汇率!$M$2)*100000000</f>
        <v>1064294849516.28</v>
      </c>
      <c r="N46">
        <f>('分行业工业增加值（当年人民币）'!N46*汇率!$N$2)*100000000</f>
        <v>1117489243820.76</v>
      </c>
      <c r="O46">
        <f>('分行业工业增加值（当年人民币）'!O46*汇率!$O$2)*100000000</f>
        <v>1169923392716.36</v>
      </c>
      <c r="P46">
        <f>('分行业工业增加值（当年人民币）'!P46*汇率!$P$2)*100000000</f>
        <v>1221951988571.53</v>
      </c>
      <c r="Q46">
        <f>('分行业工业增加值（当年人民币）'!Q46*汇率!$Q$2)*100000000</f>
        <v>1273268476334.84</v>
      </c>
      <c r="R46">
        <f>('分行业工业增加值（当年人民币）'!R46*汇率!$R$2)*100000000</f>
        <v>1323587278553.53</v>
      </c>
      <c r="S46">
        <f>('分行业工业增加值（当年人民币）'!S46*汇率!$S$2)*100000000</f>
        <v>1373361046962.84</v>
      </c>
      <c r="T46">
        <f>('分行业工业增加值（当年人民币）'!T46*汇率!$T$2)*100000000</f>
        <v>1422065397571.63</v>
      </c>
      <c r="U46">
        <f>('分行业工业增加值（当年人民币）'!U46*汇率!$U$2)*100000000</f>
        <v>1470113789142.23</v>
      </c>
      <c r="V46">
        <f>('分行业工业增加值（当年人民币）'!V46*汇率!$V$2)*100000000</f>
        <v>1517140113670.11</v>
      </c>
      <c r="W46">
        <f>('分行业工业增加值（当年人民币）'!W46*汇率!$W$2)*100000000</f>
        <v>1563039512804.77</v>
      </c>
      <c r="X46">
        <f>('分行业工业增加值（当年人民币）'!X46*汇率!$X$2)*100000000</f>
        <v>1608114960067.01</v>
      </c>
      <c r="Y46">
        <f>('分行业工业增加值（当年人民币）'!Y46*汇率!$Y$2)*100000000</f>
        <v>1652195635246.34</v>
      </c>
      <c r="Z46">
        <f>('分行业工业增加值（当年人民币）'!Z46*汇率!$Z$2)*100000000</f>
        <v>1695184480008.14</v>
      </c>
      <c r="AA46">
        <f>('分行业工业增加值（当年人民币）'!AA46*汇率!$AA$2)*100000000</f>
        <v>1737122932873.46</v>
      </c>
      <c r="AB46">
        <f>('分行业工业增加值（当年人民币）'!AB46*汇率!$AB$2)*100000000</f>
        <v>1778030636897.31</v>
      </c>
      <c r="AC46">
        <f>('分行业工业增加值（当年人民币）'!AC46*汇率!$AC$2)*100000000</f>
        <v>1817985195527.16</v>
      </c>
      <c r="AD46">
        <f>('分行业工业增加值（当年人民币）'!AD46*汇率!$AD$2)*100000000</f>
        <v>1856783430495.29</v>
      </c>
      <c r="AE46">
        <f>('分行业工业增加值（当年人民币）'!AE46*汇率!$AE$2)*100000000</f>
        <v>1894420030690.71</v>
      </c>
      <c r="AF46">
        <f>('分行业工业增加值（当年人民币）'!AF46*汇率!$AF$2)*100000000</f>
        <v>1931240890401.77</v>
      </c>
      <c r="AG46">
        <f>('分行业工业增加值（当年人民币）'!AG46*汇率!$AG$2)*100000000</f>
        <v>1966816879071.1</v>
      </c>
      <c r="AH46">
        <f>('分行业工业增加值（当年人民币）'!AH46*汇率!$AH$2)*100000000</f>
        <v>2001374428453.51</v>
      </c>
      <c r="AI46">
        <f>('分行业工业增加值（当年人民币）'!AI46*汇率!$AI$2)*100000000</f>
        <v>2034879214233.89</v>
      </c>
      <c r="AJ46">
        <f>('分行业工业增加值（当年人民币）'!AJ46*汇率!$AJ$2)*100000000</f>
        <v>2067208514090.65</v>
      </c>
      <c r="AK46">
        <f>('分行业工业增加值（当年人民币）'!AK46*汇率!$AK$2)*100000000</f>
        <v>2098583824653.58</v>
      </c>
      <c r="AL46">
        <f>('分行业工业增加值（当年人民币）'!AL46*汇率!$AL$2)*100000000</f>
        <v>2128895797639.63</v>
      </c>
      <c r="AM46">
        <f>('分行业工业增加值（当年人民币）'!AM46*汇率!$AM$2)*100000000</f>
        <v>2158122993234.9</v>
      </c>
      <c r="AN46">
        <f>('分行业工业增加值（当年人民币）'!AN46*汇率!$AN$2)*100000000</f>
        <v>2186295952233.84</v>
      </c>
      <c r="AO46">
        <f>('分行业工业增加值（当年人民币）'!AO46*汇率!$AO$2)*100000000</f>
        <v>2213387576685.41</v>
      </c>
      <c r="AP46">
        <f>('分行业工业增加值（当年人民币）'!AP46*汇率!$AP$2)*100000000</f>
        <v>2239489241436.15</v>
      </c>
      <c r="AQ46">
        <f>('分行业工业增加值（当年人民币）'!AQ46*汇率!$AQ$2)*100000000</f>
        <v>2264482818002.48</v>
      </c>
    </row>
    <row r="47" spans="1:43">
      <c r="A47" s="105" t="s">
        <v>38</v>
      </c>
      <c r="B47">
        <f>('分行业工业增加值（当年人民币）'!B47*汇率!$B$2)*100000000</f>
        <v>552238844296.406</v>
      </c>
      <c r="C47">
        <f>('分行业工业增加值（当年人民币）'!C47*汇率!$C$2)*100000000</f>
        <v>769269175054.394</v>
      </c>
      <c r="D47">
        <f>('分行业工业增加值（当年人民币）'!D47*汇率!$D$2)*100000000</f>
        <v>745937728759.922</v>
      </c>
      <c r="E47">
        <f>('分行业工业增加值（当年人民币）'!E47*汇率!$E$2)*100000000</f>
        <v>810257512468.129</v>
      </c>
      <c r="F47">
        <f>('分行业工业增加值（当年人民币）'!F47*汇率!$F$2)*100000000</f>
        <v>876635300744.858</v>
      </c>
      <c r="G47">
        <f>('分行业工业增加值（当年人民币）'!G47*汇率!$G$2)*100000000</f>
        <v>943761794733.335</v>
      </c>
      <c r="H47">
        <f>('分行业工业增加值（当年人民币）'!H47*汇率!$H$2)*100000000</f>
        <v>1012523923609.14</v>
      </c>
      <c r="I47">
        <f>('分行业工业增加值（当年人民币）'!I47*汇率!$I$2)*100000000</f>
        <v>1081953783122.71</v>
      </c>
      <c r="J47">
        <f>('分行业工业增加值（当年人民币）'!J47*汇率!$J$2)*100000000</f>
        <v>1151590016337.6</v>
      </c>
      <c r="K47">
        <f>('分行业工业增加值（当年人民币）'!K47*汇率!$K$2)*100000000</f>
        <v>1222229965841.73</v>
      </c>
      <c r="L47">
        <f>('分行业工业增加值（当年人民币）'!L47*汇率!$L$2)*100000000</f>
        <v>1292467375878.55</v>
      </c>
      <c r="M47">
        <f>('分行业工业增加值（当年人民币）'!M47*汇率!$M$2)*100000000</f>
        <v>1362592917429.09</v>
      </c>
      <c r="N47">
        <f>('分行业工业增加值（当年人民币）'!N47*汇率!$N$2)*100000000</f>
        <v>1432701798793.85</v>
      </c>
      <c r="O47">
        <f>('分行业工业增加值（当年人民币）'!O47*汇率!$O$2)*100000000</f>
        <v>1501869054455.48</v>
      </c>
      <c r="P47">
        <f>('分行业工业增加值（当年人民币）'!P47*汇率!$P$2)*100000000</f>
        <v>1570779901700.37</v>
      </c>
      <c r="Q47">
        <f>('分行业工业增加值（当年人民币）'!Q47*汇率!$Q$2)*100000000</f>
        <v>1638829402422.53</v>
      </c>
      <c r="R47">
        <f>('分行业工业增加值（当年人民币）'!R47*汇率!$R$2)*100000000</f>
        <v>1705485500890.22</v>
      </c>
      <c r="S47">
        <f>('分行业工业增加值（当年人民币）'!S47*汇率!$S$2)*100000000</f>
        <v>1771697112086.71</v>
      </c>
      <c r="T47">
        <f>('分行业工业增加值（当年人民币）'!T47*汇率!$T$2)*100000000</f>
        <v>1836500709844.31</v>
      </c>
      <c r="U47">
        <f>('分行业工业增加值（当年人民币）'!U47*汇率!$U$2)*100000000</f>
        <v>1900387391362.68</v>
      </c>
      <c r="V47">
        <f>('分行业工业增加值（当年人民币）'!V47*汇率!$V$2)*100000000</f>
        <v>1963046558107.35</v>
      </c>
      <c r="W47">
        <f>('分行业工业增加值（当年人民币）'!W47*汇率!$W$2)*100000000</f>
        <v>2024040383986.42</v>
      </c>
      <c r="X47">
        <f>('分行业工业增加值（当年人民币）'!X47*汇率!$X$2)*100000000</f>
        <v>2084017370726.41</v>
      </c>
      <c r="Y47">
        <f>('分行业工业增加值（当年人民币）'!Y47*汇率!$Y$2)*100000000</f>
        <v>2142631863774.03</v>
      </c>
      <c r="Z47">
        <f>('分行业工业增加值（当年人民币）'!Z47*汇率!$Z$2)*100000000</f>
        <v>2199776084507.1</v>
      </c>
      <c r="AA47">
        <f>('分行业工业增加值（当年人民币）'!AA47*汇率!$AA$2)*100000000</f>
        <v>2255528590373.19</v>
      </c>
      <c r="AB47">
        <f>('分行业工业增加值（当年人民币）'!AB47*汇率!$AB$2)*100000000</f>
        <v>2309843536986.02</v>
      </c>
      <c r="AC47">
        <f>('分行业工业增加值（当年人民币）'!AC47*汇率!$AC$2)*100000000</f>
        <v>2362840634064.43</v>
      </c>
      <c r="AD47">
        <f>('分行业工业增加值（当年人民币）'!AD47*汇率!$AD$2)*100000000</f>
        <v>2414338732335.03</v>
      </c>
      <c r="AE47">
        <f>('分行业工业增加值（当年人民币）'!AE47*汇率!$AE$2)*100000000</f>
        <v>2464221302260.19</v>
      </c>
      <c r="AF47">
        <f>('分行业工业增加值（当年人民币）'!AF47*汇率!$AF$2)*100000000</f>
        <v>2513071333356.85</v>
      </c>
      <c r="AG47">
        <f>('分行业工业增加值（当年人民币）'!AG47*汇率!$AG$2)*100000000</f>
        <v>2560341731409.73</v>
      </c>
      <c r="AH47">
        <f>('分行业工业增加值（当年人民币）'!AH47*汇率!$AH$2)*100000000</f>
        <v>2606300533907.75</v>
      </c>
      <c r="AI47">
        <f>('分行业工业增加值（当年人民币）'!AI47*汇率!$AI$2)*100000000</f>
        <v>2650893965498.18</v>
      </c>
      <c r="AJ47">
        <f>('分行业工业增加值（当年人民币）'!AJ47*汇率!$AJ$2)*100000000</f>
        <v>2694018907048.75</v>
      </c>
      <c r="AK47">
        <f>('分行业工业增加值（当年人民币）'!AK47*汇率!$AK$2)*100000000</f>
        <v>2736168868059.43</v>
      </c>
      <c r="AL47">
        <f>('分行业工业增加值（当年人民币）'!AL47*汇率!$AL$2)*100000000</f>
        <v>2776965411609.85</v>
      </c>
      <c r="AM47">
        <f>('分行业工业增加值（当年人民币）'!AM47*汇率!$AM$2)*100000000</f>
        <v>2816632848822.2</v>
      </c>
      <c r="AN47">
        <f>('分行业工业增加值（当年人民币）'!AN47*汇率!$AN$2)*100000000</f>
        <v>2855240064084.26</v>
      </c>
      <c r="AO47">
        <f>('分行业工业增加值（当年人民币）'!AO47*汇率!$AO$2)*100000000</f>
        <v>2892595804649.94</v>
      </c>
      <c r="AP47">
        <f>('分行业工业增加值（当年人民币）'!AP47*汇率!$AP$2)*100000000</f>
        <v>2929126131994.32</v>
      </c>
      <c r="AQ47">
        <f>('分行业工业增加值（当年人民币）'!AQ47*汇率!$AQ$2)*100000000</f>
        <v>2964685267495.55</v>
      </c>
    </row>
    <row r="48" spans="1:43">
      <c r="A48" s="105" t="s">
        <v>39</v>
      </c>
      <c r="B48">
        <f>('分行业工业增加值（当年人民币）'!B48*汇率!$B$2)*100000000</f>
        <v>365915528283.368</v>
      </c>
      <c r="C48">
        <f>('分行业工业增加值（当年人民币）'!C48*汇率!$C$2)*100000000</f>
        <v>515573265184.648</v>
      </c>
      <c r="D48">
        <f>('分行业工业增加值（当年人民币）'!D48*汇率!$D$2)*100000000</f>
        <v>522551506611.473</v>
      </c>
      <c r="E48">
        <f>('分行业工业增加值（当年人民币）'!E48*汇率!$E$2)*100000000</f>
        <v>570447010566.913</v>
      </c>
      <c r="F48">
        <f>('分行业工业增加值（当年人民币）'!F48*汇率!$F$2)*100000000</f>
        <v>619320721110.863</v>
      </c>
      <c r="G48">
        <f>('分行业工业增加值（当年人民币）'!G48*汇率!$G$2)*100000000</f>
        <v>668342415387.983</v>
      </c>
      <c r="H48">
        <f>('分行业工业增加值（当年人民币）'!H48*汇率!$H$2)*100000000</f>
        <v>718420456020.001</v>
      </c>
      <c r="I48">
        <f>('分行业工业增加值（当年人民币）'!I48*汇率!$I$2)*100000000</f>
        <v>768386754844.803</v>
      </c>
      <c r="J48">
        <f>('分行业工业增加值（当年人民币）'!J48*汇率!$J$2)*100000000</f>
        <v>818369905775.846</v>
      </c>
      <c r="K48">
        <f>('分行业工业增加值（当年人民币）'!K48*汇率!$K$2)*100000000</f>
        <v>868681374072.326</v>
      </c>
      <c r="L48">
        <f>('分行业工业增加值（当年人民币）'!L48*汇率!$L$2)*100000000</f>
        <v>918538188346.072</v>
      </c>
      <c r="M48">
        <f>('分行业工业增加值（当年人民币）'!M48*汇率!$M$2)*100000000</f>
        <v>968139990468.53</v>
      </c>
      <c r="N48">
        <f>('分行业工业增加值（当年人民币）'!N48*汇率!$N$2)*100000000</f>
        <v>1017484617573.08</v>
      </c>
      <c r="O48">
        <f>('分行业工业增加值（当年人民币）'!O48*汇率!$O$2)*100000000</f>
        <v>1066287445028.99</v>
      </c>
      <c r="P48">
        <f>('分行业工业增加值（当年人民币）'!P48*汇率!$P$2)*100000000</f>
        <v>1114765945691.61</v>
      </c>
      <c r="Q48">
        <f>('分行业工业增加值（当年人民币）'!Q48*汇率!$Q$2)*100000000</f>
        <v>1162458406104.8</v>
      </c>
      <c r="R48">
        <f>('分行业工业增加值（当年人民币）'!R48*汇率!$R$2)*100000000</f>
        <v>1209312145944.87</v>
      </c>
      <c r="S48">
        <f>('分行业工业增加值（当年人民币）'!S48*汇率!$S$2)*100000000</f>
        <v>1255841568852.43</v>
      </c>
      <c r="T48">
        <f>('分行业工业增加值（当年人民币）'!T48*汇率!$T$2)*100000000</f>
        <v>1301362120509.82</v>
      </c>
      <c r="U48">
        <f>('分行业工业增加值（当年人民币）'!U48*汇率!$U$2)*100000000</f>
        <v>1346400371844.44</v>
      </c>
      <c r="V48">
        <f>('分行业工业增加值（当年人民币）'!V48*汇率!$V$2)*100000000</f>
        <v>1390496814699.81</v>
      </c>
      <c r="W48">
        <f>('分行业工业增加值（当年人民币）'!W48*汇率!$W$2)*100000000</f>
        <v>1433725511590.82</v>
      </c>
      <c r="X48">
        <f>('分行业工业增加值（当年人民币）'!X48*汇率!$X$2)*100000000</f>
        <v>1476340840493.56</v>
      </c>
      <c r="Y48">
        <f>('分行业工业增加值（当年人民币）'!Y48*汇率!$Y$2)*100000000</f>
        <v>1518076961665.53</v>
      </c>
      <c r="Z48">
        <f>('分行业工业增加值（当年人民币）'!Z48*汇率!$Z$2)*100000000</f>
        <v>1558896202340.9</v>
      </c>
      <c r="AA48">
        <f>('分行业工业增加值（当年人民币）'!AA48*汇率!$AA$2)*100000000</f>
        <v>1598900156062.41</v>
      </c>
      <c r="AB48">
        <f>('分行业工业增加值（当年人民币）'!AB48*汇率!$AB$2)*100000000</f>
        <v>1638077836499.94</v>
      </c>
      <c r="AC48">
        <f>('分行业工业增加值（当年人民币）'!AC48*汇率!$AC$2)*100000000</f>
        <v>1676451026374.04</v>
      </c>
      <c r="AD48">
        <f>('分行业工业增加值（当年人民币）'!AD48*汇率!$AD$2)*100000000</f>
        <v>1713787039109.13</v>
      </c>
      <c r="AE48">
        <f>('分行业工业增加值（当年人民币）'!AE48*汇率!$AE$2)*100000000</f>
        <v>1750142767437.08</v>
      </c>
      <c r="AF48">
        <f>('分行业工业增加值（当年人民币）'!AF48*汇率!$AF$2)*100000000</f>
        <v>1785761142575.57</v>
      </c>
      <c r="AG48">
        <f>('分行业工业增加值（当年人民币）'!AG48*汇率!$AG$2)*100000000</f>
        <v>1820322620925.43</v>
      </c>
      <c r="AH48">
        <f>('分行业工业增加值（当年人民币）'!AH48*汇率!$AH$2)*100000000</f>
        <v>1853915489556.26</v>
      </c>
      <c r="AI48">
        <f>('分行业工业增加值（当年人民币）'!AI48*汇率!$AI$2)*100000000</f>
        <v>1886432906125.92</v>
      </c>
      <c r="AJ48">
        <f>('分行业工业增加值（当年人民币）'!AJ48*汇率!$AJ$2)*100000000</f>
        <v>1917857223450.24</v>
      </c>
      <c r="AK48">
        <f>('分行业工业增加值（当年人民币）'!AK48*汇率!$AK$2)*100000000</f>
        <v>1948357162030.26</v>
      </c>
      <c r="AL48">
        <f>('分行业工业增加值（当年人民币）'!AL48*汇率!$AL$2)*100000000</f>
        <v>1977689102646.22</v>
      </c>
      <c r="AM48">
        <f>('分行业工业增加值（当年人民币）'!AM48*汇率!$AM$2)*100000000</f>
        <v>2005843762754.29</v>
      </c>
      <c r="AN48">
        <f>('分行业工业增加值（当年人民币）'!AN48*汇率!$AN$2)*100000000</f>
        <v>2032748117862.56</v>
      </c>
      <c r="AO48">
        <f>('分行业工业增加值（当年人民币）'!AO48*汇率!$AO$2)*100000000</f>
        <v>2058372805155.24</v>
      </c>
      <c r="AP48">
        <f>('分行业工业增加值（当年人民币）'!AP48*汇率!$AP$2)*100000000</f>
        <v>2082707487444.02</v>
      </c>
      <c r="AQ48">
        <f>('分行业工业增加值（当年人民币）'!AQ48*汇率!$AQ$2)*100000000</f>
        <v>2105597467420.34</v>
      </c>
    </row>
    <row r="49" spans="1:43">
      <c r="A49" s="105" t="s">
        <v>40</v>
      </c>
      <c r="B49">
        <f>('分行业工业增加值（当年人民币）'!B49*汇率!$B$2)*100000000</f>
        <v>78360980205.3104</v>
      </c>
      <c r="C49">
        <f>('分行业工业增加值（当年人民币）'!C49*汇率!$C$2)*100000000</f>
        <v>104893997183.911</v>
      </c>
      <c r="D49">
        <f>('分行业工业增加值（当年人民币）'!D49*汇率!$D$2)*100000000</f>
        <v>97184352695.5645</v>
      </c>
      <c r="E49">
        <f>('分行业工业增加值（当年人民币）'!E49*汇率!$E$2)*100000000</f>
        <v>106339082149.463</v>
      </c>
      <c r="F49">
        <f>('分行业工业增加值（当年人民币）'!F49*汇率!$F$2)*100000000</f>
        <v>115733007725.165</v>
      </c>
      <c r="G49">
        <f>('分行业工业增加值（当年人民币）'!G49*汇率!$G$2)*100000000</f>
        <v>125233834119.83</v>
      </c>
      <c r="H49">
        <f>('分行业工业增加值（当年人民币）'!H49*汇率!$H$2)*100000000</f>
        <v>135041737277.853</v>
      </c>
      <c r="I49">
        <f>('分行业工业增加值（当年人民币）'!I49*汇率!$I$2)*100000000</f>
        <v>144891480563.409</v>
      </c>
      <c r="J49">
        <f>('分行业工业增加值（当年人民币）'!J49*汇率!$J$2)*100000000</f>
        <v>154768448311.579</v>
      </c>
      <c r="K49">
        <f>('分行业工业增加值（当年人民币）'!K49*汇率!$K$2)*100000000</f>
        <v>164784255868.763</v>
      </c>
      <c r="L49">
        <f>('分行业工业增加值（当年人民币）'!L49*汇率!$L$2)*100000000</f>
        <v>174757029653.138</v>
      </c>
      <c r="M49">
        <f>('分行业工业增加值（当年人民币）'!M49*汇率!$M$2)*100000000</f>
        <v>184777899653.926</v>
      </c>
      <c r="N49">
        <f>('分行业工业增加值（当年人民币）'!N49*汇率!$N$2)*100000000</f>
        <v>194752680394.162</v>
      </c>
      <c r="O49">
        <f>('分行业工业增加值（当年人民币）'!O49*汇率!$O$2)*100000000</f>
        <v>204606813424.863</v>
      </c>
      <c r="P49">
        <f>('分行业工业增加值（当年人民币）'!P49*汇率!$P$2)*100000000</f>
        <v>214448497243.872</v>
      </c>
      <c r="Q49">
        <f>('分行业工业增加值（当年人民币）'!Q49*汇率!$Q$2)*100000000</f>
        <v>224155970768.685</v>
      </c>
      <c r="R49">
        <f>('分行业工业增加值（当年人民币）'!R49*汇率!$R$2)*100000000</f>
        <v>233689286870.477</v>
      </c>
      <c r="S49">
        <f>('分行业工业增加值（当年人民币）'!S49*汇率!$S$2)*100000000</f>
        <v>243160558118.499</v>
      </c>
      <c r="T49">
        <f>('分行业工业增加值（当年人民币）'!T49*汇率!$T$2)*100000000</f>
        <v>252441009211.448</v>
      </c>
      <c r="U49">
        <f>('分行业工业增加值（当年人民币）'!U49*汇率!$U$2)*100000000</f>
        <v>261639324537.787</v>
      </c>
      <c r="V49">
        <f>('分行业工业增加值（当年人民币）'!V49*汇率!$V$2)*100000000</f>
        <v>270649983550.187</v>
      </c>
      <c r="W49">
        <f>('分行业工业增加值（当年人民币）'!W49*汇率!$W$2)*100000000</f>
        <v>279437725206.995</v>
      </c>
      <c r="X49">
        <f>('分行业工业增加值（当年人民币）'!X49*汇率!$X$2)*100000000</f>
        <v>288106507437.719</v>
      </c>
      <c r="Y49">
        <f>('分行业工业增加值（当年人民币）'!Y49*汇率!$Y$2)*100000000</f>
        <v>296589701635.505</v>
      </c>
      <c r="Z49">
        <f>('分行业工业增加值（当年人民币）'!Z49*汇率!$Z$2)*100000000</f>
        <v>304877642669.791</v>
      </c>
      <c r="AA49">
        <f>('分行业工业增加值（当年人民币）'!AA49*汇率!$AA$2)*100000000</f>
        <v>312969371088.264</v>
      </c>
      <c r="AB49">
        <f>('分行业工业增加值（当年人民币）'!AB49*汇率!$AB$2)*100000000</f>
        <v>320878670191.881</v>
      </c>
      <c r="AC49">
        <f>('分行业工业增加值（当年人民币）'!AC49*汇率!$AC$2)*100000000</f>
        <v>328639880994.22</v>
      </c>
      <c r="AD49">
        <f>('分行业工业增加值（当年人民币）'!AD49*汇率!$AD$2)*100000000</f>
        <v>336156837394.433</v>
      </c>
      <c r="AE49">
        <f>('分行业工业增加值（当年人民币）'!AE49*汇率!$AE$2)*100000000</f>
        <v>343455660054.714</v>
      </c>
      <c r="AF49">
        <f>('分行业工业增加值（当年人民币）'!AF49*汇率!$AF$2)*100000000</f>
        <v>350633507373.583</v>
      </c>
      <c r="AG49">
        <f>('分行业工业增加值（当年人民币）'!AG49*汇率!$AG$2)*100000000</f>
        <v>357582046680.018</v>
      </c>
      <c r="AH49">
        <f>('分行业工业增加值（当年人民币）'!AH49*汇率!$AH$2)*100000000</f>
        <v>364362566534.944</v>
      </c>
      <c r="AI49">
        <f>('分行业工业增加值（当年人民币）'!AI49*汇率!$AI$2)*100000000</f>
        <v>370955290777.858</v>
      </c>
      <c r="AJ49">
        <f>('分行业工业增加值（当年人民币）'!AJ49*汇率!$AJ$2)*100000000</f>
        <v>377337116513.346</v>
      </c>
      <c r="AK49">
        <f>('分行业工业增加值（当年人民币）'!AK49*汇率!$AK$2)*100000000</f>
        <v>383568755636.675</v>
      </c>
      <c r="AL49">
        <f>('分行业工业增加值（当年人民币）'!AL49*汇率!$AL$2)*100000000</f>
        <v>389624677928.936</v>
      </c>
      <c r="AM49">
        <f>('分行业工业增加值（当年人民币）'!AM49*汇率!$AM$2)*100000000</f>
        <v>395517261968.484</v>
      </c>
      <c r="AN49">
        <f>('分行业工业增加值（当年人民币）'!AN49*汇率!$AN$2)*100000000</f>
        <v>401238380385.982</v>
      </c>
      <c r="AO49">
        <f>('分行业工业增加值（当年人民币）'!AO49*汇率!$AO$2)*100000000</f>
        <v>406798759934.121</v>
      </c>
      <c r="AP49">
        <f>('分行业工业增加值（当年人民币）'!AP49*汇率!$AP$2)*100000000</f>
        <v>412230510838.852</v>
      </c>
      <c r="AQ49">
        <f>('分行业工业增加值（当年人民币）'!AQ49*汇率!$AQ$2)*100000000</f>
        <v>417488345939.842</v>
      </c>
    </row>
    <row r="50" spans="1:43">
      <c r="A50" s="105" t="s">
        <v>41</v>
      </c>
      <c r="B50">
        <f>('分行业工业增加值（当年人民币）'!B50*汇率!$B$2)*100000000</f>
        <v>293315215089.206</v>
      </c>
      <c r="C50">
        <f>('分行业工业增加值（当年人民币）'!C50*汇率!$C$2)*100000000</f>
        <v>403425714122.283</v>
      </c>
      <c r="D50">
        <f>('分行业工业增加值（当年人民币）'!D50*汇率!$D$2)*100000000</f>
        <v>384569584668.547</v>
      </c>
      <c r="E50">
        <f>('分行业工业增加值（当年人民币）'!E50*汇率!$E$2)*100000000</f>
        <v>420191402592.616</v>
      </c>
      <c r="F50">
        <f>('分行业工业增加值（当年人民币）'!F50*汇率!$F$2)*100000000</f>
        <v>456650989574.657</v>
      </c>
      <c r="G50">
        <f>('分行业工业增加值（当年人民币）'!G50*汇率!$G$2)*100000000</f>
        <v>493488255244.244</v>
      </c>
      <c r="H50">
        <f>('分行业工业增加值（当年人民币）'!H50*汇率!$H$2)*100000000</f>
        <v>531556024010.038</v>
      </c>
      <c r="I50">
        <f>('分行业工业增加值（当年人民币）'!I50*汇率!$I$2)*100000000</f>
        <v>569837985005.093</v>
      </c>
      <c r="J50">
        <f>('分行业工业增加值（当年人民币）'!J50*汇率!$J$2)*100000000</f>
        <v>608350275798.368</v>
      </c>
      <c r="K50">
        <f>('分行业工业增加值（当年人民币）'!K50*汇率!$K$2)*100000000</f>
        <v>647314420069.325</v>
      </c>
      <c r="L50">
        <f>('分行业工业增加值（当年人民币）'!L50*汇率!$L$2)*100000000</f>
        <v>686089894193.102</v>
      </c>
      <c r="M50">
        <f>('分行业工业增加值（当年人民币）'!M50*汇率!$M$2)*100000000</f>
        <v>725160520653.604</v>
      </c>
      <c r="N50">
        <f>('分行业工业增加值（当年人民币）'!N50*汇率!$N$2)*100000000</f>
        <v>763955425285.416</v>
      </c>
      <c r="O50">
        <f>('分行业工业增加值（当年人民币）'!O50*汇率!$O$2)*100000000</f>
        <v>802233371494.198</v>
      </c>
      <c r="P50">
        <f>('分行业工业增加值（当年人民币）'!P50*汇率!$P$2)*100000000</f>
        <v>840491309848.326</v>
      </c>
      <c r="Q50">
        <f>('分行业工业增加值（当年人民币）'!Q50*汇率!$Q$2)*100000000</f>
        <v>878179723689.076</v>
      </c>
      <c r="R50">
        <f>('分行业工业增加值（当年人民币）'!R50*汇率!$R$2)*100000000</f>
        <v>915215185093.674</v>
      </c>
      <c r="S50">
        <f>('分行业工业增加值（当年人民币）'!S50*汇率!$S$2)*100000000</f>
        <v>951948144229.706</v>
      </c>
      <c r="T50">
        <f>('分行业工业增加值（当年人民币）'!T50*汇率!$T$2)*100000000</f>
        <v>987903122487.782</v>
      </c>
      <c r="U50">
        <f>('分行业工业增加值（当年人民币）'!U50*汇率!$U$2)*100000000</f>
        <v>1023474241904.12</v>
      </c>
      <c r="V50">
        <f>('分行业工业增加值（当年人民币）'!V50*汇率!$V$2)*100000000</f>
        <v>1058270667237.72</v>
      </c>
      <c r="W50">
        <f>('分行业工业增加值（当年人民币）'!W50*汇率!$W$2)*100000000</f>
        <v>1092163227031.03</v>
      </c>
      <c r="X50">
        <f>('分行业工业增加值（当年人民币）'!X50*汇率!$X$2)*100000000</f>
        <v>1125513609763.38</v>
      </c>
      <c r="Y50">
        <f>('分行业工业增加值（当年人民币）'!Y50*汇率!$Y$2)*100000000</f>
        <v>1158072771023.26</v>
      </c>
      <c r="Z50">
        <f>('分行业工业增加值（当年人民币）'!Z50*汇率!$Z$2)*100000000</f>
        <v>1189870248550.7</v>
      </c>
      <c r="AA50">
        <f>('分行业工业增加值（当年人民币）'!AA50*汇率!$AA$2)*100000000</f>
        <v>1220786517055.5</v>
      </c>
      <c r="AB50">
        <f>('分行业工业增加值（当年人民币）'!AB50*汇率!$AB$2)*100000000</f>
        <v>1250917869099.46</v>
      </c>
      <c r="AC50">
        <f>('分行业工业增加值（当年人民币）'!AC50*汇率!$AC$2)*100000000</f>
        <v>1280463485368.61</v>
      </c>
      <c r="AD50">
        <f>('分行业工业增加值（当年人民币）'!AD50*汇率!$AD$2)*100000000</f>
        <v>1309049186389.98</v>
      </c>
      <c r="AE50">
        <f>('分行业工业增加值（当年人民币）'!AE50*汇率!$AE$2)*100000000</f>
        <v>1336755463912.71</v>
      </c>
      <c r="AF50">
        <f>('分行业工业增加值（当年人民币）'!AF50*汇率!$AF$2)*100000000</f>
        <v>1363949624700.66</v>
      </c>
      <c r="AG50">
        <f>('分行业工业增加值（当年人民币）'!AG50*汇率!$AG$2)*100000000</f>
        <v>1390228795204.72</v>
      </c>
      <c r="AH50">
        <f>('分行业工业增加值（当年人民币）'!AH50*汇率!$AH$2)*100000000</f>
        <v>1415857086646.18</v>
      </c>
      <c r="AI50">
        <f>('分行业工业增加值（当年人民币）'!AI50*汇率!$AI$2)*100000000</f>
        <v>1440802773285.7</v>
      </c>
      <c r="AJ50">
        <f>('分行业工业增加值（当年人民币）'!AJ50*汇率!$AJ$2)*100000000</f>
        <v>1464954995389.68</v>
      </c>
      <c r="AK50">
        <f>('分行业工业增加值（当年人民币）'!AK50*汇率!$AK$2)*100000000</f>
        <v>1488551602970.49</v>
      </c>
      <c r="AL50">
        <f>('分行业工业增加值（当年人民币）'!AL50*汇率!$AL$2)*100000000</f>
        <v>1511542078217.82</v>
      </c>
      <c r="AM50">
        <f>('分行业工业增加值（当年人民币）'!AM50*汇率!$AM$2)*100000000</f>
        <v>1533989327282.26</v>
      </c>
      <c r="AN50">
        <f>('分行业工业增加值（当年人民币）'!AN50*汇率!$AN$2)*100000000</f>
        <v>1555909198188.85</v>
      </c>
      <c r="AO50">
        <f>('分行业工业增加值（当年人民币）'!AO50*汇率!$AO$2)*100000000</f>
        <v>1577367307922.18</v>
      </c>
      <c r="AP50">
        <f>('分行业工业增加值（当年人民币）'!AP50*汇率!$AP$2)*100000000</f>
        <v>1598464123025.5</v>
      </c>
      <c r="AQ50">
        <f>('分行业工业增加值（当年人民币）'!AQ50*汇率!$AQ$2)*100000000</f>
        <v>1619115300097.97</v>
      </c>
    </row>
    <row r="51" spans="1:43">
      <c r="A51" s="105" t="s">
        <v>42</v>
      </c>
      <c r="B51">
        <f>('分行业工业增加值（当年人民币）'!B51*汇率!$B$2)*100000000</f>
        <v>396530442597.443</v>
      </c>
      <c r="C51">
        <f>('分行业工业增加值（当年人民币）'!C51*汇率!$C$2)*100000000</f>
        <v>515592470928.004</v>
      </c>
      <c r="D51">
        <f>('分行业工业增加值（当年人民币）'!D51*汇率!$D$2)*100000000</f>
        <v>460587362164.81</v>
      </c>
      <c r="E51">
        <f>('分行业工业增加值（当年人民币）'!E51*汇率!$E$2)*100000000</f>
        <v>501844608063.288</v>
      </c>
      <c r="F51">
        <f>('分行业工业增加值（当年人民币）'!F51*汇率!$F$2)*100000000</f>
        <v>544298945939.58</v>
      </c>
      <c r="G51">
        <f>('分行业工业增加值（当年人民币）'!G51*汇率!$G$2)*100000000</f>
        <v>587274345076.033</v>
      </c>
      <c r="H51">
        <f>('分行业工业增加值（当年人民币）'!H51*汇率!$H$2)*100000000</f>
        <v>631478882151.297</v>
      </c>
      <c r="I51">
        <f>('分行业工业增加值（当年人民币）'!I51*汇率!$I$2)*100000000</f>
        <v>675903396353.245</v>
      </c>
      <c r="J51">
        <f>('分行业工业增加值（当年人民币）'!J51*汇率!$J$2)*100000000</f>
        <v>720690396737.074</v>
      </c>
      <c r="K51">
        <f>('分行业工业增加值（当年人民币）'!K51*汇率!$K$2)*100000000</f>
        <v>766003184225.055</v>
      </c>
      <c r="L51">
        <f>('分行业工业增加值（当年人民币）'!L51*汇率!$L$2)*100000000</f>
        <v>811074070079.977</v>
      </c>
      <c r="M51">
        <f>('分行业工业增加值（当年人民币）'!M51*汇率!$M$2)*100000000</f>
        <v>856278588452.38</v>
      </c>
      <c r="N51">
        <f>('分行业工业增加值（当年人民币）'!N51*汇率!$N$2)*100000000</f>
        <v>901357831273.45</v>
      </c>
      <c r="O51">
        <f>('分行业工业增加值（当年人民币）'!O51*汇率!$O$2)*100000000</f>
        <v>945970374889.194</v>
      </c>
      <c r="P51">
        <f>('分行业工业增加值（当年人民币）'!P51*汇率!$P$2)*100000000</f>
        <v>990409824074.335</v>
      </c>
      <c r="Q51">
        <f>('分行业工业增加值（当年人民币）'!Q51*汇率!$Q$2)*100000000</f>
        <v>1034219484896.57</v>
      </c>
      <c r="R51">
        <f>('分行业工业增加值（当年人民币）'!R51*汇率!$R$2)*100000000</f>
        <v>1077349275657.27</v>
      </c>
      <c r="S51">
        <f>('分行业工业增加值（当年人民币）'!S51*汇率!$S$2)*100000000</f>
        <v>1120084875008.15</v>
      </c>
      <c r="T51">
        <f>('分行业工业增加值（当年人民币）'!T51*汇率!$T$2)*100000000</f>
        <v>1161941053191.39</v>
      </c>
      <c r="U51">
        <f>('分行业工业增加值（当年人民币）'!U51*汇率!$U$2)*100000000</f>
        <v>1203330095478.44</v>
      </c>
      <c r="V51">
        <f>('分行业工业增加值（当年人民币）'!V51*汇率!$V$2)*100000000</f>
        <v>1243925228629.14</v>
      </c>
      <c r="W51">
        <f>('分行业工业增加值（当年人民币）'!W51*汇率!$W$2)*100000000</f>
        <v>1283583349637.72</v>
      </c>
      <c r="X51">
        <f>('分行业工业增加值（当年人民币）'!X51*汇率!$X$2)*100000000</f>
        <v>1322584662437.23</v>
      </c>
      <c r="Y51">
        <f>('分行业工业增加值（当年人民币）'!Y51*汇率!$Y$2)*100000000</f>
        <v>1360708939698.75</v>
      </c>
      <c r="Z51">
        <f>('分行业工业增加值（当年人民币）'!Z51*汇率!$Z$2)*100000000</f>
        <v>1397969165410.5</v>
      </c>
      <c r="AA51">
        <f>('分行业工业增加值（当年人民币）'!AA51*汇率!$AA$2)*100000000</f>
        <v>1434311157555.63</v>
      </c>
      <c r="AB51">
        <f>('分行业工业增加值（当年人民币）'!AB51*汇率!$AB$2)*100000000</f>
        <v>1469818527419.8</v>
      </c>
      <c r="AC51">
        <f>('分行业工业增加值（当年人民币）'!AC51*汇率!$AC$2)*100000000</f>
        <v>1504594745851.81</v>
      </c>
      <c r="AD51">
        <f>('分行业工业增加值（当年人民币）'!AD51*汇率!$AD$2)*100000000</f>
        <v>1538326119113.15</v>
      </c>
      <c r="AE51">
        <f>('分行业工业增加值（当年人民币）'!AE51*汇率!$AE$2)*100000000</f>
        <v>1571112405012.41</v>
      </c>
      <c r="AF51">
        <f>('分行业工业增加值（当年人民币）'!AF51*汇率!$AF$2)*100000000</f>
        <v>1603262055979.45</v>
      </c>
      <c r="AG51">
        <f>('分行业工业增加值（当年人民币）'!AG51*汇率!$AG$2)*100000000</f>
        <v>1634384315559.99</v>
      </c>
      <c r="AH51">
        <f>('分行业工业增加值（当年人民币）'!AH51*汇率!$AH$2)*100000000</f>
        <v>1664686585714.2</v>
      </c>
      <c r="AI51">
        <f>('分行业工业增加值（当年人民币）'!AI51*汇率!$AI$2)*100000000</f>
        <v>1694177914804.42</v>
      </c>
      <c r="AJ51">
        <f>('分行业工业增加值（当年人民币）'!AJ51*汇率!$AJ$2)*100000000</f>
        <v>1722749163931.72</v>
      </c>
      <c r="AK51">
        <f>('分行业工业增加值（当年人民币）'!AK51*汇率!$AK$2)*100000000</f>
        <v>1750590123827.82</v>
      </c>
      <c r="AL51">
        <f>('分行业工业增加值（当年人民币）'!AL51*汇率!$AL$2)*100000000</f>
        <v>1777635928265.24</v>
      </c>
      <c r="AM51">
        <f>('分行业工业增加值（当年人民币）'!AM51*汇率!$AM$2)*100000000</f>
        <v>1803948195656.33</v>
      </c>
      <c r="AN51">
        <f>('分行业工业增加值（当年人民币）'!AN51*汇率!$AN$2)*100000000</f>
        <v>1829516809152.46</v>
      </c>
      <c r="AO51">
        <f>('分行业工业增加值（当年人民币）'!AO51*汇率!$AO$2)*100000000</f>
        <v>1854379757051.72</v>
      </c>
      <c r="AP51">
        <f>('分行业工业增加值（当年人民币）'!AP51*汇率!$AP$2)*100000000</f>
        <v>1878592328800.43</v>
      </c>
      <c r="AQ51">
        <f>('分行业工业增加值（当年人民币）'!AQ51*汇率!$AQ$2)*100000000</f>
        <v>1902100480144.21</v>
      </c>
    </row>
    <row r="52" spans="1:43">
      <c r="A52" s="105" t="s">
        <v>43</v>
      </c>
      <c r="B52">
        <f>('分行业工业增加值（当年人民币）'!B52*汇率!$B$2)*100000000</f>
        <v>276885193263.772</v>
      </c>
      <c r="C52">
        <f>('分行业工业增加值（当年人民币）'!C52*汇率!$C$2)*100000000</f>
        <v>366620066214.743</v>
      </c>
      <c r="D52">
        <f>('分行业工业增加值（当年人民币）'!D52*汇率!$D$2)*100000000</f>
        <v>335467151918.152</v>
      </c>
      <c r="E52">
        <f>('分行业工业增加值（当年人民币）'!E52*汇率!$E$2)*100000000</f>
        <v>366177511096.029</v>
      </c>
      <c r="F52">
        <f>('分行业工业增加值（当年人民币）'!F52*汇率!$F$2)*100000000</f>
        <v>397617375511.967</v>
      </c>
      <c r="G52">
        <f>('分行业工业增加值（当年人民币）'!G52*汇率!$G$2)*100000000</f>
        <v>429254894664.436</v>
      </c>
      <c r="H52">
        <f>('分行业工业增加值（当年人民币）'!H52*汇率!$H$2)*100000000</f>
        <v>461671110388.381</v>
      </c>
      <c r="I52">
        <f>('分行业工业增加值（当年人民币）'!I52*汇率!$I$2)*100000000</f>
        <v>494243519455.849</v>
      </c>
      <c r="J52">
        <f>('分行业工业增加值（当年人民币）'!J52*汇率!$J$2)*100000000</f>
        <v>526948695675.274</v>
      </c>
      <c r="K52">
        <f>('分行业工业增加值（当年人民币）'!K52*汇率!$K$2)*100000000</f>
        <v>559948886340.233</v>
      </c>
      <c r="L52">
        <f>('分行业工业增加值（当年人民币）'!L52*汇率!$L$2)*100000000</f>
        <v>592705820891.637</v>
      </c>
      <c r="M52">
        <f>('分行业工业增加值（当年人民币）'!M52*汇率!$M$2)*100000000</f>
        <v>625482515519.593</v>
      </c>
      <c r="N52">
        <f>('分行业工业增加值（当年人民币）'!N52*汇率!$N$2)*100000000</f>
        <v>658182366599.406</v>
      </c>
      <c r="O52">
        <f>('分行业工业增加值（当年人民币）'!O52*汇率!$O$2)*100000000</f>
        <v>690448822772.654</v>
      </c>
      <c r="P52">
        <f>('分行业工业增加值（当年人民币）'!P52*汇率!$P$2)*100000000</f>
        <v>722567784755.417</v>
      </c>
      <c r="Q52">
        <f>('分行业工业增加值（当年人民币）'!Q52*汇率!$Q$2)*100000000</f>
        <v>754228654245.19</v>
      </c>
      <c r="R52">
        <f>('分行业工业增加值（当年人民币）'!R52*汇率!$R$2)*100000000</f>
        <v>785364123287.961</v>
      </c>
      <c r="S52">
        <f>('分行业工业增加值（当年人民币）'!S52*汇率!$S$2)*100000000</f>
        <v>816206542259.973</v>
      </c>
      <c r="T52">
        <f>('分行业工业增加值（当年人民币）'!T52*汇率!$T$2)*100000000</f>
        <v>846393121038.092</v>
      </c>
      <c r="U52">
        <f>('分行业工业增加值（当年人民币）'!U52*汇率!$U$2)*100000000</f>
        <v>876210331509.339</v>
      </c>
      <c r="V52">
        <f>('分行业工业增加值（当年人民币）'!V52*汇率!$V$2)*100000000</f>
        <v>905484921282.167</v>
      </c>
      <c r="W52">
        <f>('分行业工业增加值（当年人民币）'!W52*汇率!$W$2)*100000000</f>
        <v>934042939717.203</v>
      </c>
      <c r="X52">
        <f>('分行业工业增加值（当年人民币）'!X52*汇率!$X$2)*100000000</f>
        <v>962121217949.953</v>
      </c>
      <c r="Y52">
        <f>('分行业工业增加值（当年人民币）'!Y52*汇率!$Y$2)*100000000</f>
        <v>989589250552.666</v>
      </c>
      <c r="Z52">
        <f>('分行业工业增加值（当年人民币）'!Z52*汇率!$Z$2)*100000000</f>
        <v>1016407322130.35</v>
      </c>
      <c r="AA52">
        <f>('分行业工业增加值（当年人民币）'!AA52*汇率!$AA$2)*100000000</f>
        <v>1042592254504.55</v>
      </c>
      <c r="AB52">
        <f>('分行业工业增加值（当年人民币）'!AB52*汇率!$AB$2)*100000000</f>
        <v>1068146985841.97</v>
      </c>
      <c r="AC52">
        <f>('分行业工业增加值（当年人民币）'!AC52*汇率!$AC$2)*100000000</f>
        <v>1093174701113.97</v>
      </c>
      <c r="AD52">
        <f>('分行业工业增加值（当年人民币）'!AD52*汇率!$AD$2)*100000000</f>
        <v>1117460694812.18</v>
      </c>
      <c r="AE52">
        <f>('分行业工业增加值（当年人民币）'!AE52*汇率!$AE$2)*100000000</f>
        <v>1141052728840.53</v>
      </c>
      <c r="AF52">
        <f>('分行业工业增加值（当年人民币）'!AF52*汇率!$AF$2)*100000000</f>
        <v>1164197979451.53</v>
      </c>
      <c r="AG52">
        <f>('分行业工业增加值（当年人民币）'!AG52*汇率!$AG$2)*100000000</f>
        <v>1186583221341.52</v>
      </c>
      <c r="AH52">
        <f>('分行业工业增加值（当年人民币）'!AH52*汇率!$AH$2)*100000000</f>
        <v>1208362233461.17</v>
      </c>
      <c r="AI52">
        <f>('分行业工业增加值（当年人民币）'!AI52*汇率!$AI$2)*100000000</f>
        <v>1229566300092.13</v>
      </c>
      <c r="AJ52">
        <f>('分行业工业增加值（当年人民币）'!AJ52*汇率!$AJ$2)*100000000</f>
        <v>1250082541273.25</v>
      </c>
      <c r="AK52">
        <f>('分行业工业增加值（当年人民币）'!AK52*汇率!$AK$2)*100000000</f>
        <v>1270067826791.24</v>
      </c>
      <c r="AL52">
        <f>('分行业工业增加值（当年人民币）'!AL52*汇率!$AL$2)*100000000</f>
        <v>1289457813628.77</v>
      </c>
      <c r="AM52">
        <f>('分行业工业增加值（当年人民币）'!AM52*汇率!$AM$2)*100000000</f>
        <v>1308271128590.6</v>
      </c>
      <c r="AN52">
        <f>('分行业工业增加值（当年人民币）'!AN52*汇率!$AN$2)*100000000</f>
        <v>1326536800739.86</v>
      </c>
      <c r="AO52">
        <f>('分行业工业增加值（当年人民币）'!AO52*汇率!$AO$2)*100000000</f>
        <v>1344242707250.81</v>
      </c>
      <c r="AP52">
        <f>('分行业工业增加值（当年人民币）'!AP52*汇率!$AP$2)*100000000</f>
        <v>1361456894435.33</v>
      </c>
      <c r="AQ52">
        <f>('分行业工业增加值（当年人民币）'!AQ52*汇率!$AQ$2)*100000000</f>
        <v>1378106757507.39</v>
      </c>
    </row>
    <row r="53" spans="1:43">
      <c r="A53" s="105" t="s">
        <v>44</v>
      </c>
      <c r="B53">
        <f>('分行业工业增加值（当年人民币）'!B53*汇率!$B$2)*100000000</f>
        <v>161045905897.189</v>
      </c>
      <c r="C53">
        <f>('分行业工业增加值（当年人民币）'!C53*汇率!$C$2)*100000000</f>
        <v>222235160205.162</v>
      </c>
      <c r="D53">
        <f>('分行业工业增加值（当年人民币）'!D53*汇率!$D$2)*100000000</f>
        <v>213859180128.637</v>
      </c>
      <c r="E53">
        <f>('分行业工业增加值（当年人民币）'!E53*汇率!$E$2)*100000000</f>
        <v>232080372670.855</v>
      </c>
      <c r="F53">
        <f>('分行业工业增加值（当年人民币）'!F53*汇率!$F$2)*100000000</f>
        <v>250733172455.89</v>
      </c>
      <c r="G53">
        <f>('分行业工业增加值（当年人民币）'!G53*汇率!$G$2)*100000000</f>
        <v>269683290019.578</v>
      </c>
      <c r="H53">
        <f>('分行业工业增加值（当年人民币）'!H53*汇率!$H$2)*100000000</f>
        <v>289087475661.545</v>
      </c>
      <c r="I53">
        <f>('分行业工业增加值（当年人民币）'!I53*汇率!$I$2)*100000000</f>
        <v>308688314744.276</v>
      </c>
      <c r="J53">
        <f>('分行业工业增加值（当年人民币）'!J53*汇率!$J$2)*100000000</f>
        <v>328466762077.79</v>
      </c>
      <c r="K53">
        <f>('分行业工业增加值（当年人民币）'!K53*汇率!$K$2)*100000000</f>
        <v>348416563224.169</v>
      </c>
      <c r="L53">
        <f>('分行业工业增加值（当年人民币）'!L53*汇率!$L$2)*100000000</f>
        <v>368349083691.414</v>
      </c>
      <c r="M53">
        <f>('分行业工业增加值（当年人民币）'!M53*汇率!$M$2)*100000000</f>
        <v>388280941716.284</v>
      </c>
      <c r="N53">
        <f>('分行业工业增加值（当年人民币）'!N53*汇率!$N$2)*100000000</f>
        <v>408123891628.264</v>
      </c>
      <c r="O53">
        <f>('分行业工业增加值（当年人民币）'!O53*汇率!$O$2)*100000000</f>
        <v>427779090626.939</v>
      </c>
      <c r="P53">
        <f>('分行业工业增加值（当年人民币）'!P53*汇率!$P$2)*100000000</f>
        <v>447347551328.444</v>
      </c>
      <c r="Q53">
        <f>('分行业工业增加值（当年人民币）'!Q53*汇率!$Q$2)*100000000</f>
        <v>466721010425.501</v>
      </c>
      <c r="R53">
        <f>('分行业工业增加值（当年人民币）'!R53*汇率!$R$2)*100000000</f>
        <v>485724709350.119</v>
      </c>
      <c r="S53">
        <f>('分行业工业增加值（当年人民币）'!S53*汇率!$S$2)*100000000</f>
        <v>504514585837.764</v>
      </c>
      <c r="T53">
        <f>('分行业工业增加值（当年人民币）'!T53*汇率!$T$2)*100000000</f>
        <v>522992825239.326</v>
      </c>
      <c r="U53">
        <f>('分行业工业增加值（当年人民币）'!U53*汇率!$U$2)*100000000</f>
        <v>541176621999.475</v>
      </c>
      <c r="V53">
        <f>('分行业工业增加值（当年人民币）'!V53*汇率!$V$2)*100000000</f>
        <v>558945543065.936</v>
      </c>
      <c r="W53">
        <f>('分行业工业增加值（当年人民币）'!W53*汇率!$W$2)*100000000</f>
        <v>576305556222.533</v>
      </c>
      <c r="X53">
        <f>('分行业工业增加值（当年人民币）'!X53*汇率!$X$2)*100000000</f>
        <v>593311453203.263</v>
      </c>
      <c r="Y53">
        <f>('分行业工业增加值（当年人民币）'!Y53*汇率!$Y$2)*100000000</f>
        <v>609908363491.682</v>
      </c>
      <c r="Z53">
        <f>('分行业工业增加值（当年人民币）'!Z53*汇率!$Z$2)*100000000</f>
        <v>626061396293.995</v>
      </c>
      <c r="AA53">
        <f>('分行业工业增加值（当年人民币）'!AA53*汇率!$AA$2)*100000000</f>
        <v>641776872968.593</v>
      </c>
      <c r="AB53">
        <f>('分行业工业增加值（当年人民币）'!AB53*汇率!$AB$2)*100000000</f>
        <v>657094038989.09</v>
      </c>
      <c r="AC53">
        <f>('分行业工业增加值（当年人民币）'!AC53*汇率!$AC$2)*100000000</f>
        <v>671981386862.237</v>
      </c>
      <c r="AD53">
        <f>('分行业工业增加值（当年人民币）'!AD53*汇率!$AD$2)*100000000</f>
        <v>686454133187.161</v>
      </c>
      <c r="AE53">
        <f>('分行业工业增加值（当年人民币）'!AE53*汇率!$AE$2)*100000000</f>
        <v>700466839427.298</v>
      </c>
      <c r="AF53">
        <f>('分行业工业增加值（当年人民币）'!AF53*汇率!$AF$2)*100000000</f>
        <v>714109455008.932</v>
      </c>
      <c r="AG53">
        <f>('分行业工业增加值（当年人民币）'!AG53*汇率!$AG$2)*100000000</f>
        <v>727332996323.008</v>
      </c>
      <c r="AH53">
        <f>('分行业工业增加值（当年人民币）'!AH53*汇率!$AH$2)*100000000</f>
        <v>740167285131.365</v>
      </c>
      <c r="AI53">
        <f>('分行业工业增加值（当年人民币）'!AI53*汇率!$AI$2)*100000000</f>
        <v>752617784648.091</v>
      </c>
      <c r="AJ53">
        <f>('分行业工业增加值（当年人民币）'!AJ53*汇率!$AJ$2)*100000000</f>
        <v>764695149087.998</v>
      </c>
      <c r="AK53">
        <f>('分行业工业增加值（当年人民币）'!AK53*汇率!$AK$2)*100000000</f>
        <v>776469785807.477</v>
      </c>
      <c r="AL53">
        <f>('分行业工业增加值（当年人民币）'!AL53*汇率!$AL$2)*100000000</f>
        <v>787932724827.012</v>
      </c>
      <c r="AM53">
        <f>('分行业工业增加值（当年人民币）'!AM53*汇率!$AM$2)*100000000</f>
        <v>799114599030.743</v>
      </c>
      <c r="AN53">
        <f>('分行业工业增加值（当年人民币）'!AN53*汇率!$AN$2)*100000000</f>
        <v>810059837219.335</v>
      </c>
      <c r="AO53">
        <f>('分行业工业增加值（当年人民币）'!AO53*汇率!$AO$2)*100000000</f>
        <v>820764827200.405</v>
      </c>
      <c r="AP53">
        <f>('分行业工业增加值（当年人民币）'!AP53*汇率!$AP$2)*100000000</f>
        <v>831300529779.168</v>
      </c>
      <c r="AQ53">
        <f>('分行业工业增加值（当年人民币）'!AQ53*汇率!$AQ$2)*100000000</f>
        <v>841709602506.869</v>
      </c>
    </row>
    <row r="54" spans="1:43">
      <c r="A54" s="106" t="s">
        <v>45</v>
      </c>
      <c r="B54">
        <f>('分行业工业增加值（当年人民币）'!B54*汇率!$B$2)*100000000</f>
        <v>504700608727.449</v>
      </c>
      <c r="C54">
        <f>('分行业工业增加值（当年人民币）'!C54*汇率!$C$2)*100000000</f>
        <v>648106097483.786</v>
      </c>
      <c r="D54">
        <f>('分行业工业增加值（当年人民币）'!D54*汇率!$D$2)*100000000</f>
        <v>568644386195.238</v>
      </c>
      <c r="E54">
        <f>('分行业工业增加值（当年人民币）'!E54*汇率!$E$2)*100000000</f>
        <v>620209116011.76</v>
      </c>
      <c r="F54">
        <f>('分行业工业增加值（当年人民币）'!F54*汇率!$F$2)*100000000</f>
        <v>673188260493.012</v>
      </c>
      <c r="G54">
        <f>('分行业工业增加值（当年人民币）'!G54*汇率!$G$2)*100000000</f>
        <v>727020386309.684</v>
      </c>
      <c r="H54">
        <f>('分行业工业增加值（当年人民币）'!H54*汇率!$H$2)*100000000</f>
        <v>782448339380.692</v>
      </c>
      <c r="I54">
        <f>('分行业工业增加值（当年人民币）'!I54*汇率!$I$2)*100000000</f>
        <v>838434804422.173</v>
      </c>
      <c r="J54">
        <f>('分行业工业增加值（当年人民币）'!J54*汇率!$J$2)*100000000</f>
        <v>894995385538.366</v>
      </c>
      <c r="K54">
        <f>('分行业工业增加值（当年人民币）'!K54*汇率!$K$2)*100000000</f>
        <v>952229077496.585</v>
      </c>
      <c r="L54">
        <f>('分行业工业增加值（当年人民币）'!L54*汇率!$L$2)*100000000</f>
        <v>1009419780112.51</v>
      </c>
      <c r="M54">
        <f>('分行业工业增加值（当年人民币）'!M54*汇率!$M$2)*100000000</f>
        <v>1066796385640.29</v>
      </c>
      <c r="N54">
        <f>('分行业工业增加值（当年人民币）'!N54*汇率!$N$2)*100000000</f>
        <v>1124187403461.22</v>
      </c>
      <c r="O54">
        <f>('分行业工业增加值（当年人民币）'!O54*汇率!$O$2)*100000000</f>
        <v>1181130764011.8</v>
      </c>
      <c r="P54">
        <f>('分行业工业增加值（当年人民币）'!P54*汇率!$P$2)*100000000</f>
        <v>1237897589273.03</v>
      </c>
      <c r="Q54">
        <f>('分行业工业增加值（当年人民币）'!Q54*汇率!$Q$2)*100000000</f>
        <v>1294075253249.74</v>
      </c>
      <c r="R54">
        <f>('分行业工业增加值（当年人民币）'!R54*汇率!$R$2)*100000000</f>
        <v>1349501033086.24</v>
      </c>
      <c r="S54">
        <f>('分行业工业增加值（当年人民币）'!S54*汇率!$S$2)*100000000</f>
        <v>1404452847633.59</v>
      </c>
      <c r="T54">
        <f>('分行业工业增加值（当年人民币）'!T54*汇率!$T$2)*100000000</f>
        <v>1458397672969.88</v>
      </c>
      <c r="U54">
        <f>('分行业工业增加值（当年人民币）'!U54*汇率!$U$2)*100000000</f>
        <v>1511801361975.35</v>
      </c>
      <c r="V54">
        <f>('分行业工业增加值（当年人民币）'!V54*汇率!$V$2)*100000000</f>
        <v>1564267976042.42</v>
      </c>
      <c r="W54">
        <f>('分行业工业增加值（当年人民币）'!W54*汇率!$W$2)*100000000</f>
        <v>1615538857648.34</v>
      </c>
      <c r="X54">
        <f>('分行业工业增加值（当年人民币）'!X54*汇率!$X$2)*100000000</f>
        <v>1666013684721.4</v>
      </c>
      <c r="Y54">
        <f>('分行业工业增加值（当年人民币）'!Y54*汇率!$Y$2)*100000000</f>
        <v>1715500135568.79</v>
      </c>
      <c r="Z54">
        <f>('分行业工业增加值（当年人民币）'!Z54*汇率!$Z$2)*100000000</f>
        <v>1763853606621.61</v>
      </c>
      <c r="AA54">
        <f>('分行业工业增加值（当年人民币）'!AA54*汇率!$AA$2)*100000000</f>
        <v>1811062538740.22</v>
      </c>
      <c r="AB54">
        <f>('分行业工业增加值（当年人民币）'!AB54*汇率!$AB$2)*100000000</f>
        <v>1857283696012.95</v>
      </c>
      <c r="AC54">
        <f>('分行业工业增加值（当年人民币）'!AC54*汇率!$AC$2)*100000000</f>
        <v>1902521347505.51</v>
      </c>
      <c r="AD54">
        <f>('分行业工业增加值（当年人民币）'!AD54*汇率!$AD$2)*100000000</f>
        <v>1946542981045.45</v>
      </c>
      <c r="AE54">
        <f>('分行业工业增加值（当年人民币）'!AE54*汇率!$AE$2)*100000000</f>
        <v>1989377818893.05</v>
      </c>
      <c r="AF54">
        <f>('分行业工业增加值（当年人民币）'!AF54*汇率!$AF$2)*100000000</f>
        <v>2031418678373.66</v>
      </c>
      <c r="AG54">
        <f>('分行业工业增加值（当年人民币）'!AG54*汇率!$AG$2)*100000000</f>
        <v>2072240331755.1</v>
      </c>
      <c r="AH54">
        <f>('分行业工业增加值（当年人民币）'!AH54*汇率!$AH$2)*100000000</f>
        <v>2112008962117.93</v>
      </c>
      <c r="AI54">
        <f>('分行业工业增加值（当年人民币）'!AI54*汇率!$AI$2)*100000000</f>
        <v>2150891906980.93</v>
      </c>
      <c r="AJ54">
        <f>('分行业工业增加值（当年人民币）'!AJ54*汇率!$AJ$2)*100000000</f>
        <v>2188703281901.94</v>
      </c>
      <c r="AK54">
        <f>('分行业工业增加值（当年人民币）'!AK54*汇率!$AK$2)*100000000</f>
        <v>2225668333717.1</v>
      </c>
      <c r="AL54">
        <f>('分行业工业增加值（当年人民币）'!AL54*汇率!$AL$2)*100000000</f>
        <v>2261806700603.33</v>
      </c>
      <c r="AM54">
        <f>('分行业工业增加值（当年人民币）'!AM54*汇率!$AM$2)*100000000</f>
        <v>2297164833037.01</v>
      </c>
      <c r="AN54">
        <f>('分行业工业增加值（当年人民币）'!AN54*汇率!$AN$2)*100000000</f>
        <v>2331821367540.23</v>
      </c>
      <c r="AO54">
        <f>('分行业工业增加值（当年人民币）'!AO54*汇率!$AO$2)*100000000</f>
        <v>2365816863260.44</v>
      </c>
      <c r="AP54">
        <f>('分行业工业增加值（当年人民币）'!AP54*汇率!$AP$2)*100000000</f>
        <v>2399263900621.52</v>
      </c>
      <c r="AQ54">
        <f>('分行业工业增加值（当年人民币）'!AQ54*汇率!$AQ$2)*100000000</f>
        <v>2432182810489.48</v>
      </c>
    </row>
  </sheetData>
  <dataValidations count="1">
    <dataValidation type="list" allowBlank="1" showInputMessage="1" showErrorMessage="1" sqref="A1">
      <formula1>[1]GDP预测模型结果!#REF!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workbookViewId="0">
      <selection activeCell="H9" sqref="H9"/>
    </sheetView>
  </sheetViews>
  <sheetFormatPr defaultColWidth="9" defaultRowHeight="13.5" outlineLevelRow="1"/>
  <sheetData>
    <row r="1" spans="1:43">
      <c r="A1" t="s">
        <v>55</v>
      </c>
      <c r="B1" t="s">
        <v>56</v>
      </c>
      <c r="C1" t="s">
        <v>57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ht="40.5" spans="1:43">
      <c r="A2" s="93" t="s">
        <v>58</v>
      </c>
      <c r="B2">
        <v>0.138511262027254</v>
      </c>
      <c r="C2">
        <v>0.137650677988234</v>
      </c>
      <c r="D2">
        <v>0.134687551847587</v>
      </c>
      <c r="E2">
        <v>0.131788211201162</v>
      </c>
      <c r="F2">
        <v>0.128951282975696</v>
      </c>
      <c r="G2">
        <v>0.12617542365528</v>
      </c>
      <c r="H2">
        <v>0.123459318645088</v>
      </c>
      <c r="I2">
        <v>0.120801681648814</v>
      </c>
      <c r="J2">
        <v>0.118201254059505</v>
      </c>
      <c r="K2">
        <v>0.115656804363508</v>
      </c>
      <c r="L2">
        <v>0.113167127557248</v>
      </c>
      <c r="M2">
        <v>0.110731044576564</v>
      </c>
      <c r="N2">
        <v>0.108347401738321</v>
      </c>
      <c r="O2">
        <v>0.106015070194052</v>
      </c>
      <c r="P2">
        <v>0.103732945395354</v>
      </c>
      <c r="Q2">
        <v>0.101499946570796</v>
      </c>
      <c r="R2">
        <v>0.0993150162140866</v>
      </c>
      <c r="S2">
        <v>0.097177119583255</v>
      </c>
      <c r="T2">
        <v>0.0950852442106213</v>
      </c>
      <c r="U2">
        <v>0.0930383994233085</v>
      </c>
      <c r="V2">
        <v>0.0910356158740788</v>
      </c>
      <c r="W2">
        <v>0.0890759450822688</v>
      </c>
      <c r="X2">
        <v>0.0871584589846075</v>
      </c>
      <c r="Y2">
        <v>0.085282249495702</v>
      </c>
      <c r="Z2">
        <v>0.0834464280779863</v>
      </c>
      <c r="AA2">
        <v>0.081650125320926</v>
      </c>
      <c r="AB2">
        <v>0.0798924905292818</v>
      </c>
      <c r="AC2">
        <v>0.0781726913202366</v>
      </c>
      <c r="AD2">
        <v>0.0764899132291943</v>
      </c>
      <c r="AE2">
        <v>0.0748433593240649</v>
      </c>
      <c r="AF2">
        <v>0.0732322498278521</v>
      </c>
      <c r="AG2">
        <v>0.071655821749366</v>
      </c>
      <c r="AH2">
        <v>0.0701133285218846</v>
      </c>
      <c r="AI2">
        <v>0.0686040396495935</v>
      </c>
      <c r="AJ2">
        <v>0.0671272403616375</v>
      </c>
      <c r="AK2">
        <v>0.0656822312736179</v>
      </c>
      <c r="AL2">
        <v>0.0642683280563776</v>
      </c>
      <c r="AM2">
        <v>0.0628848611119155</v>
      </c>
      <c r="AN2">
        <v>0.0615311752562774</v>
      </c>
      <c r="AO2">
        <v>0.0602066294092734</v>
      </c>
      <c r="AP2">
        <v>0.0589105962908741</v>
      </c>
      <c r="AQ2">
        <v>0.057642462124143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9"/>
  <sheetViews>
    <sheetView workbookViewId="0">
      <pane xSplit="3" ySplit="6" topLeftCell="AU7" activePane="bottomRight" state="frozen"/>
      <selection/>
      <selection pane="topRight"/>
      <selection pane="bottomLeft"/>
      <selection pane="bottomRight" activeCell="AN60" sqref="AN60"/>
    </sheetView>
  </sheetViews>
  <sheetFormatPr defaultColWidth="9" defaultRowHeight="13.5"/>
  <cols>
    <col min="1" max="1" width="9" style="5"/>
    <col min="2" max="2" width="23.5" style="5" customWidth="1"/>
    <col min="3" max="3" width="6.125" style="5" customWidth="1"/>
    <col min="4" max="5" width="9.375" style="5" customWidth="1"/>
    <col min="6" max="6" width="9" style="5"/>
    <col min="7" max="8" width="12.625" style="5"/>
    <col min="9" max="16" width="9.375" style="5" customWidth="1"/>
    <col min="17" max="17" width="8.5" style="5" customWidth="1"/>
    <col min="18" max="22" width="9.375" style="5" customWidth="1"/>
    <col min="23" max="23" width="12.625" style="5"/>
    <col min="24" max="24" width="8.5" style="5" customWidth="1"/>
    <col min="25" max="25" width="9.375" style="5" customWidth="1"/>
    <col min="26" max="26" width="9" style="5"/>
    <col min="27" max="28" width="9.375" style="5" customWidth="1"/>
    <col min="29" max="30" width="9" style="5"/>
    <col min="31" max="31" width="9.375" style="5" customWidth="1"/>
    <col min="32" max="32" width="9" style="5"/>
    <col min="33" max="33" width="8.5" style="5" customWidth="1"/>
    <col min="34" max="35" width="9.375" style="5" customWidth="1"/>
    <col min="36" max="37" width="10.25" style="5" customWidth="1"/>
    <col min="38" max="39" width="9.375" style="5" customWidth="1"/>
    <col min="40" max="40" width="8.5" style="5" customWidth="1"/>
    <col min="41" max="42" width="9.375" style="5" customWidth="1"/>
    <col min="43" max="43" width="9" style="5"/>
    <col min="44" max="44" width="8.5" style="5" customWidth="1"/>
    <col min="45" max="46" width="11.25" style="5" customWidth="1"/>
    <col min="47" max="47" width="9.375" style="5" customWidth="1"/>
    <col min="48" max="52" width="10.25" style="5" customWidth="1"/>
    <col min="53" max="53" width="8.5" style="5" customWidth="1"/>
    <col min="54" max="55" width="10.25" style="5" customWidth="1"/>
    <col min="56" max="56" width="11.25" style="5" customWidth="1"/>
    <col min="57" max="57" width="10.25" style="5" customWidth="1"/>
    <col min="58" max="58" width="11.25" style="5" customWidth="1"/>
    <col min="59" max="16384" width="9" style="5"/>
  </cols>
  <sheetData>
    <row r="1" spans="1:58">
      <c r="A1" s="6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66"/>
      <c r="AX1" s="7"/>
      <c r="AY1" s="66"/>
      <c r="AZ1" s="7"/>
      <c r="BA1" s="7"/>
      <c r="BB1" s="66"/>
      <c r="BC1" s="7"/>
      <c r="BD1" s="67"/>
      <c r="BE1" s="7"/>
      <c r="BF1" s="7"/>
    </row>
    <row r="2" spans="1:58">
      <c r="A2" s="8" t="s">
        <v>59</v>
      </c>
      <c r="B2" s="7"/>
      <c r="C2" s="7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7"/>
      <c r="AT2" s="7"/>
      <c r="AU2" s="9"/>
      <c r="AV2" s="9"/>
      <c r="AW2" s="68"/>
      <c r="AX2" s="9"/>
      <c r="AY2" s="68"/>
      <c r="AZ2" s="9"/>
      <c r="BA2" s="9"/>
      <c r="BB2" s="68"/>
      <c r="BC2" s="69"/>
      <c r="BD2" s="67"/>
      <c r="BE2" s="69"/>
      <c r="BF2" s="7"/>
    </row>
    <row r="3" ht="14.25" spans="1:58">
      <c r="A3" s="10" t="s">
        <v>60</v>
      </c>
      <c r="B3" s="11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7"/>
      <c r="AT3" s="7"/>
      <c r="AU3" s="50"/>
      <c r="AV3" s="50"/>
      <c r="AW3" s="50"/>
      <c r="AX3" s="50"/>
      <c r="AY3" s="50"/>
      <c r="AZ3" s="50"/>
      <c r="BA3" s="50"/>
      <c r="BB3" s="50"/>
      <c r="BC3" s="50"/>
      <c r="BD3" s="70"/>
      <c r="BE3" s="7"/>
      <c r="BF3" s="7"/>
    </row>
    <row r="4" spans="1:58">
      <c r="A4" s="14" t="s">
        <v>61</v>
      </c>
      <c r="B4" s="15"/>
      <c r="C4" s="16" t="s">
        <v>62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51"/>
      <c r="AS4" s="51"/>
      <c r="AT4" s="52"/>
      <c r="AU4" s="53" t="s">
        <v>63</v>
      </c>
      <c r="AV4" s="54"/>
      <c r="AW4" s="54"/>
      <c r="AX4" s="54"/>
      <c r="AY4" s="54"/>
      <c r="AZ4" s="54"/>
      <c r="BA4" s="54"/>
      <c r="BB4" s="54"/>
      <c r="BC4" s="54"/>
      <c r="BD4" s="71"/>
      <c r="BE4" s="86" t="s">
        <v>64</v>
      </c>
      <c r="BF4" s="87" t="s">
        <v>65</v>
      </c>
    </row>
    <row r="5" ht="67.5" spans="1:58">
      <c r="A5" s="18"/>
      <c r="B5" s="19"/>
      <c r="C5" s="20"/>
      <c r="D5" s="21" t="s">
        <v>66</v>
      </c>
      <c r="E5" s="22" t="s">
        <v>67</v>
      </c>
      <c r="F5" s="22" t="s">
        <v>12</v>
      </c>
      <c r="G5" s="22" t="s">
        <v>68</v>
      </c>
      <c r="H5" s="22" t="s">
        <v>69</v>
      </c>
      <c r="I5" s="22" t="s">
        <v>15</v>
      </c>
      <c r="J5" s="22" t="s">
        <v>70</v>
      </c>
      <c r="K5" s="22" t="s">
        <v>18</v>
      </c>
      <c r="L5" s="22" t="s">
        <v>19</v>
      </c>
      <c r="M5" s="22" t="s">
        <v>20</v>
      </c>
      <c r="N5" s="22" t="s">
        <v>71</v>
      </c>
      <c r="O5" s="22" t="s">
        <v>72</v>
      </c>
      <c r="P5" s="22" t="s">
        <v>73</v>
      </c>
      <c r="Q5" s="48" t="s">
        <v>22</v>
      </c>
      <c r="R5" s="48" t="s">
        <v>74</v>
      </c>
      <c r="S5" s="48" t="s">
        <v>75</v>
      </c>
      <c r="T5" s="48" t="s">
        <v>24</v>
      </c>
      <c r="U5" s="49" t="s">
        <v>25</v>
      </c>
      <c r="V5" s="48" t="s">
        <v>26</v>
      </c>
      <c r="W5" s="48" t="s">
        <v>76</v>
      </c>
      <c r="X5" s="48" t="s">
        <v>77</v>
      </c>
      <c r="Y5" s="48" t="s">
        <v>28</v>
      </c>
      <c r="Z5" s="49" t="s">
        <v>78</v>
      </c>
      <c r="AA5" s="49" t="s">
        <v>79</v>
      </c>
      <c r="AB5" s="49" t="s">
        <v>80</v>
      </c>
      <c r="AC5" s="49" t="s">
        <v>34</v>
      </c>
      <c r="AD5" s="48" t="s">
        <v>35</v>
      </c>
      <c r="AE5" s="48" t="s">
        <v>81</v>
      </c>
      <c r="AF5" s="48" t="s">
        <v>82</v>
      </c>
      <c r="AG5" s="48" t="s">
        <v>83</v>
      </c>
      <c r="AH5" s="48" t="s">
        <v>84</v>
      </c>
      <c r="AI5" s="48" t="s">
        <v>37</v>
      </c>
      <c r="AJ5" s="48" t="s">
        <v>85</v>
      </c>
      <c r="AK5" s="48" t="s">
        <v>9</v>
      </c>
      <c r="AL5" s="48" t="s">
        <v>38</v>
      </c>
      <c r="AM5" s="48" t="s">
        <v>86</v>
      </c>
      <c r="AN5" s="48" t="s">
        <v>87</v>
      </c>
      <c r="AO5" s="48" t="s">
        <v>41</v>
      </c>
      <c r="AP5" s="48" t="s">
        <v>42</v>
      </c>
      <c r="AQ5" s="48" t="s">
        <v>43</v>
      </c>
      <c r="AR5" s="48" t="s">
        <v>44</v>
      </c>
      <c r="AS5" s="48" t="s">
        <v>88</v>
      </c>
      <c r="AT5" s="55" t="s">
        <v>89</v>
      </c>
      <c r="AU5" s="56" t="s">
        <v>90</v>
      </c>
      <c r="AV5" s="56" t="s">
        <v>91</v>
      </c>
      <c r="AW5" s="72" t="s">
        <v>92</v>
      </c>
      <c r="AX5" s="56" t="s">
        <v>93</v>
      </c>
      <c r="AY5" s="72" t="s">
        <v>94</v>
      </c>
      <c r="AZ5" s="56" t="s">
        <v>95</v>
      </c>
      <c r="BA5" s="56" t="s">
        <v>96</v>
      </c>
      <c r="BB5" s="72" t="s">
        <v>97</v>
      </c>
      <c r="BC5" s="73" t="s">
        <v>98</v>
      </c>
      <c r="BD5" s="74" t="s">
        <v>99</v>
      </c>
      <c r="BE5" s="88"/>
      <c r="BF5" s="89"/>
    </row>
    <row r="6" spans="1:58">
      <c r="A6" s="7"/>
      <c r="B6" s="23" t="s">
        <v>62</v>
      </c>
      <c r="C6" s="24" t="s">
        <v>100</v>
      </c>
      <c r="D6" s="25" t="s">
        <v>101</v>
      </c>
      <c r="E6" s="25" t="s">
        <v>102</v>
      </c>
      <c r="F6" s="25" t="s">
        <v>103</v>
      </c>
      <c r="G6" s="25" t="s">
        <v>104</v>
      </c>
      <c r="H6" s="25" t="s">
        <v>105</v>
      </c>
      <c r="I6" s="25" t="s">
        <v>106</v>
      </c>
      <c r="J6" s="25" t="s">
        <v>107</v>
      </c>
      <c r="K6" s="25" t="s">
        <v>108</v>
      </c>
      <c r="L6" s="25" t="s">
        <v>109</v>
      </c>
      <c r="M6" s="25" t="s">
        <v>110</v>
      </c>
      <c r="N6" s="25" t="s">
        <v>111</v>
      </c>
      <c r="O6" s="25" t="s">
        <v>112</v>
      </c>
      <c r="P6" s="25" t="s">
        <v>113</v>
      </c>
      <c r="Q6" s="25" t="s">
        <v>114</v>
      </c>
      <c r="R6" s="25" t="s">
        <v>115</v>
      </c>
      <c r="S6" s="25" t="s">
        <v>116</v>
      </c>
      <c r="T6" s="25" t="s">
        <v>117</v>
      </c>
      <c r="U6" s="25" t="s">
        <v>118</v>
      </c>
      <c r="V6" s="25" t="s">
        <v>119</v>
      </c>
      <c r="W6" s="25" t="s">
        <v>120</v>
      </c>
      <c r="X6" s="25" t="s">
        <v>121</v>
      </c>
      <c r="Y6" s="25" t="s">
        <v>122</v>
      </c>
      <c r="Z6" s="25" t="s">
        <v>123</v>
      </c>
      <c r="AA6" s="25" t="s">
        <v>124</v>
      </c>
      <c r="AB6" s="25" t="s">
        <v>125</v>
      </c>
      <c r="AC6" s="25" t="s">
        <v>126</v>
      </c>
      <c r="AD6" s="25" t="s">
        <v>127</v>
      </c>
      <c r="AE6" s="25" t="s">
        <v>128</v>
      </c>
      <c r="AF6" s="25" t="s">
        <v>129</v>
      </c>
      <c r="AG6" s="25" t="s">
        <v>130</v>
      </c>
      <c r="AH6" s="25" t="s">
        <v>131</v>
      </c>
      <c r="AI6" s="25" t="s">
        <v>132</v>
      </c>
      <c r="AJ6" s="25" t="s">
        <v>133</v>
      </c>
      <c r="AK6" s="25" t="s">
        <v>134</v>
      </c>
      <c r="AL6" s="25" t="s">
        <v>135</v>
      </c>
      <c r="AM6" s="25" t="s">
        <v>133</v>
      </c>
      <c r="AN6" s="25" t="s">
        <v>136</v>
      </c>
      <c r="AO6" s="25" t="s">
        <v>137</v>
      </c>
      <c r="AP6" s="25" t="s">
        <v>138</v>
      </c>
      <c r="AQ6" s="25" t="s">
        <v>139</v>
      </c>
      <c r="AR6" s="25" t="s">
        <v>140</v>
      </c>
      <c r="AS6" s="25" t="s">
        <v>141</v>
      </c>
      <c r="AT6" s="25" t="s">
        <v>142</v>
      </c>
      <c r="AU6" s="57" t="s">
        <v>143</v>
      </c>
      <c r="AV6" s="57" t="s">
        <v>144</v>
      </c>
      <c r="AW6" s="75" t="s">
        <v>145</v>
      </c>
      <c r="AX6" s="57" t="s">
        <v>146</v>
      </c>
      <c r="AY6" s="75" t="s">
        <v>147</v>
      </c>
      <c r="AZ6" s="57" t="s">
        <v>148</v>
      </c>
      <c r="BA6" s="57" t="s">
        <v>149</v>
      </c>
      <c r="BB6" s="75" t="s">
        <v>150</v>
      </c>
      <c r="BC6" s="76" t="s">
        <v>151</v>
      </c>
      <c r="BD6" s="77" t="s">
        <v>152</v>
      </c>
      <c r="BE6" s="90" t="s">
        <v>153</v>
      </c>
      <c r="BF6" s="91" t="s">
        <v>154</v>
      </c>
    </row>
    <row r="7" ht="22.5" spans="1:59">
      <c r="A7" s="26"/>
      <c r="B7" s="3" t="s">
        <v>66</v>
      </c>
      <c r="C7" s="27" t="s">
        <v>101</v>
      </c>
      <c r="D7" s="28">
        <v>183133769.008583</v>
      </c>
      <c r="E7" s="28">
        <v>203490.684084433</v>
      </c>
      <c r="F7" s="28">
        <v>2231.1266199761</v>
      </c>
      <c r="G7" s="28">
        <v>30366.117979029</v>
      </c>
      <c r="H7" s="28">
        <v>118.548902968788</v>
      </c>
      <c r="I7" s="28">
        <v>467586720.286462</v>
      </c>
      <c r="J7" s="28">
        <v>82006169.4863677</v>
      </c>
      <c r="K7" s="28">
        <v>31973462.8480059</v>
      </c>
      <c r="L7" s="28">
        <v>53736066.6778196</v>
      </c>
      <c r="M7" s="28">
        <v>15804.3604181711</v>
      </c>
      <c r="N7" s="28">
        <v>11513733.3673205</v>
      </c>
      <c r="O7" s="28">
        <v>44821824.8935635</v>
      </c>
      <c r="P7" s="28">
        <v>7680873.64622667</v>
      </c>
      <c r="Q7" s="28">
        <v>218881.187698502</v>
      </c>
      <c r="R7" s="28">
        <v>20627.1615019683</v>
      </c>
      <c r="S7" s="28">
        <v>15998.1262949325</v>
      </c>
      <c r="T7" s="28">
        <v>97311.762035804</v>
      </c>
      <c r="U7" s="28">
        <v>27411.8810511182</v>
      </c>
      <c r="V7" s="28">
        <v>79539.6850764251</v>
      </c>
      <c r="W7" s="28">
        <v>26629.6079430389</v>
      </c>
      <c r="X7" s="28">
        <v>12565.823957512</v>
      </c>
      <c r="Y7" s="28">
        <v>68073.7608283015</v>
      </c>
      <c r="Z7" s="28">
        <v>2175.57358849856</v>
      </c>
      <c r="AA7" s="28">
        <v>3451035.18212628</v>
      </c>
      <c r="AB7" s="28">
        <v>101721.231936442</v>
      </c>
      <c r="AC7" s="28">
        <v>1310.78692957769</v>
      </c>
      <c r="AD7" s="28">
        <v>0</v>
      </c>
      <c r="AE7" s="28">
        <v>18834171.9565458</v>
      </c>
      <c r="AF7" s="28">
        <v>13768.5932468323</v>
      </c>
      <c r="AG7" s="28">
        <v>154389.965643367</v>
      </c>
      <c r="AH7" s="28">
        <v>53857078.5856267</v>
      </c>
      <c r="AI7" s="28">
        <v>509534.915201121</v>
      </c>
      <c r="AJ7" s="28">
        <v>67279.7391608202</v>
      </c>
      <c r="AK7" s="28">
        <v>336941.12881731</v>
      </c>
      <c r="AL7" s="28">
        <v>7363183.37905528</v>
      </c>
      <c r="AM7" s="28">
        <v>4230391.82619973</v>
      </c>
      <c r="AN7" s="28">
        <v>1149759.56904357</v>
      </c>
      <c r="AO7" s="28">
        <v>2268491.10930721</v>
      </c>
      <c r="AP7" s="28">
        <v>612269.387448122</v>
      </c>
      <c r="AQ7" s="28">
        <v>605609.604752129</v>
      </c>
      <c r="AR7" s="28">
        <v>477755.870843505</v>
      </c>
      <c r="AS7" s="28">
        <v>9519615.66929329</v>
      </c>
      <c r="AT7" s="28">
        <v>954854691.275501</v>
      </c>
      <c r="AU7" s="28">
        <v>109745451.401855</v>
      </c>
      <c r="AV7" s="28">
        <v>221055004.423882</v>
      </c>
      <c r="AW7" s="28">
        <v>330800455.825737</v>
      </c>
      <c r="AX7" s="28">
        <v>19639627.5808391</v>
      </c>
      <c r="AY7" s="28">
        <v>350440083.406576</v>
      </c>
      <c r="AZ7" s="28">
        <v>17577339.566559</v>
      </c>
      <c r="BA7" s="28">
        <v>54901501.621725</v>
      </c>
      <c r="BB7" s="28">
        <v>72478841.188284</v>
      </c>
      <c r="BC7" s="28">
        <v>18171672.0305951</v>
      </c>
      <c r="BD7" s="28">
        <v>441090596.625456</v>
      </c>
      <c r="BE7" s="28">
        <v>64262037.6299852</v>
      </c>
      <c r="BF7" s="28">
        <v>1331683250.27097</v>
      </c>
      <c r="BG7" s="28"/>
    </row>
    <row r="8" spans="1:58">
      <c r="A8" s="26"/>
      <c r="B8" s="3" t="s">
        <v>67</v>
      </c>
      <c r="C8" s="27" t="s">
        <v>102</v>
      </c>
      <c r="D8" s="28">
        <v>601665.538401025</v>
      </c>
      <c r="E8" s="28">
        <v>36204793.6824397</v>
      </c>
      <c r="F8" s="28">
        <v>63785.089784693</v>
      </c>
      <c r="G8" s="28">
        <v>1725453.87063389</v>
      </c>
      <c r="H8" s="28">
        <v>60512.7785480819</v>
      </c>
      <c r="I8" s="28">
        <v>2167450.15250292</v>
      </c>
      <c r="J8" s="28">
        <v>1809485.73078097</v>
      </c>
      <c r="K8" s="28">
        <v>280086.134625741</v>
      </c>
      <c r="L8" s="28">
        <v>3698845.89207886</v>
      </c>
      <c r="M8" s="28">
        <v>22001119.8287461</v>
      </c>
      <c r="N8" s="28">
        <v>21794626.064205</v>
      </c>
      <c r="O8" s="28">
        <v>436019.617841485</v>
      </c>
      <c r="P8" s="28">
        <v>562146.694431589</v>
      </c>
      <c r="Q8" s="28">
        <v>34167884.2571337</v>
      </c>
      <c r="R8" s="28">
        <v>21281682.9252996</v>
      </c>
      <c r="S8" s="28">
        <v>3302161.3408503</v>
      </c>
      <c r="T8" s="28">
        <v>494727.505065456</v>
      </c>
      <c r="U8" s="28">
        <v>360707.784187513</v>
      </c>
      <c r="V8" s="28">
        <v>252507.674668812</v>
      </c>
      <c r="W8" s="28">
        <v>48318.1349362067</v>
      </c>
      <c r="X8" s="28">
        <v>49904.0456402936</v>
      </c>
      <c r="Y8" s="28">
        <v>214230.209912765</v>
      </c>
      <c r="Z8" s="28">
        <v>20070.6192482144</v>
      </c>
      <c r="AA8" s="28">
        <v>178085.135349557</v>
      </c>
      <c r="AB8" s="28">
        <v>93800322.3463987</v>
      </c>
      <c r="AC8" s="28">
        <v>2360515.48707682</v>
      </c>
      <c r="AD8" s="28">
        <v>0</v>
      </c>
      <c r="AE8" s="28">
        <v>843243.224227162</v>
      </c>
      <c r="AF8" s="28">
        <v>45563.8611651301</v>
      </c>
      <c r="AG8" s="28">
        <v>128090.518834844</v>
      </c>
      <c r="AH8" s="28">
        <v>50429.8104455348</v>
      </c>
      <c r="AI8" s="28">
        <v>0</v>
      </c>
      <c r="AJ8" s="28">
        <v>17218.2296443031</v>
      </c>
      <c r="AK8" s="28">
        <v>63307.6896761316</v>
      </c>
      <c r="AL8" s="28">
        <v>64.3019274386463</v>
      </c>
      <c r="AM8" s="28">
        <v>234549.26818834</v>
      </c>
      <c r="AN8" s="28">
        <v>170081.937520875</v>
      </c>
      <c r="AO8" s="28">
        <v>326757.728113347</v>
      </c>
      <c r="AP8" s="28">
        <v>607785.815862455</v>
      </c>
      <c r="AQ8" s="28">
        <v>360760.392665157</v>
      </c>
      <c r="AR8" s="28">
        <v>41612.6851462715</v>
      </c>
      <c r="AS8" s="28">
        <v>603682.145320457</v>
      </c>
      <c r="AT8" s="58">
        <v>251150170.0149</v>
      </c>
      <c r="AU8" s="59">
        <v>753293.483239878</v>
      </c>
      <c r="AV8" s="59">
        <v>468986.096341701</v>
      </c>
      <c r="AW8" s="58">
        <v>1222279.57958158</v>
      </c>
      <c r="AX8" s="59">
        <v>0</v>
      </c>
      <c r="AY8" s="58">
        <v>1222279.57958158</v>
      </c>
      <c r="AZ8" s="59">
        <v>0</v>
      </c>
      <c r="BA8" s="59">
        <v>-2627614.64154689</v>
      </c>
      <c r="BB8" s="58">
        <v>-2627614.64154689</v>
      </c>
      <c r="BC8" s="59">
        <v>260795.535624569</v>
      </c>
      <c r="BD8" s="78">
        <v>-1144539.52634074</v>
      </c>
      <c r="BE8" s="59">
        <v>14933018.4856</v>
      </c>
      <c r="BF8" s="60">
        <v>235072612.002959</v>
      </c>
    </row>
    <row r="9" spans="1:58">
      <c r="A9" s="26"/>
      <c r="B9" s="3" t="s">
        <v>12</v>
      </c>
      <c r="C9" s="27" t="s">
        <v>103</v>
      </c>
      <c r="D9" s="28">
        <v>0</v>
      </c>
      <c r="E9" s="28">
        <v>44377.4092007525</v>
      </c>
      <c r="F9" s="28">
        <v>535454.388453147</v>
      </c>
      <c r="G9" s="28">
        <v>31524.5192237171</v>
      </c>
      <c r="H9" s="28">
        <v>15664.7283899067</v>
      </c>
      <c r="I9" s="28">
        <v>0</v>
      </c>
      <c r="J9" s="28">
        <v>0</v>
      </c>
      <c r="K9" s="28">
        <v>0</v>
      </c>
      <c r="L9" s="28">
        <v>59261.9428270362</v>
      </c>
      <c r="M9" s="28">
        <v>187886293.752044</v>
      </c>
      <c r="N9" s="28">
        <v>16889359.6350297</v>
      </c>
      <c r="O9" s="28">
        <v>26683.8113551823</v>
      </c>
      <c r="P9" s="28">
        <v>822898.055168624</v>
      </c>
      <c r="Q9" s="28">
        <v>1363725.18487091</v>
      </c>
      <c r="R9" s="28">
        <v>372310.778593975</v>
      </c>
      <c r="S9" s="28">
        <v>752409.264049758</v>
      </c>
      <c r="T9" s="28">
        <v>586961.701803624</v>
      </c>
      <c r="U9" s="28">
        <v>564473.994730403</v>
      </c>
      <c r="V9" s="28">
        <v>372468.273862654</v>
      </c>
      <c r="W9" s="28">
        <v>425241.526902509</v>
      </c>
      <c r="X9" s="28">
        <v>143883.096274343</v>
      </c>
      <c r="Y9" s="28">
        <v>68067.4046851267</v>
      </c>
      <c r="Z9" s="28">
        <v>0</v>
      </c>
      <c r="AA9" s="28">
        <v>0</v>
      </c>
      <c r="AB9" s="28">
        <v>6735286.14716291</v>
      </c>
      <c r="AC9" s="28">
        <v>33825563.8114644</v>
      </c>
      <c r="AD9" s="28">
        <v>0</v>
      </c>
      <c r="AE9" s="28">
        <v>0</v>
      </c>
      <c r="AF9" s="28">
        <v>0</v>
      </c>
      <c r="AG9" s="28">
        <v>487.919528303472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2507.15717502756</v>
      </c>
      <c r="AN9" s="28">
        <v>0</v>
      </c>
      <c r="AO9" s="28">
        <v>0</v>
      </c>
      <c r="AP9" s="28">
        <v>0</v>
      </c>
      <c r="AQ9" s="28">
        <v>34579.8903777148</v>
      </c>
      <c r="AR9" s="28">
        <v>1756.02572738146</v>
      </c>
      <c r="AS9" s="28">
        <v>48307.8921799157</v>
      </c>
      <c r="AT9" s="58">
        <v>251609548.311081</v>
      </c>
      <c r="AU9" s="59">
        <v>0</v>
      </c>
      <c r="AV9" s="59">
        <v>0</v>
      </c>
      <c r="AW9" s="58">
        <v>0</v>
      </c>
      <c r="AX9" s="59">
        <v>0</v>
      </c>
      <c r="AY9" s="58">
        <v>0</v>
      </c>
      <c r="AZ9" s="59">
        <v>0</v>
      </c>
      <c r="BA9" s="59">
        <v>288640.908265803</v>
      </c>
      <c r="BB9" s="58">
        <v>288640.908265803</v>
      </c>
      <c r="BC9" s="59">
        <v>1085317.43329964</v>
      </c>
      <c r="BD9" s="78">
        <v>1373958.34156544</v>
      </c>
      <c r="BE9" s="59">
        <v>145293939.376476</v>
      </c>
      <c r="BF9" s="60">
        <v>107689567.27617</v>
      </c>
    </row>
    <row r="10" ht="22.5" spans="1:58">
      <c r="A10" s="26"/>
      <c r="B10" s="3" t="s">
        <v>68</v>
      </c>
      <c r="C10" s="27" t="s">
        <v>104</v>
      </c>
      <c r="D10" s="28">
        <v>2307.81151857475</v>
      </c>
      <c r="E10" s="28">
        <v>45270.0457964208</v>
      </c>
      <c r="F10" s="28">
        <v>20550.0678376632</v>
      </c>
      <c r="G10" s="28">
        <v>12059564.9586758</v>
      </c>
      <c r="H10" s="28">
        <v>74468.2606276879</v>
      </c>
      <c r="I10" s="28">
        <v>62486.3039670561</v>
      </c>
      <c r="J10" s="28">
        <v>20915.9223997197</v>
      </c>
      <c r="K10" s="28">
        <v>14130.6009395911</v>
      </c>
      <c r="L10" s="28">
        <v>917816.888132654</v>
      </c>
      <c r="M10" s="28">
        <v>351666.072111734</v>
      </c>
      <c r="N10" s="28">
        <v>13663939.4054013</v>
      </c>
      <c r="O10" s="28">
        <v>218560.812755461</v>
      </c>
      <c r="P10" s="28">
        <v>57763.3437147025</v>
      </c>
      <c r="Q10" s="28">
        <v>51091548.5738264</v>
      </c>
      <c r="R10" s="28">
        <v>132438838.939999</v>
      </c>
      <c r="S10" s="28">
        <v>78502942.8511738</v>
      </c>
      <c r="T10" s="28">
        <v>6503772.51550354</v>
      </c>
      <c r="U10" s="28">
        <v>64839.4124824345</v>
      </c>
      <c r="V10" s="28">
        <v>122513.000410724</v>
      </c>
      <c r="W10" s="28">
        <v>165447.679312373</v>
      </c>
      <c r="X10" s="28">
        <v>51425.0087838176</v>
      </c>
      <c r="Y10" s="28">
        <v>614877.851524069</v>
      </c>
      <c r="Z10" s="28">
        <v>90520.2494220508</v>
      </c>
      <c r="AA10" s="28">
        <v>56747.9789854399</v>
      </c>
      <c r="AB10" s="28">
        <v>106588.815233874</v>
      </c>
      <c r="AC10" s="28">
        <v>0</v>
      </c>
      <c r="AD10" s="28">
        <v>0</v>
      </c>
      <c r="AE10" s="28">
        <v>24113818.5012069</v>
      </c>
      <c r="AF10" s="28">
        <v>60555.4574650356</v>
      </c>
      <c r="AG10" s="28">
        <v>179268.148353341</v>
      </c>
      <c r="AH10" s="28">
        <v>4016.85282675244</v>
      </c>
      <c r="AI10" s="28">
        <v>87.1136719403539</v>
      </c>
      <c r="AJ10" s="28">
        <v>747.238828563121</v>
      </c>
      <c r="AK10" s="28">
        <v>376.875238539133</v>
      </c>
      <c r="AL10" s="28">
        <v>1678.85138596035</v>
      </c>
      <c r="AM10" s="28">
        <v>333550.555462021</v>
      </c>
      <c r="AN10" s="28">
        <v>3880.59231738102</v>
      </c>
      <c r="AO10" s="28">
        <v>3727.64372691537</v>
      </c>
      <c r="AP10" s="28">
        <v>2965.11773276757</v>
      </c>
      <c r="AQ10" s="28">
        <v>1023.05544281491</v>
      </c>
      <c r="AR10" s="28">
        <v>5435.0280575937</v>
      </c>
      <c r="AS10" s="28">
        <v>31541.5542402049</v>
      </c>
      <c r="AT10" s="28">
        <v>322048045.355553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2801192.31203604</v>
      </c>
      <c r="BB10" s="28">
        <v>2801192.31203604</v>
      </c>
      <c r="BC10" s="28">
        <v>3333103.89853743</v>
      </c>
      <c r="BD10" s="28">
        <v>6134296.21057347</v>
      </c>
      <c r="BE10" s="28">
        <v>134647742.327847</v>
      </c>
      <c r="BF10" s="28">
        <v>193534599.238279</v>
      </c>
    </row>
    <row r="11" spans="1:58">
      <c r="A11" s="26"/>
      <c r="B11" s="3" t="s">
        <v>69</v>
      </c>
      <c r="C11" s="27" t="s">
        <v>105</v>
      </c>
      <c r="D11" s="28">
        <v>0</v>
      </c>
      <c r="E11" s="28">
        <v>1372272.59589666</v>
      </c>
      <c r="F11" s="28">
        <v>16942467.3563436</v>
      </c>
      <c r="G11" s="28">
        <v>1047957.68174087</v>
      </c>
      <c r="H11" s="28">
        <v>177012.617993215</v>
      </c>
      <c r="I11" s="28">
        <v>466046.588408006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12.6722374204862</v>
      </c>
      <c r="AA11" s="28">
        <v>0</v>
      </c>
      <c r="AB11" s="28">
        <v>231004.90996499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58">
        <v>20236774.4225848</v>
      </c>
      <c r="AU11" s="59">
        <v>0</v>
      </c>
      <c r="AV11" s="59">
        <v>0</v>
      </c>
      <c r="AW11" s="58">
        <v>0</v>
      </c>
      <c r="AX11" s="59">
        <v>0</v>
      </c>
      <c r="AY11" s="58">
        <v>0</v>
      </c>
      <c r="AZ11" s="59">
        <v>0</v>
      </c>
      <c r="BA11" s="59">
        <v>0</v>
      </c>
      <c r="BB11" s="58">
        <v>0</v>
      </c>
      <c r="BC11" s="59">
        <v>0</v>
      </c>
      <c r="BD11" s="78">
        <v>0</v>
      </c>
      <c r="BE11" s="59">
        <v>0</v>
      </c>
      <c r="BF11" s="60">
        <v>20236774.4225848</v>
      </c>
    </row>
    <row r="12" ht="22.5" spans="1:58">
      <c r="A12" s="26"/>
      <c r="B12" s="3" t="s">
        <v>15</v>
      </c>
      <c r="C12" s="27" t="s">
        <v>106</v>
      </c>
      <c r="D12" s="28">
        <v>108184867.522413</v>
      </c>
      <c r="E12" s="28">
        <v>413271.658443367</v>
      </c>
      <c r="F12" s="28">
        <v>79328.1272889104</v>
      </c>
      <c r="G12" s="28">
        <v>942010.646004773</v>
      </c>
      <c r="H12" s="28">
        <v>15471.0429285469</v>
      </c>
      <c r="I12" s="28">
        <v>249372493.69703</v>
      </c>
      <c r="J12" s="28">
        <v>14128691.5738324</v>
      </c>
      <c r="K12" s="28">
        <v>1247437.63886387</v>
      </c>
      <c r="L12" s="28">
        <v>3016090.17085909</v>
      </c>
      <c r="M12" s="28">
        <v>3256002.55383412</v>
      </c>
      <c r="N12" s="28">
        <v>25114335.1987531</v>
      </c>
      <c r="O12" s="28">
        <v>7560676.09697559</v>
      </c>
      <c r="P12" s="28">
        <v>750764.122867235</v>
      </c>
      <c r="Q12" s="28">
        <v>1766033.0825439</v>
      </c>
      <c r="R12" s="28">
        <v>3822314.43070827</v>
      </c>
      <c r="S12" s="28">
        <v>4171930.42313954</v>
      </c>
      <c r="T12" s="28">
        <v>2846827.69215631</v>
      </c>
      <c r="U12" s="28">
        <v>4402856.88402916</v>
      </c>
      <c r="V12" s="28">
        <v>2451141.56851923</v>
      </c>
      <c r="W12" s="28">
        <v>2157646.37847421</v>
      </c>
      <c r="X12" s="28">
        <v>1244965.17236129</v>
      </c>
      <c r="Y12" s="28">
        <v>4524092.63929907</v>
      </c>
      <c r="Z12" s="28">
        <v>7303684.29711116</v>
      </c>
      <c r="AA12" s="28">
        <v>618269.902072792</v>
      </c>
      <c r="AB12" s="28">
        <v>5006459.09186668</v>
      </c>
      <c r="AC12" s="28">
        <v>538269.508626067</v>
      </c>
      <c r="AD12" s="28">
        <v>432454.547487259</v>
      </c>
      <c r="AE12" s="28">
        <v>5743107.42656011</v>
      </c>
      <c r="AF12" s="28">
        <v>2301664.0439841</v>
      </c>
      <c r="AG12" s="28">
        <v>7651112.79792703</v>
      </c>
      <c r="AH12" s="28">
        <v>127743752.704125</v>
      </c>
      <c r="AI12" s="28">
        <v>5595412.73930147</v>
      </c>
      <c r="AJ12" s="28">
        <v>2856239.85034615</v>
      </c>
      <c r="AK12" s="28">
        <v>4673588.72876758</v>
      </c>
      <c r="AL12" s="28">
        <v>16568941.0008212</v>
      </c>
      <c r="AM12" s="28">
        <v>4782871.60767205</v>
      </c>
      <c r="AN12" s="28">
        <v>3289851.36364205</v>
      </c>
      <c r="AO12" s="28">
        <v>7513197.70883892</v>
      </c>
      <c r="AP12" s="28">
        <v>12503170.8552663</v>
      </c>
      <c r="AQ12" s="28">
        <v>7006157.66992134</v>
      </c>
      <c r="AR12" s="28">
        <v>9671567.59988475</v>
      </c>
      <c r="AS12" s="28">
        <v>7647553.5130843</v>
      </c>
      <c r="AT12" s="28">
        <v>679669137.639768</v>
      </c>
      <c r="AU12" s="28">
        <v>156188434.737491</v>
      </c>
      <c r="AV12" s="28">
        <v>452326731.017457</v>
      </c>
      <c r="AW12" s="28">
        <v>608515165.754948</v>
      </c>
      <c r="AX12" s="28">
        <v>0</v>
      </c>
      <c r="AY12" s="28">
        <v>608515165.754948</v>
      </c>
      <c r="AZ12" s="28">
        <v>0</v>
      </c>
      <c r="BA12" s="28">
        <v>8525640.23274636</v>
      </c>
      <c r="BB12" s="28">
        <v>8525640.23274636</v>
      </c>
      <c r="BC12" s="28">
        <v>35833494.4737183</v>
      </c>
      <c r="BD12" s="28">
        <v>652874300.461413</v>
      </c>
      <c r="BE12" s="28">
        <v>81180639.9300747</v>
      </c>
      <c r="BF12" s="28">
        <v>1251362798.17111</v>
      </c>
    </row>
    <row r="13" ht="22.5" spans="1:58">
      <c r="A13" s="26"/>
      <c r="B13" s="3" t="s">
        <v>70</v>
      </c>
      <c r="C13" s="27" t="s">
        <v>107</v>
      </c>
      <c r="D13" s="28">
        <v>255022.543439289</v>
      </c>
      <c r="E13" s="28">
        <v>1536716.46156944</v>
      </c>
      <c r="F13" s="28">
        <v>172891.147199542</v>
      </c>
      <c r="G13" s="28">
        <v>431377.150599356</v>
      </c>
      <c r="H13" s="28">
        <v>299060.72832193</v>
      </c>
      <c r="I13" s="28">
        <v>3696564.17524091</v>
      </c>
      <c r="J13" s="28">
        <v>314846172.317828</v>
      </c>
      <c r="K13" s="28">
        <v>8109575.90684068</v>
      </c>
      <c r="L13" s="28">
        <v>21141410.3650942</v>
      </c>
      <c r="M13" s="28">
        <v>892568.296699202</v>
      </c>
      <c r="N13" s="28">
        <v>3692227.01976529</v>
      </c>
      <c r="O13" s="28">
        <v>4066224.93700254</v>
      </c>
      <c r="P13" s="28">
        <v>3366898.14673525</v>
      </c>
      <c r="Q13" s="28">
        <v>4050298.89802505</v>
      </c>
      <c r="R13" s="28">
        <v>649060.660570886</v>
      </c>
      <c r="S13" s="28">
        <v>445858.5484269</v>
      </c>
      <c r="T13" s="28">
        <v>2025532.94802317</v>
      </c>
      <c r="U13" s="28">
        <v>1951908.6158987</v>
      </c>
      <c r="V13" s="28">
        <v>1960493.2319758</v>
      </c>
      <c r="W13" s="28">
        <v>5639280.41273128</v>
      </c>
      <c r="X13" s="28">
        <v>1374959.51393638</v>
      </c>
      <c r="Y13" s="28">
        <v>3039653.04025956</v>
      </c>
      <c r="Z13" s="28">
        <v>3035965.53100108</v>
      </c>
      <c r="AA13" s="28">
        <v>4187381.80693571</v>
      </c>
      <c r="AB13" s="28">
        <v>864761.169081432</v>
      </c>
      <c r="AC13" s="28">
        <v>343622.086074463</v>
      </c>
      <c r="AD13" s="28">
        <v>391871.282419785</v>
      </c>
      <c r="AE13" s="28">
        <v>4541077.50017254</v>
      </c>
      <c r="AF13" s="28">
        <v>3219495.27310769</v>
      </c>
      <c r="AG13" s="28">
        <v>5114728.6137928</v>
      </c>
      <c r="AH13" s="28">
        <v>3509705.23363709</v>
      </c>
      <c r="AI13" s="28">
        <v>999494.98799007</v>
      </c>
      <c r="AJ13" s="28">
        <v>4708210.37104308</v>
      </c>
      <c r="AK13" s="28">
        <v>2106065.83794524</v>
      </c>
      <c r="AL13" s="28">
        <v>16680634.6777205</v>
      </c>
      <c r="AM13" s="28">
        <v>2606793.12976341</v>
      </c>
      <c r="AN13" s="28">
        <v>1524598.30164377</v>
      </c>
      <c r="AO13" s="28">
        <v>2503390.60338016</v>
      </c>
      <c r="AP13" s="28">
        <v>1549810.36722802</v>
      </c>
      <c r="AQ13" s="28">
        <v>9533818.84410911</v>
      </c>
      <c r="AR13" s="28">
        <v>4734179.27077031</v>
      </c>
      <c r="AS13" s="28">
        <v>25315084.364078</v>
      </c>
      <c r="AT13" s="28">
        <v>473004868.411237</v>
      </c>
      <c r="AU13" s="28">
        <v>23013748.4379359</v>
      </c>
      <c r="AV13" s="28">
        <v>108193778.357946</v>
      </c>
      <c r="AW13" s="28">
        <v>131207526.795881</v>
      </c>
      <c r="AX13" s="28">
        <v>0</v>
      </c>
      <c r="AY13" s="28">
        <v>131207526.795881</v>
      </c>
      <c r="AZ13" s="28">
        <v>0</v>
      </c>
      <c r="BA13" s="28">
        <v>-3571111.18213603</v>
      </c>
      <c r="BB13" s="28">
        <v>-3571111.18213603</v>
      </c>
      <c r="BC13" s="28">
        <v>186801140.367055</v>
      </c>
      <c r="BD13" s="28">
        <v>314437555.9808</v>
      </c>
      <c r="BE13" s="28">
        <v>30055497.5779274</v>
      </c>
      <c r="BF13" s="28">
        <v>757386926.814109</v>
      </c>
    </row>
    <row r="14" spans="1:58">
      <c r="A14" s="26"/>
      <c r="B14" s="3" t="s">
        <v>18</v>
      </c>
      <c r="C14" s="27" t="s">
        <v>108</v>
      </c>
      <c r="D14" s="28">
        <v>336188.94851518</v>
      </c>
      <c r="E14" s="28">
        <v>3559037.46550998</v>
      </c>
      <c r="F14" s="28">
        <v>156891.295009284</v>
      </c>
      <c r="G14" s="28">
        <v>254624.370893772</v>
      </c>
      <c r="H14" s="28">
        <v>6327.71506738741</v>
      </c>
      <c r="I14" s="28">
        <v>845240.038181566</v>
      </c>
      <c r="J14" s="28">
        <v>918481.021076632</v>
      </c>
      <c r="K14" s="28">
        <v>81780666.7864068</v>
      </c>
      <c r="L14" s="28">
        <v>90084970.0526307</v>
      </c>
      <c r="M14" s="28">
        <v>186690.20276233</v>
      </c>
      <c r="N14" s="28">
        <v>1302287.31358054</v>
      </c>
      <c r="O14" s="28">
        <v>114696.063166182</v>
      </c>
      <c r="P14" s="28">
        <v>708459.643297441</v>
      </c>
      <c r="Q14" s="28">
        <v>1957227.21283316</v>
      </c>
      <c r="R14" s="28">
        <v>49068.2556692723</v>
      </c>
      <c r="S14" s="28">
        <v>185262.263867208</v>
      </c>
      <c r="T14" s="28">
        <v>4792477.83588318</v>
      </c>
      <c r="U14" s="28">
        <v>931517.230406751</v>
      </c>
      <c r="V14" s="28">
        <v>637156.813873956</v>
      </c>
      <c r="W14" s="28">
        <v>5926683.18023028</v>
      </c>
      <c r="X14" s="28">
        <v>652732.72847239</v>
      </c>
      <c r="Y14" s="28">
        <v>1177748.8394234</v>
      </c>
      <c r="Z14" s="28">
        <v>1019650.00693627</v>
      </c>
      <c r="AA14" s="28">
        <v>1295524.24854755</v>
      </c>
      <c r="AB14" s="28">
        <v>201717.800411536</v>
      </c>
      <c r="AC14" s="28">
        <v>4011.85983524315</v>
      </c>
      <c r="AD14" s="28">
        <v>3316.50846227722</v>
      </c>
      <c r="AE14" s="28">
        <v>57246609.1861674</v>
      </c>
      <c r="AF14" s="28">
        <v>423651.483030054</v>
      </c>
      <c r="AG14" s="28">
        <v>934919.871925881</v>
      </c>
      <c r="AH14" s="28">
        <v>196032.426933949</v>
      </c>
      <c r="AI14" s="28">
        <v>922455.744975699</v>
      </c>
      <c r="AJ14" s="28">
        <v>474744.038779291</v>
      </c>
      <c r="AK14" s="28">
        <v>546486.361082336</v>
      </c>
      <c r="AL14" s="28">
        <v>599781.950685656</v>
      </c>
      <c r="AM14" s="28">
        <v>50562.2035715714</v>
      </c>
      <c r="AN14" s="28">
        <v>401102.145329399</v>
      </c>
      <c r="AO14" s="28">
        <v>635895.594285151</v>
      </c>
      <c r="AP14" s="28">
        <v>342879.719653339</v>
      </c>
      <c r="AQ14" s="28">
        <v>75136.0262608054</v>
      </c>
      <c r="AR14" s="28">
        <v>319747.384311979</v>
      </c>
      <c r="AS14" s="28">
        <v>3983063.10812222</v>
      </c>
      <c r="AT14" s="28">
        <v>184461056.159658</v>
      </c>
      <c r="AU14" s="28">
        <v>5007508.01627223</v>
      </c>
      <c r="AV14" s="28">
        <v>17646337.0974422</v>
      </c>
      <c r="AW14" s="28">
        <v>22653845.1137145</v>
      </c>
      <c r="AX14" s="28">
        <v>0</v>
      </c>
      <c r="AY14" s="28">
        <v>22653845.1137145</v>
      </c>
      <c r="AZ14" s="28">
        <v>21595789.2652824</v>
      </c>
      <c r="BA14" s="28">
        <v>1674063.132307</v>
      </c>
      <c r="BB14" s="28">
        <v>23269852.3975894</v>
      </c>
      <c r="BC14" s="28">
        <v>44765296.8992244</v>
      </c>
      <c r="BD14" s="28">
        <v>90688994.4105282</v>
      </c>
      <c r="BE14" s="28">
        <v>9736870.66063594</v>
      </c>
      <c r="BF14" s="28">
        <v>265413179.90955</v>
      </c>
    </row>
    <row r="15" ht="22.5" spans="1:58">
      <c r="A15" s="26"/>
      <c r="B15" s="3" t="s">
        <v>19</v>
      </c>
      <c r="C15" s="27" t="s">
        <v>109</v>
      </c>
      <c r="D15" s="28">
        <v>1025682.30896579</v>
      </c>
      <c r="E15" s="28">
        <v>31068.8817959149</v>
      </c>
      <c r="F15" s="28">
        <v>9688.63536932747</v>
      </c>
      <c r="G15" s="28">
        <v>315134.032425351</v>
      </c>
      <c r="H15" s="28">
        <v>18042.4084069333</v>
      </c>
      <c r="I15" s="28">
        <v>13214439.5540172</v>
      </c>
      <c r="J15" s="28">
        <v>3599305.40965772</v>
      </c>
      <c r="K15" s="28">
        <v>2513515.69809298</v>
      </c>
      <c r="L15" s="28">
        <v>105171872.237609</v>
      </c>
      <c r="M15" s="28">
        <v>357515.627338638</v>
      </c>
      <c r="N15" s="28">
        <v>4061404.60973771</v>
      </c>
      <c r="O15" s="28">
        <v>4907967.41960839</v>
      </c>
      <c r="P15" s="28">
        <v>1782237.44059344</v>
      </c>
      <c r="Q15" s="28">
        <v>8915729.52251939</v>
      </c>
      <c r="R15" s="28">
        <v>89427.2502958169</v>
      </c>
      <c r="S15" s="28">
        <v>336660.365586566</v>
      </c>
      <c r="T15" s="28">
        <v>1916810.82906771</v>
      </c>
      <c r="U15" s="28">
        <v>1926288.93588328</v>
      </c>
      <c r="V15" s="28">
        <v>1841924.12432413</v>
      </c>
      <c r="W15" s="28">
        <v>1597372.4923795</v>
      </c>
      <c r="X15" s="28">
        <v>344645.462482403</v>
      </c>
      <c r="Y15" s="28">
        <v>5512884.47738923</v>
      </c>
      <c r="Z15" s="28">
        <v>5349964.57540802</v>
      </c>
      <c r="AA15" s="28">
        <v>807927.262605985</v>
      </c>
      <c r="AB15" s="28">
        <v>458088.565631877</v>
      </c>
      <c r="AC15" s="28">
        <v>13078.6129304859</v>
      </c>
      <c r="AD15" s="28">
        <v>21179.9861951949</v>
      </c>
      <c r="AE15" s="28">
        <v>5313846.950804</v>
      </c>
      <c r="AF15" s="28">
        <v>8789370.77705652</v>
      </c>
      <c r="AG15" s="28">
        <v>4327923.85098029</v>
      </c>
      <c r="AH15" s="28">
        <v>1732626.81387094</v>
      </c>
      <c r="AI15" s="28">
        <v>27520721.3741255</v>
      </c>
      <c r="AJ15" s="28">
        <v>20038604.1968911</v>
      </c>
      <c r="AK15" s="28">
        <v>5345538.77828283</v>
      </c>
      <c r="AL15" s="28">
        <v>69510375.7570052</v>
      </c>
      <c r="AM15" s="28">
        <v>2605460.10470989</v>
      </c>
      <c r="AN15" s="28">
        <v>5513422.17324682</v>
      </c>
      <c r="AO15" s="28">
        <v>1759661.66398027</v>
      </c>
      <c r="AP15" s="28">
        <v>12646200.9615065</v>
      </c>
      <c r="AQ15" s="28">
        <v>288424.6339077</v>
      </c>
      <c r="AR15" s="28">
        <v>7453946.58926637</v>
      </c>
      <c r="AS15" s="28">
        <v>20046564.5438227</v>
      </c>
      <c r="AT15" s="28">
        <v>356519030.197682</v>
      </c>
      <c r="AU15" s="28">
        <v>6120942.01358039</v>
      </c>
      <c r="AV15" s="28">
        <v>29346781.884146</v>
      </c>
      <c r="AW15" s="28">
        <v>35467723.8977264</v>
      </c>
      <c r="AX15" s="28">
        <v>0</v>
      </c>
      <c r="AY15" s="28">
        <v>35467723.8977264</v>
      </c>
      <c r="AZ15" s="28">
        <v>4281134.57767656</v>
      </c>
      <c r="BA15" s="28">
        <v>-8038986.62641049</v>
      </c>
      <c r="BB15" s="28">
        <v>-3757852.04873393</v>
      </c>
      <c r="BC15" s="28">
        <v>66074535.2715691</v>
      </c>
      <c r="BD15" s="28">
        <v>97784407.1205616</v>
      </c>
      <c r="BE15" s="28">
        <v>25910670.9349091</v>
      </c>
      <c r="BF15" s="28">
        <v>428392766.383334</v>
      </c>
    </row>
    <row r="16" spans="1:58">
      <c r="A16" s="26"/>
      <c r="B16" s="3" t="s">
        <v>20</v>
      </c>
      <c r="C16" s="27" t="s">
        <v>110</v>
      </c>
      <c r="D16" s="28">
        <v>4991926.8170677</v>
      </c>
      <c r="E16" s="28">
        <v>700362.548398904</v>
      </c>
      <c r="F16" s="28">
        <v>395976.193217635</v>
      </c>
      <c r="G16" s="28">
        <v>7776692.26087838</v>
      </c>
      <c r="H16" s="28">
        <v>799185.804049714</v>
      </c>
      <c r="I16" s="28">
        <v>1015050.64892136</v>
      </c>
      <c r="J16" s="28">
        <v>1120310.30955065</v>
      </c>
      <c r="K16" s="28">
        <v>1004346.25642645</v>
      </c>
      <c r="L16" s="28">
        <v>1858172.82265521</v>
      </c>
      <c r="M16" s="28">
        <v>22688075.9620932</v>
      </c>
      <c r="N16" s="28">
        <v>63847204.8147908</v>
      </c>
      <c r="O16" s="28">
        <v>474305.058058457</v>
      </c>
      <c r="P16" s="28">
        <v>2190479.26344565</v>
      </c>
      <c r="Q16" s="28">
        <v>19987603.8673744</v>
      </c>
      <c r="R16" s="28">
        <v>42144146.6339878</v>
      </c>
      <c r="S16" s="28">
        <v>7221065.24696479</v>
      </c>
      <c r="T16" s="28">
        <v>3078282.76033665</v>
      </c>
      <c r="U16" s="28">
        <v>2035296.83084512</v>
      </c>
      <c r="V16" s="28">
        <v>1035075.19329482</v>
      </c>
      <c r="W16" s="28">
        <v>1106854.01498069</v>
      </c>
      <c r="X16" s="28">
        <v>444478.819576369</v>
      </c>
      <c r="Y16" s="28">
        <v>1121539.90998124</v>
      </c>
      <c r="Z16" s="28">
        <v>1058861.30704058</v>
      </c>
      <c r="AA16" s="28">
        <v>836932.65424877</v>
      </c>
      <c r="AB16" s="28">
        <v>10310485.4882796</v>
      </c>
      <c r="AC16" s="28">
        <v>1882494.50116738</v>
      </c>
      <c r="AD16" s="28">
        <v>38463.4315203771</v>
      </c>
      <c r="AE16" s="28">
        <v>37120733.0802531</v>
      </c>
      <c r="AF16" s="28">
        <v>3295901.78490335</v>
      </c>
      <c r="AG16" s="28">
        <v>96331786.3585812</v>
      </c>
      <c r="AH16" s="28">
        <v>1029117.57201222</v>
      </c>
      <c r="AI16" s="28">
        <v>1116149.5638976</v>
      </c>
      <c r="AJ16" s="28">
        <v>3729490.57091535</v>
      </c>
      <c r="AK16" s="28">
        <v>1528256.12300274</v>
      </c>
      <c r="AL16" s="28">
        <v>19256951.1198758</v>
      </c>
      <c r="AM16" s="28">
        <v>1475382.56939414</v>
      </c>
      <c r="AN16" s="28">
        <v>12374899.301729</v>
      </c>
      <c r="AO16" s="28">
        <v>1218116.77656808</v>
      </c>
      <c r="AP16" s="28">
        <v>2786127.90665482</v>
      </c>
      <c r="AQ16" s="28">
        <v>239725.60842664</v>
      </c>
      <c r="AR16" s="28">
        <v>469119.179650675</v>
      </c>
      <c r="AS16" s="28">
        <v>5767313.99050409</v>
      </c>
      <c r="AT16" s="28">
        <v>387898394.669095</v>
      </c>
      <c r="AU16" s="28">
        <v>5745628.19309087</v>
      </c>
      <c r="AV16" s="28">
        <v>28313584.6405669</v>
      </c>
      <c r="AW16" s="28">
        <v>34059212.8336577</v>
      </c>
      <c r="AX16" s="28">
        <v>0</v>
      </c>
      <c r="AY16" s="28">
        <v>34059212.8336577</v>
      </c>
      <c r="AZ16" s="28">
        <v>0</v>
      </c>
      <c r="BA16" s="28">
        <v>-5955399.24897708</v>
      </c>
      <c r="BB16" s="28">
        <v>-5955399.24897708</v>
      </c>
      <c r="BC16" s="28">
        <v>15981224.401177</v>
      </c>
      <c r="BD16" s="28">
        <v>44085037.9858576</v>
      </c>
      <c r="BE16" s="28">
        <v>22650148.1800972</v>
      </c>
      <c r="BF16" s="28">
        <v>409333284.474856</v>
      </c>
    </row>
    <row r="17" ht="22.5" spans="1:59">
      <c r="A17" s="26"/>
      <c r="B17" s="3" t="s">
        <v>71</v>
      </c>
      <c r="C17" s="27" t="s">
        <v>111</v>
      </c>
      <c r="D17" s="28">
        <v>75932742.2132605</v>
      </c>
      <c r="E17" s="28">
        <v>2724058.15268707</v>
      </c>
      <c r="F17" s="28">
        <v>3946860.51405884</v>
      </c>
      <c r="G17" s="28">
        <v>9732267.09147012</v>
      </c>
      <c r="H17" s="28">
        <v>1246400.05568228</v>
      </c>
      <c r="I17" s="28">
        <v>5072727.70069335</v>
      </c>
      <c r="J17" s="28">
        <v>54593583.3185008</v>
      </c>
      <c r="K17" s="28">
        <v>16223099.5250488</v>
      </c>
      <c r="L17" s="28">
        <v>51348512.5649212</v>
      </c>
      <c r="M17" s="28">
        <v>14670765.357755</v>
      </c>
      <c r="N17" s="28">
        <v>292965053.664608</v>
      </c>
      <c r="O17" s="28">
        <v>11936419.0561466</v>
      </c>
      <c r="P17" s="28">
        <v>110271806.293507</v>
      </c>
      <c r="Q17" s="28">
        <v>31280002.3053056</v>
      </c>
      <c r="R17" s="28">
        <v>3761258.98916111</v>
      </c>
      <c r="S17" s="28">
        <v>9341339.83894302</v>
      </c>
      <c r="T17" s="28">
        <v>10641343.791129</v>
      </c>
      <c r="U17" s="28">
        <v>4653059.16834648</v>
      </c>
      <c r="V17" s="28">
        <v>2243331.55982255</v>
      </c>
      <c r="W17" s="28">
        <v>6970340.16868803</v>
      </c>
      <c r="X17" s="28">
        <v>2118210.80846642</v>
      </c>
      <c r="Y17" s="28">
        <v>26478745.3824965</v>
      </c>
      <c r="Z17" s="28">
        <v>15451768.3835839</v>
      </c>
      <c r="AA17" s="28">
        <v>5086887.59076767</v>
      </c>
      <c r="AB17" s="28">
        <v>221438.666535134</v>
      </c>
      <c r="AC17" s="28">
        <v>31293.1657941251</v>
      </c>
      <c r="AD17" s="28">
        <v>2463333.30168075</v>
      </c>
      <c r="AE17" s="28">
        <v>75178170.0559598</v>
      </c>
      <c r="AF17" s="28">
        <v>101065.704092291</v>
      </c>
      <c r="AG17" s="28">
        <v>988410.012628351</v>
      </c>
      <c r="AH17" s="28">
        <v>2502380.83951753</v>
      </c>
      <c r="AI17" s="28">
        <v>1218070.25217909</v>
      </c>
      <c r="AJ17" s="28">
        <v>301378.837718684</v>
      </c>
      <c r="AK17" s="28">
        <v>339047.635231256</v>
      </c>
      <c r="AL17" s="28">
        <v>4302489.10772241</v>
      </c>
      <c r="AM17" s="28">
        <v>14442888.9944065</v>
      </c>
      <c r="AN17" s="28">
        <v>20348720.0274329</v>
      </c>
      <c r="AO17" s="28">
        <v>13522935.637701</v>
      </c>
      <c r="AP17" s="28">
        <v>7517280.07770332</v>
      </c>
      <c r="AQ17" s="28">
        <v>538883.132006158</v>
      </c>
      <c r="AR17" s="28">
        <v>1609725.58352926</v>
      </c>
      <c r="AS17" s="28">
        <v>8727065.82945762</v>
      </c>
      <c r="AT17" s="28">
        <v>906822060.831296</v>
      </c>
      <c r="AU17" s="28">
        <v>2773014.20640511</v>
      </c>
      <c r="AV17" s="28">
        <v>19771296.6729743</v>
      </c>
      <c r="AW17" s="28">
        <v>22544310.8793794</v>
      </c>
      <c r="AX17" s="28">
        <v>0</v>
      </c>
      <c r="AY17" s="28">
        <v>22544310.8793794</v>
      </c>
      <c r="AZ17" s="28">
        <v>0</v>
      </c>
      <c r="BA17" s="28">
        <v>-17407692.4580363</v>
      </c>
      <c r="BB17" s="28">
        <v>-17407692.4580363</v>
      </c>
      <c r="BC17" s="28">
        <v>66207877.6200248</v>
      </c>
      <c r="BD17" s="28">
        <v>71344496.041368</v>
      </c>
      <c r="BE17" s="28">
        <v>123069963.945637</v>
      </c>
      <c r="BF17" s="28">
        <v>855096592.927028</v>
      </c>
      <c r="BG17" s="28"/>
    </row>
    <row r="18" spans="1:58">
      <c r="A18" s="26"/>
      <c r="B18" s="3" t="s">
        <v>72</v>
      </c>
      <c r="C18" s="27" t="s">
        <v>112</v>
      </c>
      <c r="D18" s="28">
        <v>6070961.4374369</v>
      </c>
      <c r="E18" s="28">
        <v>41905.1238799485</v>
      </c>
      <c r="F18" s="28">
        <v>18810.3688546611</v>
      </c>
      <c r="G18" s="28">
        <v>6112.28496426447</v>
      </c>
      <c r="H18" s="28">
        <v>670.133278818854</v>
      </c>
      <c r="I18" s="28">
        <v>812022.34228901</v>
      </c>
      <c r="J18" s="28">
        <v>88147.3149178368</v>
      </c>
      <c r="K18" s="28">
        <v>2763.5261905479</v>
      </c>
      <c r="L18" s="28">
        <v>656674.068088808</v>
      </c>
      <c r="M18" s="28">
        <v>14976.675812205</v>
      </c>
      <c r="N18" s="28">
        <v>1196870.9554063</v>
      </c>
      <c r="O18" s="28">
        <v>61912202.1611742</v>
      </c>
      <c r="P18" s="28">
        <v>81220.6786497977</v>
      </c>
      <c r="Q18" s="28">
        <v>569294.792131288</v>
      </c>
      <c r="R18" s="28">
        <v>104789.230336209</v>
      </c>
      <c r="S18" s="28">
        <v>14108.632184689</v>
      </c>
      <c r="T18" s="28">
        <v>174018.265973163</v>
      </c>
      <c r="U18" s="28">
        <v>7811.94097137921</v>
      </c>
      <c r="V18" s="28">
        <v>424487.474676697</v>
      </c>
      <c r="W18" s="28">
        <v>10204.6638427004</v>
      </c>
      <c r="X18" s="28">
        <v>10869.3228811845</v>
      </c>
      <c r="Y18" s="28">
        <v>124300.882651088</v>
      </c>
      <c r="Z18" s="28">
        <v>501241.912749928</v>
      </c>
      <c r="AA18" s="28">
        <v>124963.88315405</v>
      </c>
      <c r="AB18" s="28">
        <v>16580.5681166556</v>
      </c>
      <c r="AC18" s="28">
        <v>375.411928677803</v>
      </c>
      <c r="AD18" s="28">
        <v>16573.3630853305</v>
      </c>
      <c r="AE18" s="28">
        <v>2238386.65971391</v>
      </c>
      <c r="AF18" s="28">
        <v>10825.8566038772</v>
      </c>
      <c r="AG18" s="28">
        <v>152802.039737391</v>
      </c>
      <c r="AH18" s="28">
        <v>814.26545664271</v>
      </c>
      <c r="AI18" s="28">
        <v>302859.26629002</v>
      </c>
      <c r="AJ18" s="28">
        <v>71563.52458761</v>
      </c>
      <c r="AK18" s="28">
        <v>15249.3786046615</v>
      </c>
      <c r="AL18" s="28">
        <v>178518.277358635</v>
      </c>
      <c r="AM18" s="28">
        <v>1060731.91296312</v>
      </c>
      <c r="AN18" s="28">
        <v>2592341.77051539</v>
      </c>
      <c r="AO18" s="28">
        <v>184325.826366096</v>
      </c>
      <c r="AP18" s="28">
        <v>710406.217106057</v>
      </c>
      <c r="AQ18" s="28">
        <v>163829848.564308</v>
      </c>
      <c r="AR18" s="28">
        <v>24625.0368917598</v>
      </c>
      <c r="AS18" s="28">
        <v>264315.067899182</v>
      </c>
      <c r="AT18" s="58">
        <v>244637807.553838</v>
      </c>
      <c r="AU18" s="59">
        <v>16266750.5557219</v>
      </c>
      <c r="AV18" s="59">
        <v>47595953.7120289</v>
      </c>
      <c r="AW18" s="58">
        <v>63862704.2677507</v>
      </c>
      <c r="AX18" s="59">
        <v>0</v>
      </c>
      <c r="AY18" s="58">
        <v>63862704.2677507</v>
      </c>
      <c r="AZ18" s="59">
        <v>0</v>
      </c>
      <c r="BA18" s="59">
        <v>-336221.76102223</v>
      </c>
      <c r="BB18" s="58">
        <v>-336221.76102223</v>
      </c>
      <c r="BC18" s="59">
        <v>22931108.4346494</v>
      </c>
      <c r="BD18" s="78">
        <v>86457590.9413779</v>
      </c>
      <c r="BE18" s="59">
        <v>31039261.6919652</v>
      </c>
      <c r="BF18" s="60">
        <v>300056136.80325</v>
      </c>
    </row>
    <row r="19" spans="1:58">
      <c r="A19" s="26"/>
      <c r="B19" s="3" t="s">
        <v>73</v>
      </c>
      <c r="C19" s="27" t="s">
        <v>113</v>
      </c>
      <c r="D19" s="28">
        <v>8674566.85602922</v>
      </c>
      <c r="E19" s="28">
        <v>554790.313514515</v>
      </c>
      <c r="F19" s="28">
        <v>68528.8864528181</v>
      </c>
      <c r="G19" s="28">
        <v>994753.47934881</v>
      </c>
      <c r="H19" s="28">
        <v>744309.452237152</v>
      </c>
      <c r="I19" s="28">
        <v>11841214.9098398</v>
      </c>
      <c r="J19" s="28">
        <v>10980215.0053935</v>
      </c>
      <c r="K19" s="28">
        <v>3914342.38141541</v>
      </c>
      <c r="L19" s="28">
        <v>18647978.8345959</v>
      </c>
      <c r="M19" s="28">
        <v>1430383.35073459</v>
      </c>
      <c r="N19" s="28">
        <v>17479775.9892103</v>
      </c>
      <c r="O19" s="28">
        <v>1643105.08134056</v>
      </c>
      <c r="P19" s="28">
        <v>66951058.3381522</v>
      </c>
      <c r="Q19" s="28">
        <v>6557029.94459803</v>
      </c>
      <c r="R19" s="28">
        <v>203901.473861746</v>
      </c>
      <c r="S19" s="28">
        <v>669836.430494631</v>
      </c>
      <c r="T19" s="28">
        <v>5295045.14678062</v>
      </c>
      <c r="U19" s="28">
        <v>7971170.36179427</v>
      </c>
      <c r="V19" s="28">
        <v>9663695.90113678</v>
      </c>
      <c r="W19" s="28">
        <v>23623523.3810003</v>
      </c>
      <c r="X19" s="28">
        <v>5314520.98210378</v>
      </c>
      <c r="Y19" s="28">
        <v>26318074.3545849</v>
      </c>
      <c r="Z19" s="28">
        <v>20386766.106557</v>
      </c>
      <c r="AA19" s="28">
        <v>3231171.45934218</v>
      </c>
      <c r="AB19" s="28">
        <v>33464.5802711214</v>
      </c>
      <c r="AC19" s="28">
        <v>49605.9371683766</v>
      </c>
      <c r="AD19" s="28">
        <v>698996.62604487</v>
      </c>
      <c r="AE19" s="28">
        <v>34699536.488755</v>
      </c>
      <c r="AF19" s="28">
        <v>2792063.86942768</v>
      </c>
      <c r="AG19" s="28">
        <v>11281845.0911446</v>
      </c>
      <c r="AH19" s="28">
        <v>1105133.71679425</v>
      </c>
      <c r="AI19" s="28">
        <v>1435216.1186581</v>
      </c>
      <c r="AJ19" s="28">
        <v>84412.1412041188</v>
      </c>
      <c r="AK19" s="28">
        <v>381127.878140542</v>
      </c>
      <c r="AL19" s="28">
        <v>3235527.54665874</v>
      </c>
      <c r="AM19" s="28">
        <v>1079352.10028159</v>
      </c>
      <c r="AN19" s="28">
        <v>1638385.26975062</v>
      </c>
      <c r="AO19" s="28">
        <v>2721409.74699748</v>
      </c>
      <c r="AP19" s="28">
        <v>56410.5046015424</v>
      </c>
      <c r="AQ19" s="28">
        <v>542008.486108518</v>
      </c>
      <c r="AR19" s="28">
        <v>259882.127805017</v>
      </c>
      <c r="AS19" s="28">
        <v>2071130.04497971</v>
      </c>
      <c r="AT19" s="28">
        <v>313410924.313895</v>
      </c>
      <c r="AU19" s="28">
        <v>1618615.77698355</v>
      </c>
      <c r="AV19" s="28">
        <v>4802149.25930368</v>
      </c>
      <c r="AW19" s="28">
        <v>6420765.03628723</v>
      </c>
      <c r="AX19" s="28">
        <v>0</v>
      </c>
      <c r="AY19" s="28">
        <v>6420765.03628723</v>
      </c>
      <c r="AZ19" s="28">
        <v>0</v>
      </c>
      <c r="BA19" s="28">
        <v>-1905835.73546151</v>
      </c>
      <c r="BB19" s="28">
        <v>-1905835.73546151</v>
      </c>
      <c r="BC19" s="28">
        <v>57120608.6330205</v>
      </c>
      <c r="BD19" s="28">
        <v>61635537.9338462</v>
      </c>
      <c r="BE19" s="28">
        <v>16854882.8883434</v>
      </c>
      <c r="BF19" s="28">
        <v>358191579.359398</v>
      </c>
    </row>
    <row r="20" ht="22.5" spans="1:58">
      <c r="A20" s="26"/>
      <c r="B20" s="3" t="s">
        <v>22</v>
      </c>
      <c r="C20" s="27" t="s">
        <v>114</v>
      </c>
      <c r="D20" s="28">
        <v>527672.17759183</v>
      </c>
      <c r="E20" s="28">
        <v>651313.190797085</v>
      </c>
      <c r="F20" s="28">
        <v>44591.483799541</v>
      </c>
      <c r="G20" s="28">
        <v>1669898.42570184</v>
      </c>
      <c r="H20" s="28">
        <v>621832.464801636</v>
      </c>
      <c r="I20" s="28">
        <v>4888099.93514356</v>
      </c>
      <c r="J20" s="28">
        <v>571224.965780013</v>
      </c>
      <c r="K20" s="28">
        <v>1921176.13456174</v>
      </c>
      <c r="L20" s="28">
        <v>2831024.82899356</v>
      </c>
      <c r="M20" s="28">
        <v>2724987.22578919</v>
      </c>
      <c r="N20" s="28">
        <v>4189217.05651148</v>
      </c>
      <c r="O20" s="28">
        <v>2706366.34919325</v>
      </c>
      <c r="P20" s="28">
        <v>1610249.55809414</v>
      </c>
      <c r="Q20" s="28">
        <v>139143632.929287</v>
      </c>
      <c r="R20" s="28">
        <v>9435905.68320356</v>
      </c>
      <c r="S20" s="28">
        <v>5914732.9799444</v>
      </c>
      <c r="T20" s="28">
        <v>6783958.81574809</v>
      </c>
      <c r="U20" s="28">
        <v>2873744.33131565</v>
      </c>
      <c r="V20" s="28">
        <v>4066510.97931666</v>
      </c>
      <c r="W20" s="28">
        <v>9953436.82817461</v>
      </c>
      <c r="X20" s="28">
        <v>671083.253446356</v>
      </c>
      <c r="Y20" s="28">
        <v>19235014.3764924</v>
      </c>
      <c r="Z20" s="28">
        <v>18711839.3144588</v>
      </c>
      <c r="AA20" s="28">
        <v>485772.817581162</v>
      </c>
      <c r="AB20" s="28">
        <v>1991624.45078551</v>
      </c>
      <c r="AC20" s="28">
        <v>7340.51288021515</v>
      </c>
      <c r="AD20" s="28">
        <v>22846.3969048266</v>
      </c>
      <c r="AE20" s="28">
        <v>454627661.348882</v>
      </c>
      <c r="AF20" s="28">
        <v>241247.964053041</v>
      </c>
      <c r="AG20" s="28">
        <v>461491.740800674</v>
      </c>
      <c r="AH20" s="28">
        <v>358067.299574387</v>
      </c>
      <c r="AI20" s="28">
        <v>91296.3941045513</v>
      </c>
      <c r="AJ20" s="28">
        <v>23697.817957802</v>
      </c>
      <c r="AK20" s="28">
        <v>32694.0298982424</v>
      </c>
      <c r="AL20" s="28">
        <v>260519.45747035</v>
      </c>
      <c r="AM20" s="28">
        <v>2268609.79743726</v>
      </c>
      <c r="AN20" s="28">
        <v>198547.940541488</v>
      </c>
      <c r="AO20" s="28">
        <v>95799.7559726067</v>
      </c>
      <c r="AP20" s="28">
        <v>1130620.33187729</v>
      </c>
      <c r="AQ20" s="28">
        <v>325720.011349539</v>
      </c>
      <c r="AR20" s="28">
        <v>4789.98048536338</v>
      </c>
      <c r="AS20" s="28">
        <v>832366.780787269</v>
      </c>
      <c r="AT20" s="28">
        <v>703287051.982928</v>
      </c>
      <c r="AU20" s="28">
        <v>1560823.70183441</v>
      </c>
      <c r="AV20" s="28">
        <v>3925831.46539935</v>
      </c>
      <c r="AW20" s="28">
        <v>5486655.16723376</v>
      </c>
      <c r="AX20" s="28">
        <v>0</v>
      </c>
      <c r="AY20" s="28">
        <v>5486655.16723376</v>
      </c>
      <c r="AZ20" s="28">
        <v>0</v>
      </c>
      <c r="BA20" s="28">
        <v>2140696.25007459</v>
      </c>
      <c r="BB20" s="28">
        <v>2140696.25007459</v>
      </c>
      <c r="BC20" s="28">
        <v>34554204.1794678</v>
      </c>
      <c r="BD20" s="28">
        <v>42181555.5967762</v>
      </c>
      <c r="BE20" s="28">
        <v>12436721.0287978</v>
      </c>
      <c r="BF20" s="28">
        <v>733031886.550906</v>
      </c>
    </row>
    <row r="21" ht="22.5" spans="1:58">
      <c r="A21" s="26"/>
      <c r="B21" s="3" t="s">
        <v>74</v>
      </c>
      <c r="C21" s="27" t="s">
        <v>115</v>
      </c>
      <c r="D21" s="28">
        <v>231511.568215592</v>
      </c>
      <c r="E21" s="28">
        <v>5985486.08519365</v>
      </c>
      <c r="F21" s="28">
        <v>1118312.49372155</v>
      </c>
      <c r="G21" s="28">
        <v>720856.196573386</v>
      </c>
      <c r="H21" s="28">
        <v>1121508.83883353</v>
      </c>
      <c r="I21" s="28">
        <v>272337.82113822</v>
      </c>
      <c r="J21" s="28">
        <v>382742.215678737</v>
      </c>
      <c r="K21" s="28">
        <v>2368084.20433955</v>
      </c>
      <c r="L21" s="28">
        <v>4485716.34250424</v>
      </c>
      <c r="M21" s="28">
        <v>198223.339229627</v>
      </c>
      <c r="N21" s="28">
        <v>718206.532950773</v>
      </c>
      <c r="O21" s="28">
        <v>44680.393718689</v>
      </c>
      <c r="P21" s="28">
        <v>1465016.60107062</v>
      </c>
      <c r="Q21" s="28">
        <v>13933004.787727</v>
      </c>
      <c r="R21" s="28">
        <v>128395223.97116</v>
      </c>
      <c r="S21" s="28">
        <v>2760821.3172431</v>
      </c>
      <c r="T21" s="28">
        <v>109844585.756683</v>
      </c>
      <c r="U21" s="28">
        <v>45037806.5312968</v>
      </c>
      <c r="V21" s="28">
        <v>24422112.739554</v>
      </c>
      <c r="W21" s="28">
        <v>24330508.5572174</v>
      </c>
      <c r="X21" s="28">
        <v>7720732.11743162</v>
      </c>
      <c r="Y21" s="28">
        <v>18090718.1437351</v>
      </c>
      <c r="Z21" s="28">
        <v>4833386.6625495</v>
      </c>
      <c r="AA21" s="28">
        <v>1307683.86630375</v>
      </c>
      <c r="AB21" s="28">
        <v>256746.456367951</v>
      </c>
      <c r="AC21" s="28">
        <v>114830.235785861</v>
      </c>
      <c r="AD21" s="28">
        <v>71861.8906758102</v>
      </c>
      <c r="AE21" s="28">
        <v>278702659.949081</v>
      </c>
      <c r="AF21" s="28">
        <v>8351.04339150855</v>
      </c>
      <c r="AG21" s="28">
        <v>604608.957174407</v>
      </c>
      <c r="AH21" s="28">
        <v>1823.5000182725</v>
      </c>
      <c r="AI21" s="28">
        <v>6206.66179050182</v>
      </c>
      <c r="AJ21" s="28">
        <v>11.3588255360261</v>
      </c>
      <c r="AK21" s="28">
        <v>1871.32785200208</v>
      </c>
      <c r="AL21" s="28">
        <v>1198.28643644775</v>
      </c>
      <c r="AM21" s="28">
        <v>177423.315010945</v>
      </c>
      <c r="AN21" s="28">
        <v>331864.869519912</v>
      </c>
      <c r="AO21" s="28">
        <v>8411.94844866562</v>
      </c>
      <c r="AP21" s="28">
        <v>26880.8720745407</v>
      </c>
      <c r="AQ21" s="28">
        <v>329.000234934899</v>
      </c>
      <c r="AR21" s="28">
        <v>828.993014998688</v>
      </c>
      <c r="AS21" s="28">
        <v>140681.949732069</v>
      </c>
      <c r="AT21" s="28">
        <v>677877773.495165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4405504.33321625</v>
      </c>
      <c r="BB21" s="28">
        <v>4405504.33321625</v>
      </c>
      <c r="BC21" s="28">
        <v>27767871.7561531</v>
      </c>
      <c r="BD21" s="28">
        <v>32173376.0893694</v>
      </c>
      <c r="BE21" s="28">
        <v>26541208.6738549</v>
      </c>
      <c r="BF21" s="28">
        <v>683509940.910679</v>
      </c>
    </row>
    <row r="22" ht="22.5" spans="1:58">
      <c r="A22" s="26"/>
      <c r="B22" s="3" t="s">
        <v>75</v>
      </c>
      <c r="C22" s="27" t="s">
        <v>116</v>
      </c>
      <c r="D22" s="28">
        <v>8900.67554865504</v>
      </c>
      <c r="E22" s="28">
        <v>15416.107396695</v>
      </c>
      <c r="F22" s="28">
        <v>227.827634013911</v>
      </c>
      <c r="G22" s="28">
        <v>443804.902913691</v>
      </c>
      <c r="H22" s="28">
        <v>166228.309011528</v>
      </c>
      <c r="I22" s="28">
        <v>109160.627027975</v>
      </c>
      <c r="J22" s="28">
        <v>220462.383442483</v>
      </c>
      <c r="K22" s="28">
        <v>906287.232176806</v>
      </c>
      <c r="L22" s="28">
        <v>19977459.015091</v>
      </c>
      <c r="M22" s="28">
        <v>15125.4224014293</v>
      </c>
      <c r="N22" s="28">
        <v>8623449.76741293</v>
      </c>
      <c r="O22" s="28">
        <v>119933.475703443</v>
      </c>
      <c r="P22" s="28">
        <v>2202103.60678586</v>
      </c>
      <c r="Q22" s="28">
        <v>7233885.01679742</v>
      </c>
      <c r="R22" s="28">
        <v>8479844.59701873</v>
      </c>
      <c r="S22" s="28">
        <v>196601311.087144</v>
      </c>
      <c r="T22" s="28">
        <v>48942799.2321454</v>
      </c>
      <c r="U22" s="28">
        <v>37701392.0286137</v>
      </c>
      <c r="V22" s="28">
        <v>12717404.9247811</v>
      </c>
      <c r="W22" s="28">
        <v>34619046.993302</v>
      </c>
      <c r="X22" s="28">
        <v>7591588.55350069</v>
      </c>
      <c r="Y22" s="28">
        <v>128393623.886509</v>
      </c>
      <c r="Z22" s="28">
        <v>31542514.3496544</v>
      </c>
      <c r="AA22" s="28">
        <v>5247794.07373487</v>
      </c>
      <c r="AB22" s="28">
        <v>82372.6373219828</v>
      </c>
      <c r="AC22" s="28">
        <v>775.805635885455</v>
      </c>
      <c r="AD22" s="28">
        <v>5801.64483655563</v>
      </c>
      <c r="AE22" s="28">
        <v>10715656.0886856</v>
      </c>
      <c r="AF22" s="28">
        <v>23345.672744347</v>
      </c>
      <c r="AG22" s="28">
        <v>69400.5413441205</v>
      </c>
      <c r="AH22" s="28">
        <v>3687.67374083509</v>
      </c>
      <c r="AI22" s="28">
        <v>0</v>
      </c>
      <c r="AJ22" s="28">
        <v>0</v>
      </c>
      <c r="AK22" s="28">
        <v>0</v>
      </c>
      <c r="AL22" s="28">
        <v>1660.03780915729</v>
      </c>
      <c r="AM22" s="28">
        <v>173035.624379098</v>
      </c>
      <c r="AN22" s="28">
        <v>92358.9187390749</v>
      </c>
      <c r="AO22" s="28">
        <v>146370.740511227</v>
      </c>
      <c r="AP22" s="28">
        <v>45405.5121285303</v>
      </c>
      <c r="AQ22" s="28">
        <v>1123.57063964577</v>
      </c>
      <c r="AR22" s="28">
        <v>334.009069277174</v>
      </c>
      <c r="AS22" s="28">
        <v>0.00532441881524498</v>
      </c>
      <c r="AT22" s="28">
        <v>562334805.346481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-957892.18613738</v>
      </c>
      <c r="BB22" s="28">
        <v>-957892.18613738</v>
      </c>
      <c r="BC22" s="28">
        <v>17965733.8081997</v>
      </c>
      <c r="BD22" s="28">
        <v>17007841.6220624</v>
      </c>
      <c r="BE22" s="28">
        <v>54672624.2125607</v>
      </c>
      <c r="BF22" s="28">
        <v>524670022.755983</v>
      </c>
    </row>
    <row r="23" spans="1:58">
      <c r="A23" s="26"/>
      <c r="B23" s="3" t="s">
        <v>24</v>
      </c>
      <c r="C23" s="27" t="s">
        <v>117</v>
      </c>
      <c r="D23" s="28">
        <v>823239.119044215</v>
      </c>
      <c r="E23" s="28">
        <v>6843894.59053359</v>
      </c>
      <c r="F23" s="28">
        <v>47481.4940586859</v>
      </c>
      <c r="G23" s="28">
        <v>4175081.20725231</v>
      </c>
      <c r="H23" s="28">
        <v>587075.014773858</v>
      </c>
      <c r="I23" s="28">
        <v>3523907.10591254</v>
      </c>
      <c r="J23" s="28">
        <v>2164374.03906864</v>
      </c>
      <c r="K23" s="28">
        <v>6160907.41042858</v>
      </c>
      <c r="L23" s="28">
        <v>9762688.78290155</v>
      </c>
      <c r="M23" s="28">
        <v>367056.841011746</v>
      </c>
      <c r="N23" s="28">
        <v>3226326.02543016</v>
      </c>
      <c r="O23" s="28">
        <v>1210054.81549578</v>
      </c>
      <c r="P23" s="28">
        <v>4964060.11089454</v>
      </c>
      <c r="Q23" s="28">
        <v>16927420.3252392</v>
      </c>
      <c r="R23" s="28">
        <v>1218101.91400896</v>
      </c>
      <c r="S23" s="28">
        <v>1056789.44990559</v>
      </c>
      <c r="T23" s="28">
        <v>69726613.0196675</v>
      </c>
      <c r="U23" s="28">
        <v>27665192.2268015</v>
      </c>
      <c r="V23" s="28">
        <v>16436651.4292092</v>
      </c>
      <c r="W23" s="28">
        <v>14866905.5316828</v>
      </c>
      <c r="X23" s="28">
        <v>5355333.52508859</v>
      </c>
      <c r="Y23" s="28">
        <v>25722146.7761019</v>
      </c>
      <c r="Z23" s="28">
        <v>16994492.5820494</v>
      </c>
      <c r="AA23" s="28">
        <v>2549699.05053101</v>
      </c>
      <c r="AB23" s="28">
        <v>275728.82485354</v>
      </c>
      <c r="AC23" s="28">
        <v>36839.2092825543</v>
      </c>
      <c r="AD23" s="28">
        <v>843476.845539493</v>
      </c>
      <c r="AE23" s="28">
        <v>132161439.876163</v>
      </c>
      <c r="AF23" s="28">
        <v>290667.527981728</v>
      </c>
      <c r="AG23" s="28">
        <v>3135118.82343839</v>
      </c>
      <c r="AH23" s="28">
        <v>384818.746002096</v>
      </c>
      <c r="AI23" s="28">
        <v>599301.045059108</v>
      </c>
      <c r="AJ23" s="28">
        <v>86808.7666449741</v>
      </c>
      <c r="AK23" s="28">
        <v>1196639.37190678</v>
      </c>
      <c r="AL23" s="28">
        <v>25113883.5679907</v>
      </c>
      <c r="AM23" s="28">
        <v>5682565.08235894</v>
      </c>
      <c r="AN23" s="28">
        <v>13354998.6456774</v>
      </c>
      <c r="AO23" s="28">
        <v>3302520.29842778</v>
      </c>
      <c r="AP23" s="28">
        <v>758921.691067696</v>
      </c>
      <c r="AQ23" s="28">
        <v>53758.7009246846</v>
      </c>
      <c r="AR23" s="28">
        <v>152670.465164302</v>
      </c>
      <c r="AS23" s="28">
        <v>2122995.85967612</v>
      </c>
      <c r="AT23" s="58">
        <v>425767738.324822</v>
      </c>
      <c r="AU23" s="59">
        <v>665462.948125651</v>
      </c>
      <c r="AV23" s="59">
        <v>4215024.12649486</v>
      </c>
      <c r="AW23" s="58">
        <v>4880487.07462051</v>
      </c>
      <c r="AX23" s="59">
        <v>0</v>
      </c>
      <c r="AY23" s="58">
        <v>4880487.07462051</v>
      </c>
      <c r="AZ23" s="59">
        <v>25162931.8981722</v>
      </c>
      <c r="BA23" s="59">
        <v>9509406.91482779</v>
      </c>
      <c r="BB23" s="58">
        <v>34672338.813</v>
      </c>
      <c r="BC23" s="59">
        <v>62348551.2322764</v>
      </c>
      <c r="BD23" s="78">
        <v>101901377.119897</v>
      </c>
      <c r="BE23" s="59">
        <v>8187441.32825617</v>
      </c>
      <c r="BF23" s="60">
        <v>519481674.116463</v>
      </c>
    </row>
    <row r="24" spans="1:58">
      <c r="A24" s="26"/>
      <c r="B24" s="3" t="s">
        <v>25</v>
      </c>
      <c r="C24" s="27" t="s">
        <v>118</v>
      </c>
      <c r="D24" s="28">
        <v>806226.184270114</v>
      </c>
      <c r="E24" s="28">
        <v>2843363.00046338</v>
      </c>
      <c r="F24" s="28">
        <v>696909.963403123</v>
      </c>
      <c r="G24" s="28">
        <v>2538535.26409327</v>
      </c>
      <c r="H24" s="28">
        <v>114281.127685603</v>
      </c>
      <c r="I24" s="28">
        <v>1454621.35317593</v>
      </c>
      <c r="J24" s="28">
        <v>1829431.63016969</v>
      </c>
      <c r="K24" s="28">
        <v>1278520.9770093</v>
      </c>
      <c r="L24" s="28">
        <v>2428023.70479392</v>
      </c>
      <c r="M24" s="28">
        <v>2442105.77966656</v>
      </c>
      <c r="N24" s="28">
        <v>4521088.92408151</v>
      </c>
      <c r="O24" s="28">
        <v>549583.609396482</v>
      </c>
      <c r="P24" s="28">
        <v>1114986.9222332</v>
      </c>
      <c r="Q24" s="28">
        <v>11173708.1146356</v>
      </c>
      <c r="R24" s="28">
        <v>7711312.92107117</v>
      </c>
      <c r="S24" s="28">
        <v>949139.593652273</v>
      </c>
      <c r="T24" s="28">
        <v>13379131.6650398</v>
      </c>
      <c r="U24" s="28">
        <v>113487863.806767</v>
      </c>
      <c r="V24" s="28">
        <v>35452640.1347683</v>
      </c>
      <c r="W24" s="28">
        <v>25719680.5816952</v>
      </c>
      <c r="X24" s="28">
        <v>11260438.3801391</v>
      </c>
      <c r="Y24" s="28">
        <v>24040251.9189083</v>
      </c>
      <c r="Z24" s="28">
        <v>9038625.38526015</v>
      </c>
      <c r="AA24" s="28">
        <v>2159487.82629554</v>
      </c>
      <c r="AB24" s="28">
        <v>2748010.68795233</v>
      </c>
      <c r="AC24" s="28">
        <v>160562.279466362</v>
      </c>
      <c r="AD24" s="28">
        <v>150061.209496772</v>
      </c>
      <c r="AE24" s="28">
        <v>21074962.820469</v>
      </c>
      <c r="AF24" s="28">
        <v>243034.792397356</v>
      </c>
      <c r="AG24" s="28">
        <v>10091175.5281896</v>
      </c>
      <c r="AH24" s="28">
        <v>297627.994707292</v>
      </c>
      <c r="AI24" s="28">
        <v>403328.364740025</v>
      </c>
      <c r="AJ24" s="28">
        <v>644747.674256228</v>
      </c>
      <c r="AK24" s="28">
        <v>308267.213126746</v>
      </c>
      <c r="AL24" s="28">
        <v>296883.487869707</v>
      </c>
      <c r="AM24" s="28">
        <v>216508.4433095</v>
      </c>
      <c r="AN24" s="28">
        <v>721127.504499315</v>
      </c>
      <c r="AO24" s="28">
        <v>131078.395913098</v>
      </c>
      <c r="AP24" s="28">
        <v>649463.411069069</v>
      </c>
      <c r="AQ24" s="28">
        <v>107743.552579729</v>
      </c>
      <c r="AR24" s="28">
        <v>51761.1116605379</v>
      </c>
      <c r="AS24" s="28">
        <v>375857.549392131</v>
      </c>
      <c r="AT24" s="28">
        <v>314383639.81276</v>
      </c>
      <c r="AU24" s="28">
        <v>376403.352121902</v>
      </c>
      <c r="AV24" s="28">
        <v>1228363.59075783</v>
      </c>
      <c r="AW24" s="28">
        <v>1604766.94287974</v>
      </c>
      <c r="AX24" s="28">
        <v>0</v>
      </c>
      <c r="AY24" s="28">
        <v>1604766.94287974</v>
      </c>
      <c r="AZ24" s="28">
        <v>170362145.9457</v>
      </c>
      <c r="BA24" s="28">
        <v>9413554.55023874</v>
      </c>
      <c r="BB24" s="28">
        <v>179775700.495938</v>
      </c>
      <c r="BC24" s="28">
        <v>92569318.3625549</v>
      </c>
      <c r="BD24" s="28">
        <v>273949785.801373</v>
      </c>
      <c r="BE24" s="28">
        <v>55422439.1853585</v>
      </c>
      <c r="BF24" s="28">
        <v>532910986.428774</v>
      </c>
    </row>
    <row r="25" ht="22.5" spans="1:58">
      <c r="A25" s="26"/>
      <c r="B25" s="3" t="s">
        <v>26</v>
      </c>
      <c r="C25" s="27" t="s">
        <v>119</v>
      </c>
      <c r="D25" s="28">
        <v>9442062.92801937</v>
      </c>
      <c r="E25" s="28">
        <v>4363149.336806</v>
      </c>
      <c r="F25" s="28">
        <v>2865981.25181855</v>
      </c>
      <c r="G25" s="28">
        <v>5453583.9108511</v>
      </c>
      <c r="H25" s="28">
        <v>1809891.30244196</v>
      </c>
      <c r="I25" s="28">
        <v>571460.14655284</v>
      </c>
      <c r="J25" s="28">
        <v>1222125.93598965</v>
      </c>
      <c r="K25" s="28">
        <v>807146.352519896</v>
      </c>
      <c r="L25" s="28">
        <v>2812881.97833965</v>
      </c>
      <c r="M25" s="28">
        <v>833887.883458399</v>
      </c>
      <c r="N25" s="28">
        <v>3285331.70570163</v>
      </c>
      <c r="O25" s="28">
        <v>235061.275415039</v>
      </c>
      <c r="P25" s="28">
        <v>1275752.54841213</v>
      </c>
      <c r="Q25" s="28">
        <v>3308438.86187986</v>
      </c>
      <c r="R25" s="28">
        <v>5251960.01500806</v>
      </c>
      <c r="S25" s="28">
        <v>3482298.16140767</v>
      </c>
      <c r="T25" s="28">
        <v>3764377.58852423</v>
      </c>
      <c r="U25" s="28">
        <v>4434748.51689896</v>
      </c>
      <c r="V25" s="28">
        <v>48823626.045814</v>
      </c>
      <c r="W25" s="28">
        <v>4354380.29182304</v>
      </c>
      <c r="X25" s="28">
        <v>1023610.76363881</v>
      </c>
      <c r="Y25" s="28">
        <v>4191944.0242041</v>
      </c>
      <c r="Z25" s="28">
        <v>21202968.5853471</v>
      </c>
      <c r="AA25" s="28">
        <v>693670.454658586</v>
      </c>
      <c r="AB25" s="28">
        <v>179779.537392399</v>
      </c>
      <c r="AC25" s="28">
        <v>8470.14890797024</v>
      </c>
      <c r="AD25" s="28">
        <v>108797.717378279</v>
      </c>
      <c r="AE25" s="28">
        <v>17847619.6761968</v>
      </c>
      <c r="AF25" s="28">
        <v>34879.9991827387</v>
      </c>
      <c r="AG25" s="28">
        <v>1382805.2328976</v>
      </c>
      <c r="AH25" s="28">
        <v>142728.162167838</v>
      </c>
      <c r="AI25" s="28">
        <v>102271.223977529</v>
      </c>
      <c r="AJ25" s="28">
        <v>923602.285353108</v>
      </c>
      <c r="AK25" s="28">
        <v>8292.93333092109</v>
      </c>
      <c r="AL25" s="28">
        <v>523390.390744323</v>
      </c>
      <c r="AM25" s="28">
        <v>39920.1783046273</v>
      </c>
      <c r="AN25" s="28">
        <v>160663.045571544</v>
      </c>
      <c r="AO25" s="28">
        <v>160146.609952256</v>
      </c>
      <c r="AP25" s="28">
        <v>133533.267090461</v>
      </c>
      <c r="AQ25" s="28">
        <v>16681231.4471724</v>
      </c>
      <c r="AR25" s="28">
        <v>11275.3032369504</v>
      </c>
      <c r="AS25" s="28">
        <v>264818.8229936</v>
      </c>
      <c r="AT25" s="28">
        <v>173417419.494862</v>
      </c>
      <c r="AU25" s="28">
        <v>595579.786708233</v>
      </c>
      <c r="AV25" s="28">
        <v>3720729.28128777</v>
      </c>
      <c r="AW25" s="28">
        <v>4316309.067996</v>
      </c>
      <c r="AX25" s="28">
        <v>0</v>
      </c>
      <c r="AY25" s="28">
        <v>4316309.067996</v>
      </c>
      <c r="AZ25" s="28">
        <v>204929596.996765</v>
      </c>
      <c r="BA25" s="28">
        <v>4556075.64797651</v>
      </c>
      <c r="BB25" s="28">
        <v>209485672.644741</v>
      </c>
      <c r="BC25" s="28">
        <v>59350299.4024356</v>
      </c>
      <c r="BD25" s="28">
        <v>273152281.115173</v>
      </c>
      <c r="BE25" s="28">
        <v>59218616.8054186</v>
      </c>
      <c r="BF25" s="28">
        <v>387351083.804617</v>
      </c>
    </row>
    <row r="26" spans="1:58">
      <c r="A26" s="26"/>
      <c r="B26" s="3" t="s">
        <v>76</v>
      </c>
      <c r="C26" s="27" t="s">
        <v>120</v>
      </c>
      <c r="D26" s="28">
        <v>1408919.47174852</v>
      </c>
      <c r="E26" s="28">
        <v>198746.703208977</v>
      </c>
      <c r="F26" s="28">
        <v>17829.4995666181</v>
      </c>
      <c r="G26" s="28">
        <v>1022626.22236667</v>
      </c>
      <c r="H26" s="28">
        <v>150879.728926784</v>
      </c>
      <c r="I26" s="28">
        <v>174622.0626038</v>
      </c>
      <c r="J26" s="28">
        <v>253639.827609616</v>
      </c>
      <c r="K26" s="28">
        <v>118989.438174631</v>
      </c>
      <c r="L26" s="28">
        <v>309975.01103407</v>
      </c>
      <c r="M26" s="28">
        <v>11160.7151198479</v>
      </c>
      <c r="N26" s="28">
        <v>366530.842197897</v>
      </c>
      <c r="O26" s="28">
        <v>35280.4114697753</v>
      </c>
      <c r="P26" s="28">
        <v>161696.960472425</v>
      </c>
      <c r="Q26" s="28">
        <v>2370746.5846731</v>
      </c>
      <c r="R26" s="28">
        <v>187208.86335535</v>
      </c>
      <c r="S26" s="28">
        <v>60658.8850420883</v>
      </c>
      <c r="T26" s="28">
        <v>593836.086899674</v>
      </c>
      <c r="U26" s="28">
        <v>7563616.93721981</v>
      </c>
      <c r="V26" s="28">
        <v>8848095.28212466</v>
      </c>
      <c r="W26" s="28">
        <v>237540166.849936</v>
      </c>
      <c r="X26" s="28">
        <v>988820.126352283</v>
      </c>
      <c r="Y26" s="28">
        <v>1344462.38255763</v>
      </c>
      <c r="Z26" s="28">
        <v>694918.872580712</v>
      </c>
      <c r="AA26" s="28">
        <v>291795.627665762</v>
      </c>
      <c r="AB26" s="28">
        <v>58968.4302529935</v>
      </c>
      <c r="AC26" s="28">
        <v>10597.3705342233</v>
      </c>
      <c r="AD26" s="28">
        <v>10282.3495962402</v>
      </c>
      <c r="AE26" s="28">
        <v>1111563.22633228</v>
      </c>
      <c r="AF26" s="28">
        <v>118840.414417673</v>
      </c>
      <c r="AG26" s="28">
        <v>70012316.4917652</v>
      </c>
      <c r="AH26" s="28">
        <v>471817.610119264</v>
      </c>
      <c r="AI26" s="28">
        <v>259987.74788361</v>
      </c>
      <c r="AJ26" s="28">
        <v>289071.471008231</v>
      </c>
      <c r="AK26" s="28">
        <v>28341.215566361</v>
      </c>
      <c r="AL26" s="28">
        <v>32334152.3130725</v>
      </c>
      <c r="AM26" s="28">
        <v>356407.834694694</v>
      </c>
      <c r="AN26" s="28">
        <v>3427487.68638643</v>
      </c>
      <c r="AO26" s="28">
        <v>8061811.89508873</v>
      </c>
      <c r="AP26" s="28">
        <v>115094.302472962</v>
      </c>
      <c r="AQ26" s="28">
        <v>44551.6552238103</v>
      </c>
      <c r="AR26" s="28">
        <v>91094.9497107393</v>
      </c>
      <c r="AS26" s="28">
        <v>4080096.68035588</v>
      </c>
      <c r="AT26" s="28">
        <v>385478717.599214</v>
      </c>
      <c r="AU26" s="28">
        <v>21454358.9824</v>
      </c>
      <c r="AV26" s="28">
        <v>126837276.971455</v>
      </c>
      <c r="AW26" s="28">
        <v>148291635.953854</v>
      </c>
      <c r="AX26" s="28">
        <v>0</v>
      </c>
      <c r="AY26" s="28">
        <v>148291635.953854</v>
      </c>
      <c r="AZ26" s="28">
        <v>176416405.60986</v>
      </c>
      <c r="BA26" s="28">
        <v>16277173.520149</v>
      </c>
      <c r="BB26" s="28">
        <v>192693579.130009</v>
      </c>
      <c r="BC26" s="28">
        <v>31524411.8740067</v>
      </c>
      <c r="BD26" s="28">
        <v>372509626.95787</v>
      </c>
      <c r="BE26" s="28">
        <v>51530883.8938301</v>
      </c>
      <c r="BF26" s="28">
        <v>706457460.663255</v>
      </c>
    </row>
    <row r="27" ht="22.5" spans="1:58">
      <c r="A27" s="26"/>
      <c r="B27" s="3" t="s">
        <v>77</v>
      </c>
      <c r="C27" s="27" t="s">
        <v>121</v>
      </c>
      <c r="D27" s="28">
        <v>1633653.65806691</v>
      </c>
      <c r="E27" s="28">
        <v>137377.205097078</v>
      </c>
      <c r="F27" s="28">
        <v>3299.56189290866</v>
      </c>
      <c r="G27" s="28">
        <v>67835.3459976172</v>
      </c>
      <c r="H27" s="28">
        <v>4779.07588288803</v>
      </c>
      <c r="I27" s="28">
        <v>63498.7503577343</v>
      </c>
      <c r="J27" s="28">
        <v>69505.4852935894</v>
      </c>
      <c r="K27" s="28">
        <v>69778.9410106169</v>
      </c>
      <c r="L27" s="28">
        <v>108012.372758994</v>
      </c>
      <c r="M27" s="28">
        <v>42843.2728787259</v>
      </c>
      <c r="N27" s="28">
        <v>152643.880331771</v>
      </c>
      <c r="O27" s="28">
        <v>41875.3936036717</v>
      </c>
      <c r="P27" s="28">
        <v>24313.253380856</v>
      </c>
      <c r="Q27" s="28">
        <v>62621.1042461217</v>
      </c>
      <c r="R27" s="28">
        <v>37696.937032712</v>
      </c>
      <c r="S27" s="28">
        <v>1730.54803290979</v>
      </c>
      <c r="T27" s="28">
        <v>65866.2998077061</v>
      </c>
      <c r="U27" s="28">
        <v>2010934.95369182</v>
      </c>
      <c r="V27" s="28">
        <v>1579977.05745096</v>
      </c>
      <c r="W27" s="28">
        <v>566701.38138896</v>
      </c>
      <c r="X27" s="28">
        <v>26429459.4335445</v>
      </c>
      <c r="Y27" s="28">
        <v>415016.332230818</v>
      </c>
      <c r="Z27" s="28">
        <v>293311.212366442</v>
      </c>
      <c r="AA27" s="28">
        <v>2270996.10026629</v>
      </c>
      <c r="AB27" s="28">
        <v>2147.56667994425</v>
      </c>
      <c r="AC27" s="28">
        <v>2909.14583836519</v>
      </c>
      <c r="AD27" s="28">
        <v>3349.17092722103</v>
      </c>
      <c r="AE27" s="28">
        <v>1342301.06272071</v>
      </c>
      <c r="AF27" s="28">
        <v>33836.1077160702</v>
      </c>
      <c r="AG27" s="28">
        <v>17589480.2783088</v>
      </c>
      <c r="AH27" s="28">
        <v>5954.9325288047</v>
      </c>
      <c r="AI27" s="28">
        <v>9733.57136228869</v>
      </c>
      <c r="AJ27" s="28">
        <v>37918.7506338776</v>
      </c>
      <c r="AK27" s="28">
        <v>2136.28184031191</v>
      </c>
      <c r="AL27" s="28">
        <v>30801.7023287918</v>
      </c>
      <c r="AM27" s="28">
        <v>97615.3658618262</v>
      </c>
      <c r="AN27" s="28">
        <v>159496.189974238</v>
      </c>
      <c r="AO27" s="28">
        <v>4542218.64200786</v>
      </c>
      <c r="AP27" s="28">
        <v>18162.6652493418</v>
      </c>
      <c r="AQ27" s="28">
        <v>211712.633190132</v>
      </c>
      <c r="AR27" s="28">
        <v>18823.8901585928</v>
      </c>
      <c r="AS27" s="28">
        <v>630868.856323893</v>
      </c>
      <c r="AT27" s="28">
        <v>60823415.4292531</v>
      </c>
      <c r="AU27" s="28">
        <v>5697629.10822783</v>
      </c>
      <c r="AV27" s="28">
        <v>9025381.58335605</v>
      </c>
      <c r="AW27" s="28">
        <v>14723010.6915839</v>
      </c>
      <c r="AX27" s="28">
        <v>0</v>
      </c>
      <c r="AY27" s="28">
        <v>14723010.6915839</v>
      </c>
      <c r="AZ27" s="28">
        <v>60601018.9130205</v>
      </c>
      <c r="BA27" s="28">
        <v>109528.026406031</v>
      </c>
      <c r="BB27" s="28">
        <v>60710546.9394265</v>
      </c>
      <c r="BC27" s="28">
        <v>28964418.0481885</v>
      </c>
      <c r="BD27" s="28">
        <v>104397975.679199</v>
      </c>
      <c r="BE27" s="28">
        <v>9207467.07582404</v>
      </c>
      <c r="BF27" s="28">
        <v>156013924.032628</v>
      </c>
    </row>
    <row r="28" spans="1:58">
      <c r="A28" s="26"/>
      <c r="B28" s="3" t="s">
        <v>28</v>
      </c>
      <c r="C28" s="27" t="s">
        <v>122</v>
      </c>
      <c r="D28" s="28">
        <v>197717.415187688</v>
      </c>
      <c r="E28" s="28">
        <v>881627.778062507</v>
      </c>
      <c r="F28" s="28">
        <v>103121.478636574</v>
      </c>
      <c r="G28" s="28">
        <v>981292.411045522</v>
      </c>
      <c r="H28" s="28">
        <v>106644.456891027</v>
      </c>
      <c r="I28" s="28">
        <v>653308.469340626</v>
      </c>
      <c r="J28" s="28">
        <v>495172.500311499</v>
      </c>
      <c r="K28" s="28">
        <v>286554.206893218</v>
      </c>
      <c r="L28" s="28">
        <v>1752872.2545674</v>
      </c>
      <c r="M28" s="28">
        <v>180840.089195095</v>
      </c>
      <c r="N28" s="28">
        <v>822089.173907281</v>
      </c>
      <c r="O28" s="28">
        <v>125439.831913432</v>
      </c>
      <c r="P28" s="28">
        <v>1149003.59757298</v>
      </c>
      <c r="Q28" s="28">
        <v>1447646.24429034</v>
      </c>
      <c r="R28" s="28">
        <v>565778.765745936</v>
      </c>
      <c r="S28" s="28">
        <v>269475.607547603</v>
      </c>
      <c r="T28" s="28">
        <v>1218352.28813117</v>
      </c>
      <c r="U28" s="28">
        <v>30663801.7365319</v>
      </c>
      <c r="V28" s="28">
        <v>17420251.0478405</v>
      </c>
      <c r="W28" s="28">
        <v>16970910.7034714</v>
      </c>
      <c r="X28" s="28">
        <v>16325888.3708768</v>
      </c>
      <c r="Y28" s="28">
        <v>117461126.231873</v>
      </c>
      <c r="Z28" s="28">
        <v>56751423.2515013</v>
      </c>
      <c r="AA28" s="28">
        <v>2060373.1156654</v>
      </c>
      <c r="AB28" s="28">
        <v>42504095.5491839</v>
      </c>
      <c r="AC28" s="28">
        <v>79167.8845453074</v>
      </c>
      <c r="AD28" s="28">
        <v>81672.3925387506</v>
      </c>
      <c r="AE28" s="28">
        <v>93400845.8318153</v>
      </c>
      <c r="AF28" s="28">
        <v>14542910.593776</v>
      </c>
      <c r="AG28" s="28">
        <v>5206775.22295775</v>
      </c>
      <c r="AH28" s="28">
        <v>522242.572353372</v>
      </c>
      <c r="AI28" s="28">
        <v>10616440.4929461</v>
      </c>
      <c r="AJ28" s="28">
        <v>110440.953008636</v>
      </c>
      <c r="AK28" s="28">
        <v>58084.7914951291</v>
      </c>
      <c r="AL28" s="28">
        <v>12746420.9702527</v>
      </c>
      <c r="AM28" s="28">
        <v>7320572.04695897</v>
      </c>
      <c r="AN28" s="28">
        <v>9868972.94329078</v>
      </c>
      <c r="AO28" s="28">
        <v>3254772.87849032</v>
      </c>
      <c r="AP28" s="28">
        <v>94102.0244129902</v>
      </c>
      <c r="AQ28" s="28">
        <v>481029.797254609</v>
      </c>
      <c r="AR28" s="28">
        <v>104873.43936142</v>
      </c>
      <c r="AS28" s="28">
        <v>3268322.84521895</v>
      </c>
      <c r="AT28" s="28">
        <v>472865900.049969</v>
      </c>
      <c r="AU28" s="28">
        <v>10878967.9395498</v>
      </c>
      <c r="AV28" s="28">
        <v>29242602.7435627</v>
      </c>
      <c r="AW28" s="28">
        <v>40121570.6831126</v>
      </c>
      <c r="AX28" s="28">
        <v>0</v>
      </c>
      <c r="AY28" s="28">
        <v>40121570.6831126</v>
      </c>
      <c r="AZ28" s="28">
        <v>63813745.932882</v>
      </c>
      <c r="BA28" s="28">
        <v>752723.18437021</v>
      </c>
      <c r="BB28" s="28">
        <v>64566469.1172523</v>
      </c>
      <c r="BC28" s="28">
        <v>170548525.749384</v>
      </c>
      <c r="BD28" s="28">
        <v>275236565.549748</v>
      </c>
      <c r="BE28" s="28">
        <v>50436211.01256</v>
      </c>
      <c r="BF28" s="28">
        <v>697666254.587158</v>
      </c>
    </row>
    <row r="29" ht="22.5" spans="1:58">
      <c r="A29" s="26"/>
      <c r="B29" s="3" t="s">
        <v>78</v>
      </c>
      <c r="C29" s="27" t="s">
        <v>123</v>
      </c>
      <c r="D29" s="28">
        <v>331571.923272867</v>
      </c>
      <c r="E29" s="28">
        <v>360777.600048786</v>
      </c>
      <c r="F29" s="28">
        <v>869124.765382683</v>
      </c>
      <c r="G29" s="28">
        <v>145408.002156292</v>
      </c>
      <c r="H29" s="28">
        <v>375468.67917023</v>
      </c>
      <c r="I29" s="28">
        <v>747037.241952358</v>
      </c>
      <c r="J29" s="28">
        <v>409009.192440037</v>
      </c>
      <c r="K29" s="28">
        <v>114685.419699634</v>
      </c>
      <c r="L29" s="28">
        <v>3374013.38554036</v>
      </c>
      <c r="M29" s="28">
        <v>1119303.61774101</v>
      </c>
      <c r="N29" s="28">
        <v>1074059.68590883</v>
      </c>
      <c r="O29" s="28">
        <v>481071.441299769</v>
      </c>
      <c r="P29" s="28">
        <v>1201955.6937511</v>
      </c>
      <c r="Q29" s="28">
        <v>1208113.17557276</v>
      </c>
      <c r="R29" s="28">
        <v>932509.347513557</v>
      </c>
      <c r="S29" s="28">
        <v>157946.375160313</v>
      </c>
      <c r="T29" s="28">
        <v>965077.730843394</v>
      </c>
      <c r="U29" s="28">
        <v>25381587.3322048</v>
      </c>
      <c r="V29" s="28">
        <v>27022920.5556231</v>
      </c>
      <c r="W29" s="28">
        <v>16792407.2437838</v>
      </c>
      <c r="X29" s="28">
        <v>8374607.94999632</v>
      </c>
      <c r="Y29" s="28">
        <v>53832828.6339688</v>
      </c>
      <c r="Z29" s="28">
        <v>603819523.000826</v>
      </c>
      <c r="AA29" s="28">
        <v>2302751.13036301</v>
      </c>
      <c r="AB29" s="28">
        <v>17376246.384033</v>
      </c>
      <c r="AC29" s="28">
        <v>181125.688773073</v>
      </c>
      <c r="AD29" s="28">
        <v>131744.268506082</v>
      </c>
      <c r="AE29" s="28">
        <v>13384228.3465784</v>
      </c>
      <c r="AF29" s="28">
        <v>8333877.7981027</v>
      </c>
      <c r="AG29" s="28">
        <v>6813502.59389121</v>
      </c>
      <c r="AH29" s="28">
        <v>1176063.93985992</v>
      </c>
      <c r="AI29" s="28">
        <v>56611169.5911174</v>
      </c>
      <c r="AJ29" s="28">
        <v>1165549.52734219</v>
      </c>
      <c r="AK29" s="28">
        <v>447000.472689652</v>
      </c>
      <c r="AL29" s="28">
        <v>22296948.6364968</v>
      </c>
      <c r="AM29" s="28">
        <v>16278535.2568956</v>
      </c>
      <c r="AN29" s="28">
        <v>48000174.0522176</v>
      </c>
      <c r="AO29" s="28">
        <v>12802603.0218603</v>
      </c>
      <c r="AP29" s="28">
        <v>5849192.98747776</v>
      </c>
      <c r="AQ29" s="28">
        <v>1202627.02425139</v>
      </c>
      <c r="AR29" s="28">
        <v>1117205.07324635</v>
      </c>
      <c r="AS29" s="28">
        <v>6557094.89338628</v>
      </c>
      <c r="AT29" s="28">
        <v>971003963.261246</v>
      </c>
      <c r="AU29" s="28">
        <v>15240055.9404142</v>
      </c>
      <c r="AV29" s="28">
        <v>51826486.8887288</v>
      </c>
      <c r="AW29" s="28">
        <v>67066542.8291431</v>
      </c>
      <c r="AX29" s="28">
        <v>0</v>
      </c>
      <c r="AY29" s="28">
        <v>67066542.8291431</v>
      </c>
      <c r="AZ29" s="28">
        <v>107099836.458124</v>
      </c>
      <c r="BA29" s="28">
        <v>6140154.94557925</v>
      </c>
      <c r="BB29" s="28">
        <v>113239991.403703</v>
      </c>
      <c r="BC29" s="28">
        <v>439367334.977594</v>
      </c>
      <c r="BD29" s="28">
        <v>619673869.21044</v>
      </c>
      <c r="BE29" s="28">
        <v>402155880.989067</v>
      </c>
      <c r="BF29" s="28">
        <v>1188521951.48262</v>
      </c>
    </row>
    <row r="30" ht="22.5" spans="1:58">
      <c r="A30" s="26"/>
      <c r="B30" s="3" t="s">
        <v>79</v>
      </c>
      <c r="C30" s="27" t="s">
        <v>124</v>
      </c>
      <c r="D30" s="28">
        <v>164747.47787442</v>
      </c>
      <c r="E30" s="28">
        <v>405514.028696877</v>
      </c>
      <c r="F30" s="28">
        <v>146894.390608488</v>
      </c>
      <c r="G30" s="28">
        <v>199118.318682827</v>
      </c>
      <c r="H30" s="28">
        <v>133740.274132896</v>
      </c>
      <c r="I30" s="28">
        <v>651164.662235605</v>
      </c>
      <c r="J30" s="28">
        <v>1365889.24193162</v>
      </c>
      <c r="K30" s="28">
        <v>242435.444202603</v>
      </c>
      <c r="L30" s="28">
        <v>13403852.7991249</v>
      </c>
      <c r="M30" s="28">
        <v>563622.575493812</v>
      </c>
      <c r="N30" s="28">
        <v>2080644.80100684</v>
      </c>
      <c r="O30" s="28">
        <v>113887.729667525</v>
      </c>
      <c r="P30" s="28">
        <v>2943239.54972399</v>
      </c>
      <c r="Q30" s="28">
        <v>3630070.67910031</v>
      </c>
      <c r="R30" s="28">
        <v>53093165.5860322</v>
      </c>
      <c r="S30" s="28">
        <v>13891355.1135089</v>
      </c>
      <c r="T30" s="28">
        <v>8634157.31636042</v>
      </c>
      <c r="U30" s="28">
        <v>880502.959253846</v>
      </c>
      <c r="V30" s="28">
        <v>861292.657281462</v>
      </c>
      <c r="W30" s="28">
        <v>847818.194477255</v>
      </c>
      <c r="X30" s="28">
        <v>612599.365646073</v>
      </c>
      <c r="Y30" s="28">
        <v>953658.576235595</v>
      </c>
      <c r="Z30" s="28">
        <v>1492023.53355406</v>
      </c>
      <c r="AA30" s="28">
        <v>13185015.9538418</v>
      </c>
      <c r="AB30" s="28">
        <v>3665815.02354141</v>
      </c>
      <c r="AC30" s="28">
        <v>154857.195317682</v>
      </c>
      <c r="AD30" s="28">
        <v>89102.3531977336</v>
      </c>
      <c r="AE30" s="28">
        <v>3882686.33623541</v>
      </c>
      <c r="AF30" s="28">
        <v>133738.983320516</v>
      </c>
      <c r="AG30" s="28">
        <v>1407910.29219912</v>
      </c>
      <c r="AH30" s="28">
        <v>205188.885886443</v>
      </c>
      <c r="AI30" s="28">
        <v>462987.371957501</v>
      </c>
      <c r="AJ30" s="28">
        <v>72347.1322713563</v>
      </c>
      <c r="AK30" s="28">
        <v>1286923.14998262</v>
      </c>
      <c r="AL30" s="28">
        <v>8954361.7373353</v>
      </c>
      <c r="AM30" s="28">
        <v>1783852.69528289</v>
      </c>
      <c r="AN30" s="28">
        <v>5440678.95456614</v>
      </c>
      <c r="AO30" s="28">
        <v>2143669.90129252</v>
      </c>
      <c r="AP30" s="28">
        <v>265892.83775368</v>
      </c>
      <c r="AQ30" s="28">
        <v>216482.433895731</v>
      </c>
      <c r="AR30" s="28">
        <v>626246.263194468</v>
      </c>
      <c r="AS30" s="28">
        <v>1384717.88660363</v>
      </c>
      <c r="AT30" s="28">
        <v>152431435.218306</v>
      </c>
      <c r="AU30" s="28">
        <v>1188015.95895082</v>
      </c>
      <c r="AV30" s="28">
        <v>3366560.16355687</v>
      </c>
      <c r="AW30" s="28">
        <v>4554576.12250768</v>
      </c>
      <c r="AX30" s="28">
        <v>0</v>
      </c>
      <c r="AY30" s="28">
        <v>0</v>
      </c>
      <c r="AZ30" s="28">
        <v>1945824.44731674</v>
      </c>
      <c r="BA30" s="28">
        <v>0</v>
      </c>
      <c r="BB30" s="28">
        <v>1945824.44731674</v>
      </c>
      <c r="BC30" s="28">
        <v>5279719.01218634</v>
      </c>
      <c r="BD30" s="28">
        <v>7225543.45950308</v>
      </c>
      <c r="BE30" s="28">
        <v>2317558.09616118</v>
      </c>
      <c r="BF30" s="28">
        <v>20697060.1472694</v>
      </c>
    </row>
    <row r="31" ht="22.5" spans="1:58">
      <c r="A31" s="26"/>
      <c r="B31" s="3" t="s">
        <v>80</v>
      </c>
      <c r="C31" s="27" t="s">
        <v>125</v>
      </c>
      <c r="D31" s="28">
        <v>10632509.6859949</v>
      </c>
      <c r="E31" s="28">
        <v>8492039.32652413</v>
      </c>
      <c r="F31" s="28">
        <v>3827929.6782418</v>
      </c>
      <c r="G31" s="28">
        <v>14593431.6584963</v>
      </c>
      <c r="H31" s="28">
        <v>481039.226825574</v>
      </c>
      <c r="I31" s="28">
        <v>8337210.07376071</v>
      </c>
      <c r="J31" s="28">
        <v>9271306.16593008</v>
      </c>
      <c r="K31" s="28">
        <v>5198622.98158213</v>
      </c>
      <c r="L31" s="28">
        <v>12650200.9247383</v>
      </c>
      <c r="M31" s="28">
        <v>8918733.79000416</v>
      </c>
      <c r="N31" s="28">
        <v>41485169.0347757</v>
      </c>
      <c r="O31" s="28">
        <v>4492909.99627516</v>
      </c>
      <c r="P31" s="28">
        <v>6429846.75502072</v>
      </c>
      <c r="Q31" s="28">
        <v>36511483.2836431</v>
      </c>
      <c r="R31" s="28">
        <v>34770410.7340965</v>
      </c>
      <c r="S31" s="28">
        <v>28693763.7235758</v>
      </c>
      <c r="T31" s="28">
        <v>23642420.6271042</v>
      </c>
      <c r="U31" s="28">
        <v>9037398.27317882</v>
      </c>
      <c r="V31" s="28">
        <v>5826705.64885269</v>
      </c>
      <c r="W31" s="28">
        <v>5789468.17087698</v>
      </c>
      <c r="X31" s="28">
        <v>1608516.39673472</v>
      </c>
      <c r="Y31" s="28">
        <v>8301003.14454721</v>
      </c>
      <c r="Z31" s="28">
        <v>11503234.3090018</v>
      </c>
      <c r="AA31" s="28">
        <v>2024340.44401451</v>
      </c>
      <c r="AB31" s="28">
        <v>207763089.590819</v>
      </c>
      <c r="AC31" s="28">
        <v>1989258.6932658</v>
      </c>
      <c r="AD31" s="28">
        <v>5177395.50409593</v>
      </c>
      <c r="AE31" s="28">
        <v>41785891.4537267</v>
      </c>
      <c r="AF31" s="28">
        <v>12653101.4524859</v>
      </c>
      <c r="AG31" s="28">
        <v>16559627.4871197</v>
      </c>
      <c r="AH31" s="28">
        <v>4171232.36153599</v>
      </c>
      <c r="AI31" s="28">
        <v>9487206.29473871</v>
      </c>
      <c r="AJ31" s="28">
        <v>4342106.13355276</v>
      </c>
      <c r="AK31" s="28">
        <v>4550954.10462631</v>
      </c>
      <c r="AL31" s="28">
        <v>3785533.73970236</v>
      </c>
      <c r="AM31" s="28">
        <v>3096348.06097215</v>
      </c>
      <c r="AN31" s="28">
        <v>2489328.25511629</v>
      </c>
      <c r="AO31" s="28">
        <v>3425610.48251737</v>
      </c>
      <c r="AP31" s="28">
        <v>3442352.68143954</v>
      </c>
      <c r="AQ31" s="28">
        <v>3190635.02150708</v>
      </c>
      <c r="AR31" s="28">
        <v>1566849.48827405</v>
      </c>
      <c r="AS31" s="28">
        <v>10257739.6612089</v>
      </c>
      <c r="AT31" s="58">
        <v>637055331.538918</v>
      </c>
      <c r="AU31" s="59">
        <v>12007734.9831194</v>
      </c>
      <c r="AV31" s="59">
        <v>49517677.8737369</v>
      </c>
      <c r="AW31" s="58">
        <v>61525412.8568563</v>
      </c>
      <c r="AX31" s="59">
        <v>0</v>
      </c>
      <c r="AY31" s="58">
        <v>61525412.8568563</v>
      </c>
      <c r="AZ31" s="59">
        <v>0</v>
      </c>
      <c r="BA31" s="59">
        <v>0</v>
      </c>
      <c r="BB31" s="58">
        <v>0</v>
      </c>
      <c r="BC31" s="59">
        <v>1045039.7484</v>
      </c>
      <c r="BD31" s="78">
        <v>62570452.6052563</v>
      </c>
      <c r="BE31" s="59">
        <v>123218.4412</v>
      </c>
      <c r="BF31" s="60">
        <v>699502565.702974</v>
      </c>
    </row>
    <row r="32" ht="22.5" spans="1:58">
      <c r="A32" s="26"/>
      <c r="B32" s="3" t="s">
        <v>34</v>
      </c>
      <c r="C32" s="29" t="s">
        <v>126</v>
      </c>
      <c r="D32" s="28">
        <v>158734.702636481</v>
      </c>
      <c r="E32" s="28">
        <v>28901.4549832347</v>
      </c>
      <c r="F32" s="28">
        <v>21479.9041926036</v>
      </c>
      <c r="G32" s="28">
        <v>23210.4423339237</v>
      </c>
      <c r="H32" s="28">
        <v>66417.5399308237</v>
      </c>
      <c r="I32" s="28">
        <v>443352.994379064</v>
      </c>
      <c r="J32" s="28">
        <v>187804.342690806</v>
      </c>
      <c r="K32" s="28">
        <v>26205.230886829</v>
      </c>
      <c r="L32" s="28">
        <v>455864.76763071</v>
      </c>
      <c r="M32" s="28">
        <v>817644.248395789</v>
      </c>
      <c r="N32" s="28">
        <v>2010632.17889104</v>
      </c>
      <c r="O32" s="28">
        <v>3228.66241789865</v>
      </c>
      <c r="P32" s="28">
        <v>5038.31191844696</v>
      </c>
      <c r="Q32" s="28">
        <v>240915.818847029</v>
      </c>
      <c r="R32" s="28">
        <v>233825.705392044</v>
      </c>
      <c r="S32" s="28">
        <v>69857.9835722389</v>
      </c>
      <c r="T32" s="28">
        <v>440098.520548632</v>
      </c>
      <c r="U32" s="28">
        <v>183042.984051761</v>
      </c>
      <c r="V32" s="28">
        <v>306402.220074573</v>
      </c>
      <c r="W32" s="28">
        <v>104306.632854689</v>
      </c>
      <c r="X32" s="28">
        <v>136222.61171656</v>
      </c>
      <c r="Y32" s="28">
        <v>250330.610469275</v>
      </c>
      <c r="Z32" s="28">
        <v>139669.20555458</v>
      </c>
      <c r="AA32" s="28">
        <v>421341.498051952</v>
      </c>
      <c r="AB32" s="28">
        <v>1999455.2125125</v>
      </c>
      <c r="AC32" s="28">
        <v>9988214.61525141</v>
      </c>
      <c r="AD32" s="28">
        <v>577.109732247711</v>
      </c>
      <c r="AE32" s="28">
        <v>43646.7161920363</v>
      </c>
      <c r="AF32" s="28">
        <v>108729.406380966</v>
      </c>
      <c r="AG32" s="28">
        <v>19661653.7984179</v>
      </c>
      <c r="AH32" s="28">
        <v>2563138.31292585</v>
      </c>
      <c r="AI32" s="28">
        <v>79885.2056723576</v>
      </c>
      <c r="AJ32" s="28">
        <v>29927.4073905187</v>
      </c>
      <c r="AK32" s="28">
        <v>2003956.33127242</v>
      </c>
      <c r="AL32" s="28">
        <v>461291.884655495</v>
      </c>
      <c r="AM32" s="28">
        <v>181897.000483664</v>
      </c>
      <c r="AN32" s="28">
        <v>211884.969231725</v>
      </c>
      <c r="AO32" s="28">
        <v>1107430.78014094</v>
      </c>
      <c r="AP32" s="28">
        <v>533949.623568463</v>
      </c>
      <c r="AQ32" s="28">
        <v>253896.226234584</v>
      </c>
      <c r="AR32" s="28">
        <v>279996.556747517</v>
      </c>
      <c r="AS32" s="28">
        <v>347185.736217506</v>
      </c>
      <c r="AT32" s="58">
        <v>46605040.2345622</v>
      </c>
      <c r="AU32" s="59">
        <v>1394219.1029458</v>
      </c>
      <c r="AV32" s="59">
        <v>32378337.354393</v>
      </c>
      <c r="AW32" s="58">
        <v>33772556.4573388</v>
      </c>
      <c r="AX32" s="59">
        <v>0</v>
      </c>
      <c r="AY32" s="58">
        <v>33772556.4573388</v>
      </c>
      <c r="AZ32" s="59">
        <v>0</v>
      </c>
      <c r="BA32" s="59">
        <v>893408.640445413</v>
      </c>
      <c r="BB32" s="58">
        <v>893408.640445413</v>
      </c>
      <c r="BC32" s="59">
        <v>0</v>
      </c>
      <c r="BD32" s="78">
        <v>34665965.0977843</v>
      </c>
      <c r="BE32" s="59">
        <v>0</v>
      </c>
      <c r="BF32" s="60">
        <v>81271005.3323466</v>
      </c>
    </row>
    <row r="33" ht="22.5" spans="1:58">
      <c r="A33" s="26"/>
      <c r="B33" s="3" t="s">
        <v>35</v>
      </c>
      <c r="C33" s="29" t="s">
        <v>127</v>
      </c>
      <c r="D33" s="28">
        <v>41316.5882525332</v>
      </c>
      <c r="E33" s="28">
        <v>56861.257707943</v>
      </c>
      <c r="F33" s="28">
        <v>66724.691130288</v>
      </c>
      <c r="G33" s="28">
        <v>75500.916232385</v>
      </c>
      <c r="H33" s="28">
        <v>15289.8763037162</v>
      </c>
      <c r="I33" s="28">
        <v>1176862.55784355</v>
      </c>
      <c r="J33" s="28">
        <v>280582.666045646</v>
      </c>
      <c r="K33" s="28">
        <v>118367.573214222</v>
      </c>
      <c r="L33" s="28">
        <v>442167.917496233</v>
      </c>
      <c r="M33" s="28">
        <v>149328.755060231</v>
      </c>
      <c r="N33" s="28">
        <v>481011.190095962</v>
      </c>
      <c r="O33" s="28">
        <v>235131.246112251</v>
      </c>
      <c r="P33" s="28">
        <v>150793.202845702</v>
      </c>
      <c r="Q33" s="28">
        <v>532732.645140702</v>
      </c>
      <c r="R33" s="28">
        <v>313577.763558793</v>
      </c>
      <c r="S33" s="28">
        <v>110786.029679926</v>
      </c>
      <c r="T33" s="28">
        <v>157179.328359272</v>
      </c>
      <c r="U33" s="28">
        <v>340480.594865973</v>
      </c>
      <c r="V33" s="28">
        <v>185550.309529279</v>
      </c>
      <c r="W33" s="28">
        <v>167372.942433645</v>
      </c>
      <c r="X33" s="28">
        <v>121137.104951136</v>
      </c>
      <c r="Y33" s="28">
        <v>405654.938503351</v>
      </c>
      <c r="Z33" s="28">
        <v>532648.035831734</v>
      </c>
      <c r="AA33" s="28">
        <v>182154.691878221</v>
      </c>
      <c r="AB33" s="28">
        <v>1234128.68752964</v>
      </c>
      <c r="AC33" s="28">
        <v>36613.3440053734</v>
      </c>
      <c r="AD33" s="28">
        <v>2092918.63715616</v>
      </c>
      <c r="AE33" s="28">
        <v>2894162.04830273</v>
      </c>
      <c r="AF33" s="28">
        <v>552057.353167517</v>
      </c>
      <c r="AG33" s="28">
        <v>496240.201919855</v>
      </c>
      <c r="AH33" s="28">
        <v>1161758.09170284</v>
      </c>
      <c r="AI33" s="28">
        <v>269693.691703901</v>
      </c>
      <c r="AJ33" s="28">
        <v>367635.558611322</v>
      </c>
      <c r="AK33" s="28">
        <v>556423.346963119</v>
      </c>
      <c r="AL33" s="28">
        <v>119223.28508388</v>
      </c>
      <c r="AM33" s="28">
        <v>505701.343195469</v>
      </c>
      <c r="AN33" s="28">
        <v>125838.583104519</v>
      </c>
      <c r="AO33" s="28">
        <v>426824.191650271</v>
      </c>
      <c r="AP33" s="28">
        <v>435482.556950679</v>
      </c>
      <c r="AQ33" s="28">
        <v>316913.101361849</v>
      </c>
      <c r="AR33" s="28">
        <v>273234.611677856</v>
      </c>
      <c r="AS33" s="28">
        <v>903821.151777486</v>
      </c>
      <c r="AT33" s="58">
        <v>18989515.0357229</v>
      </c>
      <c r="AU33" s="59">
        <v>2708952.07322227</v>
      </c>
      <c r="AV33" s="59">
        <v>18088343.4027773</v>
      </c>
      <c r="AW33" s="58">
        <v>20797295.4759996</v>
      </c>
      <c r="AX33" s="59">
        <v>0</v>
      </c>
      <c r="AY33" s="58">
        <v>20797295.4759996</v>
      </c>
      <c r="AZ33" s="59">
        <v>0</v>
      </c>
      <c r="BA33" s="59">
        <v>891741.457509418</v>
      </c>
      <c r="BB33" s="58">
        <v>891741.457509418</v>
      </c>
      <c r="BC33" s="59">
        <v>0</v>
      </c>
      <c r="BD33" s="78">
        <v>21689036.933509</v>
      </c>
      <c r="BE33" s="59">
        <v>0</v>
      </c>
      <c r="BF33" s="60">
        <v>40678551.9692319</v>
      </c>
    </row>
    <row r="34" ht="22.5" spans="1:58">
      <c r="A34" s="26"/>
      <c r="B34" s="3" t="s">
        <v>81</v>
      </c>
      <c r="C34" s="29" t="s">
        <v>128</v>
      </c>
      <c r="D34" s="28">
        <v>767866.27291259</v>
      </c>
      <c r="E34" s="28">
        <v>136712.764629601</v>
      </c>
      <c r="F34" s="28">
        <v>28483.4786058051</v>
      </c>
      <c r="G34" s="28">
        <v>39555.2327590926</v>
      </c>
      <c r="H34" s="28">
        <v>5924.79353146331</v>
      </c>
      <c r="I34" s="28">
        <v>215253.6531569</v>
      </c>
      <c r="J34" s="28">
        <v>226716.426076526</v>
      </c>
      <c r="K34" s="28">
        <v>132624.129456814</v>
      </c>
      <c r="L34" s="28">
        <v>238488.815300506</v>
      </c>
      <c r="M34" s="28">
        <v>50165.4331946383</v>
      </c>
      <c r="N34" s="28">
        <v>339457.693675222</v>
      </c>
      <c r="O34" s="28">
        <v>62322.093986348</v>
      </c>
      <c r="P34" s="28">
        <v>93738.603114203</v>
      </c>
      <c r="Q34" s="28">
        <v>162675.607305991</v>
      </c>
      <c r="R34" s="28">
        <v>95544.6147399682</v>
      </c>
      <c r="S34" s="28">
        <v>78767.8203396566</v>
      </c>
      <c r="T34" s="28">
        <v>112818.398974717</v>
      </c>
      <c r="U34" s="28">
        <v>310533.934120804</v>
      </c>
      <c r="V34" s="28">
        <v>124690.040871795</v>
      </c>
      <c r="W34" s="28">
        <v>139887.315349785</v>
      </c>
      <c r="X34" s="28">
        <v>47393.8785901501</v>
      </c>
      <c r="Y34" s="28">
        <v>180123.420648795</v>
      </c>
      <c r="Z34" s="28">
        <v>667409.939989195</v>
      </c>
      <c r="AA34" s="28">
        <v>89637.3047416334</v>
      </c>
      <c r="AB34" s="28">
        <v>2679712.79465016</v>
      </c>
      <c r="AC34" s="28">
        <v>28595.2440077961</v>
      </c>
      <c r="AD34" s="28">
        <v>75522.7335050837</v>
      </c>
      <c r="AE34" s="28">
        <v>102777626.861809</v>
      </c>
      <c r="AF34" s="28">
        <v>1487150.41455619</v>
      </c>
      <c r="AG34" s="28">
        <v>2015285.39117833</v>
      </c>
      <c r="AH34" s="28">
        <v>901665.813055647</v>
      </c>
      <c r="AI34" s="28">
        <v>954151.504612121</v>
      </c>
      <c r="AJ34" s="28">
        <v>2489999.29194621</v>
      </c>
      <c r="AK34" s="28">
        <v>14193938.3943872</v>
      </c>
      <c r="AL34" s="28">
        <v>445793.248601771</v>
      </c>
      <c r="AM34" s="28">
        <v>424334.511612386</v>
      </c>
      <c r="AN34" s="28">
        <v>514616.382483729</v>
      </c>
      <c r="AO34" s="28">
        <v>528902.690844943</v>
      </c>
      <c r="AP34" s="28">
        <v>3319541.48031619</v>
      </c>
      <c r="AQ34" s="28">
        <v>1071607.68737372</v>
      </c>
      <c r="AR34" s="28">
        <v>993565.579719691</v>
      </c>
      <c r="AS34" s="28">
        <v>10876464.6866545</v>
      </c>
      <c r="AT34" s="28">
        <v>149992642.24793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2707176325.74966</v>
      </c>
      <c r="BA34" s="28">
        <v>0</v>
      </c>
      <c r="BB34" s="28">
        <v>2707176325.74966</v>
      </c>
      <c r="BC34" s="28">
        <v>8681061.2808517</v>
      </c>
      <c r="BD34" s="28">
        <v>2715857387.03052</v>
      </c>
      <c r="BE34" s="28">
        <v>5545047.863764</v>
      </c>
      <c r="BF34" s="28">
        <v>2860304981.41468</v>
      </c>
    </row>
    <row r="35" ht="22.5" spans="1:58">
      <c r="A35" s="26"/>
      <c r="B35" s="3" t="s">
        <v>82</v>
      </c>
      <c r="C35" s="29" t="s">
        <v>129</v>
      </c>
      <c r="D35" s="28">
        <v>32445341.8210967</v>
      </c>
      <c r="E35" s="28">
        <v>6037786.73206621</v>
      </c>
      <c r="F35" s="28">
        <v>775392.274015894</v>
      </c>
      <c r="G35" s="28">
        <v>4137179.28818259</v>
      </c>
      <c r="H35" s="28">
        <v>811001.708676019</v>
      </c>
      <c r="I35" s="28">
        <v>81687886.0606435</v>
      </c>
      <c r="J35" s="28">
        <v>49418319.5265258</v>
      </c>
      <c r="K35" s="28">
        <v>23952570.4049686</v>
      </c>
      <c r="L35" s="28">
        <v>51727062.7221526</v>
      </c>
      <c r="M35" s="28">
        <v>10885899.5352103</v>
      </c>
      <c r="N35" s="28">
        <v>35967199.2637394</v>
      </c>
      <c r="O35" s="28">
        <v>19903155.9508427</v>
      </c>
      <c r="P35" s="28">
        <v>19717113.3718961</v>
      </c>
      <c r="Q35" s="28">
        <v>37090632.1279176</v>
      </c>
      <c r="R35" s="28">
        <v>18088633.4335227</v>
      </c>
      <c r="S35" s="28">
        <v>13482091.1086585</v>
      </c>
      <c r="T35" s="28">
        <v>22175914.7376172</v>
      </c>
      <c r="U35" s="28">
        <v>27687169.007829</v>
      </c>
      <c r="V35" s="28">
        <v>19596217.7656178</v>
      </c>
      <c r="W35" s="28">
        <v>54110905.513489</v>
      </c>
      <c r="X35" s="28">
        <v>10569374.970818</v>
      </c>
      <c r="Y35" s="28">
        <v>42723961.5708095</v>
      </c>
      <c r="Z35" s="28">
        <v>59473321.1161256</v>
      </c>
      <c r="AA35" s="28">
        <v>4006169.64242036</v>
      </c>
      <c r="AB35" s="28">
        <v>15451656.1570053</v>
      </c>
      <c r="AC35" s="28">
        <v>2301900.84255216</v>
      </c>
      <c r="AD35" s="28">
        <v>565625.066532062</v>
      </c>
      <c r="AE35" s="28">
        <v>143079872.338243</v>
      </c>
      <c r="AF35" s="28">
        <v>11226156.7817458</v>
      </c>
      <c r="AG35" s="28">
        <v>35456523.3080435</v>
      </c>
      <c r="AH35" s="28">
        <v>28035741.060201</v>
      </c>
      <c r="AI35" s="28">
        <v>15872913.5323215</v>
      </c>
      <c r="AJ35" s="28">
        <v>5735570.83595581</v>
      </c>
      <c r="AK35" s="28">
        <v>3311533.57596043</v>
      </c>
      <c r="AL35" s="28">
        <v>34868107.1847385</v>
      </c>
      <c r="AM35" s="28">
        <v>7310894.07936115</v>
      </c>
      <c r="AN35" s="28">
        <v>13897489.3645106</v>
      </c>
      <c r="AO35" s="28">
        <v>8483107.70316726</v>
      </c>
      <c r="AP35" s="28">
        <v>6371391.47483486</v>
      </c>
      <c r="AQ35" s="28">
        <v>34246220.1817997</v>
      </c>
      <c r="AR35" s="28">
        <v>4838226.82711748</v>
      </c>
      <c r="AS35" s="28">
        <v>15105573.5959533</v>
      </c>
      <c r="AT35" s="28">
        <v>1008676233.15992</v>
      </c>
      <c r="AU35" s="28">
        <v>51457511.0921325</v>
      </c>
      <c r="AV35" s="28">
        <v>166522713.313402</v>
      </c>
      <c r="AW35" s="28">
        <v>217980224.405534</v>
      </c>
      <c r="AX35" s="28">
        <v>0</v>
      </c>
      <c r="AY35" s="28">
        <v>217980224.405534</v>
      </c>
      <c r="AZ35" s="28">
        <v>84921149.4557623</v>
      </c>
      <c r="BA35" s="28">
        <v>8345553.66588406</v>
      </c>
      <c r="BB35" s="28">
        <v>93266703.1216465</v>
      </c>
      <c r="BC35" s="28">
        <v>178591537.872478</v>
      </c>
      <c r="BD35" s="28">
        <v>489838465.399659</v>
      </c>
      <c r="BE35" s="28">
        <v>0</v>
      </c>
      <c r="BF35" s="28">
        <v>1498514698.55958</v>
      </c>
    </row>
    <row r="36" ht="22.5" spans="1:58">
      <c r="A36" s="26"/>
      <c r="B36" s="3" t="s">
        <v>83</v>
      </c>
      <c r="C36" s="29" t="s">
        <v>130</v>
      </c>
      <c r="D36" s="28">
        <v>25502816.8995248</v>
      </c>
      <c r="E36" s="28">
        <v>5466615.46972567</v>
      </c>
      <c r="F36" s="28">
        <v>662325.931770213</v>
      </c>
      <c r="G36" s="28">
        <v>3705387.62436799</v>
      </c>
      <c r="H36" s="28">
        <v>459922.389176214</v>
      </c>
      <c r="I36" s="28">
        <v>33568250.7764825</v>
      </c>
      <c r="J36" s="28">
        <v>30654371.8358142</v>
      </c>
      <c r="K36" s="28">
        <v>8982067.35299724</v>
      </c>
      <c r="L36" s="28">
        <v>20843806.4015415</v>
      </c>
      <c r="M36" s="28">
        <v>11193285.5741792</v>
      </c>
      <c r="N36" s="28">
        <v>31172179.9123803</v>
      </c>
      <c r="O36" s="28">
        <v>11209228.5782545</v>
      </c>
      <c r="P36" s="28">
        <v>13733058.0336033</v>
      </c>
      <c r="Q36" s="28">
        <v>25345785.7534683</v>
      </c>
      <c r="R36" s="28">
        <v>19869246.5517468</v>
      </c>
      <c r="S36" s="28">
        <v>13197425.4115092</v>
      </c>
      <c r="T36" s="28">
        <v>15073279.3625574</v>
      </c>
      <c r="U36" s="28">
        <v>16500075.9244436</v>
      </c>
      <c r="V36" s="28">
        <v>14118443.3879835</v>
      </c>
      <c r="W36" s="28">
        <v>24769356.2474804</v>
      </c>
      <c r="X36" s="28">
        <v>4521511.0037381</v>
      </c>
      <c r="Y36" s="28">
        <v>22153380.4833586</v>
      </c>
      <c r="Z36" s="28">
        <v>18528288.710068</v>
      </c>
      <c r="AA36" s="28">
        <v>2444020.02754389</v>
      </c>
      <c r="AB36" s="28">
        <v>12897844.0571692</v>
      </c>
      <c r="AC36" s="28">
        <v>1690453.88206179</v>
      </c>
      <c r="AD36" s="28">
        <v>399060.123040129</v>
      </c>
      <c r="AE36" s="28">
        <v>77457881.6247078</v>
      </c>
      <c r="AF36" s="28">
        <v>90975726.6415841</v>
      </c>
      <c r="AG36" s="28">
        <v>173252511.261954</v>
      </c>
      <c r="AH36" s="28">
        <v>15280892.5786233</v>
      </c>
      <c r="AI36" s="28">
        <v>13780271.5479487</v>
      </c>
      <c r="AJ36" s="28">
        <v>13542347.8239497</v>
      </c>
      <c r="AK36" s="28">
        <v>4279025.99345872</v>
      </c>
      <c r="AL36" s="28">
        <v>57539641.4806965</v>
      </c>
      <c r="AM36" s="28">
        <v>9247844.26794925</v>
      </c>
      <c r="AN36" s="28">
        <v>18900788.57648</v>
      </c>
      <c r="AO36" s="28">
        <v>7465876.51647536</v>
      </c>
      <c r="AP36" s="28">
        <v>12170731.8832801</v>
      </c>
      <c r="AQ36" s="28">
        <v>15774297.659291</v>
      </c>
      <c r="AR36" s="28">
        <v>5216650.82885439</v>
      </c>
      <c r="AS36" s="28">
        <v>30875236.4145192</v>
      </c>
      <c r="AT36" s="28">
        <v>925439145.452762</v>
      </c>
      <c r="AU36" s="28">
        <v>30607379.1014419</v>
      </c>
      <c r="AV36" s="28">
        <v>107378578.754783</v>
      </c>
      <c r="AW36" s="28">
        <v>137985957.856225</v>
      </c>
      <c r="AX36" s="28">
        <v>42787710.9515996</v>
      </c>
      <c r="AY36" s="28">
        <v>180773668.807825</v>
      </c>
      <c r="AZ36" s="28">
        <v>34380961.708352</v>
      </c>
      <c r="BA36" s="28">
        <v>2787948.9429764</v>
      </c>
      <c r="BB36" s="28">
        <v>37168910.6513285</v>
      </c>
      <c r="BC36" s="28">
        <v>95111712.9359392</v>
      </c>
      <c r="BD36" s="28">
        <v>313054292.395092</v>
      </c>
      <c r="BE36" s="28">
        <v>39322169.2133513</v>
      </c>
      <c r="BF36" s="28">
        <v>1199171268.6345</v>
      </c>
    </row>
    <row r="37" ht="22.5" spans="1:58">
      <c r="A37" s="26"/>
      <c r="B37" s="3" t="s">
        <v>84</v>
      </c>
      <c r="C37" s="29" t="s">
        <v>131</v>
      </c>
      <c r="D37" s="28">
        <v>2365578.98808817</v>
      </c>
      <c r="E37" s="28">
        <v>762175.496679947</v>
      </c>
      <c r="F37" s="28">
        <v>199599.926912402</v>
      </c>
      <c r="G37" s="28">
        <v>842149.986134579</v>
      </c>
      <c r="H37" s="28">
        <v>109283.546670268</v>
      </c>
      <c r="I37" s="28">
        <v>5081633.58900609</v>
      </c>
      <c r="J37" s="28">
        <v>2389261.74244902</v>
      </c>
      <c r="K37" s="28">
        <v>1133676.64022426</v>
      </c>
      <c r="L37" s="28">
        <v>3087924.97062347</v>
      </c>
      <c r="M37" s="28">
        <v>858498.177586523</v>
      </c>
      <c r="N37" s="28">
        <v>3499576.94774129</v>
      </c>
      <c r="O37" s="28">
        <v>3967101.99217498</v>
      </c>
      <c r="P37" s="28">
        <v>1394763.17711906</v>
      </c>
      <c r="Q37" s="28">
        <v>4067231.60339072</v>
      </c>
      <c r="R37" s="28">
        <v>2414344.96716937</v>
      </c>
      <c r="S37" s="28">
        <v>1033268.47012779</v>
      </c>
      <c r="T37" s="28">
        <v>2894258.57181722</v>
      </c>
      <c r="U37" s="28">
        <v>2733036.73885831</v>
      </c>
      <c r="V37" s="28">
        <v>3475131.34519183</v>
      </c>
      <c r="W37" s="28">
        <v>2884251.21431984</v>
      </c>
      <c r="X37" s="28">
        <v>837981.495214393</v>
      </c>
      <c r="Y37" s="28">
        <v>3803760.40411029</v>
      </c>
      <c r="Z37" s="28">
        <v>4571761.38176499</v>
      </c>
      <c r="AA37" s="28">
        <v>553103.529085097</v>
      </c>
      <c r="AB37" s="28">
        <v>2051215.08631479</v>
      </c>
      <c r="AC37" s="28">
        <v>224739.514706225</v>
      </c>
      <c r="AD37" s="28">
        <v>196672.810478203</v>
      </c>
      <c r="AE37" s="28">
        <v>14884407.3911327</v>
      </c>
      <c r="AF37" s="28">
        <v>7190141.59560003</v>
      </c>
      <c r="AG37" s="28">
        <v>21824752.6561766</v>
      </c>
      <c r="AH37" s="28">
        <v>939543.146375473</v>
      </c>
      <c r="AI37" s="28">
        <v>5890208.15955415</v>
      </c>
      <c r="AJ37" s="28">
        <v>28451801.880011</v>
      </c>
      <c r="AK37" s="28">
        <v>4188796.83246565</v>
      </c>
      <c r="AL37" s="28">
        <v>46050709.4546587</v>
      </c>
      <c r="AM37" s="28">
        <v>9505464.4839702</v>
      </c>
      <c r="AN37" s="28">
        <v>17842364.9084279</v>
      </c>
      <c r="AO37" s="28">
        <v>3362199.60532963</v>
      </c>
      <c r="AP37" s="28">
        <v>12682565.3168176</v>
      </c>
      <c r="AQ37" s="28">
        <v>1987214.01266115</v>
      </c>
      <c r="AR37" s="28">
        <v>5104499.06347416</v>
      </c>
      <c r="AS37" s="28">
        <v>38154941.9238457</v>
      </c>
      <c r="AT37" s="28">
        <v>274357916.104236</v>
      </c>
      <c r="AU37" s="28">
        <v>26632162.7816424</v>
      </c>
      <c r="AV37" s="28">
        <v>156061116.808666</v>
      </c>
      <c r="AW37" s="28">
        <v>182693279.590308</v>
      </c>
      <c r="AX37" s="28">
        <v>0</v>
      </c>
      <c r="AY37" s="28">
        <v>182693279.590308</v>
      </c>
      <c r="AZ37" s="28">
        <v>0</v>
      </c>
      <c r="BA37" s="28">
        <v>0</v>
      </c>
      <c r="BB37" s="28">
        <v>0</v>
      </c>
      <c r="BC37" s="28">
        <v>2705954.49598409</v>
      </c>
      <c r="BD37" s="28">
        <v>185399234.086293</v>
      </c>
      <c r="BE37" s="28">
        <v>27767390.0851026</v>
      </c>
      <c r="BF37" s="28">
        <v>431989760.105425</v>
      </c>
    </row>
    <row r="38" ht="22.5" spans="1:58">
      <c r="A38" s="26"/>
      <c r="B38" s="3" t="s">
        <v>37</v>
      </c>
      <c r="C38" s="29" t="s">
        <v>132</v>
      </c>
      <c r="D38" s="28">
        <v>2380372.78824075</v>
      </c>
      <c r="E38" s="28">
        <v>321232.861355437</v>
      </c>
      <c r="F38" s="28">
        <v>130830.941198361</v>
      </c>
      <c r="G38" s="28">
        <v>660885.164213261</v>
      </c>
      <c r="H38" s="28">
        <v>51314.843354326</v>
      </c>
      <c r="I38" s="28">
        <v>2985457.20715577</v>
      </c>
      <c r="J38" s="28">
        <v>2795304.30332306</v>
      </c>
      <c r="K38" s="28">
        <v>702160.280937225</v>
      </c>
      <c r="L38" s="28">
        <v>2870632.02376985</v>
      </c>
      <c r="M38" s="28">
        <v>297324.707152127</v>
      </c>
      <c r="N38" s="28">
        <v>2928437.61556918</v>
      </c>
      <c r="O38" s="28">
        <v>1802778.23692655</v>
      </c>
      <c r="P38" s="28">
        <v>1073247.96777688</v>
      </c>
      <c r="Q38" s="28">
        <v>1879832.34809695</v>
      </c>
      <c r="R38" s="28">
        <v>758487.520285756</v>
      </c>
      <c r="S38" s="28">
        <v>759639.704929939</v>
      </c>
      <c r="T38" s="28">
        <v>1666606.60703143</v>
      </c>
      <c r="U38" s="28">
        <v>3216940.16125764</v>
      </c>
      <c r="V38" s="28">
        <v>2097447.46644496</v>
      </c>
      <c r="W38" s="28">
        <v>2312784.18490249</v>
      </c>
      <c r="X38" s="28">
        <v>739434.714819519</v>
      </c>
      <c r="Y38" s="28">
        <v>3891181.91736712</v>
      </c>
      <c r="Z38" s="28">
        <v>26849254.1742833</v>
      </c>
      <c r="AA38" s="28">
        <v>290368.479808388</v>
      </c>
      <c r="AB38" s="28">
        <v>4714676.0832068</v>
      </c>
      <c r="AC38" s="28">
        <v>378597.820452405</v>
      </c>
      <c r="AD38" s="28">
        <v>364023.258410855</v>
      </c>
      <c r="AE38" s="28">
        <v>39431330.9860852</v>
      </c>
      <c r="AF38" s="28">
        <v>11266280.2419986</v>
      </c>
      <c r="AG38" s="28">
        <v>36361881.1529624</v>
      </c>
      <c r="AH38" s="28">
        <v>3189231.68053014</v>
      </c>
      <c r="AI38" s="28">
        <v>194104989.050703</v>
      </c>
      <c r="AJ38" s="28">
        <v>41502192.8395724</v>
      </c>
      <c r="AK38" s="28">
        <v>8707730.93182006</v>
      </c>
      <c r="AL38" s="28">
        <v>14421754.3457487</v>
      </c>
      <c r="AM38" s="28">
        <v>3120866.51659212</v>
      </c>
      <c r="AN38" s="28">
        <v>11332785.5437177</v>
      </c>
      <c r="AO38" s="28">
        <v>1805080.10132818</v>
      </c>
      <c r="AP38" s="28">
        <v>10760607.8818951</v>
      </c>
      <c r="AQ38" s="28">
        <v>10365566.128375</v>
      </c>
      <c r="AR38" s="28">
        <v>2895577.27046514</v>
      </c>
      <c r="AS38" s="28">
        <v>51257794.8407465</v>
      </c>
      <c r="AT38" s="28">
        <v>508740762.613874</v>
      </c>
      <c r="AU38" s="28">
        <v>27729871.4639141</v>
      </c>
      <c r="AV38" s="28">
        <v>96992063.3368684</v>
      </c>
      <c r="AW38" s="28">
        <v>124721934.800783</v>
      </c>
      <c r="AX38" s="28">
        <v>0</v>
      </c>
      <c r="AY38" s="28">
        <v>124721934.800783</v>
      </c>
      <c r="AZ38" s="28">
        <v>328686630.659035</v>
      </c>
      <c r="BA38" s="28">
        <v>0</v>
      </c>
      <c r="BB38" s="28">
        <v>328686630.659035</v>
      </c>
      <c r="BC38" s="28">
        <v>30745009.3330724</v>
      </c>
      <c r="BD38" s="28">
        <v>484153574.79289</v>
      </c>
      <c r="BE38" s="28">
        <v>27651547.5807223</v>
      </c>
      <c r="BF38" s="28">
        <v>965242789.826041</v>
      </c>
    </row>
    <row r="39" ht="22.5" spans="1:58">
      <c r="A39" s="26"/>
      <c r="B39" s="3" t="s">
        <v>85</v>
      </c>
      <c r="C39" s="29" t="s">
        <v>133</v>
      </c>
      <c r="D39" s="28">
        <v>15766818.180193</v>
      </c>
      <c r="E39" s="28">
        <v>11355297.9950202</v>
      </c>
      <c r="F39" s="28">
        <v>3523955.05461349</v>
      </c>
      <c r="G39" s="28">
        <v>5093818.78463889</v>
      </c>
      <c r="H39" s="28">
        <v>364840.569674193</v>
      </c>
      <c r="I39" s="28">
        <v>6436987.40793739</v>
      </c>
      <c r="J39" s="28">
        <v>6249925.80135454</v>
      </c>
      <c r="K39" s="28">
        <v>2488537.45839071</v>
      </c>
      <c r="L39" s="28">
        <v>8811327.12666311</v>
      </c>
      <c r="M39" s="28">
        <v>5416578.43596224</v>
      </c>
      <c r="N39" s="28">
        <v>13092551.2328758</v>
      </c>
      <c r="O39" s="28">
        <v>6602747.37566865</v>
      </c>
      <c r="P39" s="28">
        <v>4242624.04434707</v>
      </c>
      <c r="Q39" s="28">
        <v>14297153.9563694</v>
      </c>
      <c r="R39" s="28">
        <v>20570210.4352994</v>
      </c>
      <c r="S39" s="28">
        <v>12597606.3127206</v>
      </c>
      <c r="T39" s="28">
        <v>9590467.50565698</v>
      </c>
      <c r="U39" s="28">
        <v>7295027.1000641</v>
      </c>
      <c r="V39" s="28">
        <v>7663645.76447083</v>
      </c>
      <c r="W39" s="28">
        <v>5381052.84156674</v>
      </c>
      <c r="X39" s="28">
        <v>1960594.08092552</v>
      </c>
      <c r="Y39" s="28">
        <v>9787171.45932322</v>
      </c>
      <c r="Z39" s="28">
        <v>19032060.7874239</v>
      </c>
      <c r="AA39" s="28">
        <v>1872017.33465317</v>
      </c>
      <c r="AB39" s="28">
        <v>30701715.8805196</v>
      </c>
      <c r="AC39" s="28">
        <v>2949098.61340047</v>
      </c>
      <c r="AD39" s="28">
        <v>2337898.07293351</v>
      </c>
      <c r="AE39" s="28">
        <v>104688408.690953</v>
      </c>
      <c r="AF39" s="28">
        <v>66615980.037015</v>
      </c>
      <c r="AG39" s="28">
        <v>112449320.143672</v>
      </c>
      <c r="AH39" s="28">
        <v>4074223.41121468</v>
      </c>
      <c r="AI39" s="28">
        <v>19132082.7698179</v>
      </c>
      <c r="AJ39" s="28">
        <v>88119497.3196389</v>
      </c>
      <c r="AK39" s="28">
        <v>120667640.234183</v>
      </c>
      <c r="AL39" s="28">
        <v>66178193.6972037</v>
      </c>
      <c r="AM39" s="28">
        <v>2215790.53287924</v>
      </c>
      <c r="AN39" s="28">
        <v>20409284.7257853</v>
      </c>
      <c r="AO39" s="28">
        <v>3820089.78940172</v>
      </c>
      <c r="AP39" s="28">
        <v>14202032.2973217</v>
      </c>
      <c r="AQ39" s="28">
        <v>3588207.51262978</v>
      </c>
      <c r="AR39" s="28">
        <v>3870128.16015354</v>
      </c>
      <c r="AS39" s="28">
        <v>24922671.9796097</v>
      </c>
      <c r="AT39" s="28">
        <v>887946743.455756</v>
      </c>
      <c r="AU39" s="28">
        <v>42322847.9455212</v>
      </c>
      <c r="AV39" s="28">
        <v>257666069.660639</v>
      </c>
      <c r="AW39" s="28">
        <v>299988917.606161</v>
      </c>
      <c r="AX39" s="28">
        <v>45102452.9918957</v>
      </c>
      <c r="AY39" s="28">
        <v>345091370.598057</v>
      </c>
      <c r="AZ39" s="28">
        <v>0</v>
      </c>
      <c r="BA39" s="28">
        <v>0</v>
      </c>
      <c r="BB39" s="28">
        <v>0</v>
      </c>
      <c r="BC39" s="28">
        <v>6895161.34376995</v>
      </c>
      <c r="BD39" s="28">
        <v>351986531.941826</v>
      </c>
      <c r="BE39" s="28">
        <v>10563119.925339</v>
      </c>
      <c r="BF39" s="28">
        <v>1229370155.47224</v>
      </c>
    </row>
    <row r="40" spans="1:58">
      <c r="A40" s="26"/>
      <c r="B40" s="3" t="s">
        <v>9</v>
      </c>
      <c r="C40" s="29" t="s">
        <v>134</v>
      </c>
      <c r="D40" s="28">
        <v>20082.659692497</v>
      </c>
      <c r="E40" s="28">
        <v>154368.02123161</v>
      </c>
      <c r="F40" s="28">
        <v>30567.8260411511</v>
      </c>
      <c r="G40" s="28">
        <v>19898.1266009709</v>
      </c>
      <c r="H40" s="28">
        <v>23226.7155544534</v>
      </c>
      <c r="I40" s="28">
        <v>368861.657403463</v>
      </c>
      <c r="J40" s="28">
        <v>288885.354680974</v>
      </c>
      <c r="K40" s="28">
        <v>231530.118779109</v>
      </c>
      <c r="L40" s="28">
        <v>416231.790993955</v>
      </c>
      <c r="M40" s="28">
        <v>11998.50796184</v>
      </c>
      <c r="N40" s="28">
        <v>162231.238773794</v>
      </c>
      <c r="O40" s="28">
        <v>83152.3391850951</v>
      </c>
      <c r="P40" s="28">
        <v>382335.981937265</v>
      </c>
      <c r="Q40" s="28">
        <v>308749.0308285</v>
      </c>
      <c r="R40" s="28">
        <v>13759.6026913174</v>
      </c>
      <c r="S40" s="28">
        <v>26366.7817749392</v>
      </c>
      <c r="T40" s="28">
        <v>274687.647521756</v>
      </c>
      <c r="U40" s="28">
        <v>363253.370293211</v>
      </c>
      <c r="V40" s="28">
        <v>219130.966656677</v>
      </c>
      <c r="W40" s="28">
        <v>250810.524869642</v>
      </c>
      <c r="X40" s="28">
        <v>146868.164765758</v>
      </c>
      <c r="Y40" s="28">
        <v>470907.961317089</v>
      </c>
      <c r="Z40" s="28">
        <v>699524.373059791</v>
      </c>
      <c r="AA40" s="28">
        <v>307943.653537464</v>
      </c>
      <c r="AB40" s="28">
        <v>142396.255764799</v>
      </c>
      <c r="AC40" s="28">
        <v>67003.9951446136</v>
      </c>
      <c r="AD40" s="28">
        <v>57196.021567538</v>
      </c>
      <c r="AE40" s="28">
        <v>529996.065528174</v>
      </c>
      <c r="AF40" s="28">
        <v>109562548.179287</v>
      </c>
      <c r="AG40" s="28">
        <v>15294260.5489939</v>
      </c>
      <c r="AH40" s="28">
        <v>18203225.337623</v>
      </c>
      <c r="AI40" s="28">
        <v>63369467.4121711</v>
      </c>
      <c r="AJ40" s="28">
        <v>74704849.5411753</v>
      </c>
      <c r="AK40" s="28">
        <v>44133548.9181023</v>
      </c>
      <c r="AL40" s="28">
        <v>58013520.6167283</v>
      </c>
      <c r="AM40" s="28">
        <v>3738744.58005519</v>
      </c>
      <c r="AN40" s="28">
        <v>8758746.69435653</v>
      </c>
      <c r="AO40" s="28">
        <v>30523399.633695</v>
      </c>
      <c r="AP40" s="28">
        <v>21605085.831632</v>
      </c>
      <c r="AQ40" s="28">
        <v>7425864.63189016</v>
      </c>
      <c r="AR40" s="28">
        <v>6106378.24334243</v>
      </c>
      <c r="AS40" s="28">
        <v>16933128.687312</v>
      </c>
      <c r="AT40" s="58">
        <v>484213203.491743</v>
      </c>
      <c r="AU40" s="59">
        <v>106799901.48438</v>
      </c>
      <c r="AV40" s="59">
        <v>442660375.357664</v>
      </c>
      <c r="AW40" s="58">
        <v>549460276.842044</v>
      </c>
      <c r="AX40" s="59">
        <v>0</v>
      </c>
      <c r="AY40" s="58">
        <v>549460276.842044</v>
      </c>
      <c r="AZ40" s="59">
        <v>32960000</v>
      </c>
      <c r="BA40" s="59">
        <v>0</v>
      </c>
      <c r="BB40" s="58">
        <v>32960000</v>
      </c>
      <c r="BC40" s="59">
        <v>0</v>
      </c>
      <c r="BD40" s="78">
        <v>582420276.842044</v>
      </c>
      <c r="BE40" s="59">
        <v>0</v>
      </c>
      <c r="BF40" s="60">
        <v>1066633480.33379</v>
      </c>
    </row>
    <row r="41" spans="1:58">
      <c r="A41" s="26"/>
      <c r="B41" s="3" t="s">
        <v>38</v>
      </c>
      <c r="C41" s="29" t="s">
        <v>135</v>
      </c>
      <c r="D41" s="28">
        <v>3129882.2488734</v>
      </c>
      <c r="E41" s="28">
        <v>7849725.13837399</v>
      </c>
      <c r="F41" s="28">
        <v>1555028.21445079</v>
      </c>
      <c r="G41" s="28">
        <v>4119545.57378903</v>
      </c>
      <c r="H41" s="28">
        <v>372693.72858293</v>
      </c>
      <c r="I41" s="28">
        <v>29453725.8321323</v>
      </c>
      <c r="J41" s="28">
        <v>13137051.9205012</v>
      </c>
      <c r="K41" s="28">
        <v>3192072.91138333</v>
      </c>
      <c r="L41" s="28">
        <v>13280152.6862859</v>
      </c>
      <c r="M41" s="28">
        <v>5462401.45642533</v>
      </c>
      <c r="N41" s="28">
        <v>12564972.5615984</v>
      </c>
      <c r="O41" s="28">
        <v>17577354.9369664</v>
      </c>
      <c r="P41" s="28">
        <v>7884997.01042983</v>
      </c>
      <c r="Q41" s="28">
        <v>12561166.3217849</v>
      </c>
      <c r="R41" s="28">
        <v>4776147.59893781</v>
      </c>
      <c r="S41" s="28">
        <v>2689490.49953187</v>
      </c>
      <c r="T41" s="28">
        <v>8356979.553703</v>
      </c>
      <c r="U41" s="28">
        <v>11688945.1215288</v>
      </c>
      <c r="V41" s="28">
        <v>10242614.5158324</v>
      </c>
      <c r="W41" s="28">
        <v>17330624.9111703</v>
      </c>
      <c r="X41" s="28">
        <v>2164350.08201198</v>
      </c>
      <c r="Y41" s="28">
        <v>13481919.1678082</v>
      </c>
      <c r="Z41" s="28">
        <v>20098279.2868665</v>
      </c>
      <c r="AA41" s="28">
        <v>1727034.30580732</v>
      </c>
      <c r="AB41" s="28">
        <v>4572205.40784744</v>
      </c>
      <c r="AC41" s="28">
        <v>1778231.98856279</v>
      </c>
      <c r="AD41" s="28">
        <v>496311.834059323</v>
      </c>
      <c r="AE41" s="28">
        <v>52549966.3463711</v>
      </c>
      <c r="AF41" s="28">
        <v>159935089.747533</v>
      </c>
      <c r="AG41" s="28">
        <v>36186483.1966158</v>
      </c>
      <c r="AH41" s="28">
        <v>8687960.08398026</v>
      </c>
      <c r="AI41" s="28">
        <v>74215811.3334131</v>
      </c>
      <c r="AJ41" s="28">
        <v>77042668.512262</v>
      </c>
      <c r="AK41" s="28">
        <v>65627876.7691359</v>
      </c>
      <c r="AL41" s="28">
        <v>104609027.148879</v>
      </c>
      <c r="AM41" s="28">
        <v>8846749.56988398</v>
      </c>
      <c r="AN41" s="28">
        <v>27453542.0884154</v>
      </c>
      <c r="AO41" s="28">
        <v>7215213.4638894</v>
      </c>
      <c r="AP41" s="28">
        <v>5708290.12593557</v>
      </c>
      <c r="AQ41" s="28">
        <v>2729915.7078018</v>
      </c>
      <c r="AR41" s="28">
        <v>7213133.87372458</v>
      </c>
      <c r="AS41" s="28">
        <v>28124552.0348992</v>
      </c>
      <c r="AT41" s="28">
        <v>894498111.906603</v>
      </c>
      <c r="AU41" s="28">
        <v>1757638.98538596</v>
      </c>
      <c r="AV41" s="28">
        <v>34063051.8751361</v>
      </c>
      <c r="AW41" s="28">
        <v>35820690.8605221</v>
      </c>
      <c r="AX41" s="28">
        <v>22155634.737713</v>
      </c>
      <c r="AY41" s="28">
        <v>57976325.5982351</v>
      </c>
      <c r="AZ41" s="28">
        <v>0</v>
      </c>
      <c r="BA41" s="28">
        <v>0</v>
      </c>
      <c r="BB41" s="28">
        <v>0</v>
      </c>
      <c r="BC41" s="28">
        <v>40525349.1646139</v>
      </c>
      <c r="BD41" s="28">
        <v>98501674.762849</v>
      </c>
      <c r="BE41" s="28">
        <v>30437186.0607545</v>
      </c>
      <c r="BF41" s="28">
        <v>962562600.608697</v>
      </c>
    </row>
    <row r="42" ht="22.5" spans="1:58">
      <c r="A42" s="26"/>
      <c r="B42" s="3" t="s">
        <v>86</v>
      </c>
      <c r="C42" s="29" t="s">
        <v>133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860250.388241398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58">
        <v>860250.388241398</v>
      </c>
      <c r="AU42" s="59">
        <v>0</v>
      </c>
      <c r="AV42" s="59">
        <v>0</v>
      </c>
      <c r="AW42" s="58">
        <v>0</v>
      </c>
      <c r="AX42" s="59">
        <v>60926779.1036859</v>
      </c>
      <c r="AY42" s="58">
        <v>60926779.1036859</v>
      </c>
      <c r="AZ42" s="59">
        <v>187839985.899051</v>
      </c>
      <c r="BA42" s="59">
        <v>0</v>
      </c>
      <c r="BB42" s="58">
        <v>187839985.899051</v>
      </c>
      <c r="BC42" s="59">
        <v>9676778.94604033</v>
      </c>
      <c r="BD42" s="78">
        <v>258443543.948777</v>
      </c>
      <c r="BE42" s="59">
        <v>27747226.1777905</v>
      </c>
      <c r="BF42" s="60">
        <v>231556568.159228</v>
      </c>
    </row>
    <row r="43" ht="22.5" spans="1:58">
      <c r="A43" s="26"/>
      <c r="B43" s="3" t="s">
        <v>87</v>
      </c>
      <c r="C43" s="29" t="s">
        <v>136</v>
      </c>
      <c r="D43" s="28">
        <v>8183686.4984879</v>
      </c>
      <c r="E43" s="28">
        <v>2051462.54138618</v>
      </c>
      <c r="F43" s="28">
        <v>439977.225223194</v>
      </c>
      <c r="G43" s="28">
        <v>2152967.39999736</v>
      </c>
      <c r="H43" s="28">
        <v>231921.082526133</v>
      </c>
      <c r="I43" s="28">
        <v>1676472.63767719</v>
      </c>
      <c r="J43" s="28">
        <v>1471681.37075828</v>
      </c>
      <c r="K43" s="28">
        <v>953469.343936431</v>
      </c>
      <c r="L43" s="28">
        <v>2297490.74468189</v>
      </c>
      <c r="M43" s="28">
        <v>231164.630889436</v>
      </c>
      <c r="N43" s="28">
        <v>7275667.28743772</v>
      </c>
      <c r="O43" s="28">
        <v>1930217.26939713</v>
      </c>
      <c r="P43" s="28">
        <v>1274308.34043299</v>
      </c>
      <c r="Q43" s="28">
        <v>2805612.47685748</v>
      </c>
      <c r="R43" s="28">
        <v>2192418.97039587</v>
      </c>
      <c r="S43" s="28">
        <v>1092155.93932901</v>
      </c>
      <c r="T43" s="28">
        <v>2353821.56698802</v>
      </c>
      <c r="U43" s="28">
        <v>2501260.76717408</v>
      </c>
      <c r="V43" s="28">
        <v>3941338.7136013</v>
      </c>
      <c r="W43" s="28">
        <v>7517546.71555347</v>
      </c>
      <c r="X43" s="28">
        <v>1917876.88571047</v>
      </c>
      <c r="Y43" s="28">
        <v>3565826.69500278</v>
      </c>
      <c r="Z43" s="28">
        <v>10154751.0050959</v>
      </c>
      <c r="AA43" s="28">
        <v>228523.154110395</v>
      </c>
      <c r="AB43" s="28">
        <v>3652469.70564289</v>
      </c>
      <c r="AC43" s="28">
        <v>10048.6627904476</v>
      </c>
      <c r="AD43" s="28">
        <v>43760.7381524557</v>
      </c>
      <c r="AE43" s="28">
        <v>240915312.738259</v>
      </c>
      <c r="AF43" s="28">
        <v>11282048.0261098</v>
      </c>
      <c r="AG43" s="28">
        <v>3801996.45327027</v>
      </c>
      <c r="AH43" s="28">
        <v>167826.700410252</v>
      </c>
      <c r="AI43" s="28">
        <v>3281325.00353324</v>
      </c>
      <c r="AJ43" s="28">
        <v>841145.413044023</v>
      </c>
      <c r="AK43" s="28">
        <v>886848.717321866</v>
      </c>
      <c r="AL43" s="28">
        <v>123358.933337507</v>
      </c>
      <c r="AM43" s="28">
        <v>13591265.8409639</v>
      </c>
      <c r="AN43" s="28">
        <v>72827591.4946328</v>
      </c>
      <c r="AO43" s="28">
        <v>14101.0968310876</v>
      </c>
      <c r="AP43" s="28">
        <v>1373597.44737479</v>
      </c>
      <c r="AQ43" s="28">
        <v>250745.104060527</v>
      </c>
      <c r="AR43" s="28">
        <v>31778.2614969229</v>
      </c>
      <c r="AS43" s="28">
        <v>690117.103671646</v>
      </c>
      <c r="AT43" s="28">
        <v>421273487.359617</v>
      </c>
      <c r="AU43" s="28">
        <v>845712.726253918</v>
      </c>
      <c r="AV43" s="28">
        <v>3554225.22710685</v>
      </c>
      <c r="AW43" s="28">
        <v>4399937.95336077</v>
      </c>
      <c r="AX43" s="28">
        <v>85393018.0481749</v>
      </c>
      <c r="AY43" s="28">
        <v>89792956.0015357</v>
      </c>
      <c r="AZ43" s="28">
        <v>8718585.05</v>
      </c>
      <c r="BA43" s="28">
        <v>0</v>
      </c>
      <c r="BB43" s="28">
        <v>8718585.05</v>
      </c>
      <c r="BC43" s="28">
        <v>1387.71592662749</v>
      </c>
      <c r="BD43" s="28">
        <v>98512928.7674623</v>
      </c>
      <c r="BE43" s="28">
        <v>546.598662121702</v>
      </c>
      <c r="BF43" s="28">
        <v>519785869.528417</v>
      </c>
    </row>
    <row r="44" ht="22.5" spans="1:58">
      <c r="A44" s="26"/>
      <c r="B44" s="3" t="s">
        <v>41</v>
      </c>
      <c r="C44" s="27" t="s">
        <v>137</v>
      </c>
      <c r="D44" s="28">
        <v>1162397.39834427</v>
      </c>
      <c r="E44" s="28">
        <v>1569830.502662</v>
      </c>
      <c r="F44" s="28">
        <v>159386.410420715</v>
      </c>
      <c r="G44" s="28">
        <v>318946.296479189</v>
      </c>
      <c r="H44" s="28">
        <v>31443.2389671735</v>
      </c>
      <c r="I44" s="28">
        <v>1801970.03318312</v>
      </c>
      <c r="J44" s="28">
        <v>1266265.8232641</v>
      </c>
      <c r="K44" s="28">
        <v>748904.04015807</v>
      </c>
      <c r="L44" s="28">
        <v>1959896.55437019</v>
      </c>
      <c r="M44" s="28">
        <v>696299.771721184</v>
      </c>
      <c r="N44" s="28">
        <v>1882933.61136211</v>
      </c>
      <c r="O44" s="28">
        <v>1374331.99067982</v>
      </c>
      <c r="P44" s="28">
        <v>1144520.54790092</v>
      </c>
      <c r="Q44" s="28">
        <v>2152188.08375026</v>
      </c>
      <c r="R44" s="28">
        <v>1142727.12728802</v>
      </c>
      <c r="S44" s="28">
        <v>369600.17646542</v>
      </c>
      <c r="T44" s="28">
        <v>1871053.20942117</v>
      </c>
      <c r="U44" s="28">
        <v>2177435.0947761</v>
      </c>
      <c r="V44" s="28">
        <v>1440596.56517176</v>
      </c>
      <c r="W44" s="28">
        <v>3661165.38872185</v>
      </c>
      <c r="X44" s="28">
        <v>475779.723185139</v>
      </c>
      <c r="Y44" s="28">
        <v>2650589.95304707</v>
      </c>
      <c r="Z44" s="28">
        <v>3183056.16099253</v>
      </c>
      <c r="AA44" s="28">
        <v>353088.741081888</v>
      </c>
      <c r="AB44" s="28">
        <v>2395782.91856207</v>
      </c>
      <c r="AC44" s="28">
        <v>247361.965403633</v>
      </c>
      <c r="AD44" s="28">
        <v>377392.453834334</v>
      </c>
      <c r="AE44" s="28">
        <v>18589278.3485172</v>
      </c>
      <c r="AF44" s="28">
        <v>10936817.2482683</v>
      </c>
      <c r="AG44" s="28">
        <v>17956064.9267489</v>
      </c>
      <c r="AH44" s="28">
        <v>2370048.75002588</v>
      </c>
      <c r="AI44" s="28">
        <v>2165345.51653952</v>
      </c>
      <c r="AJ44" s="28">
        <v>3686570.70586811</v>
      </c>
      <c r="AK44" s="28">
        <v>1817217.87257167</v>
      </c>
      <c r="AL44" s="28">
        <v>7553140.62261423</v>
      </c>
      <c r="AM44" s="28">
        <v>3501305.22514383</v>
      </c>
      <c r="AN44" s="28">
        <v>6088183.53004556</v>
      </c>
      <c r="AO44" s="28">
        <v>5478387.87829708</v>
      </c>
      <c r="AP44" s="28">
        <v>6387727.03453322</v>
      </c>
      <c r="AQ44" s="28">
        <v>3728248.68452788</v>
      </c>
      <c r="AR44" s="28">
        <v>2160584.8214632</v>
      </c>
      <c r="AS44" s="28">
        <v>21334218.2023641</v>
      </c>
      <c r="AT44" s="28">
        <v>149619179.108585</v>
      </c>
      <c r="AU44" s="28">
        <v>25532574.6362359</v>
      </c>
      <c r="AV44" s="28">
        <v>126223906.314163</v>
      </c>
      <c r="AW44" s="28">
        <v>151756480.950399</v>
      </c>
      <c r="AX44" s="28">
        <v>0</v>
      </c>
      <c r="AY44" s="28">
        <v>151756480.950399</v>
      </c>
      <c r="AZ44" s="28">
        <v>0</v>
      </c>
      <c r="BA44" s="28">
        <v>0</v>
      </c>
      <c r="BB44" s="28">
        <v>0</v>
      </c>
      <c r="BC44" s="28">
        <v>97675.72023538</v>
      </c>
      <c r="BD44" s="28">
        <v>151854156.670634</v>
      </c>
      <c r="BE44" s="28">
        <v>1135747.05678996</v>
      </c>
      <c r="BF44" s="28">
        <v>300337588.722429</v>
      </c>
    </row>
    <row r="45" spans="1:58">
      <c r="A45" s="26"/>
      <c r="B45" s="3" t="s">
        <v>42</v>
      </c>
      <c r="C45" s="27" t="s">
        <v>138</v>
      </c>
      <c r="D45" s="28">
        <v>167081.063319981</v>
      </c>
      <c r="E45" s="28">
        <v>84289.854237093</v>
      </c>
      <c r="F45" s="28">
        <v>10224.6414010659</v>
      </c>
      <c r="G45" s="28">
        <v>24879.3677417055</v>
      </c>
      <c r="H45" s="28">
        <v>2741.16377290043</v>
      </c>
      <c r="I45" s="28">
        <v>142405.141809283</v>
      </c>
      <c r="J45" s="28">
        <v>107412.081915253</v>
      </c>
      <c r="K45" s="28">
        <v>64124.2563566548</v>
      </c>
      <c r="L45" s="28">
        <v>108319.73984558</v>
      </c>
      <c r="M45" s="28">
        <v>38711.8431072445</v>
      </c>
      <c r="N45" s="28">
        <v>101524.864179033</v>
      </c>
      <c r="O45" s="28">
        <v>107005.794391859</v>
      </c>
      <c r="P45" s="28">
        <v>53348.1953983236</v>
      </c>
      <c r="Q45" s="28">
        <v>126924.069557151</v>
      </c>
      <c r="R45" s="28">
        <v>33654.3085816125</v>
      </c>
      <c r="S45" s="28">
        <v>28190.0282411897</v>
      </c>
      <c r="T45" s="28">
        <v>113665.885247161</v>
      </c>
      <c r="U45" s="28">
        <v>153989.560783365</v>
      </c>
      <c r="V45" s="28">
        <v>99155.7207475335</v>
      </c>
      <c r="W45" s="28">
        <v>104298.948935405</v>
      </c>
      <c r="X45" s="28">
        <v>28793.4304086373</v>
      </c>
      <c r="Y45" s="28">
        <v>91487.3998867381</v>
      </c>
      <c r="Z45" s="28">
        <v>136697.887802376</v>
      </c>
      <c r="AA45" s="28">
        <v>37989.4885036761</v>
      </c>
      <c r="AB45" s="28">
        <v>21622.4443010024</v>
      </c>
      <c r="AC45" s="28">
        <v>20627.1888158163</v>
      </c>
      <c r="AD45" s="28">
        <v>25220.1084597461</v>
      </c>
      <c r="AE45" s="28">
        <v>864553.128343884</v>
      </c>
      <c r="AF45" s="28">
        <v>1556026.82121632</v>
      </c>
      <c r="AG45" s="28">
        <v>1314848.27798285</v>
      </c>
      <c r="AH45" s="28">
        <v>298521.326528865</v>
      </c>
      <c r="AI45" s="28">
        <v>578304.519396349</v>
      </c>
      <c r="AJ45" s="28">
        <v>3102120.94272495</v>
      </c>
      <c r="AK45" s="28">
        <v>274596.44974074</v>
      </c>
      <c r="AL45" s="28">
        <v>576898.767881597</v>
      </c>
      <c r="AM45" s="28">
        <v>142839.265608974</v>
      </c>
      <c r="AN45" s="28">
        <v>492632.156668667</v>
      </c>
      <c r="AO45" s="28">
        <v>189130.321780453</v>
      </c>
      <c r="AP45" s="28">
        <v>7696008.6095651</v>
      </c>
      <c r="AQ45" s="28">
        <v>792734.636069641</v>
      </c>
      <c r="AR45" s="28">
        <v>245179.807579042</v>
      </c>
      <c r="AS45" s="28">
        <v>7577069.98525504</v>
      </c>
      <c r="AT45" s="58">
        <v>27671725.2377332</v>
      </c>
      <c r="AU45" s="59">
        <v>51147978.3054616</v>
      </c>
      <c r="AV45" s="59">
        <v>183950274.182512</v>
      </c>
      <c r="AW45" s="58">
        <v>235098252.487974</v>
      </c>
      <c r="AX45" s="59">
        <v>269717581.409089</v>
      </c>
      <c r="AY45" s="58">
        <v>504815833.897063</v>
      </c>
      <c r="AZ45" s="59">
        <v>0</v>
      </c>
      <c r="BA45" s="59">
        <v>0</v>
      </c>
      <c r="BB45" s="58">
        <v>0</v>
      </c>
      <c r="BC45" s="59">
        <v>0</v>
      </c>
      <c r="BD45" s="78">
        <v>504815833.897063</v>
      </c>
      <c r="BE45" s="59">
        <v>0</v>
      </c>
      <c r="BF45" s="60">
        <v>532487559.134796</v>
      </c>
    </row>
    <row r="46" ht="22.5" spans="1:58">
      <c r="A46" s="26"/>
      <c r="B46" s="3" t="s">
        <v>43</v>
      </c>
      <c r="C46" s="27" t="s">
        <v>139</v>
      </c>
      <c r="D46" s="28">
        <v>106215.237680217</v>
      </c>
      <c r="E46" s="28">
        <v>145358.069941137</v>
      </c>
      <c r="F46" s="28">
        <v>13148.4182333425</v>
      </c>
      <c r="G46" s="28">
        <v>97022.2327950756</v>
      </c>
      <c r="H46" s="28">
        <v>0</v>
      </c>
      <c r="I46" s="28">
        <v>74031.8008563569</v>
      </c>
      <c r="J46" s="28">
        <v>124131.532760006</v>
      </c>
      <c r="K46" s="28">
        <v>48373.4414229953</v>
      </c>
      <c r="L46" s="28">
        <v>136284.374270547</v>
      </c>
      <c r="M46" s="28">
        <v>838032.644461601</v>
      </c>
      <c r="N46" s="28">
        <v>95879.7545340868</v>
      </c>
      <c r="O46" s="28">
        <v>62106.3589390581</v>
      </c>
      <c r="P46" s="28">
        <v>11596.2393642904</v>
      </c>
      <c r="Q46" s="28">
        <v>239737.571582594</v>
      </c>
      <c r="R46" s="28">
        <v>295395.381698738</v>
      </c>
      <c r="S46" s="28">
        <v>97498.2997660504</v>
      </c>
      <c r="T46" s="28">
        <v>270233.491610175</v>
      </c>
      <c r="U46" s="28">
        <v>412737.913212253</v>
      </c>
      <c r="V46" s="28">
        <v>261703.144700056</v>
      </c>
      <c r="W46" s="28">
        <v>235573.381728295</v>
      </c>
      <c r="X46" s="28">
        <v>109811.424117341</v>
      </c>
      <c r="Y46" s="28">
        <v>307450.819624611</v>
      </c>
      <c r="Z46" s="28">
        <v>179407.085349043</v>
      </c>
      <c r="AA46" s="28">
        <v>18328.0467978609</v>
      </c>
      <c r="AB46" s="28">
        <v>352667.835607818</v>
      </c>
      <c r="AC46" s="28">
        <v>37394.6835848899</v>
      </c>
      <c r="AD46" s="28">
        <v>1848.09228504862</v>
      </c>
      <c r="AE46" s="28">
        <v>1215493.85543785</v>
      </c>
      <c r="AF46" s="28">
        <v>406174.546783614</v>
      </c>
      <c r="AG46" s="28">
        <v>587224.055501807</v>
      </c>
      <c r="AH46" s="28">
        <v>11028.5522628691</v>
      </c>
      <c r="AI46" s="28">
        <v>25143.2503734001</v>
      </c>
      <c r="AJ46" s="28">
        <v>276897.048051173</v>
      </c>
      <c r="AK46" s="28">
        <v>2491.92508066418</v>
      </c>
      <c r="AL46" s="28">
        <v>6425.49009466373</v>
      </c>
      <c r="AM46" s="28">
        <v>19498.6720649739</v>
      </c>
      <c r="AN46" s="28">
        <v>42542.0712860256</v>
      </c>
      <c r="AO46" s="28">
        <v>73930.9620604574</v>
      </c>
      <c r="AP46" s="28">
        <v>205486.835689886</v>
      </c>
      <c r="AQ46" s="28">
        <v>2877366.52646087</v>
      </c>
      <c r="AR46" s="28">
        <v>50119.2848172912</v>
      </c>
      <c r="AS46" s="28">
        <v>2428769.29722126</v>
      </c>
      <c r="AT46" s="28">
        <v>12752186.2086873</v>
      </c>
      <c r="AU46" s="28">
        <v>42485967.9835079</v>
      </c>
      <c r="AV46" s="28">
        <v>129168822.756931</v>
      </c>
      <c r="AW46" s="28">
        <v>171654790.740439</v>
      </c>
      <c r="AX46" s="28">
        <v>316703292.126735</v>
      </c>
      <c r="AY46" s="28">
        <v>488358082.867175</v>
      </c>
      <c r="AZ46" s="28">
        <v>0</v>
      </c>
      <c r="BA46" s="28">
        <v>0</v>
      </c>
      <c r="BB46" s="28">
        <v>0</v>
      </c>
      <c r="BC46" s="28">
        <v>156974.417010226</v>
      </c>
      <c r="BD46" s="28">
        <v>488515057.284185</v>
      </c>
      <c r="BE46" s="28">
        <v>1195045.7535648</v>
      </c>
      <c r="BF46" s="28">
        <v>500072197.739307</v>
      </c>
    </row>
    <row r="47" ht="22.5" spans="1:58">
      <c r="A47" s="30"/>
      <c r="B47" s="3" t="s">
        <v>44</v>
      </c>
      <c r="C47" s="27" t="s">
        <v>140</v>
      </c>
      <c r="D47" s="28">
        <v>101045.025148105</v>
      </c>
      <c r="E47" s="28">
        <v>272786.245746533</v>
      </c>
      <c r="F47" s="28">
        <v>124921.036063118</v>
      </c>
      <c r="G47" s="28">
        <v>173463.23050387</v>
      </c>
      <c r="H47" s="28">
        <v>14812.9162275039</v>
      </c>
      <c r="I47" s="28">
        <v>892690.765976482</v>
      </c>
      <c r="J47" s="28">
        <v>884858.032980677</v>
      </c>
      <c r="K47" s="28">
        <v>293822.585719705</v>
      </c>
      <c r="L47" s="28">
        <v>602336.951721003</v>
      </c>
      <c r="M47" s="28">
        <v>314077.591861205</v>
      </c>
      <c r="N47" s="28">
        <v>651094.05702456</v>
      </c>
      <c r="O47" s="28">
        <v>589693.416263557</v>
      </c>
      <c r="P47" s="28">
        <v>512136.738891985</v>
      </c>
      <c r="Q47" s="28">
        <v>908100.804652584</v>
      </c>
      <c r="R47" s="28">
        <v>616659.727715123</v>
      </c>
      <c r="S47" s="28">
        <v>354148.930160567</v>
      </c>
      <c r="T47" s="28">
        <v>453650.456731865</v>
      </c>
      <c r="U47" s="28">
        <v>1050252.89346804</v>
      </c>
      <c r="V47" s="28">
        <v>537971.468671074</v>
      </c>
      <c r="W47" s="28">
        <v>1486140.93494385</v>
      </c>
      <c r="X47" s="28">
        <v>118962.458864416</v>
      </c>
      <c r="Y47" s="28">
        <v>840454.187094723</v>
      </c>
      <c r="Z47" s="28">
        <v>1170344.74019568</v>
      </c>
      <c r="AA47" s="28">
        <v>133269.637445689</v>
      </c>
      <c r="AB47" s="28">
        <v>1003080.19417144</v>
      </c>
      <c r="AC47" s="28">
        <v>100502.293601321</v>
      </c>
      <c r="AD47" s="28">
        <v>133827.511142723</v>
      </c>
      <c r="AE47" s="28">
        <v>2820755.1566284</v>
      </c>
      <c r="AF47" s="28">
        <v>1726967.78773693</v>
      </c>
      <c r="AG47" s="28">
        <v>2556352.19575943</v>
      </c>
      <c r="AH47" s="28">
        <v>673854.671373082</v>
      </c>
      <c r="AI47" s="28">
        <v>3618427.7880633</v>
      </c>
      <c r="AJ47" s="28">
        <v>10689187.5636944</v>
      </c>
      <c r="AK47" s="28">
        <v>1317653.55264137</v>
      </c>
      <c r="AL47" s="28">
        <v>3954591.75091724</v>
      </c>
      <c r="AM47" s="28">
        <v>1136981.26714152</v>
      </c>
      <c r="AN47" s="28">
        <v>1310351.54310928</v>
      </c>
      <c r="AO47" s="28">
        <v>1135591.42365731</v>
      </c>
      <c r="AP47" s="28">
        <v>2393374.79484084</v>
      </c>
      <c r="AQ47" s="28">
        <v>320154.618769819</v>
      </c>
      <c r="AR47" s="28">
        <v>9232824.9229271</v>
      </c>
      <c r="AS47" s="28">
        <v>7009132.01954374</v>
      </c>
      <c r="AT47" s="28">
        <v>63937483.3040715</v>
      </c>
      <c r="AU47" s="28">
        <v>6949619.469718</v>
      </c>
      <c r="AV47" s="28">
        <v>46077777.7307332</v>
      </c>
      <c r="AW47" s="28">
        <v>53027397.2004513</v>
      </c>
      <c r="AX47" s="28">
        <v>42038587.7775484</v>
      </c>
      <c r="AY47" s="28">
        <v>95065984.9779997</v>
      </c>
      <c r="AZ47" s="28">
        <v>5234595.238605</v>
      </c>
      <c r="BA47" s="28">
        <v>0</v>
      </c>
      <c r="BB47" s="28">
        <v>5234595.238605</v>
      </c>
      <c r="BC47" s="28">
        <v>2845384.05103865</v>
      </c>
      <c r="BD47" s="28">
        <v>103145964.267643</v>
      </c>
      <c r="BE47" s="28">
        <v>11240037.806423</v>
      </c>
      <c r="BF47" s="28">
        <v>155843409.765292</v>
      </c>
    </row>
    <row r="48" ht="22.5" spans="1:58">
      <c r="A48" s="30"/>
      <c r="B48" s="4" t="s">
        <v>88</v>
      </c>
      <c r="C48" s="31" t="s">
        <v>141</v>
      </c>
      <c r="D48" s="28">
        <v>2218338.16994897</v>
      </c>
      <c r="E48" s="28">
        <v>170589.800633999</v>
      </c>
      <c r="F48" s="28">
        <v>68564.3462946525</v>
      </c>
      <c r="G48" s="28">
        <v>381286.092953121</v>
      </c>
      <c r="H48" s="28">
        <v>6404.45782702217</v>
      </c>
      <c r="I48" s="28">
        <v>744385.286160533</v>
      </c>
      <c r="J48" s="28">
        <v>1061636.42096733</v>
      </c>
      <c r="K48" s="28">
        <v>206439.772357999</v>
      </c>
      <c r="L48" s="28">
        <v>1142978.60926435</v>
      </c>
      <c r="M48" s="28">
        <v>311356.105239404</v>
      </c>
      <c r="N48" s="28">
        <v>791949.191993016</v>
      </c>
      <c r="O48" s="28">
        <v>435720.768768947</v>
      </c>
      <c r="P48" s="28">
        <v>309871.618286687</v>
      </c>
      <c r="Q48" s="28">
        <v>856417.185605913</v>
      </c>
      <c r="R48" s="28">
        <v>784447.278194612</v>
      </c>
      <c r="S48" s="28">
        <v>306087.662476427</v>
      </c>
      <c r="T48" s="28">
        <v>464907.684785737</v>
      </c>
      <c r="U48" s="28">
        <v>572919.988146294</v>
      </c>
      <c r="V48" s="28">
        <v>527225.180521682</v>
      </c>
      <c r="W48" s="28">
        <v>475969.027199615</v>
      </c>
      <c r="X48" s="28">
        <v>150409.71021636</v>
      </c>
      <c r="Y48" s="28">
        <v>491132.189280943</v>
      </c>
      <c r="Z48" s="28">
        <v>693755.09776255</v>
      </c>
      <c r="AA48" s="28">
        <v>255387.07343102</v>
      </c>
      <c r="AB48" s="28">
        <v>2290386.23121077</v>
      </c>
      <c r="AC48" s="28">
        <v>42898.6825709694</v>
      </c>
      <c r="AD48" s="28">
        <v>2249050.71523877</v>
      </c>
      <c r="AE48" s="28">
        <v>1559132.32609455</v>
      </c>
      <c r="AF48" s="28">
        <v>2371629.78793353</v>
      </c>
      <c r="AG48" s="28">
        <v>2600955.76114045</v>
      </c>
      <c r="AH48" s="28">
        <v>438174.500920176</v>
      </c>
      <c r="AI48" s="28">
        <v>1620394.81041714</v>
      </c>
      <c r="AJ48" s="28">
        <v>2570161.04926948</v>
      </c>
      <c r="AK48" s="28">
        <v>1739467.04572028</v>
      </c>
      <c r="AL48" s="28">
        <v>5069918.3359143</v>
      </c>
      <c r="AM48" s="28">
        <v>882539.290159881</v>
      </c>
      <c r="AN48" s="28">
        <v>1181929.41206843</v>
      </c>
      <c r="AO48" s="28">
        <v>698723.423187314</v>
      </c>
      <c r="AP48" s="28">
        <v>1484594.00087425</v>
      </c>
      <c r="AQ48" s="28">
        <v>564644.299173505</v>
      </c>
      <c r="AR48" s="28">
        <v>505031.573381659</v>
      </c>
      <c r="AS48" s="28">
        <v>26343336.5723926</v>
      </c>
      <c r="AT48" s="28">
        <v>67434706.7636272</v>
      </c>
      <c r="AU48" s="28">
        <v>1372114.9414002</v>
      </c>
      <c r="AV48" s="28">
        <v>10228084.0427323</v>
      </c>
      <c r="AW48" s="28">
        <v>11600198.9841325</v>
      </c>
      <c r="AX48" s="28">
        <v>831789109.69229</v>
      </c>
      <c r="AY48" s="28">
        <v>843389308.676423</v>
      </c>
      <c r="AZ48" s="28">
        <v>0</v>
      </c>
      <c r="BA48" s="28">
        <v>0</v>
      </c>
      <c r="BB48" s="28">
        <v>0</v>
      </c>
      <c r="BC48" s="28">
        <v>2027457.97120951</v>
      </c>
      <c r="BD48" s="28">
        <v>845416766.647632</v>
      </c>
      <c r="BE48" s="28">
        <v>5145286.05467146</v>
      </c>
      <c r="BF48" s="28">
        <v>907706187.356589</v>
      </c>
    </row>
    <row r="49" spans="1:58">
      <c r="A49" s="32"/>
      <c r="B49" s="33" t="s">
        <v>155</v>
      </c>
      <c r="C49" s="34" t="s">
        <v>156</v>
      </c>
      <c r="D49" s="28">
        <v>509936007.832905</v>
      </c>
      <c r="E49" s="35">
        <v>115074114.182427</v>
      </c>
      <c r="F49" s="35">
        <v>39965777.4058217</v>
      </c>
      <c r="G49" s="28">
        <v>89225006.090692</v>
      </c>
      <c r="H49" s="35">
        <v>11697851.3445873</v>
      </c>
      <c r="I49" s="28">
        <v>944349112.048559</v>
      </c>
      <c r="J49" s="28">
        <v>612910570.176058</v>
      </c>
      <c r="K49" s="28">
        <v>209811561.586646</v>
      </c>
      <c r="L49" s="28">
        <v>532655360.114312</v>
      </c>
      <c r="M49" s="28">
        <v>308742520.010747</v>
      </c>
      <c r="N49" s="28">
        <v>657082874.069896</v>
      </c>
      <c r="O49" s="35">
        <v>214220106.743116</v>
      </c>
      <c r="P49" s="28">
        <v>271752322.209465</v>
      </c>
      <c r="Q49" s="28">
        <v>502451885.341108</v>
      </c>
      <c r="R49" s="28">
        <v>527215627.052451</v>
      </c>
      <c r="S49" s="28">
        <v>405092577.333424</v>
      </c>
      <c r="T49" s="35">
        <v>392283911.709284</v>
      </c>
      <c r="U49" s="28">
        <v>408823033.829274</v>
      </c>
      <c r="V49" s="28">
        <v>289399787.580346</v>
      </c>
      <c r="W49" s="28">
        <v>560981019.69477</v>
      </c>
      <c r="X49" s="28">
        <v>123772340.761386</v>
      </c>
      <c r="Y49" s="28">
        <v>576339416.358052</v>
      </c>
      <c r="Z49" s="28">
        <v>997209171.282199</v>
      </c>
      <c r="AA49" s="28">
        <v>67374684.1739558</v>
      </c>
      <c r="AB49" s="35">
        <v>481153559.472091</v>
      </c>
      <c r="AC49" s="35">
        <v>61699158.6761411</v>
      </c>
      <c r="AD49" s="35">
        <v>20179486.0771177</v>
      </c>
      <c r="AE49" s="28">
        <v>2140212041.66986</v>
      </c>
      <c r="AF49" s="28">
        <v>544911283.670569</v>
      </c>
      <c r="AG49" s="28">
        <v>742396331.709502</v>
      </c>
      <c r="AH49" s="28">
        <v>286469176.517495</v>
      </c>
      <c r="AI49" s="28">
        <v>517228345.932208</v>
      </c>
      <c r="AJ49" s="28">
        <v>393198764.343139</v>
      </c>
      <c r="AK49" s="35">
        <v>296965938.19793</v>
      </c>
      <c r="AL49" s="28">
        <v>644035496.54548</v>
      </c>
      <c r="AM49" s="35">
        <v>135629401.966561</v>
      </c>
      <c r="AN49" s="28">
        <v>334643313.502596</v>
      </c>
      <c r="AO49" s="28">
        <v>143060914.191484</v>
      </c>
      <c r="AP49" s="35">
        <v>159195396.710307</v>
      </c>
      <c r="AQ49" s="28">
        <v>291866517.474991</v>
      </c>
      <c r="AR49" s="28">
        <v>77833015.0354039</v>
      </c>
      <c r="AS49" s="28">
        <v>396824813.745969</v>
      </c>
      <c r="AT49" s="35">
        <v>16826058032.7837</v>
      </c>
      <c r="AU49" s="35">
        <v>816642871.617193</v>
      </c>
      <c r="AV49" s="35">
        <v>3023440277.96893</v>
      </c>
      <c r="AW49" s="35">
        <v>3840083149.58612</v>
      </c>
      <c r="AX49" s="35">
        <v>1736253794.41957</v>
      </c>
      <c r="AY49" s="35">
        <v>5576336944.00569</v>
      </c>
      <c r="AZ49" s="35">
        <v>4243704003.37183</v>
      </c>
      <c r="BA49" s="35">
        <v>91509937.6772216</v>
      </c>
      <c r="BB49" s="35">
        <v>4335213941.04906</v>
      </c>
      <c r="BC49" s="35">
        <v>1879260657.23314</v>
      </c>
      <c r="BD49" s="35">
        <v>11790811542.2879</v>
      </c>
      <c r="BE49" s="35">
        <v>1626591529.6393</v>
      </c>
      <c r="BF49" s="92">
        <v>26990278045.4323</v>
      </c>
    </row>
    <row r="50" spans="1:58">
      <c r="A50" s="36" t="s">
        <v>157</v>
      </c>
      <c r="B50" s="37" t="s">
        <v>158</v>
      </c>
      <c r="C50" s="38" t="s">
        <v>159</v>
      </c>
      <c r="D50" s="28">
        <v>821109376.632051</v>
      </c>
      <c r="E50" s="28">
        <v>49156975.9562107</v>
      </c>
      <c r="F50" s="28">
        <v>10684586.8078278</v>
      </c>
      <c r="G50" s="28">
        <v>34146732.2608017</v>
      </c>
      <c r="H50" s="28">
        <v>9070894.78577535</v>
      </c>
      <c r="I50" s="28">
        <v>92288059.9056758</v>
      </c>
      <c r="J50" s="28">
        <v>78070178.6100447</v>
      </c>
      <c r="K50" s="28">
        <v>25339700.6887769</v>
      </c>
      <c r="L50" s="28">
        <v>70607744.9636081</v>
      </c>
      <c r="M50" s="28">
        <v>12815275.3213411</v>
      </c>
      <c r="N50" s="28">
        <v>47509590.2427704</v>
      </c>
      <c r="O50" s="28">
        <v>30588660.7146926</v>
      </c>
      <c r="P50" s="28">
        <v>35944267.4865012</v>
      </c>
      <c r="Q50" s="28">
        <v>74959951.9783755</v>
      </c>
      <c r="R50" s="28">
        <v>39116758.5176721</v>
      </c>
      <c r="S50" s="28">
        <v>35418933.9930419</v>
      </c>
      <c r="T50" s="28">
        <v>57488356.1501572</v>
      </c>
      <c r="U50" s="28">
        <v>46988959.7259126</v>
      </c>
      <c r="V50" s="28">
        <v>51031136.4146658</v>
      </c>
      <c r="W50" s="28">
        <v>36758514.0184566</v>
      </c>
      <c r="X50" s="28">
        <v>17700419.3798486</v>
      </c>
      <c r="Y50" s="28">
        <v>47111753.5845014</v>
      </c>
      <c r="Z50" s="28">
        <v>100330129.042527</v>
      </c>
      <c r="AA50" s="28">
        <v>25541967.5256686</v>
      </c>
      <c r="AB50" s="28">
        <v>61395231.1624101</v>
      </c>
      <c r="AC50" s="28">
        <v>7256304.22228311</v>
      </c>
      <c r="AD50" s="28">
        <v>8632889.79187755</v>
      </c>
      <c r="AE50" s="28">
        <v>469645429.010662</v>
      </c>
      <c r="AF50" s="28">
        <v>519792503.263792</v>
      </c>
      <c r="AG50" s="28">
        <v>230523925.740211</v>
      </c>
      <c r="AH50" s="28">
        <v>85067117.1008988</v>
      </c>
      <c r="AI50" s="28">
        <v>206973736.679317</v>
      </c>
      <c r="AJ50" s="28">
        <v>215281976.520711</v>
      </c>
      <c r="AK50" s="28">
        <v>192733122.55735</v>
      </c>
      <c r="AL50" s="28">
        <v>252757212.793925</v>
      </c>
      <c r="AM50" s="28">
        <v>65841576.822612</v>
      </c>
      <c r="AN50" s="28">
        <v>115418456.212316</v>
      </c>
      <c r="AO50" s="28">
        <v>127689767.858012</v>
      </c>
      <c r="AP50" s="28">
        <v>281650493.11452</v>
      </c>
      <c r="AQ50" s="28">
        <v>171783188.525367</v>
      </c>
      <c r="AR50" s="28">
        <v>51172539.734951</v>
      </c>
      <c r="AS50" s="28">
        <v>407600705.014876</v>
      </c>
      <c r="AT50" s="60">
        <v>5295655400.14422</v>
      </c>
      <c r="AU50" s="61"/>
      <c r="AV50" s="61"/>
      <c r="AW50" s="79"/>
      <c r="AX50" s="61"/>
      <c r="AY50" s="79"/>
      <c r="AZ50" s="61"/>
      <c r="BA50" s="61"/>
      <c r="BB50" s="79"/>
      <c r="BC50" s="61"/>
      <c r="BD50" s="80"/>
      <c r="BE50" s="61"/>
      <c r="BF50" s="61"/>
    </row>
    <row r="51" spans="1:58">
      <c r="A51" s="39"/>
      <c r="B51" s="37" t="s">
        <v>160</v>
      </c>
      <c r="C51" s="40" t="s">
        <v>161</v>
      </c>
      <c r="D51" s="28">
        <v>-45528240.6524828</v>
      </c>
      <c r="E51" s="28">
        <v>23728883.970035</v>
      </c>
      <c r="F51" s="28">
        <v>26393586.367127</v>
      </c>
      <c r="G51" s="28">
        <v>29203561.314</v>
      </c>
      <c r="H51" s="28">
        <v>1127941.29772883</v>
      </c>
      <c r="I51" s="28">
        <v>82927929.5671502</v>
      </c>
      <c r="J51" s="28">
        <v>1055456.5261335</v>
      </c>
      <c r="K51" s="28">
        <v>5439494.60237603</v>
      </c>
      <c r="L51" s="28">
        <v>11735859.5567258</v>
      </c>
      <c r="M51" s="28">
        <v>49155195.5214141</v>
      </c>
      <c r="N51" s="28">
        <v>37768625.1294872</v>
      </c>
      <c r="O51" s="28">
        <v>11543781.6746586</v>
      </c>
      <c r="P51" s="28">
        <v>9432919.72683331</v>
      </c>
      <c r="Q51" s="28">
        <v>23472866.7779206</v>
      </c>
      <c r="R51" s="28">
        <v>16809803.9852195</v>
      </c>
      <c r="S51" s="28">
        <v>20103752.8548938</v>
      </c>
      <c r="T51" s="28">
        <v>11219546.9861507</v>
      </c>
      <c r="U51" s="28">
        <v>16723537.9683136</v>
      </c>
      <c r="V51" s="28">
        <v>14548976.722464</v>
      </c>
      <c r="W51" s="28">
        <v>41488605.881303</v>
      </c>
      <c r="X51" s="28">
        <v>2028721.97909231</v>
      </c>
      <c r="Y51" s="28">
        <v>4541468.4707146</v>
      </c>
      <c r="Z51" s="28">
        <v>-3678836.27294552</v>
      </c>
      <c r="AA51" s="28">
        <v>13432368.4743476</v>
      </c>
      <c r="AB51" s="28">
        <v>20698377.6315251</v>
      </c>
      <c r="AC51" s="28">
        <v>1010550.45236413</v>
      </c>
      <c r="AD51" s="28">
        <v>1860447.18374642</v>
      </c>
      <c r="AE51" s="28">
        <v>98116385.5968287</v>
      </c>
      <c r="AF51" s="28">
        <v>95383190.2804768</v>
      </c>
      <c r="AG51" s="28">
        <v>8513567.44219846</v>
      </c>
      <c r="AH51" s="28">
        <v>1360038.66259777</v>
      </c>
      <c r="AI51" s="28">
        <v>13092894.4785477</v>
      </c>
      <c r="AJ51" s="28">
        <v>82718115.8873387</v>
      </c>
      <c r="AK51" s="28">
        <v>123442718.311865</v>
      </c>
      <c r="AL51" s="28">
        <v>27690530.6917165</v>
      </c>
      <c r="AM51" s="28">
        <v>1588413.56834034</v>
      </c>
      <c r="AN51" s="28">
        <v>11715874.6086849</v>
      </c>
      <c r="AO51" s="28">
        <v>5023484.24607627</v>
      </c>
      <c r="AP51" s="28">
        <v>625840.589067589</v>
      </c>
      <c r="AQ51" s="28">
        <v>119102.009382813</v>
      </c>
      <c r="AR51" s="28">
        <v>1590021.04931616</v>
      </c>
      <c r="AS51" s="28">
        <v>2016363.5215086</v>
      </c>
      <c r="AT51" s="60">
        <v>895802230.037866</v>
      </c>
      <c r="AU51" s="62"/>
      <c r="AV51" s="62"/>
      <c r="AW51" s="81"/>
      <c r="AX51" s="62"/>
      <c r="AY51" s="81"/>
      <c r="AZ51" s="62"/>
      <c r="BA51" s="62"/>
      <c r="BB51" s="81"/>
      <c r="BC51" s="62"/>
      <c r="BD51" s="82"/>
      <c r="BE51" s="62"/>
      <c r="BF51" s="62"/>
    </row>
    <row r="52" spans="1:58">
      <c r="A52" s="39"/>
      <c r="B52" s="37" t="s">
        <v>162</v>
      </c>
      <c r="C52" s="40" t="s">
        <v>163</v>
      </c>
      <c r="D52" s="28">
        <v>23048579.7015093</v>
      </c>
      <c r="E52" s="28">
        <v>11857466.9359743</v>
      </c>
      <c r="F52" s="28">
        <v>23934531.6640675</v>
      </c>
      <c r="G52" s="28">
        <v>14045534.8444722</v>
      </c>
      <c r="H52" s="28">
        <v>881427.489091594</v>
      </c>
      <c r="I52" s="28">
        <v>30616039.4796629</v>
      </c>
      <c r="J52" s="28">
        <v>17159912.3984095</v>
      </c>
      <c r="K52" s="28">
        <v>7115541.18523375</v>
      </c>
      <c r="L52" s="28">
        <v>23476685.1205348</v>
      </c>
      <c r="M52" s="28">
        <v>11540322.9497796</v>
      </c>
      <c r="N52" s="28">
        <v>37261752.7842075</v>
      </c>
      <c r="O52" s="28">
        <v>7442373.45766556</v>
      </c>
      <c r="P52" s="28">
        <v>13681348.1598697</v>
      </c>
      <c r="Q52" s="28">
        <v>36252424.8424867</v>
      </c>
      <c r="R52" s="28">
        <v>31732255.9204724</v>
      </c>
      <c r="S52" s="28">
        <v>20256127.1648298</v>
      </c>
      <c r="T52" s="28">
        <v>17451919.7586117</v>
      </c>
      <c r="U52" s="28">
        <v>16689439.146307</v>
      </c>
      <c r="V52" s="28">
        <v>12133972.5831076</v>
      </c>
      <c r="W52" s="28">
        <v>15404029.9075229</v>
      </c>
      <c r="X52" s="28">
        <v>3816835.02801987</v>
      </c>
      <c r="Y52" s="28">
        <v>15983410.4130126</v>
      </c>
      <c r="Z52" s="28">
        <v>35286959.999098</v>
      </c>
      <c r="AA52" s="28">
        <v>6722131.42762518</v>
      </c>
      <c r="AB52" s="28">
        <v>97784316.3482651</v>
      </c>
      <c r="AC52" s="28">
        <v>5463403.96630397</v>
      </c>
      <c r="AD52" s="28">
        <v>6900167.08475439</v>
      </c>
      <c r="AE52" s="28">
        <v>27714363.6799584</v>
      </c>
      <c r="AF52" s="28">
        <v>118467134.625324</v>
      </c>
      <c r="AG52" s="28">
        <v>200221941.685502</v>
      </c>
      <c r="AH52" s="28">
        <v>46183808.0137878</v>
      </c>
      <c r="AI52" s="28">
        <v>126694176.647774</v>
      </c>
      <c r="AJ52" s="28">
        <v>36197643.6232485</v>
      </c>
      <c r="AK52" s="28">
        <v>70284261.2451192</v>
      </c>
      <c r="AL52" s="28">
        <v>35220354.3225643</v>
      </c>
      <c r="AM52" s="28">
        <v>20894697.1076679</v>
      </c>
      <c r="AN52" s="28">
        <v>47257245.8232094</v>
      </c>
      <c r="AO52" s="28">
        <v>18811000.5847299</v>
      </c>
      <c r="AP52" s="28">
        <v>77784703.2094327</v>
      </c>
      <c r="AQ52" s="28">
        <v>31476065.1203941</v>
      </c>
      <c r="AR52" s="28">
        <v>19443051.9030816</v>
      </c>
      <c r="AS52" s="28">
        <v>92345943.1037209</v>
      </c>
      <c r="AT52" s="60">
        <v>1505819759.27118</v>
      </c>
      <c r="AU52" s="62"/>
      <c r="AV52" s="62"/>
      <c r="AW52" s="81"/>
      <c r="AX52" s="62"/>
      <c r="AY52" s="81"/>
      <c r="AZ52" s="62"/>
      <c r="BA52" s="62"/>
      <c r="BB52" s="81"/>
      <c r="BC52" s="62"/>
      <c r="BD52" s="83"/>
      <c r="BE52" s="62"/>
      <c r="BF52" s="62"/>
    </row>
    <row r="53" spans="1:58">
      <c r="A53" s="39"/>
      <c r="B53" s="37" t="s">
        <v>164</v>
      </c>
      <c r="C53" s="40" t="s">
        <v>165</v>
      </c>
      <c r="D53" s="28">
        <v>23117526.7569887</v>
      </c>
      <c r="E53" s="28">
        <v>35255170.9583124</v>
      </c>
      <c r="F53" s="28">
        <v>6711085.03132599</v>
      </c>
      <c r="G53" s="28">
        <v>26913764.7283137</v>
      </c>
      <c r="H53" s="28">
        <v>-2541340.49459825</v>
      </c>
      <c r="I53" s="28">
        <v>101181657.170058</v>
      </c>
      <c r="J53" s="28">
        <v>48190809.1034635</v>
      </c>
      <c r="K53" s="28">
        <v>17706881.846518</v>
      </c>
      <c r="L53" s="28">
        <v>55330296.5377042</v>
      </c>
      <c r="M53" s="28">
        <v>27079970.6715743</v>
      </c>
      <c r="N53" s="28">
        <v>75473750.7006667</v>
      </c>
      <c r="O53" s="28">
        <v>36261214.2131177</v>
      </c>
      <c r="P53" s="28">
        <v>27380721.776729</v>
      </c>
      <c r="Q53" s="28">
        <v>95894757.611015</v>
      </c>
      <c r="R53" s="28">
        <v>68635495.4348648</v>
      </c>
      <c r="S53" s="28">
        <v>43798631.4097935</v>
      </c>
      <c r="T53" s="28">
        <v>41037939.5122591</v>
      </c>
      <c r="U53" s="28">
        <v>43686015.7589667</v>
      </c>
      <c r="V53" s="28">
        <v>20237210.5040328</v>
      </c>
      <c r="W53" s="28">
        <v>51825291.1612023</v>
      </c>
      <c r="X53" s="28">
        <v>8695606.88428179</v>
      </c>
      <c r="Y53" s="28">
        <v>53690205.7608763</v>
      </c>
      <c r="Z53" s="28">
        <v>59374527.4317411</v>
      </c>
      <c r="AA53" s="28">
        <v>51110402.0784249</v>
      </c>
      <c r="AB53" s="28">
        <v>38471081.0886827</v>
      </c>
      <c r="AC53" s="28">
        <v>5841588.01525428</v>
      </c>
      <c r="AD53" s="28">
        <v>3105561.83173584</v>
      </c>
      <c r="AE53" s="28">
        <v>124616761.457381</v>
      </c>
      <c r="AF53" s="28">
        <v>219960586.719413</v>
      </c>
      <c r="AG53" s="28">
        <v>17515502.0570903</v>
      </c>
      <c r="AH53" s="28">
        <v>12909619.8106462</v>
      </c>
      <c r="AI53" s="28">
        <v>101253636.088194</v>
      </c>
      <c r="AJ53" s="28">
        <v>501973655.097806</v>
      </c>
      <c r="AK53" s="28">
        <v>383207440.021522</v>
      </c>
      <c r="AL53" s="28">
        <v>2859006.25501044</v>
      </c>
      <c r="AM53" s="28">
        <v>7602478.69404698</v>
      </c>
      <c r="AN53" s="28">
        <v>10750979.3816108</v>
      </c>
      <c r="AO53" s="28">
        <v>5752421.84212641</v>
      </c>
      <c r="AP53" s="28">
        <v>13231125.5114678</v>
      </c>
      <c r="AQ53" s="28">
        <v>4827324.60917299</v>
      </c>
      <c r="AR53" s="28">
        <v>5804782.04253919</v>
      </c>
      <c r="AS53" s="28">
        <v>8918361.97051482</v>
      </c>
      <c r="AT53" s="60">
        <v>2466942623.19533</v>
      </c>
      <c r="AU53" s="62"/>
      <c r="AV53" s="62"/>
      <c r="AW53" s="81"/>
      <c r="AX53" s="62"/>
      <c r="AY53" s="81"/>
      <c r="AZ53" s="62"/>
      <c r="BA53" s="62"/>
      <c r="BB53" s="81"/>
      <c r="BC53" s="62"/>
      <c r="BD53" s="83"/>
      <c r="BE53" s="62"/>
      <c r="BF53" s="62"/>
    </row>
    <row r="54" spans="1:58">
      <c r="A54" s="39"/>
      <c r="B54" s="41" t="s">
        <v>166</v>
      </c>
      <c r="C54" s="42" t="s">
        <v>167</v>
      </c>
      <c r="D54" s="28">
        <v>821747242.438066</v>
      </c>
      <c r="E54" s="43">
        <v>119998497.820532</v>
      </c>
      <c r="F54" s="43">
        <v>67723789.8703483</v>
      </c>
      <c r="G54" s="28">
        <v>104309593.147588</v>
      </c>
      <c r="H54" s="43">
        <v>8538923.07799753</v>
      </c>
      <c r="I54" s="28">
        <v>307013686.122547</v>
      </c>
      <c r="J54" s="28">
        <v>144476356.638051</v>
      </c>
      <c r="K54" s="28">
        <v>55601618.3229046</v>
      </c>
      <c r="L54" s="28">
        <v>161150586.178573</v>
      </c>
      <c r="M54" s="28">
        <v>100590764.464109</v>
      </c>
      <c r="N54" s="28">
        <v>198013718.857132</v>
      </c>
      <c r="O54" s="43">
        <v>85836030.0601345</v>
      </c>
      <c r="P54" s="28">
        <v>86439257.1499332</v>
      </c>
      <c r="Q54" s="28">
        <v>230580001.209798</v>
      </c>
      <c r="R54" s="28">
        <v>156294313.858229</v>
      </c>
      <c r="S54" s="28">
        <v>119577445.422559</v>
      </c>
      <c r="T54" s="43">
        <v>127197762.407179</v>
      </c>
      <c r="U54" s="28">
        <v>124087952.5995</v>
      </c>
      <c r="V54" s="28">
        <v>97951296.2242703</v>
      </c>
      <c r="W54" s="28">
        <v>145476440.968485</v>
      </c>
      <c r="X54" s="28">
        <v>32241583.2712426</v>
      </c>
      <c r="Y54" s="28">
        <v>121326838.229105</v>
      </c>
      <c r="Z54" s="28">
        <v>191312780.20042</v>
      </c>
      <c r="AA54" s="28">
        <v>96806869.5060662</v>
      </c>
      <c r="AB54" s="43">
        <v>218349006.230883</v>
      </c>
      <c r="AC54" s="43">
        <v>19571846.6562055</v>
      </c>
      <c r="AD54" s="43">
        <v>20499065.8921142</v>
      </c>
      <c r="AE54" s="28">
        <v>720092939.74483</v>
      </c>
      <c r="AF54" s="28">
        <v>953603414.889006</v>
      </c>
      <c r="AG54" s="28">
        <v>456774936.925002</v>
      </c>
      <c r="AH54" s="28">
        <v>145520583.587931</v>
      </c>
      <c r="AI54" s="28">
        <v>448014443.893833</v>
      </c>
      <c r="AJ54" s="28">
        <v>836171391.129104</v>
      </c>
      <c r="AK54" s="43">
        <v>769667542.135856</v>
      </c>
      <c r="AL54" s="28">
        <v>318527104.063217</v>
      </c>
      <c r="AM54" s="43">
        <v>95927166.1926672</v>
      </c>
      <c r="AN54" s="28">
        <v>185142556.025821</v>
      </c>
      <c r="AO54" s="28">
        <v>157276674.530945</v>
      </c>
      <c r="AP54" s="43">
        <v>373292162.424488</v>
      </c>
      <c r="AQ54" s="28">
        <v>208205680.264317</v>
      </c>
      <c r="AR54" s="28">
        <v>78010394.729888</v>
      </c>
      <c r="AS54" s="28">
        <v>510881373.61062</v>
      </c>
      <c r="AT54" s="60">
        <v>10164220012.6486</v>
      </c>
      <c r="AU54" s="63"/>
      <c r="AV54" s="62"/>
      <c r="AW54" s="81"/>
      <c r="AX54" s="62"/>
      <c r="AY54" s="81"/>
      <c r="AZ54" s="62"/>
      <c r="BA54" s="62"/>
      <c r="BB54" s="81"/>
      <c r="BC54" s="62"/>
      <c r="BD54" s="83"/>
      <c r="BE54" s="62"/>
      <c r="BF54" s="62"/>
    </row>
    <row r="55" ht="14.25" spans="1:58">
      <c r="A55" s="44" t="s">
        <v>168</v>
      </c>
      <c r="B55" s="45"/>
      <c r="C55" s="46" t="s">
        <v>169</v>
      </c>
      <c r="D55" s="28">
        <v>1331683250.27097</v>
      </c>
      <c r="E55" s="47">
        <v>235072612.002959</v>
      </c>
      <c r="F55" s="47">
        <v>107689567.27617</v>
      </c>
      <c r="G55" s="28">
        <v>193534599.238279</v>
      </c>
      <c r="H55" s="47">
        <v>20236774.4225848</v>
      </c>
      <c r="I55" s="28">
        <v>1251362798.17111</v>
      </c>
      <c r="J55" s="28">
        <v>757386926.814109</v>
      </c>
      <c r="K55" s="28">
        <v>265413179.90955</v>
      </c>
      <c r="L55" s="28">
        <v>693805946.292885</v>
      </c>
      <c r="M55" s="28">
        <v>409333284.474856</v>
      </c>
      <c r="N55" s="28">
        <v>855096592.927028</v>
      </c>
      <c r="O55" s="47">
        <v>300056136.80325</v>
      </c>
      <c r="P55" s="28">
        <v>358191579.359398</v>
      </c>
      <c r="Q55" s="28">
        <v>733031886.550906</v>
      </c>
      <c r="R55" s="28">
        <v>683509940.910679</v>
      </c>
      <c r="S55" s="28">
        <v>524670022.755983</v>
      </c>
      <c r="T55" s="47">
        <v>519481674.116463</v>
      </c>
      <c r="U55" s="28">
        <v>532910986.428774</v>
      </c>
      <c r="V55" s="28">
        <v>387351083.804617</v>
      </c>
      <c r="W55" s="28">
        <v>706457460.663255</v>
      </c>
      <c r="X55" s="28">
        <v>156013924.032628</v>
      </c>
      <c r="Y55" s="28">
        <v>697666254.587157</v>
      </c>
      <c r="Z55" s="28">
        <v>1188521951.48262</v>
      </c>
      <c r="AA55" s="28">
        <v>164181553.680022</v>
      </c>
      <c r="AB55" s="47">
        <v>699502565.702974</v>
      </c>
      <c r="AC55" s="47">
        <v>81271005.3323466</v>
      </c>
      <c r="AD55" s="47">
        <v>40678551.9692319</v>
      </c>
      <c r="AE55" s="28">
        <v>2860304981.41469</v>
      </c>
      <c r="AF55" s="28">
        <v>1498514698.55958</v>
      </c>
      <c r="AG55" s="28">
        <v>1199171268.6345</v>
      </c>
      <c r="AH55" s="28">
        <v>431989760.105425</v>
      </c>
      <c r="AI55" s="28">
        <v>965242789.826041</v>
      </c>
      <c r="AJ55" s="28">
        <v>1229370155.47224</v>
      </c>
      <c r="AK55" s="47">
        <v>1066633480.33379</v>
      </c>
      <c r="AL55" s="28">
        <v>962562600.608697</v>
      </c>
      <c r="AM55" s="47">
        <v>231556568.159228</v>
      </c>
      <c r="AN55" s="28">
        <v>519785869.528417</v>
      </c>
      <c r="AO55" s="28">
        <v>300337588.722428</v>
      </c>
      <c r="AP55" s="47">
        <v>532487559.134796</v>
      </c>
      <c r="AQ55" s="28">
        <v>500072197.739307</v>
      </c>
      <c r="AR55" s="28">
        <v>155843409.765292</v>
      </c>
      <c r="AS55" s="28">
        <v>907706187.356589</v>
      </c>
      <c r="AT55" s="64">
        <v>26990278045.4323</v>
      </c>
      <c r="AU55" s="65"/>
      <c r="AV55" s="65"/>
      <c r="AW55" s="84"/>
      <c r="AX55" s="65"/>
      <c r="AY55" s="84"/>
      <c r="AZ55" s="65"/>
      <c r="BA55" s="65"/>
      <c r="BB55" s="84"/>
      <c r="BC55" s="65"/>
      <c r="BD55" s="85"/>
      <c r="BE55" s="65"/>
      <c r="BF55" s="65"/>
    </row>
    <row r="57" spans="2:47">
      <c r="B57" s="41" t="s">
        <v>166</v>
      </c>
      <c r="C57" s="42" t="s">
        <v>167</v>
      </c>
      <c r="D57" s="28">
        <v>821747242.438066</v>
      </c>
      <c r="E57" s="43">
        <v>119998497.820532</v>
      </c>
      <c r="F57" s="43">
        <v>67723789.8703483</v>
      </c>
      <c r="G57" s="28">
        <v>104309593.147588</v>
      </c>
      <c r="H57" s="41">
        <v>8538923.07799753</v>
      </c>
      <c r="I57" s="42">
        <v>307013686.122547</v>
      </c>
      <c r="J57" s="28">
        <v>144476356.638051</v>
      </c>
      <c r="K57" s="43">
        <v>55601618.3229046</v>
      </c>
      <c r="L57" s="43">
        <v>161150586.178573</v>
      </c>
      <c r="M57" s="28">
        <v>100590764.464109</v>
      </c>
      <c r="N57" s="41">
        <v>198013718.857132</v>
      </c>
      <c r="O57" s="42">
        <v>85836030.0601345</v>
      </c>
      <c r="P57" s="28">
        <v>86439257.1499332</v>
      </c>
      <c r="Q57" s="43">
        <v>230580001.209798</v>
      </c>
      <c r="R57" s="43">
        <v>156294313.858229</v>
      </c>
      <c r="S57" s="28">
        <v>119577445.422559</v>
      </c>
      <c r="T57" s="41">
        <v>127197762.407179</v>
      </c>
      <c r="U57" s="42">
        <v>124087952.5995</v>
      </c>
      <c r="V57" s="28">
        <v>97951296.2242703</v>
      </c>
      <c r="W57" s="43">
        <v>145476440.968485</v>
      </c>
      <c r="X57" s="43">
        <v>32241583.2712426</v>
      </c>
      <c r="Y57" s="28">
        <v>121326838.229105</v>
      </c>
      <c r="Z57" s="41">
        <v>191312780.20042</v>
      </c>
      <c r="AA57" s="42">
        <v>96806869.5060662</v>
      </c>
      <c r="AB57" s="28">
        <v>218349006.230883</v>
      </c>
      <c r="AC57" s="43">
        <v>19571846.6562055</v>
      </c>
      <c r="AD57" s="43">
        <v>20499065.8921142</v>
      </c>
      <c r="AE57" s="28">
        <v>720092939.74483</v>
      </c>
      <c r="AF57" s="41">
        <v>953603414.889006</v>
      </c>
      <c r="AG57" s="42">
        <v>456774936.925002</v>
      </c>
      <c r="AH57" s="28">
        <v>145520583.587931</v>
      </c>
      <c r="AI57" s="43">
        <v>448014443.893833</v>
      </c>
      <c r="AJ57" s="43">
        <v>836171391.129104</v>
      </c>
      <c r="AK57" s="28">
        <v>769667542.135856</v>
      </c>
      <c r="AL57" s="41">
        <v>318527104.063217</v>
      </c>
      <c r="AM57" s="42">
        <v>95927166.1926672</v>
      </c>
      <c r="AN57" s="28">
        <v>185142556.025821</v>
      </c>
      <c r="AO57" s="43">
        <v>157276674.530945</v>
      </c>
      <c r="AP57" s="43">
        <v>373292162.424488</v>
      </c>
      <c r="AQ57" s="28">
        <v>208205680.264317</v>
      </c>
      <c r="AR57" s="41">
        <v>78010394.729888</v>
      </c>
      <c r="AS57" s="42">
        <v>510881373.61062</v>
      </c>
      <c r="AT57" s="28">
        <v>10164220012.6486</v>
      </c>
      <c r="AU57" s="43"/>
    </row>
    <row r="59" spans="7:40">
      <c r="G59" s="5">
        <f>G57/(G57+H57)</f>
        <v>0.924332872388609</v>
      </c>
      <c r="H59" s="5">
        <f>H57/(G57+H57)</f>
        <v>0.0756671276113912</v>
      </c>
      <c r="N59" s="5">
        <f>N57/(N57+O57+P57)</f>
        <v>0.534754517721751</v>
      </c>
      <c r="O59" s="5">
        <f>O57/(N57+O57+P57)</f>
        <v>0.231808205627788</v>
      </c>
      <c r="P59" s="5">
        <f>P57/(N57+O57+P57)</f>
        <v>0.233437276650461</v>
      </c>
      <c r="R59" s="5">
        <f>R57/(R57+S57)</f>
        <v>0.566546986417517</v>
      </c>
      <c r="S59" s="5">
        <f>S57/(R57+S57)</f>
        <v>0.433453013582483</v>
      </c>
      <c r="W59" s="5">
        <f>W57/(W57+X57)</f>
        <v>0.818580116399723</v>
      </c>
      <c r="X59" s="5">
        <f>X57/(W57+X57)</f>
        <v>0.181419883600277</v>
      </c>
      <c r="AM59" s="5">
        <f>AM57/(AM57+AN57)</f>
        <v>0.341293133374568</v>
      </c>
      <c r="AN59" s="5">
        <f>AN57/(AM57+AN57)</f>
        <v>0.658706866625432</v>
      </c>
    </row>
  </sheetData>
  <mergeCells count="10">
    <mergeCell ref="AU3:BC3"/>
    <mergeCell ref="D4:AT4"/>
    <mergeCell ref="AU4:BD4"/>
    <mergeCell ref="A55:B55"/>
    <mergeCell ref="A7:A49"/>
    <mergeCell ref="A50:A54"/>
    <mergeCell ref="C4:C5"/>
    <mergeCell ref="BE4:BE5"/>
    <mergeCell ref="BF4:BF5"/>
    <mergeCell ref="A4:B5"/>
  </mergeCells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3"/>
  <sheetViews>
    <sheetView workbookViewId="0">
      <selection activeCell="O24" sqref="O24"/>
    </sheetView>
  </sheetViews>
  <sheetFormatPr defaultColWidth="9" defaultRowHeight="13.5"/>
  <cols>
    <col min="3" max="44" width="12.625"/>
  </cols>
  <sheetData>
    <row r="1" spans="2:44">
      <c r="B1" s="1"/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</row>
    <row r="2" ht="22.5" spans="1:44">
      <c r="A2" s="3" t="s">
        <v>66</v>
      </c>
      <c r="B2" s="2" t="s">
        <v>101</v>
      </c>
      <c r="C2" s="2">
        <v>1019121542392.69</v>
      </c>
      <c r="D2">
        <v>1116128133906.58</v>
      </c>
      <c r="E2">
        <v>1168759312410.55</v>
      </c>
      <c r="F2">
        <v>1213205542351.31</v>
      </c>
      <c r="G2">
        <v>1256789583736.96</v>
      </c>
      <c r="H2">
        <v>1299242417303.08</v>
      </c>
      <c r="I2">
        <v>1341462818829.92</v>
      </c>
      <c r="J2">
        <v>1382618156567.1</v>
      </c>
      <c r="K2">
        <v>1422871649160.63</v>
      </c>
      <c r="L2">
        <v>1462447571434.54</v>
      </c>
      <c r="M2">
        <v>1500970654181.67</v>
      </c>
      <c r="N2">
        <v>1538923426751.67</v>
      </c>
      <c r="O2">
        <v>1575863728605.52</v>
      </c>
      <c r="P2">
        <v>1611673586718.79</v>
      </c>
      <c r="Q2">
        <v>1646810947967.82</v>
      </c>
      <c r="R2">
        <v>1680921141988.96</v>
      </c>
      <c r="S2">
        <v>1713900160335.24</v>
      </c>
      <c r="T2">
        <v>1746048151281.66</v>
      </c>
      <c r="U2">
        <v>1777131662111.19</v>
      </c>
      <c r="V2">
        <v>1807584178562.13</v>
      </c>
      <c r="W2">
        <v>1836989914690.9</v>
      </c>
      <c r="X2">
        <v>1865271466494.13</v>
      </c>
      <c r="Y2">
        <v>1892816336239.34</v>
      </c>
      <c r="Z2">
        <v>1919445774382.07</v>
      </c>
      <c r="AA2">
        <v>1945100763401.19</v>
      </c>
      <c r="AB2">
        <v>1969862862040.94</v>
      </c>
      <c r="AC2">
        <v>1993808279563.25</v>
      </c>
      <c r="AD2">
        <v>2017097375313.25</v>
      </c>
      <c r="AE2">
        <v>2039503013422.15</v>
      </c>
      <c r="AF2">
        <v>2061089569759.51</v>
      </c>
      <c r="AG2">
        <v>2082185626105.22</v>
      </c>
      <c r="AH2">
        <v>2102463233454.83</v>
      </c>
      <c r="AI2">
        <v>2122174930715.88</v>
      </c>
      <c r="AJ2">
        <v>2141367113286.76</v>
      </c>
      <c r="AK2">
        <v>2159939284242.11</v>
      </c>
      <c r="AL2">
        <v>2178118654526.27</v>
      </c>
      <c r="AM2">
        <v>2195941630364.61</v>
      </c>
      <c r="AN2">
        <v>2213464123755.4</v>
      </c>
      <c r="AO2">
        <v>2230776591597.95</v>
      </c>
      <c r="AP2">
        <v>2247859689395.47</v>
      </c>
      <c r="AQ2">
        <v>2264933203235.73</v>
      </c>
      <c r="AR2">
        <v>2281962718604.02</v>
      </c>
    </row>
    <row r="3" ht="22.5" spans="1:44">
      <c r="A3" s="3" t="s">
        <v>67</v>
      </c>
      <c r="B3" s="2" t="s">
        <v>102</v>
      </c>
      <c r="C3" s="2">
        <v>121045761682.207</v>
      </c>
      <c r="D3">
        <v>143749828011.041</v>
      </c>
      <c r="E3">
        <v>145490032972.614</v>
      </c>
      <c r="F3">
        <v>147046437717.261</v>
      </c>
      <c r="G3">
        <v>148344428948.986</v>
      </c>
      <c r="H3">
        <v>149410173462.06</v>
      </c>
      <c r="I3">
        <v>150269298237.492</v>
      </c>
      <c r="J3">
        <v>150946148650.686</v>
      </c>
      <c r="K3">
        <v>151463337685.055</v>
      </c>
      <c r="L3">
        <v>151841513663.154</v>
      </c>
      <c r="M3">
        <v>152099284239.799</v>
      </c>
      <c r="N3">
        <v>152253246573.845</v>
      </c>
      <c r="O3">
        <v>152318085305.447</v>
      </c>
      <c r="P3">
        <v>152306710102.364</v>
      </c>
      <c r="Q3">
        <v>152230412756.636</v>
      </c>
      <c r="R3">
        <v>152099030173.542</v>
      </c>
      <c r="S3">
        <v>151921104343.411</v>
      </c>
      <c r="T3">
        <v>151704033824.666</v>
      </c>
      <c r="U3">
        <v>151454213684.743</v>
      </c>
      <c r="V3">
        <v>151177162496.678</v>
      </c>
      <c r="W3">
        <v>150877636078.484</v>
      </c>
      <c r="X3">
        <v>150559728350.118</v>
      </c>
      <c r="Y3">
        <v>150226960089.517</v>
      </c>
      <c r="Z3">
        <v>149882356584.192</v>
      </c>
      <c r="AA3">
        <v>149528515262.366</v>
      </c>
      <c r="AB3">
        <v>149167664393.309</v>
      </c>
      <c r="AC3">
        <v>148801713902.153</v>
      </c>
      <c r="AD3">
        <v>148432299271.564</v>
      </c>
      <c r="AE3">
        <v>148060819415.909</v>
      </c>
      <c r="AF3">
        <v>147688469322.202</v>
      </c>
      <c r="AG3">
        <v>147316268162.122</v>
      </c>
      <c r="AH3">
        <v>146945083494.279</v>
      </c>
      <c r="AI3">
        <v>146575652097.484</v>
      </c>
      <c r="AJ3">
        <v>146208597904.895</v>
      </c>
      <c r="AK3">
        <v>145844447445.758</v>
      </c>
      <c r="AL3">
        <v>145483643145.717</v>
      </c>
      <c r="AM3">
        <v>145126554787.874</v>
      </c>
      <c r="AN3">
        <v>144773489394.332</v>
      </c>
      <c r="AO3">
        <v>144424699751.181</v>
      </c>
      <c r="AP3">
        <v>144080391768.128</v>
      </c>
      <c r="AQ3">
        <v>143740730836.701</v>
      </c>
      <c r="AR3">
        <v>143405847327.436</v>
      </c>
    </row>
    <row r="4" ht="22.5" spans="1:44">
      <c r="A4" s="3" t="s">
        <v>12</v>
      </c>
      <c r="B4" s="2" t="s">
        <v>103</v>
      </c>
      <c r="C4" s="2">
        <v>71468966628.2183</v>
      </c>
      <c r="D4">
        <v>52662594696.9317</v>
      </c>
      <c r="E4">
        <v>57479072881.888</v>
      </c>
      <c r="F4">
        <v>56763856623.0416</v>
      </c>
      <c r="G4">
        <v>55983136518.1198</v>
      </c>
      <c r="H4">
        <v>55150873640.5291</v>
      </c>
      <c r="I4">
        <v>54279637653.2384</v>
      </c>
      <c r="J4">
        <v>53380490405.0954</v>
      </c>
      <c r="K4">
        <v>52462984672.4378</v>
      </c>
      <c r="L4">
        <v>51535237217.8708</v>
      </c>
      <c r="M4">
        <v>50604045187.95</v>
      </c>
      <c r="N4">
        <v>49675023638.6478</v>
      </c>
      <c r="O4">
        <v>48752749098.8039</v>
      </c>
      <c r="P4">
        <v>47840899514.8153</v>
      </c>
      <c r="Q4">
        <v>46942384866.8305</v>
      </c>
      <c r="R4">
        <v>46059465493.2688</v>
      </c>
      <c r="S4">
        <v>45193856991.4016</v>
      </c>
      <c r="T4">
        <v>44346821723.7333</v>
      </c>
      <c r="U4">
        <v>43519247650.7373</v>
      </c>
      <c r="V4">
        <v>42711715580.3991</v>
      </c>
      <c r="W4">
        <v>41924556083.9462</v>
      </c>
      <c r="X4">
        <v>41157897353.0648</v>
      </c>
      <c r="Y4">
        <v>40411705220.5312</v>
      </c>
      <c r="Z4">
        <v>39685816469.5926</v>
      </c>
      <c r="AA4">
        <v>38979966441.0461</v>
      </c>
      <c r="AB4">
        <v>38293811825.5229</v>
      </c>
      <c r="AC4">
        <v>37626949410.7718</v>
      </c>
      <c r="AD4">
        <v>36978931444.5859</v>
      </c>
      <c r="AE4">
        <v>36349278175.7537</v>
      </c>
      <c r="AF4">
        <v>35737488048.7456</v>
      </c>
      <c r="AG4">
        <v>35143045952.5316</v>
      </c>
      <c r="AH4">
        <v>34565429859.2131</v>
      </c>
      <c r="AI4">
        <v>34004116133.0057</v>
      </c>
      <c r="AJ4">
        <v>33458583743.4337</v>
      </c>
      <c r="AK4">
        <v>32928317577.2798</v>
      </c>
      <c r="AL4">
        <v>32412811010.847</v>
      </c>
      <c r="AM4">
        <v>31911567876.5115</v>
      </c>
      <c r="AN4">
        <v>31424103934.5249</v>
      </c>
      <c r="AO4">
        <v>30949947941.8653</v>
      </c>
      <c r="AP4">
        <v>30488642394.0023</v>
      </c>
      <c r="AQ4">
        <v>30039744002.2088</v>
      </c>
      <c r="AR4">
        <v>29602823958.0747</v>
      </c>
    </row>
    <row r="5" ht="33.75" spans="1:44">
      <c r="A5" s="3" t="s">
        <v>68</v>
      </c>
      <c r="B5" s="2" t="s">
        <v>104</v>
      </c>
      <c r="C5" s="2">
        <f>('分行业工业增加值（2012年美元）'!B16+'分行业工业增加值（2012年美元）'!B17)*'2020年全国投入产出表'!$G$57/('2020年全国投入产出表'!$G$57+'2020年全国投入产出表'!$H$57)</f>
        <v>67597143488.22</v>
      </c>
      <c r="D5" s="2">
        <f>('分行业工业增加值（2012年美元）'!C16+'分行业工业增加值（2012年美元）'!C17)*'2020年全国投入产出表'!$G$57/('2020年全国投入产出表'!$G$57+'2020年全国投入产出表'!$H$57)</f>
        <v>65470146607.0494</v>
      </c>
      <c r="E5" s="2">
        <f>('分行业工业增加值（2012年美元）'!D16+'分行业工业增加值（2012年美元）'!D17)*'2020年全国投入产出表'!$G$57/('2020年全国投入产出表'!$G$57+'2020年全国投入产出表'!$H$57)</f>
        <v>71457993098.7284</v>
      </c>
      <c r="F5" s="2">
        <f>('分行业工业增加值（2012年美元）'!E16+'分行业工业增加值（2012年美元）'!E17)*'2020年全国投入产出表'!$G$57/('2020年全国投入产出表'!$G$57+'2020年全国投入产出表'!$H$57)</f>
        <v>70568836125.1331</v>
      </c>
      <c r="G5" s="2">
        <f>('分行业工业增加值（2012年美元）'!F16+'分行业工业增加值（2012年美元）'!F17)*'2020年全国投入产出表'!$G$57/('2020年全国投入产出表'!$G$57+'2020年全国投入产出表'!$H$57)</f>
        <v>69598244759.0511</v>
      </c>
      <c r="H5" s="2">
        <f>('分行业工业增加值（2012年美元）'!G16+'分行业工业增加值（2012年美元）'!G17)*'2020年全国投入产出表'!$G$57/('2020年全国投入产出表'!$G$57+'2020年全国投入产出表'!$H$57)</f>
        <v>68563575409.2965</v>
      </c>
      <c r="I5" s="2">
        <f>('分行业工业增加值（2012年美元）'!H16+'分行业工业增加值（2012年美元）'!H17)*'2020年全国投入产出表'!$G$57/('2020年全国投入产出表'!$G$57+'2020年全国投入产出表'!$H$57)</f>
        <v>67480454682.9912</v>
      </c>
      <c r="J5" s="2">
        <f>('分行业工业增加值（2012年美元）'!I16+'分行业工业增加值（2012年美元）'!I17)*'2020年全国投入产出表'!$G$57/('2020年全国投入产出表'!$G$57+'2020年全国投入产出表'!$H$57)</f>
        <v>66362634672.4879</v>
      </c>
      <c r="K5" s="2">
        <f>('分行业工业增加值（2012年美元）'!J16+'分行业工业增加值（2012年美元）'!J17)*'2020年全国投入产出表'!$G$57/('2020年全国投入产出表'!$G$57+'2020年全国投入产出表'!$H$57)</f>
        <v>65221991390.9408</v>
      </c>
      <c r="L5" s="2">
        <f>('分行业工业增加值（2012年美元）'!K16+'分行业工业增加值（2012年美元）'!K17)*'2020年全国投入产出表'!$G$57/('2020年全国投入产出表'!$G$57+'2020年全国投入产出表'!$H$57)</f>
        <v>64068615598.9889</v>
      </c>
      <c r="M5" s="2">
        <f>('分行业工业增加值（2012年美元）'!L16+'分行业工业增加值（2012年美元）'!L17)*'2020年全国投入产出表'!$G$57/('2020年全国投入产出表'!$G$57+'2020年全国投入产出表'!$H$57)</f>
        <v>62910957510.376</v>
      </c>
      <c r="N5" s="2">
        <f>('分行业工业增加值（2012年美元）'!M16+'分行业工业增加值（2012年美元）'!M17)*'2020年全国投入产出表'!$G$57/('2020年全国投入产出表'!$G$57+'2020年全国投入产出表'!$H$57)</f>
        <v>61755997763.6347</v>
      </c>
      <c r="O5" s="2">
        <f>('分行业工业增加值（2012年美元）'!N16+'分行业工业增加值（2012年美元）'!N17)*'2020年全国投入产出表'!$G$57/('2020年全国投入产出表'!$G$57+'2020年全国投入产出表'!$H$57)</f>
        <v>60609425900.1893</v>
      </c>
      <c r="P5" s="2">
        <f>('分行业工业增加值（2012年美元）'!O16+'分行业工业增加值（2012年美元）'!O17)*'2020年全国投入产出表'!$G$57/('2020年全国投入产出表'!$G$57+'2020年全国投入产出表'!$H$57)</f>
        <v>59475814343.6212</v>
      </c>
      <c r="Q5" s="2">
        <f>('分行业工业增加值（2012年美元）'!P16+'分行业工业增加值（2012年美元）'!P17)*'2020年全国投入产出表'!$G$57/('2020年全国投入产出表'!$G$57+'2020年全国投入产出表'!$H$57)</f>
        <v>58358780781.7412</v>
      </c>
      <c r="R5" s="2">
        <f>('分行业工业增加值（2012年美元）'!Q16+'分行业工业增加值（2012年美元）'!Q17)*'2020年全国投入产出表'!$G$57/('2020年全国投入产出表'!$G$57+'2020年全国投入产出表'!$H$57)</f>
        <v>57261135267.6536</v>
      </c>
      <c r="S5" s="2">
        <f>('分行业工业增加值（2012年美元）'!R16+'分行业工业增加值（2012年美元）'!R17)*'2020年全国投入产出表'!$G$57/('2020年全国投入产出表'!$G$57+'2020年全国投入产出表'!$H$57)</f>
        <v>56185010632.1761</v>
      </c>
      <c r="T5" s="2">
        <f>('分行业工业增加值（2012年美元）'!S16+'分行业工业增加值（2012年美元）'!S17)*'2020年全国投入产出表'!$G$57/('2020年全国投入产出表'!$G$57+'2020年全国投入产出表'!$H$57)</f>
        <v>55131976244.5861</v>
      </c>
      <c r="U5" s="2">
        <f>('分行业工业增加值（2012年美元）'!T16+'分行业工业增加值（2012年美元）'!T17)*'2020年全国投入产出表'!$G$57/('2020年全国投入产出表'!$G$57+'2020年全国投入产出表'!$H$57)</f>
        <v>54103136017.494</v>
      </c>
      <c r="V5" s="2">
        <f>('分行业工业增加值（2012年美元）'!U16+'分行业工业增加值（2012年美元）'!U17)*'2020年全国投入产出表'!$G$57/('2020年全国投入产出表'!$G$57+'2020年全国投入产出表'!$H$57)</f>
        <v>53099212011.4857</v>
      </c>
      <c r="W5" s="2">
        <f>('分行业工业增加值（2012年美元）'!V16+'分行业工业增加值（2012年美元）'!V17)*'2020年全国投入产出表'!$G$57/('2020年全国投入产出表'!$G$57+'2020年全国投入产出表'!$H$57)</f>
        <v>52120615192.7668</v>
      </c>
      <c r="X5" s="2">
        <f>('分行业工业增加值（2012年美元）'!W16+'分行业工业增加值（2012年美元）'!W17)*'2020年全国投入产出表'!$G$57/('2020年全国投入产出表'!$G$57+'2020年全国投入产出表'!$H$57)</f>
        <v>51167504929.2631</v>
      </c>
      <c r="Y5" s="2">
        <f>('分行业工业增加值（2012年美元）'!X16+'分行业工业增加值（2012年美元）'!X17)*'2020年全国投入产出表'!$G$57/('2020年全国投入产出表'!$G$57+'2020年全国投入产出表'!$H$57)</f>
        <v>50239838744.2765</v>
      </c>
      <c r="Z5" s="2">
        <f>('分行业工业增加值（2012年美元）'!Y16+'分行业工业增加值（2012年美元）'!Y17)*'2020年全国投入产出表'!$G$57/('2020年全国投入产出表'!$G$57+'2020年全国投入产出表'!$H$57)</f>
        <v>49337413726.7122</v>
      </c>
      <c r="AA5" s="2">
        <f>('分行业工业增加值（2012年美元）'!Z16+'分行业工业增加值（2012年美元）'!Z17)*'2020年全国投入产出表'!$G$57/('2020年全国投入产出表'!$G$57+'2020年全国投入产出表'!$H$57)</f>
        <v>48459900852.2046</v>
      </c>
      <c r="AB5" s="2">
        <f>('分行业工业增加值（2012年美元）'!AA16+'分行业工业增加值（2012年美元）'!AA17)*'2020年全国投入产出表'!$G$57/('2020年全国投入产出表'!$G$57+'2020年全国投入产出表'!$H$57)</f>
        <v>47606873318.4887</v>
      </c>
      <c r="AC5" s="2">
        <f>('分行业工业增加值（2012年美元）'!AB16+'分行业工业增加值（2012年美元）'!AB17)*'2020年全国投入产出表'!$G$57/('2020年全国投入产出表'!$G$57+'2020年全国投入产出表'!$H$57)</f>
        <v>46777829852.0257</v>
      </c>
      <c r="AD5" s="2">
        <f>('分行业工业增加值（2012年美元）'!AC16+'分行业工业增加值（2012年美元）'!AC17)*'2020年全国投入产出表'!$G$57/('2020年全国投入产出表'!$G$57+'2020年全国投入产出表'!$H$57)</f>
        <v>45972213807.1963</v>
      </c>
      <c r="AE5" s="2">
        <f>('分行业工业增加值（2012年美元）'!AD16+'分行业工业增加值（2012年美元）'!AD17)*'2020年全国投入产出表'!$G$57/('2020年全国投入产出表'!$G$57+'2020年全国投入产出表'!$H$57)</f>
        <v>45189428757.2136</v>
      </c>
      <c r="AF5" s="2">
        <f>('分行业工业增加值（2012年美元）'!AE16+'分行业工业增加值（2012年美元）'!AE17)*'2020年全国投入产出表'!$G$57/('2020年全国投入产出表'!$G$57+'2020年全国投入产出表'!$H$57)</f>
        <v>44428851168.1588</v>
      </c>
      <c r="AG5" s="2">
        <f>('分行业工业增加值（2012年美元）'!AF16+'分行业工业增加值（2012年美元）'!AF17)*'2020年全国投入产出表'!$G$57/('2020年全国投入产出表'!$G$57+'2020年全国投入产出表'!$H$57)</f>
        <v>43689840653.9124</v>
      </c>
      <c r="AH5" s="2">
        <f>('分行业工业增加值（2012年美元）'!AG16+'分行业工业增加值（2012年美元）'!AG17)*'2020年全国投入产出表'!$G$57/('2020年全国投入产出表'!$G$57+'2020年全国投入产出表'!$H$57)</f>
        <v>42971748229.3027</v>
      </c>
      <c r="AI5" s="2">
        <f>('分行业工业增加值（2012年美元）'!AH16+'分行业工业增加值（2012年美元）'!AH17)*'2020年全国投入产出表'!$G$57/('2020年全国投入产出表'!$G$57+'2020年全国投入产出表'!$H$57)</f>
        <v>42273922910.2344</v>
      </c>
      <c r="AJ5" s="2">
        <f>('分行业工业增加值（2012年美元）'!AI16+'分行业工业增加值（2012年美元）'!AI17)*'2020年全国投入产出表'!$G$57/('2020年全国投入产出表'!$G$57+'2020年全国投入产出表'!$H$57)</f>
        <v>41595716951.5324</v>
      </c>
      <c r="AK5" s="2">
        <f>('分行业工业增加值（2012年美元）'!AJ16+'分行业工业增加值（2012年美元）'!AJ17)*'2020年全国投入产出表'!$G$57/('2020年全国投入产出表'!$G$57+'2020年全国投入产出表'!$H$57)</f>
        <v>40936489964.3579</v>
      </c>
      <c r="AL5" s="2">
        <f>('分行业工业增加值（2012年美元）'!AK16+'分行业工业增加值（2012年美元）'!AK17)*'2020年全国投入产出表'!$G$57/('2020年全国投入产出表'!$G$57+'2020年全国投入产出表'!$H$57)</f>
        <v>40295612114.0452</v>
      </c>
      <c r="AM5" s="2">
        <f>('分行业工业增加值（2012年美元）'!AL16+'分行业工业增加值（2012年美元）'!AL17)*'2020年全国投入产出表'!$G$57/('2020年全国投入产出表'!$G$57+'2020年全国投入产出表'!$H$57)</f>
        <v>39672466564.9211</v>
      </c>
      <c r="AN5" s="2">
        <f>('分行业工业增加值（2012年美元）'!AM16+'分行业工业增加值（2012年美元）'!AM17)*'2020年全国投入产出表'!$G$57/('2020年全国投入产出表'!$G$57+'2020年全国投入产出表'!$H$57)</f>
        <v>39066451310.0485</v>
      </c>
      <c r="AO5" s="2">
        <f>('分行业工业增加值（2012年美元）'!AN16+'分行业工业增加值（2012年美元）'!AN17)*'2020年全国投入产出表'!$G$57/('2020年全国投入产出表'!$G$57+'2020年全国投入产出表'!$H$57)</f>
        <v>38476980500.0231</v>
      </c>
      <c r="AP5" s="2">
        <f>('分行业工业增加值（2012年美元）'!AO16+'分行业工业增加值（2012年美元）'!AO17)*'2020年全国投入产出表'!$G$57/('2020年全国投入产出表'!$G$57+'2020年全国投入产出表'!$H$57)</f>
        <v>37903485365.1359</v>
      </c>
      <c r="AQ5" s="2">
        <f>('分行业工业增加值（2012年美元）'!AP16+'分行业工业增加值（2012年美元）'!AP17)*'2020年全国投入产出表'!$G$57/('2020年全国投入产出表'!$G$57+'2020年全国投入产出表'!$H$57)</f>
        <v>37345414808.7661</v>
      </c>
      <c r="AR5" s="2">
        <f>('分行业工业增加值（2012年美元）'!AQ16+'分行业工业增加值（2012年美元）'!AQ17)*'2020年全国投入产出表'!$G$57/('2020年全国投入产出表'!$G$57+'2020年全国投入产出表'!$H$57)</f>
        <v>36802235736.2264</v>
      </c>
    </row>
    <row r="6" ht="33.75" spans="1:44">
      <c r="A6" s="3" t="s">
        <v>69</v>
      </c>
      <c r="B6" s="2" t="s">
        <v>105</v>
      </c>
      <c r="C6" s="2">
        <f>('分行业工业增加值（2012年美元）'!B16+'分行业工业增加值（2012年美元）'!B17)*'2020年全国投入产出表'!$H$57/('2020年全国投入产出表'!$G$57+'2020年全国投入产出表'!$H$57)</f>
        <v>5533592751.35491</v>
      </c>
      <c r="D6" s="2">
        <f>('分行业工业增加值（2012年美元）'!C16+'分行业工业增加值（2012年美元）'!C17)*'2020年全国投入产出表'!$H$57/('2020年全国投入产出表'!$G$57+'2020年全国投入产出表'!$H$57)</f>
        <v>5359473936.32167</v>
      </c>
      <c r="E6" s="2">
        <f>('分行业工业增加值（2012年美元）'!D16+'分行业工业增加值（2012年美元）'!D17)*'2020年全国投入产出表'!$H$57/('2020年全国投入产出表'!$G$57+'2020年全国投入产出表'!$H$57)</f>
        <v>5849647074.30871</v>
      </c>
      <c r="F6" s="2">
        <f>('分行业工业增加值（2012年美元）'!E16+'分行业工业增加值（2012年美元）'!E17)*'2020年全国投入产出表'!$H$57/('2020年全国投入产出表'!$G$57+'2020年全国投入产出表'!$H$57)</f>
        <v>5776859492.91097</v>
      </c>
      <c r="G6" s="2">
        <f>('分行业工业增加值（2012年美元）'!F16+'分行业工业增加值（2012年美元）'!F17)*'2020年全国投入产出表'!$H$57/('2020年全国投入产出表'!$G$57+'2020年全国投入产出表'!$H$57)</f>
        <v>5697405583.01587</v>
      </c>
      <c r="H6" s="2">
        <f>('分行业工业增加值（2012年美元）'!G16+'分行业工业增加值（2012年美元）'!G17)*'2020年全国投入产出表'!$H$57/('2020年全国投入产出表'!$G$57+'2020年全国投入产出表'!$H$57)</f>
        <v>5612706163.50787</v>
      </c>
      <c r="I6" s="2">
        <f>('分行业工业增加值（2012年美元）'!H16+'分行业工业增加值（2012年美元）'!H17)*'2020年全国投入产出表'!$H$57/('2020年全国投入产出表'!$G$57+'2020年全国投入产出表'!$H$57)</f>
        <v>5524040449.38683</v>
      </c>
      <c r="J6" s="2">
        <f>('分行业工业增加值（2012年美元）'!I16+'分行业工业增加值（2012年美元）'!I17)*'2020年全国投入产出表'!$H$57/('2020年全国投入产出表'!$G$57+'2020年全国投入产出表'!$H$57)</f>
        <v>5432534205.36162</v>
      </c>
      <c r="K6" s="2">
        <f>('分行业工业增加值（2012年美元）'!J16+'分行业工业增加值（2012年美元）'!J17)*'2020年全国投入产出表'!$H$57/('2020年全国投入产出表'!$G$57+'2020年全国投入产出表'!$H$57)</f>
        <v>5339159617.78381</v>
      </c>
      <c r="L6" s="2">
        <f>('分行业工业增加值（2012年美元）'!K16+'分行业工业增加值（2012年美元）'!K17)*'2020年全国投入产出表'!$H$57/('2020年全国投入产出表'!$G$57+'2020年全国投入产出表'!$H$57)</f>
        <v>5244742729.84171</v>
      </c>
      <c r="M6" s="2">
        <f>('分行业工业增加值（2012年美元）'!L16+'分行业工业增加值（2012年美元）'!L17)*'2020年全国投入产出表'!$H$57/('2020年全国投入产出表'!$G$57+'2020年全国投入产出表'!$H$57)</f>
        <v>5149975287.35633</v>
      </c>
      <c r="N6" s="2">
        <f>('分行业工业增加值（2012年美元）'!M16+'分行业工业增加值（2012年美元）'!M17)*'2020年全国投入产出表'!$H$57/('2020年全国投入产出表'!$G$57+'2020年全国投入产出表'!$H$57)</f>
        <v>5055428734.75255</v>
      </c>
      <c r="O6" s="2">
        <f>('分行业工业增加值（2012年美元）'!N16+'分行业工业增加值（2012年美元）'!N17)*'2020年全国投入产出表'!$H$57/('2020年全国投入产出表'!$G$57+'2020年全国投入产出表'!$H$57)</f>
        <v>4961568825.51579</v>
      </c>
      <c r="P6" s="2">
        <f>('分行业工业增加值（2012年美元）'!O16+'分行业工业增加值（2012年美元）'!O17)*'2020年全国投入产出表'!$H$57/('2020年全国投入产出表'!$G$57+'2020年全国投入产出表'!$H$57)</f>
        <v>4868769864.36781</v>
      </c>
      <c r="Q6" s="2">
        <f>('分行业工业增加值（2012年美元）'!P16+'分行业工业增加值（2012年美元）'!P17)*'2020年全国投入产出表'!$H$57/('2020年全国投入产出表'!$G$57+'2020年全国投入产出表'!$H$57)</f>
        <v>4777328000.0808</v>
      </c>
      <c r="R6" s="2">
        <f>('分行业工业增加值（2012年美元）'!Q16+'分行业工业增加值（2012年美元）'!Q17)*'2020年全国投入产出表'!$H$57/('2020年全国投入产出表'!$G$57+'2020年全国投入产出表'!$H$57)</f>
        <v>4687473267.36756</v>
      </c>
      <c r="S6" s="2">
        <f>('分行业工业增加值（2012年美元）'!R16+'分行业工业增加值（2012年美元）'!R17)*'2020年全国投入产出表'!$H$57/('2020年全国投入产出表'!$G$57+'2020年全国投入产出表'!$H$57)</f>
        <v>4599380262.61699</v>
      </c>
      <c r="T6" s="2">
        <f>('分行业工业增加值（2012年美元）'!S16+'分行业工业增加值（2012年美元）'!S17)*'2020年全国投入产出表'!$H$57/('2020年全国投入产出表'!$G$57+'2020年全国投入产出表'!$H$57)</f>
        <v>4513177456.50121</v>
      </c>
      <c r="U6" s="2">
        <f>('分行业工业增加值（2012年美元）'!T16+'分行业工业增加值（2012年美元）'!T17)*'2020年全国投入产出表'!$H$57/('2020年全国投入产出表'!$G$57+'2020年全国投入产出表'!$H$57)</f>
        <v>4428955216.78585</v>
      </c>
      <c r="V6" s="2">
        <f>('分行业工业增加值（2012年美元）'!U16+'分行业工业增加值（2012年美元）'!U17)*'2020年全国投入产出表'!$H$57/('2020年全国投入产出表'!$G$57+'2020年全国投入产出表'!$H$57)</f>
        <v>4346772652.31806</v>
      </c>
      <c r="W6" s="2">
        <f>('分行业工业增加值（2012年美元）'!V16+'分行业工业增加值（2012年美元）'!V17)*'2020年全国投入产出表'!$H$57/('2020年全国投入产出表'!$G$57+'2020年全国投入产出表'!$H$57)</f>
        <v>4266663405.34218</v>
      </c>
      <c r="X6" s="2">
        <f>('分行业工业增加值（2012年美元）'!W16+'分行业工业增加值（2012年美元）'!W17)*'2020年全国投入产出表'!$H$57/('2020年全国投入产出表'!$G$57+'2020年全国投入产出表'!$H$57)</f>
        <v>4188640521.93017</v>
      </c>
      <c r="Y6" s="2">
        <f>('分行业工业增加值（2012年美元）'!X16+'分行业工业增加值（2012年美元）'!X17)*'2020年全国投入产出表'!$H$57/('2020年全国投入产出表'!$G$57+'2020年全国投入产出表'!$H$57)</f>
        <v>4112700524.88261</v>
      </c>
      <c r="Z6" s="2">
        <f>('分行业工业增加值（2012年美元）'!Y16+'分行业工业增加值（2012年美元）'!Y17)*'2020年全国投入产出表'!$H$57/('2020年全国投入产出表'!$G$57+'2020年全国投入产出表'!$H$57)</f>
        <v>4038826803.62536</v>
      </c>
      <c r="AA6" s="2">
        <f>('分行业工业增加值（2012年美元）'!Z16+'分行业工业增加值（2012年美元）'!Z17)*'2020年全国投入产出表'!$H$57/('2020年全国投入产出表'!$G$57+'2020年全国投入产出表'!$H$57)</f>
        <v>3966992423.78294</v>
      </c>
      <c r="AB6" s="2">
        <f>('分行业工业增加值（2012年美元）'!AA16+'分行业工业增加值（2012年美元）'!AA17)*'2020年全国投入产出表'!$H$57/('2020年全国投入产出表'!$G$57+'2020年全国投入产出表'!$H$57)</f>
        <v>3897162446.74997</v>
      </c>
      <c r="AC6" s="2">
        <f>('分行业工业增加值（2012年美元）'!AB16+'分行业工业增加值（2012年美元）'!AB17)*'2020年全国投入产出表'!$H$57/('2020年全国投入产出表'!$G$57+'2020年全国投入产出表'!$H$57)</f>
        <v>3829295837.60284</v>
      </c>
      <c r="AD6" s="2">
        <f>('分行业工业增加值（2012年美元）'!AC16+'分行业工业增加值（2012年美元）'!AC17)*'2020年全国投入产出表'!$H$57/('2020年全国投入产出表'!$G$57+'2020年全国投入产出表'!$H$57)</f>
        <v>3763347028.58519</v>
      </c>
      <c r="AE6" s="2">
        <f>('分行业工业增加值（2012年美元）'!AD16+'分行业工业增加值（2012年美元）'!AD17)*'2020年全国投入产出表'!$H$57/('2020年全国投入产出表'!$G$57+'2020年全国投入产出表'!$H$57)</f>
        <v>3699267195.401</v>
      </c>
      <c r="AF6" s="2">
        <f>('分行业工业增加值（2012年美元）'!AE16+'分行业工业增加值（2012年美元）'!AE17)*'2020年全国投入产出表'!$H$57/('2020年全国投入产出表'!$G$57+'2020年全国投入产出表'!$H$57)</f>
        <v>3637005294.72807</v>
      </c>
      <c r="AG6" s="2">
        <f>('分行业工业增加值（2012年美元）'!AF16+'分行业工业增加值（2012年美元）'!AF17)*'2020年全国投入产出表'!$H$57/('2020年全国投入产出表'!$G$57+'2020年全国投入产出表'!$H$57)</f>
        <v>3576508903.70052</v>
      </c>
      <c r="AH6" s="2">
        <f>('分行业工业增加值（2012年美元）'!AG16+'分行业工业增加值（2012年美元）'!AG17)*'2020年全国投入产出表'!$H$57/('2020年全国投入产出表'!$G$57+'2020年全国投入产出表'!$H$57)</f>
        <v>3517724895.52249</v>
      </c>
      <c r="AI6" s="2">
        <f>('分行业工业增加值（2012年美元）'!AH16+'分行业工业增加值（2012年美元）'!AH17)*'2020年全国投入产出表'!$H$57/('2020年全国投入产出表'!$G$57+'2020年全国投入产出表'!$H$57)</f>
        <v>3460599979.76357</v>
      </c>
      <c r="AJ6" s="2">
        <f>('分行业工业增加值（2012年美元）'!AI16+'分行业工业增加值（2012年美元）'!AI17)*'2020年全国投入产出表'!$H$57/('2020年全国投入产出表'!$G$57+'2020年全国投入产出表'!$H$57)</f>
        <v>3405081131.1357</v>
      </c>
      <c r="AK6" s="2">
        <f>('分行业工业增加值（2012年美元）'!AJ16+'分行业工业增加值（2012年美元）'!AJ17)*'2020年全国投入产出表'!$H$57/('2020年全国投入产出表'!$G$57+'2020年全国投入产出表'!$H$57)</f>
        <v>3351115926.55035</v>
      </c>
      <c r="AL6" s="2">
        <f>('分行业工业增加值（2012年美元）'!AK16+'分行业工业增加值（2012年美元）'!AK17)*'2020年全国投入产出表'!$H$57/('2020年全国投入产出表'!$G$57+'2020年全国投入产出表'!$H$57)</f>
        <v>3298652806.89779</v>
      </c>
      <c r="AM6" s="2">
        <f>('分行业工业增加值（2012年美元）'!AL16+'分行业工业增加值（2012年美元）'!AL17)*'2020年全国投入产出表'!$H$57/('2020年全国投入产出表'!$G$57+'2020年全国投入产出表'!$H$57)</f>
        <v>3247641277.18317</v>
      </c>
      <c r="AN6" s="2">
        <f>('分行业工业增加值（2012年美元）'!AM16+'分行业工业增加值（2012年美元）'!AM17)*'2020年全国投入产出表'!$H$57/('2020年全国投入产出表'!$G$57+'2020年全国投入产出表'!$H$57)</f>
        <v>3198032056.31191</v>
      </c>
      <c r="AO6" s="2">
        <f>('分行业工业增加值（2012年美元）'!AN16+'分行业工业增加值（2012年美元）'!AN17)*'2020年全国投入产出表'!$H$57/('2020年全国投入产出表'!$G$57+'2020年全国投入产出表'!$H$57)</f>
        <v>3149777185.86669</v>
      </c>
      <c r="AP6" s="2">
        <f>('分行业工业增加值（2012年美元）'!AO16+'分行业工业增加值（2012年美元）'!AO17)*'2020年全国投入产出表'!$H$57/('2020年全国投入产出表'!$G$57+'2020年全国投入产出表'!$H$57)</f>
        <v>3102830105.5969</v>
      </c>
      <c r="AQ6" s="2">
        <f>('分行业工业增加值（2012年美元）'!AP16+'分行业工业增加值（2012年美元）'!AP17)*'2020年全国投入产出表'!$H$57/('2020年全国投入产出表'!$G$57+'2020年全国投入产出表'!$H$57)</f>
        <v>3057145701.99469</v>
      </c>
      <c r="AR6" s="2">
        <f>('分行业工业增加值（2012年美元）'!AQ16+'分行业工业增加值（2012年美元）'!AQ17)*'2020年全国投入产出表'!$H$57/('2020年全国投入产出表'!$G$57+'2020年全国投入产出表'!$H$57)</f>
        <v>3012680335.21455</v>
      </c>
    </row>
    <row r="7" spans="1:44">
      <c r="A7" s="3" t="s">
        <v>15</v>
      </c>
      <c r="B7" s="2" t="s">
        <v>106</v>
      </c>
      <c r="C7">
        <v>399218427208.463</v>
      </c>
      <c r="D7">
        <v>395445504912.588</v>
      </c>
      <c r="E7">
        <v>454080021577.366</v>
      </c>
      <c r="F7">
        <v>460524288241.443</v>
      </c>
      <c r="G7">
        <v>466118390849.646</v>
      </c>
      <c r="H7">
        <v>470939674797.793</v>
      </c>
      <c r="I7">
        <v>475065206095.983</v>
      </c>
      <c r="J7">
        <v>478569245473.376</v>
      </c>
      <c r="K7">
        <v>481521630512.749</v>
      </c>
      <c r="L7">
        <v>483986854116.921</v>
      </c>
      <c r="M7">
        <v>486023652618.977</v>
      </c>
      <c r="N7">
        <v>487684950116.681</v>
      </c>
      <c r="O7">
        <v>489018039182.851</v>
      </c>
      <c r="P7">
        <v>490064908036.952</v>
      </c>
      <c r="Q7">
        <v>490862649075.654</v>
      </c>
      <c r="R7">
        <v>491443903232.824</v>
      </c>
      <c r="S7">
        <v>491837309514.214</v>
      </c>
      <c r="T7">
        <v>492067940015.602</v>
      </c>
      <c r="U7">
        <v>492157708596.163</v>
      </c>
      <c r="V7">
        <v>492125746869.161</v>
      </c>
      <c r="W7">
        <v>491988744895.635</v>
      </c>
      <c r="X7">
        <v>491761256406.162</v>
      </c>
      <c r="Y7">
        <v>491455969900.454</v>
      </c>
      <c r="Z7">
        <v>491083947862.024</v>
      </c>
      <c r="AA7">
        <v>490654836778.423</v>
      </c>
      <c r="AB7">
        <v>490177050822.749</v>
      </c>
      <c r="AC7">
        <v>489657932033.06</v>
      </c>
      <c r="AD7">
        <v>489103889694.799</v>
      </c>
      <c r="AE7">
        <v>488520521436.807</v>
      </c>
      <c r="AF7">
        <v>487912718326.746</v>
      </c>
      <c r="AG7">
        <v>487284756018.445</v>
      </c>
      <c r="AH7">
        <v>486640373774.919</v>
      </c>
      <c r="AI7">
        <v>485982842975.02</v>
      </c>
      <c r="AJ7">
        <v>485315026512.674</v>
      </c>
      <c r="AK7">
        <v>484639430317.693</v>
      </c>
      <c r="AL7">
        <v>483958248066.265</v>
      </c>
      <c r="AM7">
        <v>483273400006.819</v>
      </c>
      <c r="AN7">
        <v>482586566701.925</v>
      </c>
      <c r="AO7">
        <v>481899218377.732</v>
      </c>
      <c r="AP7">
        <v>481212640477.23</v>
      </c>
      <c r="AQ7">
        <v>480527955931.516</v>
      </c>
      <c r="AR7">
        <v>479846144591.935</v>
      </c>
    </row>
    <row r="8" ht="45" spans="1:44">
      <c r="A8" s="3" t="s">
        <v>70</v>
      </c>
      <c r="B8" s="2" t="s">
        <v>107</v>
      </c>
      <c r="C8" s="2">
        <f>'分行业工业增加值（2012年美元）'!B19+'分行业工业增加值（2012年美元）'!B20</f>
        <v>198604280612.077</v>
      </c>
      <c r="D8" s="2">
        <f>'分行业工业增加值（2012年美元）'!C19+'分行业工业增加值（2012年美元）'!C20</f>
        <v>176415674491.79</v>
      </c>
      <c r="E8" s="2">
        <f>'分行业工业增加值（2012年美元）'!D19+'分行业工业增加值（2012年美元）'!D20</f>
        <v>192550508951.885</v>
      </c>
      <c r="F8" s="2">
        <f>'分行业工业增加值（2012年美元）'!E19+'分行业工业增加值（2012年美元）'!E20</f>
        <v>190154589050.141</v>
      </c>
      <c r="G8" s="2">
        <f>'分行业工业增加值（2012年美元）'!F19+'分行业工业增加值（2012年美元）'!F20</f>
        <v>187539236261.473</v>
      </c>
      <c r="H8" s="2">
        <f>'分行业工业增加值（2012年美元）'!G19+'分行业工业增加值（2012年美元）'!G20</f>
        <v>184751219116.674</v>
      </c>
      <c r="I8" s="2">
        <f>'分行业工业增加值（2012年美元）'!H19+'分行业工业增加值（2012年美元）'!H20</f>
        <v>181832645027.723</v>
      </c>
      <c r="J8" s="2">
        <f>'分行业工业增加值（2012年美元）'!I19+'分行业工业增加值（2012年美元）'!I20</f>
        <v>178820570344.326</v>
      </c>
      <c r="K8" s="2">
        <f>'分行业工业增加值（2012年美元）'!J19+'分行业工业增加值（2012年美元）'!J20</f>
        <v>175746996138.415</v>
      </c>
      <c r="L8" s="2">
        <f>'分行业工业增加值（2012年美元）'!K19+'分行业工业增加值（2012年美元）'!K20</f>
        <v>172639112945.47</v>
      </c>
      <c r="M8" s="2">
        <f>'分行业工业增加值（2012年美元）'!L19+'分行业工业增加值（2012年美元）'!L20</f>
        <v>169519690687.882</v>
      </c>
      <c r="N8" s="2">
        <f>'分行业工业增加值（2012年美元）'!M19+'分行业工业增加值（2012年美元）'!M20</f>
        <v>166407539374.779</v>
      </c>
      <c r="O8" s="2">
        <f>'分行业工业增加值（2012年美元）'!N19+'分行业工业增加值（2012年美元）'!N20</f>
        <v>163317990028.615</v>
      </c>
      <c r="P8" s="2">
        <f>'分行业工业增加值（2012年美元）'!O19+'分行业工业增加值（2012年美元）'!O20</f>
        <v>160263363489.225</v>
      </c>
      <c r="Q8" s="2">
        <f>'分行业工业增加值（2012年美元）'!P19+'分行业工业增加值（2012年美元）'!P20</f>
        <v>157253407968.096</v>
      </c>
      <c r="R8" s="2">
        <f>'分行业工业增加值（2012年美元）'!Q19+'分行业工业增加值（2012年美元）'!Q20</f>
        <v>154295695426.487</v>
      </c>
      <c r="S8" s="2">
        <f>'分行业工业增加值（2012年美元）'!R19+'分行业工业增加值（2012年美元）'!R20</f>
        <v>151395972984.372</v>
      </c>
      <c r="T8" s="2">
        <f>'分行业工业增加值（2012年美元）'!S19+'分行业工业增加值（2012年美元）'!S20</f>
        <v>148558469459.831</v>
      </c>
      <c r="U8" s="2">
        <f>'分行业工业增加值（2012年美元）'!T19+'分行业工业增加值（2012年美元）'!T20</f>
        <v>145786159452.705</v>
      </c>
      <c r="V8" s="2">
        <f>'分行业工业增加值（2012年美元）'!U19+'分行业工业增加值（2012年美元）'!U20</f>
        <v>143080988625.435</v>
      </c>
      <c r="W8" s="2">
        <f>'分行业工业增加值（2012年美元）'!V19+'分行业工业增加值（2012年美元）'!V20</f>
        <v>140444064366.414</v>
      </c>
      <c r="X8" s="2">
        <f>'分行业工业增加值（2012年美元）'!W19+'分行业工业增加值（2012年美元）'!W20</f>
        <v>137875816108.009</v>
      </c>
      <c r="Y8" s="2">
        <f>'分行业工业增加值（2012年美元）'!X19+'分行业工业增加值（2012年美元）'!X20</f>
        <v>135376129392.629</v>
      </c>
      <c r="Z8" s="2">
        <f>'分行业工业增加值（2012年美元）'!Y19+'分行业工业增加值（2012年美元）'!Y20</f>
        <v>132944457456.603</v>
      </c>
      <c r="AA8" s="2">
        <f>'分行业工业增加值（2012年美元）'!Z19+'分行业工业增加值（2012年美元）'!Z20</f>
        <v>130579913711.793</v>
      </c>
      <c r="AB8" s="2">
        <f>'分行业工业增加值（2012年美元）'!AA19+'分行业工业增加值（2012年美元）'!AA20</f>
        <v>128281348098.006</v>
      </c>
      <c r="AC8" s="2">
        <f>'分行业工业增加值（2012年美元）'!AB19+'分行业工业增加值（2012年美元）'!AB20</f>
        <v>126047409884.962</v>
      </c>
      <c r="AD8" s="2">
        <f>'分行业工业增加值（2012年美元）'!AC19+'分行业工业增加值（2012年美元）'!AC20</f>
        <v>123876599136.927</v>
      </c>
      <c r="AE8" s="2">
        <f>'分行业工业增加值（2012年美元）'!AD19+'分行业工业增加值（2012年美元）'!AD20</f>
        <v>121767308723.945</v>
      </c>
      <c r="AF8" s="2">
        <f>'分行业工业增加值（2012年美元）'!AE19+'分行业工业增加值（2012年美元）'!AE20</f>
        <v>119717858473.256</v>
      </c>
      <c r="AG8" s="2">
        <f>'分行业工业增加值（2012年美元）'!AF19+'分行业工业增加值（2012年美元）'!AF20</f>
        <v>117726522802.209</v>
      </c>
      <c r="AH8" s="2">
        <f>'分行业工业增加值（2012年美元）'!AG19+'分行业工业增加值（2012年美元）'!AG20</f>
        <v>115791552957.17</v>
      </c>
      <c r="AI8" s="2">
        <f>'分行业工业增加值（2012年美元）'!AH19+'分行业工业增加值（2012年美元）'!AH20</f>
        <v>113911194798.21</v>
      </c>
      <c r="AJ8" s="2">
        <f>'分行业工业增加值（2012年美元）'!AI19+'分行业工业增加值（2012年美元）'!AI20</f>
        <v>112083702912.986</v>
      </c>
      <c r="AK8" s="2">
        <f>'分行业工业增加值（2012年美元）'!AJ19+'分行业工业增加值（2012年美元）'!AJ20</f>
        <v>110307351711.52</v>
      </c>
      <c r="AL8" s="2">
        <f>'分行业工业增加值（2012年美元）'!AK19+'分行业工业增加值（2012年美元）'!AK20</f>
        <v>108580444043.078</v>
      </c>
      <c r="AM8" s="2">
        <f>'分行业工业增加值（2012年美元）'!AL19+'分行业工业增加值（2012年美元）'!AL20</f>
        <v>106901317783.974</v>
      </c>
      <c r="AN8" s="2">
        <f>'分行业工业增加值（2012年美元）'!AM19+'分行业工业增加值（2012年美元）'!AM20</f>
        <v>105268350767.994</v>
      </c>
      <c r="AO8" s="2">
        <f>'分行业工业增加值（2012年美元）'!AN19+'分行业工业增加值（2012年美元）'!AN20</f>
        <v>103679964366.968</v>
      </c>
      <c r="AP8" s="2">
        <f>'分行业工业增加值（2012年美元）'!AO19+'分行业工业增加值（2012年美元）'!AO20</f>
        <v>102134625975.622</v>
      </c>
      <c r="AQ8" s="2">
        <f>'分行业工业增加值（2012年美元）'!AP19+'分行业工业增加值（2012年美元）'!AP20</f>
        <v>100630850610.54</v>
      </c>
      <c r="AR8" s="2">
        <f>'分行业工业增加值（2012年美元）'!AQ19+'分行业工业增加值（2012年美元）'!AQ20</f>
        <v>99167201796.2637</v>
      </c>
    </row>
    <row r="9" ht="22.5" spans="1:44">
      <c r="A9" s="3" t="s">
        <v>18</v>
      </c>
      <c r="B9" s="2" t="s">
        <v>108</v>
      </c>
      <c r="C9" s="2">
        <v>72724990862.8426</v>
      </c>
      <c r="D9">
        <v>67232207384.9171</v>
      </c>
      <c r="E9">
        <v>78201547503.8148</v>
      </c>
      <c r="F9">
        <v>77530363321.2794</v>
      </c>
      <c r="G9">
        <v>76761755609.7744</v>
      </c>
      <c r="H9">
        <v>75913896368.6799</v>
      </c>
      <c r="I9">
        <v>75003331946.2664</v>
      </c>
      <c r="J9">
        <v>74044784575.3915</v>
      </c>
      <c r="K9">
        <v>73051110526.7583</v>
      </c>
      <c r="L9">
        <v>72033362098.8139</v>
      </c>
      <c r="M9">
        <v>71000912746.3396</v>
      </c>
      <c r="N9">
        <v>69961615679.2952</v>
      </c>
      <c r="O9">
        <v>68921975385.9433</v>
      </c>
      <c r="P9">
        <v>67887318601.8917</v>
      </c>
      <c r="Q9">
        <v>66861956457.728</v>
      </c>
      <c r="R9">
        <v>65849333221.6322</v>
      </c>
      <c r="S9">
        <v>64852159554.6058</v>
      </c>
      <c r="T9">
        <v>63872529821.4067</v>
      </c>
      <c r="U9">
        <v>62912024000.2028</v>
      </c>
      <c r="V9">
        <v>61971795301.3026</v>
      </c>
      <c r="W9">
        <v>61052644883.1607</v>
      </c>
      <c r="X9">
        <v>60155085144.8916</v>
      </c>
      <c r="Y9">
        <v>59279393050.4965</v>
      </c>
      <c r="Z9">
        <v>58425654849.7854</v>
      </c>
      <c r="AA9">
        <v>57593803436.9012</v>
      </c>
      <c r="AB9">
        <v>56783649450.1887</v>
      </c>
      <c r="AC9">
        <v>55994907079.7474</v>
      </c>
      <c r="AD9">
        <v>55227215418.7337</v>
      </c>
      <c r="AE9">
        <v>54480156075.3229</v>
      </c>
      <c r="AF9">
        <v>53753267655.7902</v>
      </c>
      <c r="AG9">
        <v>53046057635.7443</v>
      </c>
      <c r="AH9">
        <v>52358012055.5428</v>
      </c>
      <c r="AI9">
        <v>51688603406.385</v>
      </c>
      <c r="AJ9">
        <v>51037297014.3105</v>
      </c>
      <c r="AK9">
        <v>50403556179.0953</v>
      </c>
      <c r="AL9">
        <v>49786846282.6552</v>
      </c>
      <c r="AM9">
        <v>49186638045.9218</v>
      </c>
      <c r="AN9">
        <v>48602410083.2595</v>
      </c>
      <c r="AO9">
        <v>48033650878.4755</v>
      </c>
      <c r="AP9">
        <v>47479860285.5662</v>
      </c>
      <c r="AQ9">
        <v>46940550639.8924</v>
      </c>
      <c r="AR9">
        <v>46415247550.9367</v>
      </c>
    </row>
    <row r="10" ht="33.75" spans="1:44">
      <c r="A10" s="3" t="s">
        <v>19</v>
      </c>
      <c r="B10" s="2" t="s">
        <v>109</v>
      </c>
      <c r="C10" s="2">
        <v>136593382049.642</v>
      </c>
      <c r="D10">
        <v>132680025732.883</v>
      </c>
      <c r="E10">
        <v>155199889542.785</v>
      </c>
      <c r="F10">
        <v>158001147761.789</v>
      </c>
      <c r="G10">
        <v>160495360519.916</v>
      </c>
      <c r="H10">
        <v>162707332853.648</v>
      </c>
      <c r="I10">
        <v>164662304584.505</v>
      </c>
      <c r="J10">
        <v>166385007481.334</v>
      </c>
      <c r="K10">
        <v>167899032698.212</v>
      </c>
      <c r="L10">
        <v>169226441618.418</v>
      </c>
      <c r="M10">
        <v>170387559169.318</v>
      </c>
      <c r="N10">
        <v>171400898262.151</v>
      </c>
      <c r="O10">
        <v>172283174362.224</v>
      </c>
      <c r="P10">
        <v>173049378782.954</v>
      </c>
      <c r="Q10">
        <v>173712887462.717</v>
      </c>
      <c r="R10">
        <v>174285588568.012</v>
      </c>
      <c r="S10">
        <v>174778017370.812</v>
      </c>
      <c r="T10">
        <v>175199490683.465</v>
      </c>
      <c r="U10">
        <v>175558235941.179</v>
      </c>
      <c r="V10">
        <v>175861512025.63</v>
      </c>
      <c r="W10">
        <v>176115720318.245</v>
      </c>
      <c r="X10">
        <v>176326505415.966</v>
      </c>
      <c r="Y10">
        <v>176498845559.83</v>
      </c>
      <c r="Z10">
        <v>176637133211.707</v>
      </c>
      <c r="AA10">
        <v>176745246437.432</v>
      </c>
      <c r="AB10">
        <v>176826611866.66</v>
      </c>
      <c r="AC10">
        <v>176884260038.372</v>
      </c>
      <c r="AD10">
        <v>176920873932.181</v>
      </c>
      <c r="AE10">
        <v>176938831447.867</v>
      </c>
      <c r="AF10">
        <v>176940242541.556</v>
      </c>
      <c r="AG10">
        <v>176926981665.059</v>
      </c>
      <c r="AH10">
        <v>176900716090.771</v>
      </c>
      <c r="AI10">
        <v>176862930641.562</v>
      </c>
      <c r="AJ10">
        <v>176814949285.53</v>
      </c>
      <c r="AK10">
        <v>176757954000.452</v>
      </c>
      <c r="AL10">
        <v>176693001262.66</v>
      </c>
      <c r="AM10">
        <v>176621036470.194</v>
      </c>
      <c r="AN10">
        <v>176542906570.126</v>
      </c>
      <c r="AO10">
        <v>176459371124.706</v>
      </c>
      <c r="AP10">
        <v>176371112020.051</v>
      </c>
      <c r="AQ10">
        <v>176278741993.997</v>
      </c>
      <c r="AR10">
        <v>176182812136.26</v>
      </c>
    </row>
    <row r="11" ht="33.75" spans="1:44">
      <c r="A11" s="3" t="s">
        <v>20</v>
      </c>
      <c r="B11" s="2" t="s">
        <v>110</v>
      </c>
      <c r="C11" s="2">
        <v>156934752533.505</v>
      </c>
      <c r="D11">
        <v>144883285453.649</v>
      </c>
      <c r="E11">
        <v>185311644345.927</v>
      </c>
      <c r="F11">
        <v>193390265869.811</v>
      </c>
      <c r="G11">
        <v>200972051717.755</v>
      </c>
      <c r="H11">
        <v>208073724231.47</v>
      </c>
      <c r="I11">
        <v>214716717921.177</v>
      </c>
      <c r="J11">
        <v>220925424972.742</v>
      </c>
      <c r="K11">
        <v>226725810600.109</v>
      </c>
      <c r="L11">
        <v>232144361783.793</v>
      </c>
      <c r="M11">
        <v>237207319354.125</v>
      </c>
      <c r="N11">
        <v>241940140740.331</v>
      </c>
      <c r="O11">
        <v>246367144186.658</v>
      </c>
      <c r="P11">
        <v>250511291601.814</v>
      </c>
      <c r="Q11">
        <v>254394074464.764</v>
      </c>
      <c r="R11">
        <v>258035474240.623</v>
      </c>
      <c r="S11">
        <v>261453975015.637</v>
      </c>
      <c r="T11">
        <v>264666611338.19</v>
      </c>
      <c r="U11">
        <v>267689038545.503</v>
      </c>
      <c r="V11">
        <v>270535616253.196</v>
      </c>
      <c r="W11">
        <v>273219498316.488</v>
      </c>
      <c r="X11">
        <v>275752724574.036</v>
      </c>
      <c r="Y11">
        <v>278146311184.41</v>
      </c>
      <c r="Z11">
        <v>280410337471.14</v>
      </c>
      <c r="AA11">
        <v>282554027995.513</v>
      </c>
      <c r="AB11">
        <v>284585829150.429</v>
      </c>
      <c r="AC11">
        <v>286513479971.211</v>
      </c>
      <c r="AD11">
        <v>288344077134.748</v>
      </c>
      <c r="AE11">
        <v>290084134301.079</v>
      </c>
      <c r="AF11">
        <v>291739636067.018</v>
      </c>
      <c r="AG11">
        <v>293316086869.083</v>
      </c>
      <c r="AH11">
        <v>294818555206.981</v>
      </c>
      <c r="AI11">
        <v>296251713569.781</v>
      </c>
      <c r="AJ11">
        <v>297619874442.275</v>
      </c>
      <c r="AK11">
        <v>298927022754.295</v>
      </c>
      <c r="AL11">
        <v>300176845115.181</v>
      </c>
      <c r="AM11">
        <v>301372756151.293</v>
      </c>
      <c r="AN11">
        <v>302517922239.231</v>
      </c>
      <c r="AO11">
        <v>303615282901.657</v>
      </c>
      <c r="AP11">
        <v>304667570107.818</v>
      </c>
      <c r="AQ11">
        <v>305677325697.261</v>
      </c>
      <c r="AR11">
        <v>306646917123.171</v>
      </c>
    </row>
    <row r="12" ht="45" spans="1:44">
      <c r="A12" s="3" t="s">
        <v>71</v>
      </c>
      <c r="B12" s="2" t="s">
        <v>111</v>
      </c>
      <c r="C12" s="2">
        <f>'分行业工业增加值（2012年美元）'!B24*'2020年全国投入产出表'!$N$57/('2020年全国投入产出表'!$N$57+'2020年全国投入产出表'!$O$57+'2020年全国投入产出表'!$P$57)</f>
        <v>280988437269.543</v>
      </c>
      <c r="D12" s="2">
        <f>'分行业工业增加值（2012年美元）'!C24*'2020年全国投入产出表'!$N$57/('2020年全国投入产出表'!$N$57+'2020年全国投入产出表'!$O$57+'2020年全国投入产出表'!$P$57)</f>
        <v>275559694233.656</v>
      </c>
      <c r="E12" s="2">
        <f>'分行业工业增加值（2012年美元）'!D24*'2020年全国投入产出表'!$N$57/('2020年全国投入产出表'!$N$57+'2020年全国投入产出表'!$O$57+'2020年全国投入产出表'!$P$57)</f>
        <v>328130849115.46</v>
      </c>
      <c r="F12" s="2">
        <f>'分行业工业增加值（2012年美元）'!E24*'2020年全国投入产出表'!$N$57/('2020年全国投入产出表'!$N$57+'2020年全国投入产出表'!$O$57+'2020年全国投入产出表'!$P$57)</f>
        <v>335861948972.421</v>
      </c>
      <c r="G12" s="2">
        <f>'分行业工业增加值（2012年美元）'!F24*'2020年全国投入产出表'!$N$57/('2020年全国投入产出表'!$N$57+'2020年全国投入产出表'!$O$57+'2020年全国投入产出表'!$P$57)</f>
        <v>342894130057.093</v>
      </c>
      <c r="H12" s="2">
        <f>'分行业工业增加值（2012年美元）'!G24*'2020年全国投入产出表'!$N$57/('2020年全国投入产出表'!$N$57+'2020年全国投入产出表'!$O$57+'2020年全国投入产出表'!$P$57)</f>
        <v>349274909733.845</v>
      </c>
      <c r="I12" s="2">
        <f>'分行业工业增加值（2012年美元）'!H24*'2020年全国投入产出表'!$N$57/('2020年全国投入产出表'!$N$57+'2020年全国投入产出表'!$O$57+'2020年全国投入产出表'!$P$57)</f>
        <v>355054326534.263</v>
      </c>
      <c r="J12" s="2">
        <f>'分行业工业增加值（2012年美元）'!I24*'2020年全国投入产出表'!$N$57/('2020年全国投入产出表'!$N$57+'2020年全国投入产出表'!$O$57+'2020年全国投入产出表'!$P$57)</f>
        <v>360282706563.873</v>
      </c>
      <c r="K12" s="2">
        <f>'分行业工业增加值（2012年美元）'!J24*'2020年全国投入产出表'!$N$57/('2020年全国投入产出表'!$N$57+'2020年全国投入产出表'!$O$57+'2020年全国投入产出表'!$P$57)</f>
        <v>365009085667.503</v>
      </c>
      <c r="L12" s="2">
        <f>'分行业工业增加值（2012年美元）'!K24*'2020年全国投入产出表'!$N$57/('2020年全国投入产出表'!$N$57+'2020年全国投入产出表'!$O$57+'2020年全国投入产出表'!$P$57)</f>
        <v>369280162549.263</v>
      </c>
      <c r="M12" s="2">
        <f>'分行业工业增加值（2012年美元）'!L24*'2020年全国投入产出表'!$N$57/('2020年全国投入产出表'!$N$57+'2020年全国投入产出表'!$O$57+'2020年全国投入产出表'!$P$57)</f>
        <v>373139662693.908</v>
      </c>
      <c r="N12" s="2">
        <f>'分行业工业增加值（2012年美元）'!M24*'2020年全国投入产出表'!$N$57/('2020年全国投入产出表'!$N$57+'2020年全国投入产出表'!$O$57+'2020年全国投入产出表'!$P$57)</f>
        <v>376628007828.165</v>
      </c>
      <c r="O12" s="2">
        <f>'分行业工业增加值（2012年美元）'!N24*'2020年全国投入产出表'!$N$57/('2020年全国投入产出表'!$N$57+'2020年全国投入产出表'!$O$57+'2020年全国投入产出表'!$P$57)</f>
        <v>379782204153.838</v>
      </c>
      <c r="P12" s="2">
        <f>'分行业工业增加值（2012年美元）'!O24*'2020年全国投入产出表'!$N$57/('2020年全国投入产出表'!$N$57+'2020年全国投入产出表'!$O$57+'2020年全国投入产出表'!$P$57)</f>
        <v>382635880913.783</v>
      </c>
      <c r="Q12" s="2">
        <f>'分行业工业增加值（2012年美元）'!P24*'2020年全国投入产出表'!$N$57/('2020年全国投入产出表'!$N$57+'2020年全国投入产出表'!$O$57+'2020年全国投入产出表'!$P$57)</f>
        <v>385219427163.274</v>
      </c>
      <c r="R12" s="2">
        <f>'分行业工业增加值（2012年美元）'!Q24*'2020年全国投入产出表'!$N$57/('2020年全国投入产出表'!$N$57+'2020年全国投入产出表'!$O$57+'2020年全国投入产出表'!$P$57)</f>
        <v>387560188223.066</v>
      </c>
      <c r="S12" s="2">
        <f>'分行业工业增加值（2012年美元）'!R24*'2020年全国投入产出表'!$N$57/('2020年全国投入产出表'!$N$57+'2020年全国投入产出表'!$O$57+'2020年全国投入产出表'!$P$57)</f>
        <v>389682694143.683</v>
      </c>
      <c r="T12" s="2">
        <f>'分行业工业增加值（2012年美元）'!S24*'2020年全国投入产出表'!$N$57/('2020年全国投入产出表'!$N$57+'2020年全国投入产出表'!$O$57+'2020年全国投入产出表'!$P$57)</f>
        <v>391608900886.311</v>
      </c>
      <c r="U12" s="2">
        <f>'分行业工业增加值（2012年美元）'!T24*'2020年全国投入产出表'!$N$57/('2020年全国投入产出表'!$N$57+'2020年全国投入产出表'!$O$57+'2020年全国投入产出表'!$P$57)</f>
        <v>393358431219.584</v>
      </c>
      <c r="V12" s="2">
        <f>'分行业工业增加值（2012年美元）'!U24*'2020年全国投入产出表'!$N$57/('2020年全国投入产出表'!$N$57+'2020年全国投入产出表'!$O$57+'2020年全国投入产出表'!$P$57)</f>
        <v>394948806951.267</v>
      </c>
      <c r="W12" s="2">
        <f>'分行业工业增加值（2012年美元）'!V24*'2020年全国投入产出表'!$N$57/('2020年全国投入产出表'!$N$57+'2020年全国投入产出表'!$O$57+'2020年全国投入产出表'!$P$57)</f>
        <v>396395667432.46</v>
      </c>
      <c r="X12" s="2">
        <f>'分行业工业增加值（2012年美元）'!W24*'2020年全国投入产出表'!$N$57/('2020年全国投入产出表'!$N$57+'2020年全国投入产出表'!$O$57+'2020年全国投入产出表'!$P$57)</f>
        <v>397712971602.415</v>
      </c>
      <c r="Y12" s="2">
        <f>'分行业工业增加值（2012年美元）'!X24*'2020年全国投入产出表'!$N$57/('2020年全国投入产出表'!$N$57+'2020年全国投入产出表'!$O$57+'2020年全国投入产出表'!$P$57)</f>
        <v>398913182438.744</v>
      </c>
      <c r="Z12" s="2">
        <f>'分行业工业增加值（2012年美元）'!Y24*'2020年全国投入产出表'!$N$57/('2020年全国投入产出表'!$N$57+'2020年全国投入产出表'!$O$57+'2020年全国投入产出表'!$P$57)</f>
        <v>400007433738.648</v>
      </c>
      <c r="AA12" s="2">
        <f>'分行业工业增加值（2012年美元）'!Z24*'2020年全国投入产出表'!$N$57/('2020年全国投入产出表'!$N$57+'2020年全国投入产出表'!$O$57+'2020年全国投入产出表'!$P$57)</f>
        <v>401005679833.156</v>
      </c>
      <c r="AB12" s="2">
        <f>'分行业工业增加值（2012年美元）'!AA24*'2020年全国投入产出表'!$N$57/('2020年全国投入产出表'!$N$57+'2020年全国投入产出表'!$O$57+'2020年全国投入产出表'!$P$57)</f>
        <v>401916829241.758</v>
      </c>
      <c r="AC12" s="2">
        <f>'分行业工业增加值（2012年美元）'!AB24*'2020年全国投入产出表'!$N$57/('2020年全国投入产出表'!$N$57+'2020年全国投入产出表'!$O$57+'2020年全国投入产出表'!$P$57)</f>
        <v>402748863492.491</v>
      </c>
      <c r="AD12" s="2">
        <f>'分行业工业增加值（2012年美元）'!AC24*'2020年全国投入产出表'!$N$57/('2020年全国投入产出表'!$N$57+'2020年全国投入产出表'!$O$57+'2020年全国投入产出表'!$P$57)</f>
        <v>403508942423.175</v>
      </c>
      <c r="AE12" s="2">
        <f>'分行业工业增加值（2012年美元）'!AD24*'2020年全国投入产出表'!$N$57/('2020年全国投入产出表'!$N$57+'2020年全国投入产出表'!$O$57+'2020年全国投入产出表'!$P$57)</f>
        <v>404203497286.954</v>
      </c>
      <c r="AF12" s="2">
        <f>'分行业工业增加值（2012年美元）'!AE24*'2020年全国投入产出表'!$N$57/('2020年全国投入产出表'!$N$57+'2020年全国投入产出表'!$O$57+'2020年全国投入产出表'!$P$57)</f>
        <v>404838312939.654</v>
      </c>
      <c r="AG12" s="2">
        <f>'分行业工业增加值（2012年美元）'!AF24*'2020年全国投入产出表'!$N$57/('2020年全国投入产出表'!$N$57+'2020年全国投入产出表'!$O$57+'2020年全国投入产出表'!$P$57)</f>
        <v>405418600309.87</v>
      </c>
      <c r="AH12" s="2">
        <f>'分行业工业增加值（2012年美元）'!AG24*'2020年全国投入产出表'!$N$57/('2020年全国投入产出表'!$N$57+'2020年全国投入产出表'!$O$57+'2020年全国投入产出表'!$P$57)</f>
        <v>405949060259.194</v>
      </c>
      <c r="AI12" s="2">
        <f>'分行业工业增加值（2012年美元）'!AH24*'2020年全国投入产出表'!$N$57/('2020年全国投入产出表'!$N$57+'2020年全国投入产出表'!$O$57+'2020年全国投入产出表'!$P$57)</f>
        <v>406433939839.863</v>
      </c>
      <c r="AJ12" s="2">
        <f>'分行业工业增加值（2012年美元）'!AI24*'2020年全国投入产出表'!$N$57/('2020年全国投入产出表'!$N$57+'2020年全国投入产出表'!$O$57+'2020年全国投入产出表'!$P$57)</f>
        <v>406877081856.633</v>
      </c>
      <c r="AK12" s="2">
        <f>'分行业工业增加值（2012年美元）'!AJ24*'2020年全国投入产出表'!$N$57/('2020年全国投入产出表'!$N$57+'2020年全国投入产出表'!$O$57+'2020年全国投入产出表'!$P$57)</f>
        <v>407281968542.564</v>
      </c>
      <c r="AL12" s="2">
        <f>'分行业工业增加值（2012年美元）'!AK24*'2020年全国投入产出表'!$N$57/('2020年全国投入产出表'!$N$57+'2020年全国投入产出表'!$O$57+'2020年全国投入产出表'!$P$57)</f>
        <v>407651760067.738</v>
      </c>
      <c r="AM12" s="2">
        <f>'分行业工业增加值（2012年美元）'!AL24*'2020年全国投入产出表'!$N$57/('2020年全国投入产出表'!$N$57+'2020年全国投入产出表'!$O$57+'2020年全国投入产出表'!$P$57)</f>
        <v>407989328516.109</v>
      </c>
      <c r="AN12" s="2">
        <f>'分行业工业增加值（2012年美元）'!AM24*'2020年全国投入产出表'!$N$57/('2020年全国投入产出表'!$N$57+'2020年全国投入产出表'!$O$57+'2020年全国投入产出表'!$P$57)</f>
        <v>408297287889.705</v>
      </c>
      <c r="AO12" s="2">
        <f>'分行业工业增加值（2012年美元）'!AN24*'2020年全国投入产出表'!$N$57/('2020年全国投入产出表'!$N$57+'2020年全国投入产出表'!$O$57+'2020年全国投入产出表'!$P$57)</f>
        <v>408578020631.356</v>
      </c>
      <c r="AP12" s="2">
        <f>'分行业工业增加值（2012年美元）'!AO24*'2020年全国投入产出表'!$N$57/('2020年全国投入产出表'!$N$57+'2020年全国投入产出表'!$O$57+'2020年全国投入产出表'!$P$57)</f>
        <v>408833701096.088</v>
      </c>
      <c r="AQ12" s="2">
        <f>'分行业工业增加值（2012年美元）'!AP24*'2020年全国投入产出表'!$N$57/('2020年全国投入产出表'!$N$57+'2020年全国投入产出表'!$O$57+'2020年全国投入产出表'!$P$57)</f>
        <v>409066316347.64</v>
      </c>
      <c r="AR12" s="2">
        <f>'分行业工业增加值（2012年美元）'!AQ24*'2020年全国投入产出表'!$N$57/('2020年全国投入产出表'!$N$57+'2020年全国投入产出表'!$O$57+'2020年全国投入产出表'!$P$57)</f>
        <v>409277684608.959</v>
      </c>
    </row>
    <row r="13" spans="1:44">
      <c r="A13" s="3" t="s">
        <v>72</v>
      </c>
      <c r="B13" s="2" t="s">
        <v>112</v>
      </c>
      <c r="C13" s="2">
        <f>'分行业工业增加值（2012年美元）'!B24*'2020年全国投入产出表'!$O$57/('2020年全国投入产出表'!$N$57+'2020年全国投入产出表'!$O$57+'2020年全国投入产出表'!$P$57)</f>
        <v>121804348139.235</v>
      </c>
      <c r="D13" s="2">
        <f>'分行业工业增加值（2012年美元）'!C24*'2020年全国投入产出表'!$O$57/('2020年全国投入产出表'!$N$57+'2020年全国投入产出表'!$O$57+'2020年全国投入产出表'!$P$57)</f>
        <v>119451068007.401</v>
      </c>
      <c r="E13" s="2">
        <f>'分行业工业增加值（2012年美元）'!D24*'2020年全国投入产出表'!$O$57/('2020年全国投入产出表'!$N$57+'2020年全国投入产出表'!$O$57+'2020年全国投入产出表'!$P$57)</f>
        <v>142239889189.969</v>
      </c>
      <c r="F13" s="2">
        <f>'分行业工业增加值（2012年美元）'!E24*'2020年全国投入产出表'!$O$57/('2020年全国投入产出表'!$N$57+'2020年全国投入产出表'!$O$57+'2020年全国投入产出表'!$P$57)</f>
        <v>145591207086.275</v>
      </c>
      <c r="G13" s="2">
        <f>'分行业工业增加值（2012年美元）'!F24*'2020年全国投入产出表'!$O$57/('2020年全国投入产出表'!$N$57+'2020年全国投入产出表'!$O$57+'2020年全国投入产出表'!$P$57)</f>
        <v>148639553991.005</v>
      </c>
      <c r="H13" s="2">
        <f>'分行业工业增加值（2012年美元）'!G24*'2020年全国投入产出表'!$O$57/('2020年全国投入产出表'!$N$57+'2020年全国投入产出表'!$O$57+'2020年全国投入产出表'!$P$57)</f>
        <v>151405527981.605</v>
      </c>
      <c r="I13" s="2">
        <f>'分行业工业增加值（2012年美元）'!H24*'2020年全国投入产出表'!$O$57/('2020年全国投入产出表'!$N$57+'2020年全国投入产出表'!$O$57+'2020年全国投入产出表'!$P$57)</f>
        <v>153910820024.368</v>
      </c>
      <c r="J13" s="2">
        <f>'分行业工业增加值（2012年美元）'!I24*'2020年全国投入产出表'!$O$57/('2020年全国投入产出表'!$N$57+'2020年全国投入产出表'!$O$57+'2020年全国投入产出表'!$P$57)</f>
        <v>156177245744.654</v>
      </c>
      <c r="K13" s="2">
        <f>'分行业工业增加值（2012年美元）'!J24*'2020年全国投入产出表'!$O$57/('2020年全国投入产出表'!$N$57+'2020年全国投入产出表'!$O$57+'2020年全国投入产出表'!$P$57)</f>
        <v>158226061458.82</v>
      </c>
      <c r="L13" s="2">
        <f>'分行业工业增加值（2012年美元）'!K24*'2020年全国投入产出表'!$O$57/('2020年全国投入产出表'!$N$57+'2020年全国投入产出表'!$O$57+'2020年全国投入产出表'!$P$57)</f>
        <v>160077510367.147</v>
      </c>
      <c r="M13" s="2">
        <f>'分行业工业增加值（2012年美元）'!L24*'2020年全国投入产出表'!$O$57/('2020年全国投入产出表'!$N$57+'2020年全国投入产出表'!$O$57+'2020年全国投入产出表'!$P$57)</f>
        <v>161750546823.131</v>
      </c>
      <c r="N13" s="2">
        <f>'分行业工业增加值（2012年美元）'!M24*'2020年全国投入产出表'!$O$57/('2020年全国投入产出表'!$N$57+'2020年全国投入产出表'!$O$57+'2020年全国投入产出表'!$P$57)</f>
        <v>163262693049.828</v>
      </c>
      <c r="O13" s="2">
        <f>'分行业工业增加值（2012年美元）'!N24*'2020年全国投入产出表'!$O$57/('2020年全国投入产出表'!$N$57+'2020年全国投入产出表'!$O$57+'2020年全国投入产出表'!$P$57)</f>
        <v>164629990690.561</v>
      </c>
      <c r="P13" s="2">
        <f>'分行业工业增加值（2012年美元）'!O24*'2020年全国投入产出表'!$O$57/('2020年全国投入产出表'!$N$57+'2020年全国投入产出表'!$O$57+'2020年全国投入产出表'!$P$57)</f>
        <v>165867017526.693</v>
      </c>
      <c r="Q13" s="2">
        <f>'分行业工业增加值（2012年美元）'!P24*'2020年全国投入产出表'!$O$57/('2020年全国投入产出表'!$N$57+'2020年全国投入产出表'!$O$57+'2020年全国投入产出表'!$P$57)</f>
        <v>166986946766.005</v>
      </c>
      <c r="R13" s="2">
        <f>'分行业工业增加值（2012年美元）'!Q24*'2020年全国投入产出表'!$O$57/('2020年全国投入产出表'!$N$57+'2020年全国投入产出表'!$O$57+'2020年全国投入产出表'!$P$57)</f>
        <v>168001632202.204</v>
      </c>
      <c r="S13" s="2">
        <f>'分行业工业增加值（2012年美元）'!R24*'2020年全国投入产出表'!$O$57/('2020年全国投入产出表'!$N$57+'2020年全国投入产出表'!$O$57+'2020年全国投入产出表'!$P$57)</f>
        <v>168921707250.824</v>
      </c>
      <c r="T13" s="2">
        <f>'分行业工业增加值（2012年美元）'!S24*'2020年全国投入产出表'!$O$57/('2020年全国投入产出表'!$N$57+'2020年全国投入产出表'!$O$57+'2020年全国投入产出表'!$P$57)</f>
        <v>169756689497.592</v>
      </c>
      <c r="U13" s="2">
        <f>'分行业工业增加值（2012年美元）'!T24*'2020年全国投入产出表'!$O$57/('2020年全国投入产出表'!$N$57+'2020年全国投入产出表'!$O$57+'2020年全国投入产出表'!$P$57)</f>
        <v>170515085123.636</v>
      </c>
      <c r="V13" s="2">
        <f>'分行业工业增加值（2012年美元）'!U24*'2020年全国投入产出表'!$O$57/('2020年全国投入产出表'!$N$57+'2020年全国投入产出表'!$O$57+'2020年全国投入产出表'!$P$57)</f>
        <v>171204489574.497</v>
      </c>
      <c r="W13" s="2">
        <f>'分行业工业增加值（2012年美元）'!V24*'2020年全国投入产出表'!$O$57/('2020年全国投入产出表'!$N$57+'2020年全国投入产出表'!$O$57+'2020年全国投入产出表'!$P$57)</f>
        <v>171831682278.484</v>
      </c>
      <c r="X13" s="2">
        <f>'分行业工业增加值（2012年美元）'!W24*'2020年全国投入产出表'!$O$57/('2020年全国投入产出表'!$N$57+'2020年全国投入产出表'!$O$57+'2020年全国投入产出表'!$P$57)</f>
        <v>172402714230.124</v>
      </c>
      <c r="Y13" s="2">
        <f>'分行业工业增加值（2012年美元）'!X24*'2020年全国投入产出表'!$O$57/('2020年全国投入产出表'!$N$57+'2020年全国投入产出表'!$O$57+'2020年全国投入产出表'!$P$57)</f>
        <v>172922987946.613</v>
      </c>
      <c r="Z13" s="2">
        <f>'分行业工业增加值（2012年美元）'!Y24*'2020年全国投入产出表'!$O$57/('2020年全国投入产出表'!$N$57+'2020年全国投入产出表'!$O$57+'2020年全国投入产出表'!$P$57)</f>
        <v>173397329765.019</v>
      </c>
      <c r="AA13" s="2">
        <f>'分行业工业增加值（2012年美元）'!Z24*'2020年全国投入产出表'!$O$57/('2020年全国投入产出表'!$N$57+'2020年全国投入产出表'!$O$57+'2020年全国投入产出表'!$P$57)</f>
        <v>173830054741.198</v>
      </c>
      <c r="AB13" s="2">
        <f>'分行业工业增加值（2012年美元）'!AA24*'2020年全国投入产出表'!$O$57/('2020年全国投入产出表'!$N$57+'2020年全国投入产出表'!$O$57+'2020年全国投入产出表'!$P$57)</f>
        <v>174225024587.113</v>
      </c>
      <c r="AC13" s="2">
        <f>'分行业工业增加值（2012年美元）'!AB24*'2020年全国投入产出表'!$O$57/('2020年全国投入产出表'!$N$57+'2020年全国投入产出表'!$O$57+'2020年全国投入产出表'!$P$57)</f>
        <v>174585699177.587</v>
      </c>
      <c r="AD13" s="2">
        <f>'分行业工业增加值（2012年美元）'!AC24*'2020年全国投入产出表'!$O$57/('2020年全国投入产出表'!$N$57+'2020年全国投入产出表'!$O$57+'2020年全国投入产出表'!$P$57)</f>
        <v>174915182196.838</v>
      </c>
      <c r="AE13" s="2">
        <f>'分行业工业增加值（2012年美元）'!AD24*'2020年全国投入产出表'!$O$57/('2020年全国投入产出表'!$N$57+'2020年全国投入产出表'!$O$57+'2020年全国投入产出表'!$P$57)</f>
        <v>175216261498.362</v>
      </c>
      <c r="AF13" s="2">
        <f>'分行业工业增加值（2012年美元）'!AE24*'2020年全国投入产出表'!$O$57/('2020年全国投入产出表'!$N$57+'2020年全国投入产出表'!$O$57+'2020年全国投入产出表'!$P$57)</f>
        <v>175491444731.94</v>
      </c>
      <c r="AG13" s="2">
        <f>'分行业工业增加值（2012年美元）'!AF24*'2020年全国投入产出表'!$O$57/('2020年全国投入产出表'!$N$57+'2020年全国投入产出表'!$O$57+'2020年全国投入产出表'!$P$57)</f>
        <v>175742990758.351</v>
      </c>
      <c r="AH13" s="2">
        <f>'分行业工业增加值（2012年美元）'!AG24*'2020年全国投入产出表'!$O$57/('2020年全国投入产出表'!$N$57+'2020年全国投入产出表'!$O$57+'2020年全国投入产出表'!$P$57)</f>
        <v>175972937331.844</v>
      </c>
      <c r="AI13" s="2">
        <f>'分行业工业增加值（2012年美元）'!AH24*'2020年全国投入产出表'!$O$57/('2020年全国投入产出表'!$N$57+'2020年全国投入产出表'!$O$57+'2020年全国投入产出表'!$P$57)</f>
        <v>176183125486.999</v>
      </c>
      <c r="AJ13" s="2">
        <f>'分行业工业增加值（2012年美元）'!AI24*'2020年全国投入产出表'!$O$57/('2020年全国投入产出表'!$N$57+'2020年全国投入产出表'!$O$57+'2020年全国投入产出表'!$P$57)</f>
        <v>176375221023.065</v>
      </c>
      <c r="AK13" s="2">
        <f>'分行业工业增加值（2012年美元）'!AJ24*'2020年全国投入产出表'!$O$57/('2020年全国投入产出表'!$N$57+'2020年全国投入产出表'!$O$57+'2020年全国投入产出表'!$P$57)</f>
        <v>176550733436.776</v>
      </c>
      <c r="AL13" s="2">
        <f>'分行业工业增加值（2012年美元）'!AK24*'2020年全国投入产出表'!$O$57/('2020年全国投入产出表'!$N$57+'2020年全国投入产出表'!$O$57+'2020年全国投入产出表'!$P$57)</f>
        <v>176711032615.308</v>
      </c>
      <c r="AM13" s="2">
        <f>'分行业工业增加值（2012年美元）'!AL24*'2020年全国投入产出表'!$O$57/('2020年全国投入产出表'!$N$57+'2020年全国投入产出表'!$O$57+'2020年全国投入产出表'!$P$57)</f>
        <v>176857363564.744</v>
      </c>
      <c r="AN13" s="2">
        <f>'分行业工业增加值（2012年美元）'!AM24*'2020年全国投入产出表'!$O$57/('2020年全国投入产出表'!$N$57+'2020年全国投入产出表'!$O$57+'2020年全国投入产出表'!$P$57)</f>
        <v>176990859416.455</v>
      </c>
      <c r="AO13" s="2">
        <f>'分行业工业增加值（2012年美元）'!AN24*'2020年全国投入产出表'!$O$57/('2020年全国投入产出表'!$N$57+'2020年全国投入产出表'!$O$57+'2020年全国投入产出表'!$P$57)</f>
        <v>177112552924.31</v>
      </c>
      <c r="AP13" s="2">
        <f>'分行业工业增加值（2012年美元）'!AO24*'2020年全国投入产出表'!$O$57/('2020年全国投入产出表'!$N$57+'2020年全国投入产出表'!$O$57+'2020年全国投入产出表'!$P$57)</f>
        <v>177223386639.182</v>
      </c>
      <c r="AQ13" s="2">
        <f>'分行业工业增加值（2012年美元）'!AP24*'2020年全国投入产出表'!$O$57/('2020年全国投入产出表'!$N$57+'2020年全国投入产出表'!$O$57+'2020年全国投入产出表'!$P$57)</f>
        <v>177324221923.929</v>
      </c>
      <c r="AR13" s="2">
        <f>'分行业工业增加值（2012年美元）'!AQ24*'2020年全国投入产出表'!$O$57/('2020年全国投入产出表'!$N$57+'2020年全国投入产出表'!$O$57+'2020年全国投入产出表'!$P$57)</f>
        <v>177415846951.412</v>
      </c>
    </row>
    <row r="14" ht="22.5" spans="1:44">
      <c r="A14" s="3" t="s">
        <v>73</v>
      </c>
      <c r="B14" s="2" t="s">
        <v>113</v>
      </c>
      <c r="C14" s="2">
        <f>'分行业工业增加值（2012年美元）'!B24*'2020年全国投入产出表'!$P$57/('2020年全国投入产出表'!$N$57+'2020年全国投入产出表'!$O$57+'2020年全国投入产出表'!$P$57)</f>
        <v>122660348613.644</v>
      </c>
      <c r="D14" s="2">
        <f>'分行业工业增加值（2012年美元）'!C24*'2020年全国投入产出表'!$P$57/('2020年全国投入产出表'!$N$57+'2020年全国投入产出表'!$O$57+'2020年全国投入产出表'!$P$57)</f>
        <v>120290530411.207</v>
      </c>
      <c r="E14" s="2">
        <f>'分行业工业增加值（2012年美元）'!D24*'2020年全国投入产出表'!$P$57/('2020年全国投入产出表'!$N$57+'2020年全国投入产出表'!$O$57+'2020年全国投入产出表'!$P$57)</f>
        <v>143239503854.687</v>
      </c>
      <c r="F14" s="2">
        <f>'分行业工业增加值（2012年美元）'!E24*'2020年全国投入产出表'!$P$57/('2020年全国投入产出表'!$N$57+'2020年全国投入产出表'!$O$57+'2020年全国投入产出表'!$P$57)</f>
        <v>146614373699.286</v>
      </c>
      <c r="G14" s="2">
        <f>'分行业工业增加值（2012年美元）'!F24*'2020年全国投入产出表'!$P$57/('2020年全国投入产出表'!$N$57+'2020年全国投入产出表'!$O$57+'2020年全国投入产出表'!$P$57)</f>
        <v>149684143372.878</v>
      </c>
      <c r="H14" s="2">
        <f>'分行业工业增加值（2012年美元）'!G24*'2020年全国投入产出表'!$P$57/('2020年全国投入产出表'!$N$57+'2020年全国投入产出表'!$O$57+'2020年全国投入产出表'!$P$57)</f>
        <v>152469555709.352</v>
      </c>
      <c r="I14" s="2">
        <f>'分行业工业增加值（2012年美元）'!H24*'2020年全国投入产出表'!$P$57/('2020年全国投入产出表'!$N$57+'2020年全国投入产出表'!$O$57+'2020年全国投入产出表'!$P$57)</f>
        <v>154992454111.904</v>
      </c>
      <c r="J14" s="2">
        <f>'分行业工业增加值（2012年美元）'!I24*'2020年全国投入产出表'!$P$57/('2020年全国投入产出表'!$N$57+'2020年全国投入产出表'!$O$57+'2020年全国投入产出表'!$P$57)</f>
        <v>157274807518.857</v>
      </c>
      <c r="K14" s="2">
        <f>'分行业工业增加值（2012年美元）'!J24*'2020年全国投入产出表'!$P$57/('2020年全国投入产出表'!$N$57+'2020年全国投入产出表'!$O$57+'2020年全国投入产出表'!$P$57)</f>
        <v>159338021628.893</v>
      </c>
      <c r="L14" s="2">
        <f>'分行业工业增加值（2012年美元）'!K24*'2020年全国投入产出表'!$P$57/('2020年全国投入产出表'!$N$57+'2020年全国投入产出表'!$O$57+'2020年全国投入产出表'!$P$57)</f>
        <v>161202481904.779</v>
      </c>
      <c r="M14" s="2">
        <f>'分行业工业增加值（2012年美元）'!L24*'2020年全国投入产出表'!$P$57/('2020年全国投入产出表'!$N$57+'2020年全国投入产出表'!$O$57+'2020年全国投入产出表'!$P$57)</f>
        <v>162887275904.906</v>
      </c>
      <c r="N14" s="2">
        <f>'分行业工业增加值（2012年美元）'!M24*'2020年全国投入产出表'!$P$57/('2020年全国投入产出表'!$N$57+'2020年全国投入产出表'!$O$57+'2020年全国投入产出表'!$P$57)</f>
        <v>164410048992.69</v>
      </c>
      <c r="O14" s="2">
        <f>'分行业工业增加值（2012年美元）'!N24*'2020年全国投入产出表'!$P$57/('2020年全国投入产出表'!$N$57+'2020年全国投入产出表'!$O$57+'2020年全国投入产出表'!$P$57)</f>
        <v>165786955546.79</v>
      </c>
      <c r="P14" s="2">
        <f>'分行业工业增加值（2012年美元）'!O24*'2020年全国投入产出表'!$P$57/('2020年全国投入产出表'!$N$57+'2020年全国投入产出表'!$O$57+'2020年全国投入产出表'!$P$57)</f>
        <v>167032675796.374</v>
      </c>
      <c r="Q14" s="2">
        <f>'分行业工业增加值（2012年美元）'!P24*'2020年全国投入产出表'!$P$57/('2020年全国投入产出表'!$N$57+'2020年全国投入产出表'!$O$57+'2020年全国投入产出表'!$P$57)</f>
        <v>168160475526.147</v>
      </c>
      <c r="R14" s="2">
        <f>'分行业工业增加值（2012年美元）'!Q24*'2020年全国投入产出表'!$P$57/('2020年全国投入产出表'!$N$57+'2020年全国投入产出表'!$O$57+'2020年全国投入产出表'!$P$57)</f>
        <v>169182291834.339</v>
      </c>
      <c r="S14" s="2">
        <f>'分行业工业增加值（2012年美元）'!R24*'2020年全国投入产出表'!$P$57/('2020年全国投入产出表'!$N$57+'2020年全国投入产出表'!$O$57+'2020年全国投入产出表'!$P$57)</f>
        <v>170108832864.594</v>
      </c>
      <c r="T14" s="2">
        <f>'分行业工业增加值（2012年美元）'!S24*'2020年全国投入产出表'!$P$57/('2020年全国投入产出表'!$N$57+'2020年全国投入产出表'!$O$57+'2020年全国投入产出表'!$P$57)</f>
        <v>170949683089.068</v>
      </c>
      <c r="U14" s="2">
        <f>'分行业工业增加值（2012年美元）'!T24*'2020年全国投入产出表'!$P$57/('2020年全国投入产出表'!$N$57+'2020年全国投入产出表'!$O$57+'2020年全国投入产出表'!$P$57)</f>
        <v>171713408467.503</v>
      </c>
      <c r="V14" s="2">
        <f>'分行业工业增加值（2012年美元）'!U24*'2020年全国投入产出表'!$P$57/('2020年全国投入产出表'!$N$57+'2020年全国投入产出表'!$O$57+'2020年全国投入产出表'!$P$57)</f>
        <v>172407657823.706</v>
      </c>
      <c r="W14" s="2">
        <f>'分行业工业增加值（2012年美元）'!V24*'2020年全国投入产出表'!$P$57/('2020年全国投入产出表'!$N$57+'2020年全国投入产出表'!$O$57+'2020年全国投入产出表'!$P$57)</f>
        <v>173039258229.555</v>
      </c>
      <c r="X14" s="2">
        <f>'分行业工业增加值（2012年美元）'!W24*'2020年全国投入产出表'!$P$57/('2020年全国投入产出表'!$N$57+'2020年全国投入产出表'!$O$57+'2020年全国投入产出表'!$P$57)</f>
        <v>173614303203.957</v>
      </c>
      <c r="Y14" s="2">
        <f>'分行业工业增加值（2012年美元）'!X24*'2020年全国投入产出表'!$P$57/('2020年全国投入产出表'!$N$57+'2020年全国投入产出表'!$O$57+'2020年全国投入产出表'!$P$57)</f>
        <v>174138233231.201</v>
      </c>
      <c r="Z14" s="2">
        <f>'分行业工业增加值（2012年美元）'!Y24*'2020年全国投入产出表'!$P$57/('2020年全国投入产出表'!$N$57+'2020年全国投入产出表'!$O$57+'2020年全国投入产出表'!$P$57)</f>
        <v>174615908566.249</v>
      </c>
      <c r="AA14" s="2">
        <f>'分行业工业增加值（2012年美元）'!Z24*'2020年全国投入产出表'!$P$57/('2020年全国投入产出表'!$N$57+'2020年全国投入产出表'!$O$57+'2020年全国投入产出表'!$P$57)</f>
        <v>175051674589.735</v>
      </c>
      <c r="AB14" s="2">
        <f>'分行业工业增加值（2012年美元）'!AA24*'2020年全国投入产出表'!$P$57/('2020年全国投入产出表'!$N$57+'2020年全国投入产出表'!$O$57+'2020年全国投入产出表'!$P$57)</f>
        <v>175449420152.45</v>
      </c>
      <c r="AC14" s="2">
        <f>'分行业工业增加值（2012年美元）'!AB24*'2020年全国投入产出表'!$P$57/('2020年全国投入产出表'!$N$57+'2020年全国投入产出表'!$O$57+'2020年全国投入产出表'!$P$57)</f>
        <v>175812629444.068</v>
      </c>
      <c r="AD14" s="2">
        <f>'分行业工业增加值（2012年美元）'!AC24*'2020年全国投入产出表'!$P$57/('2020年全国投入产出表'!$N$57+'2020年全国投入产出表'!$O$57+'2020年全国投入产出表'!$P$57)</f>
        <v>176144427960.468</v>
      </c>
      <c r="AE14" s="2">
        <f>'分行业工业增加值（2012年美元）'!AD24*'2020年全国投入产出表'!$P$57/('2020年全国投入产出表'!$N$57+'2020年全国投入产出表'!$O$57+'2020年全国投入产出表'!$P$57)</f>
        <v>176447623147.253</v>
      </c>
      <c r="AF14" s="2">
        <f>'分行业工业增加值（2012年美元）'!AE24*'2020年全国投入产出表'!$P$57/('2020年全国投入产出表'!$N$57+'2020年全国投入产出表'!$O$57+'2020年全国投入产出表'!$P$57)</f>
        <v>176724740277.133</v>
      </c>
      <c r="AG14" s="2">
        <f>'分行业工业增加值（2012年美元）'!AF24*'2020年全国投入产出表'!$P$57/('2020年全国投入产出表'!$N$57+'2020年全国投入产出表'!$O$57+'2020年全国投入产出表'!$P$57)</f>
        <v>176978054085.411</v>
      </c>
      <c r="AH14" s="2">
        <f>'分行业工业增加值（2012年美元）'!AG24*'2020年全国投入产出表'!$P$57/('2020年全国投入产出表'!$N$57+'2020年全国投入产出表'!$O$57+'2020年全国投入产出表'!$P$57)</f>
        <v>177209616646.995</v>
      </c>
      <c r="AI14" s="2">
        <f>'分行业工业增加值（2012年美元）'!AH24*'2020年全国投入产出表'!$P$57/('2020年全国投入产出表'!$N$57+'2020年全国投入产出表'!$O$57+'2020年全国投入产出表'!$P$57)</f>
        <v>177421281934.643</v>
      </c>
      <c r="AJ14" s="2">
        <f>'分行业工业增加值（2012年美元）'!AI24*'2020年全国投入产出表'!$P$57/('2020年全国投入产出表'!$N$57+'2020年全国投入产出表'!$O$57+'2020年全国投入产出表'!$P$57)</f>
        <v>177614727454.29</v>
      </c>
      <c r="AK14" s="2">
        <f>'分行业工业增加值（2012年美元）'!AJ24*'2020年全国投入产出表'!$P$57/('2020年全国投入产出表'!$N$57+'2020年全国投入产出表'!$O$57+'2020年全国投入产出表'!$P$57)</f>
        <v>177791473310.909</v>
      </c>
      <c r="AL14" s="2">
        <f>'分行业工业增加值（2012年美元）'!AK24*'2020年全国投入产出表'!$P$57/('2020年全国投入产出表'!$N$57+'2020年全国投入产出表'!$O$57+'2020年全国投入产出表'!$P$57)</f>
        <v>177952899018.789</v>
      </c>
      <c r="AM14" s="2">
        <f>'分行业工业增加值（2012年美元）'!AL24*'2020年全国投入产出表'!$P$57/('2020年全国投入产出表'!$N$57+'2020年全国投入产出表'!$O$57+'2020年全国投入产出表'!$P$57)</f>
        <v>178100258333.501</v>
      </c>
      <c r="AN14" s="2">
        <f>'分行业工业增加值（2012年美元）'!AM24*'2020年全国投入产出表'!$P$57/('2020年全国投入产出表'!$N$57+'2020年全国投入产出表'!$O$57+'2020年全国投入产出表'!$P$57)</f>
        <v>178234692349.688</v>
      </c>
      <c r="AO14" s="2">
        <f>'分行业工业增加值（2012年美元）'!AN24*'2020年全国投入产出表'!$P$57/('2020年全国投入产出表'!$N$57+'2020年全国投入产出表'!$O$57+'2020年全国投入产出表'!$P$57)</f>
        <v>178357241079.069</v>
      </c>
      <c r="AP14" s="2">
        <f>'分行业工业增加值（2012年美元）'!AO24*'2020年全国投入产出表'!$P$57/('2020年全国投入产出表'!$N$57+'2020年全国投入产出表'!$O$57+'2020年全国投入产出表'!$P$57)</f>
        <v>178468853696.451</v>
      </c>
      <c r="AQ14" s="2">
        <f>'分行业工业增加值（2012年美元）'!AP24*'2020年全国投入产出表'!$P$57/('2020年全国投入产出表'!$N$57+'2020年全国投入产出表'!$O$57+'2020年全国投入产出表'!$P$57)</f>
        <v>178570397618.064</v>
      </c>
      <c r="AR14" s="2">
        <f>'分行业工业增加值（2012年美元）'!AQ24*'2020年全国投入产出表'!$P$57/('2020年全国投入产出表'!$N$57+'2020年全国投入产出表'!$O$57+'2020年全国投入产出表'!$P$57)</f>
        <v>178662666555.787</v>
      </c>
    </row>
    <row r="15" ht="22.5" spans="1:44">
      <c r="A15" s="3" t="s">
        <v>22</v>
      </c>
      <c r="B15" s="2" t="s">
        <v>114</v>
      </c>
      <c r="C15" s="2">
        <v>250966725724.935</v>
      </c>
      <c r="D15">
        <v>238422820986.671</v>
      </c>
      <c r="E15">
        <v>281664320427.435</v>
      </c>
      <c r="F15">
        <v>291050989209.646</v>
      </c>
      <c r="G15">
        <v>299762056776.829</v>
      </c>
      <c r="H15">
        <v>307830819395.358</v>
      </c>
      <c r="I15">
        <v>315295173618.682</v>
      </c>
      <c r="J15">
        <v>322195333703.492</v>
      </c>
      <c r="K15">
        <v>328572111556.937</v>
      </c>
      <c r="L15">
        <v>334465677290.353</v>
      </c>
      <c r="M15">
        <v>339914710439.43</v>
      </c>
      <c r="N15">
        <v>344955856509.027</v>
      </c>
      <c r="O15">
        <v>349623414216.038</v>
      </c>
      <c r="P15">
        <v>353949191584.142</v>
      </c>
      <c r="Q15">
        <v>357962481597.442</v>
      </c>
      <c r="R15">
        <v>361690119314.302</v>
      </c>
      <c r="S15">
        <v>365156591752.184</v>
      </c>
      <c r="T15">
        <v>368384179449.961</v>
      </c>
      <c r="U15">
        <v>371393114563.523</v>
      </c>
      <c r="V15">
        <v>374201744900.355</v>
      </c>
      <c r="W15">
        <v>376826696708.484</v>
      </c>
      <c r="X15">
        <v>379283031543.96</v>
      </c>
      <c r="Y15">
        <v>381584394354.033</v>
      </c>
      <c r="Z15">
        <v>383743151199.41</v>
      </c>
      <c r="AA15">
        <v>385770515931.54</v>
      </c>
      <c r="AB15">
        <v>387676665744.654</v>
      </c>
      <c r="AC15">
        <v>389470845916.222</v>
      </c>
      <c r="AD15">
        <v>391161464293.667</v>
      </c>
      <c r="AE15">
        <v>392756176223.536</v>
      </c>
      <c r="AF15">
        <v>394261960685.093</v>
      </c>
      <c r="AG15">
        <v>395685188406.52</v>
      </c>
      <c r="AH15">
        <v>397031682726.043</v>
      </c>
      <c r="AI15">
        <v>398306773924.319</v>
      </c>
      <c r="AJ15">
        <v>399515347706.675</v>
      </c>
      <c r="AK15">
        <v>400661888460.318</v>
      </c>
      <c r="AL15">
        <v>401750517856.267</v>
      </c>
      <c r="AM15">
        <v>402785029311.141</v>
      </c>
      <c r="AN15">
        <v>403768918771.577</v>
      </c>
      <c r="AO15">
        <v>404705412235.155</v>
      </c>
      <c r="AP15">
        <v>405597490376.464</v>
      </c>
      <c r="AQ15">
        <v>406447910605.792</v>
      </c>
      <c r="AR15">
        <v>407259226850.679</v>
      </c>
    </row>
    <row r="16" spans="1:44">
      <c r="A16" s="3" t="s">
        <v>26</v>
      </c>
      <c r="B16" s="2" t="s">
        <v>119</v>
      </c>
      <c r="C16" s="2">
        <v>145714885836.788</v>
      </c>
      <c r="D16">
        <v>164745108176.099</v>
      </c>
      <c r="E16">
        <v>173420790803.26</v>
      </c>
      <c r="F16">
        <v>177581864693.074</v>
      </c>
      <c r="G16">
        <v>181371486387.54</v>
      </c>
      <c r="H16">
        <v>184814564758.049</v>
      </c>
      <c r="I16">
        <v>187937407662.427</v>
      </c>
      <c r="J16">
        <v>190766531491.494</v>
      </c>
      <c r="K16">
        <v>193327817281.356</v>
      </c>
      <c r="L16">
        <v>195645948119.368</v>
      </c>
      <c r="M16">
        <v>197744064701.871</v>
      </c>
      <c r="N16">
        <v>199643583548.806</v>
      </c>
      <c r="O16">
        <v>201364132013.191</v>
      </c>
      <c r="P16">
        <v>202923563830.236</v>
      </c>
      <c r="Q16">
        <v>204338027531.884</v>
      </c>
      <c r="R16">
        <v>205622067229.256</v>
      </c>
      <c r="S16">
        <v>206788741004.045</v>
      </c>
      <c r="T16">
        <v>207849746587.715</v>
      </c>
      <c r="U16">
        <v>208815547348.613</v>
      </c>
      <c r="V16">
        <v>209695494064.812</v>
      </c>
      <c r="W16">
        <v>210497939729.533</v>
      </c>
      <c r="X16">
        <v>211230345881.735</v>
      </c>
      <c r="Y16">
        <v>211899379810.284</v>
      </c>
      <c r="Z16">
        <v>212511002551.095</v>
      </c>
      <c r="AA16">
        <v>213070547962.644</v>
      </c>
      <c r="AB16">
        <v>213582793386.43</v>
      </c>
      <c r="AC16">
        <v>214052022519.693</v>
      </c>
      <c r="AD16">
        <v>214482081180.169</v>
      </c>
      <c r="AE16">
        <v>214876426650.156</v>
      </c>
      <c r="AF16">
        <v>215238171265.945</v>
      </c>
      <c r="AG16">
        <v>215570120880.398</v>
      </c>
      <c r="AH16">
        <v>215874808778.829</v>
      </c>
      <c r="AI16">
        <v>216154525576.775</v>
      </c>
      <c r="AJ16">
        <v>216411345576.137</v>
      </c>
      <c r="AK16">
        <v>216647150005.796</v>
      </c>
      <c r="AL16">
        <v>216863647525.337</v>
      </c>
      <c r="AM16">
        <v>217062392326.813</v>
      </c>
      <c r="AN16">
        <v>217244800129.634</v>
      </c>
      <c r="AO16">
        <v>217412162327.927</v>
      </c>
      <c r="AP16">
        <v>217565658517.726</v>
      </c>
      <c r="AQ16">
        <v>217706367603.038</v>
      </c>
      <c r="AR16">
        <v>217835277654.82</v>
      </c>
    </row>
    <row r="17" ht="33.75" spans="1:44">
      <c r="A17" s="3" t="s">
        <v>74</v>
      </c>
      <c r="B17" s="2" t="s">
        <v>115</v>
      </c>
      <c r="C17" s="2">
        <f>'分行业工业增加值（2012年美元）'!B26*'2020年全国投入产出表'!$R$57/('2020年全国投入产出表'!$R$57+'2020年全国投入产出表'!$S$57)</f>
        <v>207614704722.039</v>
      </c>
      <c r="D17" s="2">
        <f>'分行业工业增加值（2012年美元）'!C26*'2020年全国投入产出表'!$R$57/('2020年全国投入产出表'!$R$57+'2020年全国投入产出表'!$S$57)</f>
        <v>205760272808.016</v>
      </c>
      <c r="E17" s="2">
        <f>'分行业工业增加值（2012年美元）'!D26*'2020年全国投入产出表'!$R$57/('2020年全国投入产出表'!$R$57+'2020年全国投入产出表'!$S$57)</f>
        <v>232066869903.313</v>
      </c>
      <c r="F17" s="2">
        <f>'分行业工业增加值（2012年美元）'!E26*'2020年全国投入产出表'!$R$57/('2020年全国投入产出表'!$R$57+'2020年全国投入产出表'!$S$57)</f>
        <v>237651766152.297</v>
      </c>
      <c r="G17" s="2">
        <f>'分行业工业增加值（2012年美元）'!F26*'2020年全国投入产出表'!$R$57/('2020年全国投入产出表'!$R$57+'2020年全国投入产出表'!$S$57)</f>
        <v>242739137060.757</v>
      </c>
      <c r="H17" s="2">
        <f>'分行业工业增加值（2012年美元）'!G26*'2020年全国投入产出表'!$R$57/('2020年全国投入产出表'!$R$57+'2020年全国投入产出表'!$S$57)</f>
        <v>247362269594.929</v>
      </c>
      <c r="I17" s="2">
        <f>'分行业工业增加值（2012年美元）'!H26*'2020年全国投入产出表'!$R$57/('2020年全国投入产出表'!$R$57+'2020年全国投入产出表'!$S$57)</f>
        <v>251556337565.085</v>
      </c>
      <c r="J17" s="2">
        <f>'分行业工业增加值（2012年美元）'!I26*'2020年全国投入产出表'!$R$57/('2020年全国投入产出表'!$R$57+'2020年全国投入产出表'!$S$57)</f>
        <v>255356806380.811</v>
      </c>
      <c r="K17" s="2">
        <f>'分行业工业增加值（2012年美元）'!J26*'2020年全国投入产出表'!$R$57/('2020年全国投入产出表'!$R$57+'2020年全国投入产出表'!$S$57)</f>
        <v>258798301568.664</v>
      </c>
      <c r="L17" s="2">
        <f>'分行业工业增加值（2012年美元）'!K26*'2020年全国投入产出表'!$R$57/('2020年全国投入产出表'!$R$57+'2020年全国投入产出表'!$S$57)</f>
        <v>261913853859.682</v>
      </c>
      <c r="M17" s="2">
        <f>'分行业工业增加值（2012年美元）'!L26*'2020年全国投入产出表'!$R$57/('2020年全国投入产出表'!$R$57+'2020年全国投入产出表'!$S$57)</f>
        <v>264734436431.982</v>
      </c>
      <c r="N17" s="2">
        <f>'分行业工业增加值（2012年美元）'!M26*'2020年全国投入产出表'!$R$57/('2020年全国投入产出表'!$R$57+'2020年全国投入产出表'!$S$57)</f>
        <v>267288720077.069</v>
      </c>
      <c r="O17" s="2">
        <f>'分行业工业增加值（2012年美元）'!N26*'2020年全国投入产出表'!$R$57/('2020年全国投入产出表'!$R$57+'2020年全国投入产出表'!$S$57)</f>
        <v>269602984917.757</v>
      </c>
      <c r="P17" s="2">
        <f>'分行业工业增加值（2012年美元）'!O26*'2020年全国投入产出表'!$R$57/('2020年全国投入产出表'!$R$57+'2020年全国投入产出表'!$S$57)</f>
        <v>271701140143.132</v>
      </c>
      <c r="Q17" s="2">
        <f>'分行业工业增加值（2012年美元）'!P26*'2020年全国投入产出表'!$R$57/('2020年全国投入产出表'!$R$57+'2020年全国投入产出表'!$S$57)</f>
        <v>273604814700.19</v>
      </c>
      <c r="R17" s="2">
        <f>'分行业工业增加值（2012年美元）'!Q26*'2020年全国投入产出表'!$R$57/('2020年全国投入产出表'!$R$57+'2020年全国投入产出表'!$S$57)</f>
        <v>275333491482.483</v>
      </c>
      <c r="S17" s="2">
        <f>'分行业工业增加值（2012年美元）'!R26*'2020年全国投入产出表'!$R$57/('2020年全国投入产出表'!$R$57+'2020年全国投入产出表'!$S$57)</f>
        <v>276904665235.747</v>
      </c>
      <c r="T17" s="2">
        <f>'分行业工业增加值（2012年美元）'!S26*'2020年全国投入产出表'!$R$57/('2020年全国投入产出表'!$R$57+'2020年全国投入产出表'!$S$57)</f>
        <v>278334010341.69</v>
      </c>
      <c r="U17" s="2">
        <f>'分行业工业增加值（2012年美元）'!T26*'2020年全国投入产出表'!$R$57/('2020年全国投入产出表'!$R$57+'2020年全国投入产出表'!$S$57)</f>
        <v>279635549115.475</v>
      </c>
      <c r="V17" s="2">
        <f>'分行业工业增加值（2012年美元）'!U26*'2020年全国投入产出表'!$R$57/('2020年全国投入产出表'!$R$57+'2020年全国投入产出表'!$S$57)</f>
        <v>280821814544.803</v>
      </c>
      <c r="W17" s="2">
        <f>'分行业工业增加值（2012年美元）'!V26*'2020年全国投入产出表'!$R$57/('2020年全国投入产出表'!$R$57+'2020年全国投入产出表'!$S$57)</f>
        <v>281904003769.247</v>
      </c>
      <c r="X17" s="2">
        <f>'分行业工业增加值（2012年美元）'!W26*'2020年全国投入产出表'!$R$57/('2020年全国投入产出表'!$R$57+'2020年全国投入产出表'!$S$57)</f>
        <v>282892120268.513</v>
      </c>
      <c r="Y17" s="2">
        <f>'分行业工业增加值（2012年美元）'!X26*'2020年全国投入产出表'!$R$57/('2020年全国投入产出表'!$R$57+'2020年全国投入产出表'!$S$57)</f>
        <v>283795103876.273</v>
      </c>
      <c r="Z17" s="2">
        <f>'分行业工业增加值（2012年美元）'!Y26*'2020年全国投入产出表'!$R$57/('2020年全国投入产出表'!$R$57+'2020年全国投入产出表'!$S$57)</f>
        <v>284620948502.527</v>
      </c>
      <c r="AA17" s="2">
        <f>'分行业工业增加值（2012年美元）'!Z26*'2020年全国投入产出表'!$R$57/('2020年全国投入产出表'!$R$57+'2020年全国投入产出表'!$S$57)</f>
        <v>285376807939.125</v>
      </c>
      <c r="AB17" s="2">
        <f>'分行业工业增加值（2012年美元）'!AA26*'2020年全国投入产出表'!$R$57/('2020年全国投入产出表'!$R$57+'2020年全国投入产出表'!$S$57)</f>
        <v>286069090420.613</v>
      </c>
      <c r="AC17" s="2">
        <f>'分行业工业增加值（2012年美元）'!AB26*'2020年全国投入产出表'!$R$57/('2020年全国投入产出表'!$R$57+'2020年全国投入产出表'!$S$57)</f>
        <v>286703542775.406</v>
      </c>
      <c r="AD17" s="2">
        <f>'分行业工业增加值（2012年美元）'!AC26*'2020年全国投入产出表'!$R$57/('2020年全国投入产出表'!$R$57+'2020年全国投入产出表'!$S$57)</f>
        <v>287285325073.443</v>
      </c>
      <c r="AE17" s="2">
        <f>'分行业工业增加值（2012年美元）'!AD26*'2020年全国投入产出表'!$R$57/('2020年全国投入产出表'!$R$57+'2020年全国投入产出表'!$S$57)</f>
        <v>287819076687.383</v>
      </c>
      <c r="AF17" s="2">
        <f>'分行业工业增加值（2012年美元）'!AE26*'2020年全国投入产出表'!$R$57/('2020年全国投入产出表'!$R$57+'2020年全国投入产出表'!$S$57)</f>
        <v>288308974656.607</v>
      </c>
      <c r="AG17" s="2">
        <f>'分行业工业增加值（2012年美元）'!AF26*'2020年全国投入产出表'!$R$57/('2020年全国投入产出表'!$R$57+'2020年全国投入产出表'!$S$57)</f>
        <v>288758785192.563</v>
      </c>
      <c r="AH17" s="2">
        <f>'分行业工业增加值（2012年美元）'!AG26*'2020年全国投入产出表'!$R$57/('2020年全国投入产出表'!$R$57+'2020年全国投入产出表'!$S$57)</f>
        <v>289171909100.671</v>
      </c>
      <c r="AI17" s="2">
        <f>'分行业工业增加值（2012年美元）'!AH26*'2020年全国投入产出表'!$R$57/('2020年全国投入产出表'!$R$57+'2020年全国投入产出表'!$S$57)</f>
        <v>289551421825.29</v>
      </c>
      <c r="AJ17" s="2">
        <f>'分行业工业增加值（2012年美元）'!AI26*'2020年全国投入产出表'!$R$57/('2020年全国投入产出表'!$R$57+'2020年全国投入产出表'!$S$57)</f>
        <v>289900108754.749</v>
      </c>
      <c r="AK17" s="2">
        <f>'分行业工业增加值（2012年美元）'!AJ26*'2020年全国投入产出表'!$R$57/('2020年全国投入产出表'!$R$57+'2020年全国投入产出表'!$S$57)</f>
        <v>290220496356.229</v>
      </c>
      <c r="AL17" s="2">
        <f>'分行业工业增加值（2012年美元）'!AK26*'2020年全国投入产出表'!$R$57/('2020年全国投入产出表'!$R$57+'2020年全国投入产出表'!$S$57)</f>
        <v>290514879646.884</v>
      </c>
      <c r="AM17" s="2">
        <f>'分行业工业增加值（2012年美元）'!AL26*'2020年全国投入产出表'!$R$57/('2020年全国投入产出表'!$R$57+'2020年全国投入产出表'!$S$57)</f>
        <v>290785346449.191</v>
      </c>
      <c r="AN17" s="2">
        <f>'分行业工业增加值（2012年美元）'!AM26*'2020年全国投入产出表'!$R$57/('2020年全国投入产出表'!$R$57+'2020年全国投入产出表'!$S$57)</f>
        <v>291033798825.351</v>
      </c>
      <c r="AO17" s="2">
        <f>'分行业工业增加值（2012年美元）'!AN26*'2020年全国投入产出表'!$R$57/('2020年全国投入产出表'!$R$57+'2020年全国投入产出表'!$S$57)</f>
        <v>291261972037.678</v>
      </c>
      <c r="AP17" s="2">
        <f>'分行业工业增加值（2012年美元）'!AO26*'2020年全国投入产出表'!$R$57/('2020年全国投入产出表'!$R$57+'2020年全国投入产出表'!$S$57)</f>
        <v>291471451339.281</v>
      </c>
      <c r="AQ17" s="2">
        <f>'分行业工业增加值（2012年美元）'!AP26*'2020年全国投入产出表'!$R$57/('2020年全国投入产出表'!$R$57+'2020年全国投入产出表'!$S$57)</f>
        <v>291663686861.372</v>
      </c>
      <c r="AR17" s="2">
        <f>'分行业工业增加值（2012年美元）'!AQ26*'2020年全国投入产出表'!$R$57/('2020年全国投入产出表'!$R$57+'2020年全国投入产出表'!$S$57)</f>
        <v>291840006830.182</v>
      </c>
    </row>
    <row r="18" ht="33.75" spans="1:44">
      <c r="A18" s="3" t="s">
        <v>75</v>
      </c>
      <c r="B18" s="2" t="s">
        <v>116</v>
      </c>
      <c r="C18" s="2">
        <f>'分行业工业增加值（2012年美元）'!B26*'2020年全国投入产出表'!$S$57/('2020年全国投入产出表'!$R$57+'2020年全国投入产出表'!$S$57)</f>
        <v>158841581692.725</v>
      </c>
      <c r="D18" s="2">
        <f>'分行业工业增加值（2012年美元）'!C26*'2020年全国投入产出表'!$S$57/('2020年全国投入产出表'!$R$57+'2020年全国投入产出表'!$S$57)</f>
        <v>157422795394.523</v>
      </c>
      <c r="E18" s="2">
        <f>'分行业工业增加值（2012年美元）'!D26*'2020年全国投入产出表'!$S$57/('2020年全国投入产出表'!$R$57+'2020年全国投入产出表'!$S$57)</f>
        <v>177549411653.062</v>
      </c>
      <c r="F18" s="2">
        <f>'分行业工业增加值（2012年美元）'!E26*'2020年全国投入产出表'!$S$57/('2020年全国投入产出表'!$R$57+'2020年全国投入产出表'!$S$57)</f>
        <v>181822296634.72</v>
      </c>
      <c r="G18" s="2">
        <f>'分行业工业增加值（2012年美元）'!F26*'2020年全国投入产出表'!$S$57/('2020年全国投入产出表'!$R$57+'2020年全国投入产出表'!$S$57)</f>
        <v>185714535591.683</v>
      </c>
      <c r="H18" s="2">
        <f>'分行业工业增加值（2012年美元）'!G26*'2020年全国投入产出表'!$S$57/('2020年全国投入产出表'!$R$57+'2020年全国投入产出表'!$S$57)</f>
        <v>189251595671.73</v>
      </c>
      <c r="I18" s="2">
        <f>'分行业工业增加值（2012年美元）'!H26*'2020年全国投入产出表'!$S$57/('2020年全国投入产出表'!$R$57+'2020年全国投入产出表'!$S$57)</f>
        <v>192460387606.763</v>
      </c>
      <c r="J18" s="2">
        <f>'分行业工业增加值（2012年美元）'!I26*'2020年全国投入产出表'!$S$57/('2020年全国投入产出表'!$R$57+'2020年全国投入产出表'!$S$57)</f>
        <v>195368045225.1</v>
      </c>
      <c r="K18" s="2">
        <f>'分行业工业增加值（2012年美元）'!J26*'2020年全国投入产出表'!$S$57/('2020年全国投入产出表'!$R$57+'2020年全国投入产出表'!$S$57)</f>
        <v>198001059778.468</v>
      </c>
      <c r="L18" s="2">
        <f>'分行业工业增加值（2012年美元）'!K26*'2020年全国投入产出表'!$S$57/('2020年全国投入产出表'!$R$57+'2020年全国投入产出表'!$S$57)</f>
        <v>200384702374.566</v>
      </c>
      <c r="M18" s="2">
        <f>'分行业工业增加值（2012年美元）'!L26*'2020年全国投入产出表'!$S$57/('2020年全国投入产出表'!$R$57+'2020年全国投入产出表'!$S$57)</f>
        <v>202542669931.242</v>
      </c>
      <c r="N18" s="2">
        <f>'分行业工业增加值（2012年美元）'!M26*'2020年全国投入产出表'!$S$57/('2020年全国投入产出表'!$R$57+'2020年全国投入产出表'!$S$57)</f>
        <v>204496897859.464</v>
      </c>
      <c r="O18" s="2">
        <f>'分行业工业增加值（2012年美元）'!N26*'2020年全国投入产出表'!$S$57/('2020年全国投入产出表'!$R$57+'2020年全国投入产出表'!$S$57)</f>
        <v>206267492520.584</v>
      </c>
      <c r="P18" s="2">
        <f>'分行业工业增加值（2012年美元）'!O26*'2020年全国投入产出表'!$S$57/('2020年全国投入产出表'!$R$57+'2020年全国投入产出表'!$S$57)</f>
        <v>207872746325.133</v>
      </c>
      <c r="Q18" s="2">
        <f>'分行业工业增加值（2012年美元）'!P26*'2020年全国投入产出表'!$S$57/('2020年全国投入产出表'!$R$57+'2020年全国投入产出表'!$S$57)</f>
        <v>209329207119.065</v>
      </c>
      <c r="R18" s="2">
        <f>'分行业工业增加值（2012年美元）'!Q26*'2020年全国投入产出表'!$S$57/('2020年全国投入产出表'!$R$57+'2020年全国投入产出表'!$S$57)</f>
        <v>210651780848.621</v>
      </c>
      <c r="S18" s="2">
        <f>'分行业工业增加值（2012年美元）'!R26*'2020年全国投入产出表'!$S$57/('2020年全国投入产出表'!$R$57+'2020年全国投入产出表'!$S$57)</f>
        <v>211853852370.562</v>
      </c>
      <c r="T18" s="2">
        <f>'分行业工业增加值（2012年美元）'!S26*'2020年全国投入产出表'!$S$57/('2020年全国投入产出表'!$R$57+'2020年全国投入产出表'!$S$57)</f>
        <v>212947413819.962</v>
      </c>
      <c r="U18" s="2">
        <f>'分行业工业增加值（2012年美元）'!T26*'2020年全国投入产出表'!$S$57/('2020年全国投入产出表'!$R$57+'2020年全国投入产出表'!$S$57)</f>
        <v>213943193371.027</v>
      </c>
      <c r="V18" s="2">
        <f>'分行业工业增加值（2012年美元）'!U26*'2020年全国投入产出表'!$S$57/('2020年全国投入产出表'!$R$57+'2020年全国投入产出表'!$S$57)</f>
        <v>214850779745.287</v>
      </c>
      <c r="W18" s="2">
        <f>'分行业工业增加值（2012年美元）'!V26*'2020年全国投入产出表'!$S$57/('2020年全国投入产出表'!$R$57+'2020年全国投入产出表'!$S$57)</f>
        <v>215678739635.371</v>
      </c>
      <c r="X18" s="2">
        <f>'分行业工业增加值（2012年美元）'!W26*'2020年全国投入产出表'!$S$57/('2020年全国投入产出表'!$R$57+'2020年全国投入产出表'!$S$57)</f>
        <v>216434726490.205</v>
      </c>
      <c r="Y18" s="2">
        <f>'分行业工业增加值（2012年美元）'!X26*'2020年全国投入产出表'!$S$57/('2020年全国投入产出表'!$R$57+'2020年全国投入产出表'!$S$57)</f>
        <v>217125579985.824</v>
      </c>
      <c r="Z18" s="2">
        <f>'分行业工业增加值（2012年美元）'!Y26*'2020年全国投入产出表'!$S$57/('2020年全国投入产出表'!$R$57+'2020年全国投入产出表'!$S$57)</f>
        <v>217757416092.242</v>
      </c>
      <c r="AA18" s="2">
        <f>'分行业工业增加值（2012年美元）'!Z26*'2020年全国投入产出表'!$S$57/('2020年全国投入产出表'!$R$57+'2020年全国投入产出表'!$S$57)</f>
        <v>218335708022.996</v>
      </c>
      <c r="AB18" s="2">
        <f>'分行业工业增加值（2012年美元）'!AA26*'2020年全国投入产出表'!$S$57/('2020年全国投入产出表'!$R$57+'2020年全国投入产出表'!$S$57)</f>
        <v>218865358581.636</v>
      </c>
      <c r="AC18" s="2">
        <f>'分行业工业增加值（2012年美元）'!AB26*'2020年全国投入产出表'!$S$57/('2020年全国投入产出表'!$R$57+'2020年全国投入产出表'!$S$57)</f>
        <v>219350764543.987</v>
      </c>
      <c r="AD18" s="2">
        <f>'分行业工业增加值（2012年美元）'!AC26*'2020年全国投入产出表'!$S$57/('2020年全国投入产出表'!$R$57+'2020年全国投入产出表'!$S$57)</f>
        <v>219795873769.486</v>
      </c>
      <c r="AE18" s="2">
        <f>'分行业工业增加值（2012年美元）'!AD26*'2020年全国投入产出表'!$S$57/('2020年全国投入产出表'!$R$57+'2020年全国投入产出表'!$S$57)</f>
        <v>220204235743.186</v>
      </c>
      <c r="AF18" s="2">
        <f>'分行业工业增加值（2012年美元）'!AE26*'2020年全国投入产出表'!$S$57/('2020年全国投入产出表'!$R$57+'2020年全国投入产出表'!$S$57)</f>
        <v>220579046228.81</v>
      </c>
      <c r="AG18" s="2">
        <f>'分行业工业增加值（2012年美元）'!AF26*'2020年全国投入产出表'!$S$57/('2020年全国投入产出表'!$R$57+'2020年全国投入产出表'!$S$57)</f>
        <v>220923186674.396</v>
      </c>
      <c r="AH18" s="2">
        <f>'分行业工业增加值（2012年美元）'!AG26*'2020年全国投入产出表'!$S$57/('2020年全国投入产出表'!$R$57+'2020年全国投入产出表'!$S$57)</f>
        <v>221239258963.624</v>
      </c>
      <c r="AI18" s="2">
        <f>'分行业工业增加值（2012年美元）'!AH26*'2020年全国投入产出表'!$S$57/('2020年全国投入产出表'!$R$57+'2020年全国投入产出表'!$S$57)</f>
        <v>221529616053.367</v>
      </c>
      <c r="AJ18" s="2">
        <f>'分行业工业增加值（2012年美元）'!AI26*'2020年全国投入产出表'!$S$57/('2020年全国投入产出表'!$R$57+'2020年全国投入产出表'!$S$57)</f>
        <v>221796388984.817</v>
      </c>
      <c r="AK18" s="2">
        <f>'分行业工业增加值（2012年美元）'!AJ26*'2020年全国投入产出表'!$S$57/('2020年全国投入产出表'!$R$57+'2020年全国投入产出表'!$S$57)</f>
        <v>222041510704.119</v>
      </c>
      <c r="AL18" s="2">
        <f>'分行业工业增加值（2012年美元）'!AK26*'2020年全国投入产出表'!$S$57/('2020年全国投入产出表'!$R$57+'2020年全国投入产出表'!$S$57)</f>
        <v>222266737079.94</v>
      </c>
      <c r="AM18" s="2">
        <f>'分行业工业增加值（2012年美元）'!AL26*'2020年全国投入产出表'!$S$57/('2020年全国投入产出表'!$R$57+'2020年全国投入产出表'!$S$57)</f>
        <v>222473665460.718</v>
      </c>
      <c r="AN18" s="2">
        <f>'分行业工业增加值（2012年美元）'!AM26*'2020年全国投入产出表'!$S$57/('2020年全国投入产出表'!$R$57+'2020年全国投入产出表'!$S$57)</f>
        <v>222663751073.668</v>
      </c>
      <c r="AO18" s="2">
        <f>'分行业工业增加值（2012年美元）'!AN26*'2020年全国投入产出表'!$S$57/('2020年全国投入产出表'!$R$57+'2020年全国投入产出表'!$S$57)</f>
        <v>222838321530.97</v>
      </c>
      <c r="AP18" s="2">
        <f>'分行业工业增加值（2012年美元）'!AO26*'2020年全国投入产出表'!$S$57/('2020年全国投入产出表'!$R$57+'2020年全国投入产出表'!$S$57)</f>
        <v>222998589675.96</v>
      </c>
      <c r="AQ18" s="2">
        <f>'分行业工业增加值（2012年美元）'!AP26*'2020年全国投入产出表'!$S$57/('2020年全国投入产出表'!$R$57+'2020年全国投入产出表'!$S$57)</f>
        <v>223145664973.095</v>
      </c>
      <c r="AR18" s="2">
        <f>'分行业工业增加值（2012年美元）'!AQ26*'2020年全国投入产出表'!$S$57/('2020年全国投入产出表'!$R$57+'2020年全国投入产出表'!$S$57)</f>
        <v>223280563619.928</v>
      </c>
    </row>
    <row r="19" spans="1:44">
      <c r="A19" s="3" t="s">
        <v>24</v>
      </c>
      <c r="B19" s="2" t="s">
        <v>117</v>
      </c>
      <c r="C19" s="2">
        <v>142205591450.752</v>
      </c>
      <c r="D19">
        <v>141610734598.802</v>
      </c>
      <c r="E19">
        <v>159204896362.081</v>
      </c>
      <c r="F19">
        <v>162396592026.209</v>
      </c>
      <c r="G19">
        <v>165264567226.968</v>
      </c>
      <c r="H19">
        <v>167833400446.91</v>
      </c>
      <c r="I19">
        <v>170128397974.89</v>
      </c>
      <c r="J19">
        <v>172174584483.044</v>
      </c>
      <c r="K19">
        <v>173996011843.867</v>
      </c>
      <c r="L19">
        <v>175615320508.01</v>
      </c>
      <c r="M19">
        <v>177053492461.827</v>
      </c>
      <c r="N19">
        <v>178329743673.653</v>
      </c>
      <c r="O19">
        <v>179461513959.544</v>
      </c>
      <c r="P19">
        <v>180464521693.039</v>
      </c>
      <c r="Q19">
        <v>181352858992.126</v>
      </c>
      <c r="R19">
        <v>182139109715.208</v>
      </c>
      <c r="S19">
        <v>182834477844.723</v>
      </c>
      <c r="T19">
        <v>183448917818.53</v>
      </c>
      <c r="U19">
        <v>183991261311.435</v>
      </c>
      <c r="V19">
        <v>184469337092.128</v>
      </c>
      <c r="W19">
        <v>184890082076.629</v>
      </c>
      <c r="X19">
        <v>185259642726.809</v>
      </c>
      <c r="Y19">
        <v>185583466627.192</v>
      </c>
      <c r="Z19">
        <v>185866384511.621</v>
      </c>
      <c r="AA19">
        <v>186112683276.07</v>
      </c>
      <c r="AB19">
        <v>186326170658.561</v>
      </c>
      <c r="AC19">
        <v>186510232330.588</v>
      </c>
      <c r="AD19">
        <v>186667882154.724</v>
      </c>
      <c r="AE19">
        <v>186801806339.706</v>
      </c>
      <c r="AF19">
        <v>186914402180.941</v>
      </c>
      <c r="AG19">
        <v>187007812020.446</v>
      </c>
      <c r="AH19">
        <v>187083953001.833</v>
      </c>
      <c r="AI19">
        <v>187144543137.2</v>
      </c>
      <c r="AJ19">
        <v>187191124146.135</v>
      </c>
      <c r="AK19">
        <v>187225081473.983</v>
      </c>
      <c r="AL19">
        <v>187247661847.813</v>
      </c>
      <c r="AM19">
        <v>187259988684.432</v>
      </c>
      <c r="AN19">
        <v>187263075625.302</v>
      </c>
      <c r="AO19">
        <v>187257838438.193</v>
      </c>
      <c r="AP19">
        <v>187245105494.432</v>
      </c>
      <c r="AQ19">
        <v>187225627003.512</v>
      </c>
      <c r="AR19">
        <v>187200083162.986</v>
      </c>
    </row>
    <row r="20" ht="45" spans="1:44">
      <c r="A20" s="3" t="s">
        <v>78</v>
      </c>
      <c r="B20" s="2" t="s">
        <v>123</v>
      </c>
      <c r="C20" s="2">
        <f>'分行业工业增加值（2012年美元）'!B32+'分行业工业增加值（2012年美元）'!B33</f>
        <v>424884824644.239</v>
      </c>
      <c r="D20" s="2">
        <f>'分行业工业增加值（2012年美元）'!C32+'分行业工业增加值（2012年美元）'!C33</f>
        <v>448346482926.73</v>
      </c>
      <c r="E20" s="2">
        <f>'分行业工业增加值（2012年美元）'!D32+'分行业工业增加值（2012年美元）'!D33</f>
        <v>525382532685.519</v>
      </c>
      <c r="F20" s="2">
        <f>'分行业工业增加值（2012年美元）'!E32+'分行业工业增加值（2012年美元）'!E33</f>
        <v>552709462827.305</v>
      </c>
      <c r="G20" s="2">
        <f>'分行业工业增加值（2012年美元）'!F32+'分行业工业增加值（2012年美元）'!F33</f>
        <v>578506133346.199</v>
      </c>
      <c r="H20" s="2">
        <f>'分行业工业增加值（2012年美元）'!G32+'分行业工业增加值（2012年美元）'!G33</f>
        <v>602807905742.855</v>
      </c>
      <c r="I20" s="2">
        <f>'分行业工业增加值（2012年美元）'!H32+'分行业工业增加值（2012年美元）'!H33</f>
        <v>625667418795.915</v>
      </c>
      <c r="J20" s="2">
        <f>'分行业工业增加值（2012年美元）'!I32+'分行业工业增加值（2012年美元）'!I33</f>
        <v>647149026909.237</v>
      </c>
      <c r="K20" s="2">
        <f>'分行业工业增加值（2012年美元）'!J32+'分行业工业增加值（2012年美元）'!J33</f>
        <v>667324286430.456</v>
      </c>
      <c r="L20" s="2">
        <f>'分行业工业增加值（2012年美元）'!K32+'分行业工业增加值（2012年美元）'!K33</f>
        <v>686268427108.85</v>
      </c>
      <c r="M20" s="2">
        <f>'分行业工业增加值（2012年美元）'!L32+'分行业工业增加值（2012年美元）'!L33</f>
        <v>704057688043.91</v>
      </c>
      <c r="N20" s="2">
        <f>'分行业工业增加值（2012年美元）'!M32+'分行业工业增加值（2012年美元）'!M33</f>
        <v>720767376835.371</v>
      </c>
      <c r="O20" s="2">
        <f>'分行业工业增加值（2012年美元）'!N32+'分行业工业增加值（2012年美元）'!N33</f>
        <v>736470512215.842</v>
      </c>
      <c r="P20" s="2">
        <f>'分行业工业增加值（2012年美元）'!O32+'分行业工业增加值（2012年美元）'!O33</f>
        <v>751236923743.108</v>
      </c>
      <c r="Q20" s="2">
        <f>'分行业工业增加值（2012年美元）'!P32+'分行业工业增加值（2012年美元）'!P33</f>
        <v>765132700374.505</v>
      </c>
      <c r="R20" s="2">
        <f>'分行业工业增加值（2012年美元）'!Q32+'分行业工业增加值（2012年美元）'!Q33</f>
        <v>778219898901.146</v>
      </c>
      <c r="S20" s="2">
        <f>'分行业工业增加值（2012年美元）'!R32+'分行业工业增加值（2012年美元）'!R33</f>
        <v>790556441104.805</v>
      </c>
      <c r="T20" s="2">
        <f>'分行业工业增加值（2012年美元）'!S32+'分行业工业增加值（2012年美元）'!S33</f>
        <v>802196144116.007</v>
      </c>
      <c r="U20" s="2">
        <f>'分行业工业增加值（2012年美元）'!T32+'分行业工业增加值（2012年美元）'!T33</f>
        <v>813188841502.315</v>
      </c>
      <c r="V20" s="2">
        <f>'分行业工业增加值（2012年美元）'!U32+'分行业工业增加值（2012年美元）'!U33</f>
        <v>823580563187.074</v>
      </c>
      <c r="W20" s="2">
        <f>'分行业工业增加值（2012年美元）'!V32+'分行业工业增加值（2012年美元）'!V33</f>
        <v>833413750662.664</v>
      </c>
      <c r="X20" s="2">
        <f>'分行业工业增加值（2012年美元）'!W32+'分行业工业增加值（2012年美元）'!W33</f>
        <v>842727490455.79</v>
      </c>
      <c r="Y20" s="2">
        <f>'分行业工业增加值（2012年美元）'!X32+'分行业工业增加值（2012年美元）'!X33</f>
        <v>851557753764.478</v>
      </c>
      <c r="Z20" s="2">
        <f>'分行业工业增加值（2012年美元）'!Y32+'分行业工业增加值（2012年美元）'!Y33</f>
        <v>859937633924.856</v>
      </c>
      <c r="AA20" s="2">
        <f>'分行业工业增加值（2012年美元）'!Z32+'分行业工业增加值（2012年美元）'!Z33</f>
        <v>867897576145.639</v>
      </c>
      <c r="AB20" s="2">
        <f>'分行业工业增加值（2012年美元）'!AA32+'分行业工业增加值（2012年美元）'!AA33</f>
        <v>875465595987.125</v>
      </c>
      <c r="AC20" s="2">
        <f>'分行业工业增加值（2012年美元）'!AB32+'分行业工业增加值（2012年美元）'!AB33</f>
        <v>882667484535.751</v>
      </c>
      <c r="AD20" s="2">
        <f>'分行业工业增加值（2012年美元）'!AC32+'分行业工业增加值（2012年美元）'!AC33</f>
        <v>889526999273.842</v>
      </c>
      <c r="AE20" s="2">
        <f>'分行业工业增加值（2012年美元）'!AD32+'分行业工业增加值（2012年美元）'!AD33</f>
        <v>896066040374.802</v>
      </c>
      <c r="AF20" s="2">
        <f>'分行业工业增加值（2012年美元）'!AE32+'分行业工业增加值（2012年美元）'!AE33</f>
        <v>902304812649.72</v>
      </c>
      <c r="AG20" s="2">
        <f>'分行业工业增加值（2012年美元）'!AF32+'分行业工业增加值（2012年美元）'!AF33</f>
        <v>908261973695.365</v>
      </c>
      <c r="AH20" s="2">
        <f>'分行业工业增加值（2012年美元）'!AG32+'分行业工业增加值（2012年美元）'!AG33</f>
        <v>913954768993.378</v>
      </c>
      <c r="AI20" s="2">
        <f>'分行业工业增加值（2012年美元）'!AH32+'分行业工业增加值（2012年美元）'!AH33</f>
        <v>919399154821.499</v>
      </c>
      <c r="AJ20" s="2">
        <f>'分行业工业增加值（2012年美元）'!AI32+'分行业工业增加值（2012年美元）'!AI33</f>
        <v>924609909886.749</v>
      </c>
      <c r="AK20" s="2">
        <f>'分行业工业增加值（2012年美元）'!AJ32+'分行业工业增加值（2012年美元）'!AJ33</f>
        <v>929600736596.612</v>
      </c>
      <c r="AL20" s="2">
        <f>'分行业工业增加值（2012年美元）'!AK32+'分行业工业增加值（2012年美元）'!AK33</f>
        <v>934384352861.913</v>
      </c>
      <c r="AM20" s="2">
        <f>'分行业工业增加值（2012年美元）'!AL32+'分行业工业增加值（2012年美元）'!AL33</f>
        <v>938972575284.511</v>
      </c>
      <c r="AN20" s="2">
        <f>'分行业工业增加值（2012年美元）'!AM32+'分行业工业增加值（2012年美元）'!AM33</f>
        <v>943376394531.575</v>
      </c>
      <c r="AO20" s="2">
        <f>'分行业工业增加值（2012年美元）'!AN32+'分行业工业增加值（2012年美元）'!AN33</f>
        <v>947606043640.702</v>
      </c>
      <c r="AP20" s="2">
        <f>'分行业工业增加值（2012年美元）'!AO32+'分行业工业增加值（2012年美元）'!AO33</f>
        <v>951671059941.459</v>
      </c>
      <c r="AQ20" s="2">
        <f>'分行业工业增加值（2012年美元）'!AP32+'分行业工业增加值（2012年美元）'!AP33</f>
        <v>955580341219.574</v>
      </c>
      <c r="AR20" s="2">
        <f>'分行业工业增加值（2012年美元）'!AQ32+'分行业工业增加值（2012年美元）'!AQ33</f>
        <v>959342196693.6</v>
      </c>
    </row>
    <row r="21" ht="22.5" spans="1:44">
      <c r="A21" s="3" t="s">
        <v>28</v>
      </c>
      <c r="B21" s="2" t="s">
        <v>122</v>
      </c>
      <c r="C21" s="2">
        <v>260966981016.447</v>
      </c>
      <c r="D21">
        <v>270549001835.212</v>
      </c>
      <c r="E21">
        <v>316289752930.748</v>
      </c>
      <c r="F21">
        <v>326801212597.84</v>
      </c>
      <c r="G21">
        <v>336554819555.216</v>
      </c>
      <c r="H21">
        <v>345588042574.5</v>
      </c>
      <c r="I21">
        <v>353943490435.634</v>
      </c>
      <c r="J21">
        <v>361666352609.97</v>
      </c>
      <c r="K21">
        <v>368802471631.074</v>
      </c>
      <c r="L21">
        <v>375396954890.656</v>
      </c>
      <c r="M21">
        <v>381493224723.425</v>
      </c>
      <c r="N21">
        <v>387132410894.589</v>
      </c>
      <c r="O21">
        <v>392353001691.16</v>
      </c>
      <c r="P21">
        <v>397190684200.756</v>
      </c>
      <c r="Q21">
        <v>401678318473.487</v>
      </c>
      <c r="R21">
        <v>405846002837.864</v>
      </c>
      <c r="S21">
        <v>409721198207.131</v>
      </c>
      <c r="T21">
        <v>413328887737.335</v>
      </c>
      <c r="U21">
        <v>416691754873.462</v>
      </c>
      <c r="V21">
        <v>419830367923.019</v>
      </c>
      <c r="W21">
        <v>422763363119.214</v>
      </c>
      <c r="X21">
        <v>425507620947.821</v>
      </c>
      <c r="Y21">
        <v>428078432543.001</v>
      </c>
      <c r="Z21">
        <v>430489654397.572</v>
      </c>
      <c r="AA21">
        <v>432753850632.383</v>
      </c>
      <c r="AB21">
        <v>434882422744.594</v>
      </c>
      <c r="AC21">
        <v>436885727194.997</v>
      </c>
      <c r="AD21">
        <v>438773181466.693</v>
      </c>
      <c r="AE21">
        <v>440553359381.734</v>
      </c>
      <c r="AF21">
        <v>442234076534.777</v>
      </c>
      <c r="AG21">
        <v>443822466720.339</v>
      </c>
      <c r="AH21">
        <v>445325050211.682</v>
      </c>
      <c r="AI21">
        <v>446747794708.373</v>
      </c>
      <c r="AJ21">
        <v>448096169715.63</v>
      </c>
      <c r="AK21">
        <v>449375195058.142</v>
      </c>
      <c r="AL21">
        <v>450589484168.667</v>
      </c>
      <c r="AM21">
        <v>451743282730.157</v>
      </c>
      <c r="AN21">
        <v>452840503191.299</v>
      </c>
      <c r="AO21">
        <v>453884755620.286</v>
      </c>
      <c r="AP21">
        <v>454879375310.773</v>
      </c>
      <c r="AQ21">
        <v>455827447507.735</v>
      </c>
      <c r="AR21">
        <v>456731829579.001</v>
      </c>
    </row>
    <row r="22" spans="1:44">
      <c r="A22" s="3" t="s">
        <v>25</v>
      </c>
      <c r="B22" s="2" t="s">
        <v>118</v>
      </c>
      <c r="C22" s="2">
        <v>175577901679.149</v>
      </c>
      <c r="D22">
        <v>178831213062.831</v>
      </c>
      <c r="E22">
        <v>197444307109.884</v>
      </c>
      <c r="F22">
        <v>200552177854.96</v>
      </c>
      <c r="G22">
        <v>203281967296.047</v>
      </c>
      <c r="H22">
        <v>205666474066.107</v>
      </c>
      <c r="I22">
        <v>207738646139.647</v>
      </c>
      <c r="J22">
        <v>209530441907.096</v>
      </c>
      <c r="K22">
        <v>211072086040.463</v>
      </c>
      <c r="L22">
        <v>212391630901.366</v>
      </c>
      <c r="M22">
        <v>213514743782.538</v>
      </c>
      <c r="N22">
        <v>214464653829.739</v>
      </c>
      <c r="O22">
        <v>215262206515.231</v>
      </c>
      <c r="P22">
        <v>215925986221.303</v>
      </c>
      <c r="Q22">
        <v>216472478120.395</v>
      </c>
      <c r="R22">
        <v>216916248995.331</v>
      </c>
      <c r="S22">
        <v>217270133121.449</v>
      </c>
      <c r="T22">
        <v>217545414144.621</v>
      </c>
      <c r="U22">
        <v>217751997369.139</v>
      </c>
      <c r="V22">
        <v>217898569321.502</v>
      </c>
      <c r="W22">
        <v>217992743137.777</v>
      </c>
      <c r="X22">
        <v>218041189439.341</v>
      </c>
      <c r="Y22">
        <v>218049753073.975</v>
      </c>
      <c r="Z22">
        <v>218023556526.952</v>
      </c>
      <c r="AA22">
        <v>217967091038.504</v>
      </c>
      <c r="AB22">
        <v>217884296564.334</v>
      </c>
      <c r="AC22">
        <v>217778631730.592</v>
      </c>
      <c r="AD22">
        <v>217653134895.999</v>
      </c>
      <c r="AE22">
        <v>217510477363.902</v>
      </c>
      <c r="AF22">
        <v>217353009701.024</v>
      </c>
      <c r="AG22">
        <v>217182802027.24</v>
      </c>
      <c r="AH22">
        <v>217001679048.515</v>
      </c>
      <c r="AI22">
        <v>216811250516.759</v>
      </c>
      <c r="AJ22">
        <v>216612937718.185</v>
      </c>
      <c r="AK22">
        <v>216407996516.772</v>
      </c>
      <c r="AL22">
        <v>216197537411.987</v>
      </c>
      <c r="AM22">
        <v>215982543009.957</v>
      </c>
      <c r="AN22">
        <v>215763883254.301</v>
      </c>
      <c r="AO22">
        <v>215542328716.423</v>
      </c>
      <c r="AP22">
        <v>215318562204.54</v>
      </c>
      <c r="AQ22">
        <v>215093188915.43</v>
      </c>
      <c r="AR22">
        <v>214866745322.401</v>
      </c>
    </row>
    <row r="23" spans="1:44">
      <c r="A23" s="3" t="s">
        <v>76</v>
      </c>
      <c r="B23" s="2" t="s">
        <v>120</v>
      </c>
      <c r="C23" s="2">
        <f>'分行业工业增加值（2012年美元）'!B30*'2020年全国投入产出表'!$W$57/('2020年全国投入产出表'!$W$57+'2020年全国投入产出表'!$X$57)</f>
        <v>302369107709.784</v>
      </c>
      <c r="D23" s="2">
        <f>'分行业工业增加值（2012年美元）'!C30*'2020年全国投入产出表'!$W$57/('2020年全国投入产出表'!$W$57+'2020年全国投入产出表'!$X$57)</f>
        <v>291479963920.818</v>
      </c>
      <c r="E23" s="2">
        <f>'分行业工业增加值（2012年美元）'!D30*'2020年全国投入产出表'!$W$57/('2020年全国投入产出表'!$W$57+'2020年全国投入产出表'!$X$57)</f>
        <v>356728409760.384</v>
      </c>
      <c r="F23" s="2">
        <f>'分行业工业增加值（2012年美元）'!E30*'2020年全国投入产出表'!$W$57/('2020年全国投入产出表'!$W$57+'2020年全国投入产出表'!$X$57)</f>
        <v>368873456773.944</v>
      </c>
      <c r="G23" s="2">
        <f>'分行业工业增加值（2012年美元）'!F30*'2020年全国投入产出表'!$W$57/('2020年全国投入产出表'!$W$57+'2020年全国投入产出表'!$X$57)</f>
        <v>380155789219.805</v>
      </c>
      <c r="H23" s="2">
        <f>'分行业工业增加值（2012年美元）'!G30*'2020年全国投入产出表'!$W$57/('2020年全国投入产出表'!$W$57+'2020年全国投入产出表'!$X$57)</f>
        <v>390616877310.046</v>
      </c>
      <c r="I23" s="2">
        <f>'分行业工业增加值（2012年美元）'!H30*'2020年全国投入产出表'!$W$57/('2020年全国投入产出表'!$W$57+'2020年全国投入产出表'!$X$57)</f>
        <v>400304245001.445</v>
      </c>
      <c r="J23" s="2">
        <f>'分行业工业增加值（2012年美元）'!I30*'2020年全国投入产出表'!$W$57/('2020年全国投入产出表'!$W$57+'2020年全国投入产出表'!$X$57)</f>
        <v>409268544990.146</v>
      </c>
      <c r="K23" s="2">
        <f>'分行业工业增加值（2012年美元）'!J30*'2020年全国投入产出表'!$W$57/('2020年全国投入产出表'!$W$57+'2020年全国投入产出表'!$X$57)</f>
        <v>417561346118.803</v>
      </c>
      <c r="L23" s="2">
        <f>'分行业工业增加值（2012年美元）'!K30*'2020年全国投入产出表'!$W$57/('2020年全国投入产出表'!$W$57+'2020年全国投入产出表'!$X$57)</f>
        <v>425233531792.235</v>
      </c>
      <c r="M23" s="2">
        <f>'分行业工业增加值（2012年美元）'!L30*'2020年全国投入产出表'!$W$57/('2020年全国投入产出表'!$W$57+'2020年全国投入产出表'!$X$57)</f>
        <v>432334196724.777</v>
      </c>
      <c r="N23" s="2">
        <f>'分行业工业增加值（2012年美元）'!M30*'2020年全国投入产出表'!$W$57/('2020年全国投入产出表'!$W$57+'2020年全国投入产出表'!$X$57)</f>
        <v>438909934401.7</v>
      </c>
      <c r="O23" s="2">
        <f>'分行业工业增加值（2012年美元）'!N30*'2020年全国投入产出表'!$W$57/('2020年全国投入产出表'!$W$57+'2020年全国投入产出表'!$X$57)</f>
        <v>445004420726.626</v>
      </c>
      <c r="P23" s="2">
        <f>'分行业工业增加值（2012年美元）'!O30*'2020年全国投入产出表'!$W$57/('2020年全国投入产出表'!$W$57+'2020年全国投入产出表'!$X$57)</f>
        <v>450658215237.118</v>
      </c>
      <c r="Q23" s="2">
        <f>'分行业工业增加值（2012年美元）'!P30*'2020年全国投入产出表'!$W$57/('2020年全国投入产出表'!$W$57+'2020年全国投入产出表'!$X$57)</f>
        <v>455908717034.248</v>
      </c>
      <c r="R23" s="2">
        <f>'分行业工业增加值（2012年美元）'!Q30*'2020年全国投入产出表'!$W$57/('2020年全国投入产出表'!$W$57+'2020年全国投入产出表'!$X$57)</f>
        <v>460790226704.367</v>
      </c>
      <c r="S23" s="2">
        <f>'分行业工业增加值（2012年美元）'!R30*'2020年全国投入产出表'!$W$57/('2020年全国投入产出表'!$W$57+'2020年全国投入产出表'!$X$57)</f>
        <v>465334077437.154</v>
      </c>
      <c r="T23" s="2">
        <f>'分行业工业增加值（2012年美元）'!S30*'2020年全国投入产出表'!$W$57/('2020年全国投入产出表'!$W$57+'2020年全国投入产出表'!$X$57)</f>
        <v>469568808201.786</v>
      </c>
      <c r="U23" s="2">
        <f>'分行业工业增加值（2012年美元）'!T30*'2020年全国投入产出表'!$W$57/('2020年全国投入产出表'!$W$57+'2020年全国投入产出表'!$X$57)</f>
        <v>473520359429.214</v>
      </c>
      <c r="V23" s="2">
        <f>'分行业工业增加值（2012年美元）'!U30*'2020年全国投入产出表'!$W$57/('2020年全国投入产出表'!$W$57+'2020年全国投入产出表'!$X$57)</f>
        <v>477212277465.11</v>
      </c>
      <c r="W23" s="2">
        <f>'分行业工业增加值（2012年美元）'!V30*'2020年全国投入产出表'!$W$57/('2020年全国投入产出表'!$W$57+'2020年全国投入产出表'!$X$57)</f>
        <v>480665918429.297</v>
      </c>
      <c r="X23" s="2">
        <f>'分行业工业增加值（2012年美元）'!W30*'2020年全国投入产出表'!$W$57/('2020年全国投入产出表'!$W$57+'2020年全国投入产出表'!$X$57)</f>
        <v>483900645341.819</v>
      </c>
      <c r="Y23" s="2">
        <f>'分行业工业增加值（2012年美元）'!X30*'2020年全国投入产出表'!$W$57/('2020年全国投入产出表'!$W$57+'2020年全国投入产出表'!$X$57)</f>
        <v>486934014713.848</v>
      </c>
      <c r="Z23" s="2">
        <f>'分行业工业增加值（2012年美元）'!Y30*'2020年全国投入产出表'!$W$57/('2020年全国投入产出表'!$W$57+'2020年全国投入产出表'!$X$57)</f>
        <v>489781950465.085</v>
      </c>
      <c r="AA23" s="2">
        <f>'分行业工业增加值（2012年美元）'!Z30*'2020年全国投入产出表'!$W$57/('2020年全国投入产出表'!$W$57+'2020年全国投入产出表'!$X$57)</f>
        <v>492458904189.373</v>
      </c>
      <c r="AB23" s="2">
        <f>'分行业工业增加值（2012年美元）'!AA30*'2020年全国投入产出表'!$W$57/('2020年全国投入产出表'!$W$57+'2020年全国投入产出表'!$X$57)</f>
        <v>494978001578.515</v>
      </c>
      <c r="AC23" s="2">
        <f>'分行业工业增加值（2012年美元）'!AB30*'2020年全国投入产出表'!$W$57/('2020年全国投入产出表'!$W$57+'2020年全国投入产出表'!$X$57)</f>
        <v>497351175332.755</v>
      </c>
      <c r="AD23" s="2">
        <f>'分行业工业增加值（2012年美元）'!AC30*'2020年全国投入产出表'!$W$57/('2020年全国投入产出表'!$W$57+'2020年全国投入产出表'!$X$57)</f>
        <v>499589285210.913</v>
      </c>
      <c r="AE23" s="2">
        <f>'分行业工业增加值（2012年美元）'!AD30*'2020年全国投入产出表'!$W$57/('2020年全国投入产出表'!$W$57+'2020年全国投入产出表'!$X$57)</f>
        <v>501702226061.016</v>
      </c>
      <c r="AF23" s="2">
        <f>'分行业工业增加值（2012年美元）'!AE30*'2020年全国投入产出表'!$W$57/('2020年全国投入产出表'!$W$57+'2020年全国投入产出表'!$X$57)</f>
        <v>503699024765.106</v>
      </c>
      <c r="AG23" s="2">
        <f>'分行业工业增加值（2012年美元）'!AF30*'2020年全国投入产出表'!$W$57/('2020年全国投入产出表'!$W$57+'2020年全国投入产出表'!$X$57)</f>
        <v>505587927060.235</v>
      </c>
      <c r="AH23" s="2">
        <f>'分行业工业增加值（2012年美元）'!AG30*'2020年全国投入产出表'!$W$57/('2020年全国投入产出表'!$W$57+'2020年全国投入产出表'!$X$57)</f>
        <v>507376475183.587</v>
      </c>
      <c r="AI23" s="2">
        <f>'分行业工业增加值（2012年美元）'!AH30*'2020年全国投入产出表'!$W$57/('2020年全国投入产出表'!$W$57+'2020年全国投入产出表'!$X$57)</f>
        <v>509071577248.644</v>
      </c>
      <c r="AJ23" s="2">
        <f>'分行业工业增加值（2012年美元）'!AI30*'2020年全国投入产出表'!$W$57/('2020年全国投入产出表'!$W$57+'2020年全国投入产出表'!$X$57)</f>
        <v>510679569202.562</v>
      </c>
      <c r="AK23" s="2">
        <f>'分行业工业增加值（2012年美元）'!AJ30*'2020年全国投入产出表'!$W$57/('2020年全国投入产出表'!$W$57+'2020年全国投入产出表'!$X$57)</f>
        <v>512206270149.95</v>
      </c>
      <c r="AL23" s="2">
        <f>'分行业工业增加值（2012年美元）'!AK30*'2020年全国投入产出表'!$W$57/('2020年全国投入产出表'!$W$57+'2020年全国投入产出表'!$X$57)</f>
        <v>513657031760.181</v>
      </c>
      <c r="AM23" s="2">
        <f>'分行业工业增加值（2012年美元）'!AL30*'2020年全国投入产出表'!$W$57/('2020年全国投入产出表'!$W$57+'2020年全国投入产出表'!$X$57)</f>
        <v>515036782407.854</v>
      </c>
      <c r="AN23" s="2">
        <f>'分行业工业增加值（2012年美元）'!AM30*'2020年全国投入产出表'!$W$57/('2020年全国投入产出表'!$W$57+'2020年全国投入产出表'!$X$57)</f>
        <v>516350066630.905</v>
      </c>
      <c r="AO23" s="2">
        <f>'分行业工业增加值（2012年美元）'!AN30*'2020年全国投入产出表'!$W$57/('2020年全国投入产出表'!$W$57+'2020年全国投入产出表'!$X$57)</f>
        <v>517601080429.822</v>
      </c>
      <c r="AP23" s="2">
        <f>'分行业工业增加值（2012年美元）'!AO30*'2020年全国投入产出表'!$W$57/('2020年全国投入产出表'!$W$57+'2020年全国投入产出表'!$X$57)</f>
        <v>518793702874.783</v>
      </c>
      <c r="AQ23" s="2">
        <f>'分行业工业增加值（2012年美元）'!AP30*'2020年全国投入产出表'!$W$57/('2020年全国投入产出表'!$W$57+'2020年全国投入产出表'!$X$57)</f>
        <v>519931524435.856</v>
      </c>
      <c r="AR23" s="2">
        <f>'分行业工业增加值（2012年美元）'!AQ30*'2020年全国投入产出表'!$W$57/('2020年全国投入产出表'!$W$57+'2020年全国投入产出表'!$X$57)</f>
        <v>521017872404.635</v>
      </c>
    </row>
    <row r="24" ht="45" spans="1:44">
      <c r="A24" s="3" t="s">
        <v>77</v>
      </c>
      <c r="B24" s="2" t="s">
        <v>121</v>
      </c>
      <c r="C24" s="2">
        <f>'分行业工业增加值（2012年美元）'!B30*'2020年全国投入产出表'!$X$57/('2020年全国投入产出表'!$W$57+'2020年全国投入产出表'!$X$57)</f>
        <v>67013316382.8792</v>
      </c>
      <c r="D24" s="2">
        <f>'分行业工业增加值（2012年美元）'!C30*'2020年全国投入产出表'!$X$57/('2020年全国投入产出表'!$W$57+'2020年全国投入产出表'!$X$57)</f>
        <v>64599982416.9997</v>
      </c>
      <c r="E24" s="2">
        <f>'分行业工业增加值（2012年美元）'!D30*'2020年全国投入产出表'!$X$57/('2020年全国投入产出表'!$W$57+'2020年全国投入产出表'!$X$57)</f>
        <v>79060833850.0595</v>
      </c>
      <c r="F24" s="2">
        <f>'分行业工业增加值（2012年美元）'!E30*'2020年全国投入产出表'!$X$57/('2020年全国投入产出表'!$W$57+'2020年全国投入产出表'!$X$57)</f>
        <v>81752510536.7726</v>
      </c>
      <c r="G24" s="2">
        <f>'分行业工业增加值（2012年美元）'!F30*'2020年全国投入产出表'!$X$57/('2020年全国投入产出表'!$W$57+'2020年全国投入产出表'!$X$57)</f>
        <v>84252985930.7634</v>
      </c>
      <c r="H24" s="2">
        <f>'分行业工业增加值（2012年美元）'!G30*'2020年全国投入产出表'!$X$57/('2020年全国投入产出表'!$W$57+'2020年全国投入产出表'!$X$57)</f>
        <v>86571450972.4148</v>
      </c>
      <c r="I24" s="2">
        <f>'分行业工业增加值（2012年美元）'!H30*'2020年全国投入产出表'!$X$57/('2020年全国投入产出表'!$W$57+'2020年全国投入产出表'!$X$57)</f>
        <v>88718438278.5523</v>
      </c>
      <c r="J24" s="2">
        <f>'分行业工业增加值（2012年美元）'!I30*'2020年全国投入产出表'!$X$57/('2020年全国投入产出表'!$W$57+'2020年全国投入产出表'!$X$57)</f>
        <v>90705173880.7569</v>
      </c>
      <c r="K24" s="2">
        <f>'分行业工业增加值（2012年美元）'!J30*'2020年全国投入产出表'!$X$57/('2020年全国投入产出表'!$W$57+'2020年全国投入产出表'!$X$57)</f>
        <v>92543086853.8916</v>
      </c>
      <c r="L24" s="2">
        <f>'分行业工业增加值（2012年美元）'!K30*'2020年全国投入产出表'!$X$57/('2020年全国投入产出表'!$W$57+'2020年全国投入产出表'!$X$57)</f>
        <v>94243454360.9298</v>
      </c>
      <c r="M24" s="2">
        <f>'分行业工业增加值（2012年美元）'!L30*'2020年全国投入产出表'!$X$57/('2020年全国投入产出表'!$W$57+'2020年全国投入产出表'!$X$57)</f>
        <v>95817157141.8038</v>
      </c>
      <c r="N24" s="2">
        <f>'分行业工业增加值（2012年美元）'!M30*'2020年全国投入产出表'!$X$57/('2020年全国投入产出表'!$W$57+'2020年全国投入产出表'!$X$57)</f>
        <v>97274521595.2434</v>
      </c>
      <c r="O24" s="2">
        <f>'分行业工业增加值（2012年美元）'!N30*'2020年全国投入产出表'!$X$57/('2020年全国投入产出表'!$W$57+'2020年全国投入产出表'!$X$57)</f>
        <v>98625227503.5842</v>
      </c>
      <c r="P24" s="2">
        <f>'分行业工业增加值（2012年美元）'!O30*'2020年全国投入产出表'!$X$57/('2020年全国投入产出表'!$W$57+'2020年全国投入产出表'!$X$57)</f>
        <v>99878263976.6722</v>
      </c>
      <c r="Q24" s="2">
        <f>'分行业工业增加值（2012年美元）'!P30*'2020年全国投入产出表'!$X$57/('2020年全国投入产出表'!$W$57+'2020年全国投入产出表'!$X$57)</f>
        <v>101041919684.641</v>
      </c>
      <c r="R24" s="2">
        <f>'分行业工业增加值（2012年美元）'!Q30*'2020年全国投入产出表'!$X$57/('2020年全国投入产出表'!$W$57+'2020年全国投入产出表'!$X$57)</f>
        <v>102123796581.482</v>
      </c>
      <c r="S24" s="2">
        <f>'分行业工业增加值（2012年美元）'!R30*'2020年全国投入产出表'!$X$57/('2020年全国投入产出表'!$W$57+'2020年全国投入产出表'!$X$57)</f>
        <v>103130838964.414</v>
      </c>
      <c r="T24" s="2">
        <f>'分行业工业增加值（2012年美元）'!S30*'2020年全国投入产出表'!$X$57/('2020年全国投入产出表'!$W$57+'2020年全国投入产出表'!$X$57)</f>
        <v>104069371854.483</v>
      </c>
      <c r="U24" s="2">
        <f>'分行业工业增加值（2012年美元）'!T30*'2020年全国投入产出表'!$X$57/('2020年全国投入产出表'!$W$57+'2020年全国投入产出表'!$X$57)</f>
        <v>104945144365.149</v>
      </c>
      <c r="V24" s="2">
        <f>'分行业工业增加值（2012年美元）'!U30*'2020年全国投入产出表'!$X$57/('2020年全国投入产出表'!$W$57+'2020年全国投入产出表'!$X$57)</f>
        <v>105763375014.679</v>
      </c>
      <c r="W24" s="2">
        <f>'分行业工业增加值（2012年美元）'!V30*'2020年全国投入产出表'!$X$57/('2020年全国投入产出表'!$W$57+'2020年全国投入产出表'!$X$57)</f>
        <v>106528796907.011</v>
      </c>
      <c r="X24" s="2">
        <f>'分行业工业增加值（2012年美元）'!W30*'2020年全国投入产出表'!$X$57/('2020年全国投入产出表'!$W$57+'2020年全国投入产出表'!$X$57)</f>
        <v>107245701420.315</v>
      </c>
      <c r="Y24" s="2">
        <f>'分行业工业增加值（2012年美元）'!X30*'2020年全国投入产出表'!$X$57/('2020年全国投入产出表'!$W$57+'2020年全国投入产出表'!$X$57)</f>
        <v>107917979560.677</v>
      </c>
      <c r="Z24" s="2">
        <f>'分行业工业增加值（2012年美元）'!Y30*'2020年全国投入产出表'!$X$57/('2020年全国投入产出表'!$W$57+'2020年全国投入产出表'!$X$57)</f>
        <v>108549160506.976</v>
      </c>
      <c r="AA24" s="2">
        <f>'分行业工业增加值（2012年美元）'!Z30*'2020年全国投入产出表'!$X$57/('2020年全国投入产出表'!$W$57+'2020年全国投入产出表'!$X$57)</f>
        <v>109142447130.159</v>
      </c>
      <c r="AB24" s="2">
        <f>'分行业工业增加值（2012年美元）'!AA30*'2020年全国投入产出表'!$X$57/('2020年全国投入产出表'!$W$57+'2020年全国投入产出表'!$X$57)</f>
        <v>109700748444.789</v>
      </c>
      <c r="AC24" s="2">
        <f>'分行业工业增加值（2012年美元）'!AB30*'2020年全国投入产出表'!$X$57/('2020年全国投入产出表'!$W$57+'2020年全国投入产出表'!$X$57)</f>
        <v>110226709065.664</v>
      </c>
      <c r="AD24" s="2">
        <f>'分行业工业增加值（2012年美元）'!AC30*'2020年全国投入产出表'!$X$57/('2020年全国投入产出表'!$W$57+'2020年全国投入产出表'!$X$57)</f>
        <v>110722735814.231</v>
      </c>
      <c r="AE24" s="2">
        <f>'分行业工业增加值（2012年美元）'!AD30*'2020年全国投入产出表'!$X$57/('2020年全国投入产出表'!$W$57+'2020年全国投入产出表'!$X$57)</f>
        <v>111191021661.151</v>
      </c>
      <c r="AF24" s="2">
        <f>'分行业工业增加值（2012年美元）'!AE30*'2020年全国投入产出表'!$X$57/('2020年全国投入产出表'!$W$57+'2020年全国投入产出表'!$X$57)</f>
        <v>111633567211.931</v>
      </c>
      <c r="AG24" s="2">
        <f>'分行业工业增加值（2012年美元）'!AF30*'2020年全国投入产出表'!$X$57/('2020年全国投入产出表'!$W$57+'2020年全国投入产出表'!$X$57)</f>
        <v>112052199948.848</v>
      </c>
      <c r="AH24" s="2">
        <f>'分行业工业增加值（2012年美元）'!AG30*'2020年全国投入产出表'!$X$57/('2020年全国投入产出表'!$W$57+'2020年全国投入产出表'!$X$57)</f>
        <v>112448591439.249</v>
      </c>
      <c r="AI24" s="2">
        <f>'分行业工业增加值（2012年美元）'!AH30*'2020年全国投入产出表'!$X$57/('2020年全国投入产出表'!$W$57+'2020年全国投入产出表'!$X$57)</f>
        <v>112824272711.212</v>
      </c>
      <c r="AJ24" s="2">
        <f>'分行业工业增加值（2012年美元）'!AI30*'2020年全国投入产出表'!$X$57/('2020年全国投入产出表'!$W$57+'2020年全国投入产出表'!$X$57)</f>
        <v>113180647985.013</v>
      </c>
      <c r="AK24" s="2">
        <f>'分行业工业增加值（2012年美元）'!AJ30*'2020年全国投入产出表'!$X$57/('2020年全国投入产出表'!$W$57+'2020年全国投入产出表'!$X$57)</f>
        <v>113519006934.393</v>
      </c>
      <c r="AL24" s="2">
        <f>'分行业工业增加值（2012年美元）'!AK30*'2020年全国投入产出表'!$X$57/('2020年全国投入产出表'!$W$57+'2020年全国投入产出表'!$X$57)</f>
        <v>113840535636.577</v>
      </c>
      <c r="AM24" s="2">
        <f>'分行业工业增加值（2012年美元）'!AL30*'2020年全国投入产出表'!$X$57/('2020年全国投入产出表'!$W$57+'2020年全国投入产出表'!$X$57)</f>
        <v>114146326355.021</v>
      </c>
      <c r="AN24" s="2">
        <f>'分行业工业增加值（2012年美元）'!AM30*'2020年全国投入产出表'!$X$57/('2020年全国投入产出表'!$W$57+'2020年全国投入产出表'!$X$57)</f>
        <v>114437386284.412</v>
      </c>
      <c r="AO24" s="2">
        <f>'分行业工业增加值（2012年美元）'!AN30*'2020年全国投入产出表'!$X$57/('2020年全国投入产出表'!$W$57+'2020年全国投入产出表'!$X$57)</f>
        <v>114714645373.944</v>
      </c>
      <c r="AP24" s="2">
        <f>'分行业工业增加值（2012年美元）'!AO30*'2020年全国投入产出表'!$X$57/('2020年全国投入产出表'!$W$57+'2020年全国投入产出表'!$X$57)</f>
        <v>114978963332.332</v>
      </c>
      <c r="AQ24" s="2">
        <f>'分行业工业增加值（2012年美元）'!AP30*'2020年全国投入产出表'!$X$57/('2020年全国投入产出表'!$W$57+'2020年全国投入产出表'!$X$57)</f>
        <v>115231135906.564</v>
      </c>
      <c r="AR24" s="2">
        <f>'分行业工业增加值（2012年美元）'!AQ30*'2020年全国投入产出表'!$X$57/('2020年全国投入产出表'!$W$57+'2020年全国投入产出表'!$X$57)</f>
        <v>115471900516.035</v>
      </c>
    </row>
    <row r="25" ht="67.5" spans="1:44">
      <c r="A25" s="3" t="s">
        <v>79</v>
      </c>
      <c r="B25" s="2" t="s">
        <v>124</v>
      </c>
      <c r="C25" s="2">
        <f>'分行业工业增加值（2012年美元）'!B34+'分行业工业增加值（2012年美元）'!B35</f>
        <v>54514348449.6732</v>
      </c>
      <c r="D25" s="2">
        <f>'分行业工业增加值（2012年美元）'!C34+'分行业工业增加值（2012年美元）'!C35</f>
        <v>57424604043.1205</v>
      </c>
      <c r="E25" s="2">
        <f>'分行业工业增加值（2012年美元）'!D34+'分行业工业增加值（2012年美元）'!D35</f>
        <v>60373379705.9073</v>
      </c>
      <c r="F25" s="2">
        <f>'分行业工业增加值（2012年美元）'!E34+'分行业工业增加值（2012年美元）'!E35</f>
        <v>61568449679.5076</v>
      </c>
      <c r="G25" s="2">
        <f>'分行业工业增加值（2012年美元）'!F34+'分行业工业增加值（2012年美元）'!F35</f>
        <v>62641179275.6235</v>
      </c>
      <c r="H25" s="2">
        <f>'分行业工业增加值（2012年美元）'!G34+'分行业工业增加值（2012年美元）'!G35</f>
        <v>63600930720.3944</v>
      </c>
      <c r="I25" s="2">
        <f>'分行业工业增加值（2012年美元）'!H34+'分行业工业增加值（2012年美元）'!H35</f>
        <v>64457328704.0525</v>
      </c>
      <c r="J25" s="2">
        <f>'分行业工业增加值（2012年美元）'!I34+'分行业工业增加值（2012年美元）'!I35</f>
        <v>65219879618.6917</v>
      </c>
      <c r="K25" s="2">
        <f>'分行业工业增加值（2012年美元）'!J34+'分行业工业增加值（2012年美元）'!J35</f>
        <v>65897711480.4657</v>
      </c>
      <c r="L25" s="2">
        <f>'分行业工业增加值（2012年美元）'!K34+'分行业工业增加值（2012年美元）'!K35</f>
        <v>66499409489.3996</v>
      </c>
      <c r="M25" s="2">
        <f>'分行业工业增加值（2012年美元）'!L34+'分行业工业增加值（2012年美元）'!L35</f>
        <v>67032924028.3932</v>
      </c>
      <c r="N25" s="2">
        <f>'分行业工业增加值（2012年美元）'!M34+'分行业工业增加值（2012年美元）'!M35</f>
        <v>67505531319.7226</v>
      </c>
      <c r="O25" s="2">
        <f>'分行业工业增加值（2012年美元）'!N34+'分行业工业增加值（2012年美元）'!N35</f>
        <v>67923830786.4051</v>
      </c>
      <c r="P25" s="2">
        <f>'分行业工业增加值（2012年美元）'!O34+'分行业工业增加值（2012年美元）'!O35</f>
        <v>68293766782.4575</v>
      </c>
      <c r="Q25" s="2">
        <f>'分行业工业增加值（2012年美元）'!P34+'分行业工业增加值（2012年美元）'!P35</f>
        <v>68620665476.9612</v>
      </c>
      <c r="R25" s="2">
        <f>'分行业工业增加值（2012年美元）'!Q34+'分行业工业增加值（2012年美元）'!Q35</f>
        <v>68909280219.7837</v>
      </c>
      <c r="S25" s="2">
        <f>'分行业工业增加值（2012年美元）'!R34+'分行业工业增加值（2012年美元）'!R35</f>
        <v>69163840705.9779</v>
      </c>
      <c r="T25" s="2">
        <f>'分行业工业增加值（2012年美元）'!S34+'分行业工业增加值（2012年美元）'!S35</f>
        <v>69388102763.4718</v>
      </c>
      <c r="U25" s="2">
        <f>'分行业工业增加值（2012年美元）'!T34+'分行业工业增加值（2012年美元）'!T35</f>
        <v>69585396701.3908</v>
      </c>
      <c r="V25" s="2">
        <f>'分行业工业增加值（2012年美元）'!U34+'分行业工业增加值（2012年美元）'!U35</f>
        <v>69758672958.1399</v>
      </c>
      <c r="W25" s="2">
        <f>'分行业工业增加值（2012年美元）'!V34+'分行业工业增加值（2012年美元）'!V35</f>
        <v>69910544352.4945</v>
      </c>
      <c r="X25" s="2">
        <f>'分行业工业增加值（2012年美元）'!W34+'分行业工业增加值（2012年美元）'!W35</f>
        <v>70043324627.787</v>
      </c>
      <c r="Y25" s="2">
        <f>'分行业工业增加值（2012年美元）'!X34+'分行业工业增加值（2012年美元）'!X35</f>
        <v>70159063236.41</v>
      </c>
      <c r="Z25" s="2">
        <f>'分行业工业增加值（2012年美元）'!Y34+'分行业工业增加值（2012年美元）'!Y35</f>
        <v>70259576476.0395</v>
      </c>
      <c r="AA25" s="2">
        <f>'分行业工业增加值（2012年美元）'!Z34+'分行业工业增加值（2012年美元）'!Z35</f>
        <v>70346475187.6185</v>
      </c>
      <c r="AB25" s="2">
        <f>'分行业工业增加值（2012年美元）'!AA34+'分行业工业增加值（2012年美元）'!AA35</f>
        <v>70421189278.5687</v>
      </c>
      <c r="AC25" s="2">
        <f>'分行业工业增加值（2012年美元）'!AB34+'分行业工业增加值（2012年美元）'!AB35</f>
        <v>70484989357.6392</v>
      </c>
      <c r="AD25" s="2">
        <f>'分行业工业增加值（2012年美元）'!AC34+'分行业工业增加值（2012年美元）'!AC35</f>
        <v>70539005770.7401</v>
      </c>
      <c r="AE25" s="2">
        <f>'分行业工业增加值（2012年美元）'!AD34+'分行业工业增加值（2012年美元）'!AD35</f>
        <v>70584245317.5251</v>
      </c>
      <c r="AF25" s="2">
        <f>'分行业工业增加值（2012年美元）'!AE34+'分行业工业增加值（2012年美元）'!AE35</f>
        <v>70621605911.4744</v>
      </c>
      <c r="AG25" s="2">
        <f>'分行业工业增加值（2012年美元）'!AF34+'分行业工业增加值（2012年美元）'!AF35</f>
        <v>70651889425.2897</v>
      </c>
      <c r="AH25" s="2">
        <f>'分行业工业增加值（2012年美元）'!AG34+'分行业工业增加值（2012年美元）'!AG35</f>
        <v>70675812940.9507</v>
      </c>
      <c r="AI25" s="2">
        <f>'分行业工业增加值（2012年美元）'!AH34+'分行业工业增加值（2012年美元）'!AH35</f>
        <v>70694018601.1907</v>
      </c>
      <c r="AJ25" s="2">
        <f>'分行业工业增加值（2012年美元）'!AI34+'分行业工业增加值（2012年美元）'!AI35</f>
        <v>70707082237.467</v>
      </c>
      <c r="AK25" s="2">
        <f>'分行业工业增加值（2012年美元）'!AJ34+'分行业工业增加值（2012年美元）'!AJ35</f>
        <v>70715520929.2202</v>
      </c>
      <c r="AL25" s="2">
        <f>'分行业工业增加值（2012年美元）'!AK34+'分行业工业增加值（2012年美元）'!AK35</f>
        <v>70719799630.6018</v>
      </c>
      <c r="AM25" s="2">
        <f>'分行业工业增加值（2012年美元）'!AL34+'分行业工业增加值（2012年美元）'!AL35</f>
        <v>70720336984.0497</v>
      </c>
      <c r="AN25" s="2">
        <f>'分行业工业增加值（2012年美元）'!AM34+'分行业工业增加值（2012年美元）'!AM35</f>
        <v>70717510425.0372</v>
      </c>
      <c r="AO25" s="2">
        <f>'分行业工业增加值（2012年美元）'!AN34+'分行业工业增加值（2012年美元）'!AN35</f>
        <v>70711660668.9821</v>
      </c>
      <c r="AP25" s="2">
        <f>'分行业工业增加值（2012年美元）'!AO34+'分行业工业增加值（2012年美元）'!AO35</f>
        <v>70703095659.5364</v>
      </c>
      <c r="AQ25" s="2">
        <f>'分行业工业增加值（2012年美元）'!AP34+'分行业工业增加值（2012年美元）'!AP35</f>
        <v>70692094047.1408</v>
      </c>
      <c r="AR25" s="2">
        <f>'分行业工业增加值（2012年美元）'!AQ34+'分行业工业增加值（2012年美元）'!AQ35</f>
        <v>70678908257.7056</v>
      </c>
    </row>
    <row r="26" ht="22.5" spans="1:44">
      <c r="A26" s="3" t="s">
        <v>80</v>
      </c>
      <c r="B26" s="2" t="s">
        <v>125</v>
      </c>
      <c r="C26" s="2">
        <v>302863401819.201</v>
      </c>
      <c r="D26">
        <v>308222204646.411</v>
      </c>
      <c r="E26">
        <v>351724535054.69</v>
      </c>
      <c r="F26">
        <v>367674909857.86</v>
      </c>
      <c r="G26">
        <v>382665309675.046</v>
      </c>
      <c r="H26">
        <v>396725792986.329</v>
      </c>
      <c r="I26">
        <v>409895908570.003</v>
      </c>
      <c r="J26">
        <v>422221283497.172</v>
      </c>
      <c r="K26">
        <v>433750913016.87</v>
      </c>
      <c r="L26">
        <v>444535088785.927</v>
      </c>
      <c r="M26">
        <v>454623873425.504</v>
      </c>
      <c r="N26">
        <v>464066022543.394</v>
      </c>
      <c r="O26">
        <v>472908260809.509</v>
      </c>
      <c r="P26">
        <v>481194830090.012</v>
      </c>
      <c r="Q26">
        <v>488967241094.519</v>
      </c>
      <c r="R26">
        <v>496264173226.497</v>
      </c>
      <c r="S26">
        <v>503121479220.463</v>
      </c>
      <c r="T26">
        <v>509572261258.598</v>
      </c>
      <c r="U26">
        <v>515646993529.305</v>
      </c>
      <c r="V26">
        <v>521373672770.087</v>
      </c>
      <c r="W26">
        <v>526777983457.875</v>
      </c>
      <c r="X26">
        <v>531883468223.874</v>
      </c>
      <c r="Y26">
        <v>536711697014.873</v>
      </c>
      <c r="Z26">
        <v>541282430705.926</v>
      </c>
      <c r="AA26">
        <v>545613776463.928</v>
      </c>
      <c r="AB26">
        <v>549722333308.976</v>
      </c>
      <c r="AC26">
        <v>553623327130.518</v>
      </c>
      <c r="AD26">
        <v>557330734976.019</v>
      </c>
      <c r="AE26">
        <v>560857398805.756</v>
      </c>
      <c r="AF26">
        <v>564215129150.615</v>
      </c>
      <c r="AG26">
        <v>567414799256.17</v>
      </c>
      <c r="AH26">
        <v>570466430375.511</v>
      </c>
      <c r="AI26">
        <v>573379268905.142</v>
      </c>
      <c r="AJ26">
        <v>576161856057.883</v>
      </c>
      <c r="AK26">
        <v>578822090745.925</v>
      </c>
      <c r="AL26">
        <v>581367286312.529</v>
      </c>
      <c r="AM26">
        <v>583804221709.301</v>
      </c>
      <c r="AN26">
        <v>586139187670.459</v>
      </c>
      <c r="AO26">
        <v>588378028388.963</v>
      </c>
      <c r="AP26">
        <v>590526179153.928</v>
      </c>
      <c r="AQ26">
        <v>592588700364.984</v>
      </c>
      <c r="AR26">
        <v>594570308298.102</v>
      </c>
    </row>
    <row r="27" ht="22.5" spans="1:44">
      <c r="A27" s="3" t="s">
        <v>34</v>
      </c>
      <c r="B27" s="2" t="s">
        <v>126</v>
      </c>
      <c r="C27" s="2">
        <v>55490659313.027</v>
      </c>
      <c r="D27">
        <v>53534136004.2148</v>
      </c>
      <c r="E27">
        <v>66447653626.8653</v>
      </c>
      <c r="F27">
        <v>71702316402.7891</v>
      </c>
      <c r="G27">
        <v>76713967533.4117</v>
      </c>
      <c r="H27">
        <v>81482180145.1626</v>
      </c>
      <c r="I27">
        <v>86010305523.5238</v>
      </c>
      <c r="J27">
        <v>90304530837.6823</v>
      </c>
      <c r="K27">
        <v>94373069167.9355</v>
      </c>
      <c r="L27">
        <v>98225490371.713</v>
      </c>
      <c r="M27">
        <v>101872186159.71</v>
      </c>
      <c r="N27">
        <v>105323954790.983</v>
      </c>
      <c r="O27">
        <v>108591687620.93</v>
      </c>
      <c r="P27">
        <v>111686139486.398</v>
      </c>
      <c r="Q27">
        <v>114617766272.716</v>
      </c>
      <c r="R27">
        <v>117396615114.144</v>
      </c>
      <c r="S27">
        <v>120032255002.304</v>
      </c>
      <c r="T27">
        <v>122533737817.425</v>
      </c>
      <c r="U27">
        <v>124909581805.475</v>
      </c>
      <c r="V27">
        <v>127167771243.228</v>
      </c>
      <c r="W27">
        <v>129315767458.049</v>
      </c>
      <c r="X27">
        <v>131360527522.776</v>
      </c>
      <c r="Y27">
        <v>133308527863.112</v>
      </c>
      <c r="Z27">
        <v>135165790733.193</v>
      </c>
      <c r="AA27">
        <v>136937912070.632</v>
      </c>
      <c r="AB27">
        <v>138630089667.567</v>
      </c>
      <c r="AC27">
        <v>140247150916.046</v>
      </c>
      <c r="AD27">
        <v>141793579627.362</v>
      </c>
      <c r="AE27">
        <v>143273541603.967</v>
      </c>
      <c r="AF27">
        <v>144690908773.557</v>
      </c>
      <c r="AG27">
        <v>146049281789.738</v>
      </c>
      <c r="AH27">
        <v>147352011071.011</v>
      </c>
      <c r="AI27">
        <v>148602216296.442</v>
      </c>
      <c r="AJ27">
        <v>149802804407.91</v>
      </c>
      <c r="AK27">
        <v>150956486189.018</v>
      </c>
      <c r="AL27">
        <v>152065791502.729</v>
      </c>
      <c r="AM27">
        <v>153133083275.867</v>
      </c>
      <c r="AN27">
        <v>154160570320.637</v>
      </c>
      <c r="AO27">
        <v>155150319082.266</v>
      </c>
      <c r="AP27">
        <v>156104264399</v>
      </c>
      <c r="AQ27">
        <v>157024219356.583</v>
      </c>
      <c r="AR27">
        <v>157911884314.43</v>
      </c>
    </row>
    <row r="28" ht="22.5" spans="1:44">
      <c r="A28" s="3" t="s">
        <v>35</v>
      </c>
      <c r="B28" s="2" t="s">
        <v>127</v>
      </c>
      <c r="C28" s="2">
        <v>23169000862.2595</v>
      </c>
      <c r="D28">
        <v>26476476767.1382</v>
      </c>
      <c r="E28">
        <v>27586763837.3171</v>
      </c>
      <c r="F28">
        <v>28923831727.2546</v>
      </c>
      <c r="G28">
        <v>30183239426.263</v>
      </c>
      <c r="H28">
        <v>31367110144.3941</v>
      </c>
      <c r="I28">
        <v>32478387647.946</v>
      </c>
      <c r="J28">
        <v>33520557219.485</v>
      </c>
      <c r="K28">
        <v>34497421657.7148</v>
      </c>
      <c r="L28">
        <v>35412928121.5807</v>
      </c>
      <c r="M28">
        <v>36271039014.2258</v>
      </c>
      <c r="N28">
        <v>37075639309.6812</v>
      </c>
      <c r="O28">
        <v>37830472991.1242</v>
      </c>
      <c r="P28">
        <v>38539102072.6932</v>
      </c>
      <c r="Q28">
        <v>39204882686.4018</v>
      </c>
      <c r="R28">
        <v>39830953738.6701</v>
      </c>
      <c r="S28">
        <v>40420234576.7841</v>
      </c>
      <c r="T28">
        <v>40975428911.122</v>
      </c>
      <c r="U28">
        <v>41499032904.7715</v>
      </c>
      <c r="V28">
        <v>41993345876.4844</v>
      </c>
      <c r="W28">
        <v>42460482482.1009</v>
      </c>
      <c r="X28">
        <v>42902385562.4805</v>
      </c>
      <c r="Y28">
        <v>43320839090.7735</v>
      </c>
      <c r="Z28">
        <v>43717480834.8237</v>
      </c>
      <c r="AA28">
        <v>44093814485.3525</v>
      </c>
      <c r="AB28">
        <v>44451221098.5316</v>
      </c>
      <c r="AC28">
        <v>44790969771.6044</v>
      </c>
      <c r="AD28">
        <v>45114227519.3591</v>
      </c>
      <c r="AE28">
        <v>45422068352.9141</v>
      </c>
      <c r="AF28">
        <v>45715481584.5885</v>
      </c>
      <c r="AG28">
        <v>45995379396.7194</v>
      </c>
      <c r="AH28">
        <v>46262603720.493</v>
      </c>
      <c r="AI28">
        <v>46517932474.9076</v>
      </c>
      <c r="AJ28">
        <v>46762085217.1987</v>
      </c>
      <c r="AK28">
        <v>46995728255.3083</v>
      </c>
      <c r="AL28">
        <v>47219479271.0151</v>
      </c>
      <c r="AM28">
        <v>47433911499.5917</v>
      </c>
      <c r="AN28">
        <v>47639557508.6979</v>
      </c>
      <c r="AO28">
        <v>47836912615.8727</v>
      </c>
      <c r="AP28">
        <v>48026437980.6359</v>
      </c>
      <c r="AQ28">
        <v>48208563403.935</v>
      </c>
      <c r="AR28">
        <v>48383689864.5642</v>
      </c>
    </row>
    <row r="29" spans="1:44">
      <c r="A29" s="3" t="s">
        <v>81</v>
      </c>
      <c r="B29" s="2" t="s">
        <v>128</v>
      </c>
      <c r="C29" s="2">
        <v>978070959665.669</v>
      </c>
      <c r="D29">
        <v>1005243630253.15</v>
      </c>
      <c r="E29">
        <v>1078482287033.67</v>
      </c>
      <c r="F29">
        <v>1133138798531.45</v>
      </c>
      <c r="G29">
        <v>1187931408344.83</v>
      </c>
      <c r="H29">
        <v>1242334719449.12</v>
      </c>
      <c r="I29">
        <v>1297116607385.49</v>
      </c>
      <c r="J29">
        <v>1351513892049.24</v>
      </c>
      <c r="K29">
        <v>1405690109707.77</v>
      </c>
      <c r="L29">
        <v>1459803627307.66</v>
      </c>
      <c r="M29">
        <v>1513350800620.43</v>
      </c>
      <c r="N29">
        <v>1566773014581.44</v>
      </c>
      <c r="O29">
        <v>1619782580521.35</v>
      </c>
      <c r="P29">
        <v>1672084184871.11</v>
      </c>
      <c r="Q29">
        <v>1724150967078.64</v>
      </c>
      <c r="R29">
        <v>1775635490173.61</v>
      </c>
      <c r="S29">
        <v>1826373402580.53</v>
      </c>
      <c r="T29">
        <v>1876690754871.95</v>
      </c>
      <c r="U29">
        <v>1926306637474.47</v>
      </c>
      <c r="V29">
        <v>1975511218469.23</v>
      </c>
      <c r="W29">
        <v>2023951896249.55</v>
      </c>
      <c r="X29">
        <v>2071577089875.67</v>
      </c>
      <c r="Y29">
        <v>2118667918860.98</v>
      </c>
      <c r="Z29">
        <v>2165058720416.19</v>
      </c>
      <c r="AA29">
        <v>2210757094830.52</v>
      </c>
      <c r="AB29">
        <v>2255683118513.78</v>
      </c>
      <c r="AC29">
        <v>2300005422175.86</v>
      </c>
      <c r="AD29">
        <v>2343778191543.66</v>
      </c>
      <c r="AE29">
        <v>2386764483517.42</v>
      </c>
      <c r="AF29">
        <v>2429090166539.25</v>
      </c>
      <c r="AG29">
        <v>2471021052328.94</v>
      </c>
      <c r="AH29">
        <v>2512289841139.73</v>
      </c>
      <c r="AI29">
        <v>2553104087055.56</v>
      </c>
      <c r="AJ29">
        <v>2593474568975.17</v>
      </c>
      <c r="AK29">
        <v>2633399469750.36</v>
      </c>
      <c r="AL29">
        <v>2673058179340.91</v>
      </c>
      <c r="AM29">
        <v>2712514083141.13</v>
      </c>
      <c r="AN29">
        <v>2751893629511.08</v>
      </c>
      <c r="AO29">
        <v>2791175538915.54</v>
      </c>
      <c r="AP29">
        <v>2830546520433.8</v>
      </c>
      <c r="AQ29">
        <v>2870177359014.09</v>
      </c>
      <c r="AR29">
        <v>2910065778036.92</v>
      </c>
    </row>
    <row r="30" spans="1:44">
      <c r="A30" s="3" t="s">
        <v>82</v>
      </c>
      <c r="B30" s="2" t="s">
        <v>129</v>
      </c>
      <c r="C30" s="2">
        <v>1317780910688.47</v>
      </c>
      <c r="D30">
        <v>1308340787635.79</v>
      </c>
      <c r="E30">
        <v>1485334321775.19</v>
      </c>
      <c r="F30">
        <v>1566128249370.59</v>
      </c>
      <c r="G30">
        <v>1647116315185.44</v>
      </c>
      <c r="H30">
        <v>1727449236196.7</v>
      </c>
      <c r="I30">
        <v>1808107424622.31</v>
      </c>
      <c r="J30">
        <v>1888255319548.89</v>
      </c>
      <c r="K30">
        <v>1967772487368.33</v>
      </c>
      <c r="L30">
        <v>2047356572098.58</v>
      </c>
      <c r="M30">
        <v>2125988719495.64</v>
      </c>
      <c r="N30">
        <v>2204113611279.03</v>
      </c>
      <c r="O30">
        <v>2281808139478.03</v>
      </c>
      <c r="P30">
        <v>2358375171084.68</v>
      </c>
      <c r="Q30">
        <v>2434513370702.65</v>
      </c>
      <c r="R30">
        <v>2509784156978.56</v>
      </c>
      <c r="S30">
        <v>2583835268161.24</v>
      </c>
      <c r="T30">
        <v>2657470973445.07</v>
      </c>
      <c r="U30">
        <v>2729952778884.48</v>
      </c>
      <c r="V30">
        <v>2801787303810.77</v>
      </c>
      <c r="W30">
        <v>2872709296141.22</v>
      </c>
      <c r="X30">
        <v>2942408246947.27</v>
      </c>
      <c r="Y30">
        <v>3011399729729.54</v>
      </c>
      <c r="Z30">
        <v>3079480537153.48</v>
      </c>
      <c r="AA30">
        <v>3146507865370.55</v>
      </c>
      <c r="AB30">
        <v>3212638823516.7</v>
      </c>
      <c r="AC30">
        <v>3277871987325.71</v>
      </c>
      <c r="AD30">
        <v>3342310982102.97</v>
      </c>
      <c r="AE30">
        <v>3405722907697.27</v>
      </c>
      <c r="AF30">
        <v>3468123168903.22</v>
      </c>
      <c r="AG30">
        <v>3530089855200.41</v>
      </c>
      <c r="AH30">
        <v>3590978863164.71</v>
      </c>
      <c r="AI30">
        <v>3651163584886.03</v>
      </c>
      <c r="AJ30">
        <v>3710650927468.94</v>
      </c>
      <c r="AK30">
        <v>3769222678960.85</v>
      </c>
      <c r="AL30">
        <v>3827388315801.78</v>
      </c>
      <c r="AM30">
        <v>3884887556998.5</v>
      </c>
      <c r="AN30">
        <v>3941836100526.72</v>
      </c>
      <c r="AO30">
        <v>3998401552257.13</v>
      </c>
      <c r="AP30">
        <v>4054441879280.04</v>
      </c>
      <c r="AQ30">
        <v>4110327454822.86</v>
      </c>
      <c r="AR30">
        <v>4165883039439.29</v>
      </c>
    </row>
    <row r="31" ht="22.5" spans="1:44">
      <c r="A31" s="3" t="s">
        <v>83</v>
      </c>
      <c r="B31" s="2" t="s">
        <v>130</v>
      </c>
      <c r="C31" s="2">
        <v>593559540940.151</v>
      </c>
      <c r="D31">
        <v>572493299273.405</v>
      </c>
      <c r="E31">
        <v>629646795505.729</v>
      </c>
      <c r="F31">
        <v>653293094067.141</v>
      </c>
      <c r="G31">
        <v>676410936879.172</v>
      </c>
      <c r="H31">
        <v>698842696141.787</v>
      </c>
      <c r="I31">
        <v>720983386483.072</v>
      </c>
      <c r="J31">
        <v>742529168280.354</v>
      </c>
      <c r="K31">
        <v>763475136348.248</v>
      </c>
      <c r="L31">
        <v>784003822941.171</v>
      </c>
      <c r="M31">
        <v>803890263705.661</v>
      </c>
      <c r="N31">
        <v>823286681871.005</v>
      </c>
      <c r="O31">
        <v>842161954167.453</v>
      </c>
      <c r="P31">
        <v>860380545581.631</v>
      </c>
      <c r="Q31">
        <v>878136298970.886</v>
      </c>
      <c r="R31">
        <v>895340959702.46</v>
      </c>
      <c r="S31">
        <v>911930312233.353</v>
      </c>
      <c r="T31">
        <v>928074423717.245</v>
      </c>
      <c r="U31">
        <v>943605597820.86</v>
      </c>
      <c r="V31">
        <v>958732626905.389</v>
      </c>
      <c r="W31">
        <v>973333676060.51</v>
      </c>
      <c r="X31">
        <v>987303995165.498</v>
      </c>
      <c r="Y31">
        <v>1000875259159.69</v>
      </c>
      <c r="Z31">
        <v>1013993980274.55</v>
      </c>
      <c r="AA31">
        <v>1026599068250.73</v>
      </c>
      <c r="AB31">
        <v>1038746027164.26</v>
      </c>
      <c r="AC31">
        <v>1050471869766.93</v>
      </c>
      <c r="AD31">
        <v>1061800643610.48</v>
      </c>
      <c r="AE31">
        <v>1072656496001.12</v>
      </c>
      <c r="AF31">
        <v>1083091842519.37</v>
      </c>
      <c r="AG31">
        <v>1093253041479.58</v>
      </c>
      <c r="AH31">
        <v>1102978069314.16</v>
      </c>
      <c r="AI31">
        <v>1112364243173.59</v>
      </c>
      <c r="AJ31">
        <v>1121455048465.38</v>
      </c>
      <c r="AK31">
        <v>1130182819943.73</v>
      </c>
      <c r="AL31">
        <v>1138668942143.96</v>
      </c>
      <c r="AM31">
        <v>1146896858910.79</v>
      </c>
      <c r="AN31">
        <v>1154888698282.49</v>
      </c>
      <c r="AO31">
        <v>1162681381036.11</v>
      </c>
      <c r="AP31">
        <v>1170271260559.7</v>
      </c>
      <c r="AQ31">
        <v>1177754381845.24</v>
      </c>
      <c r="AR31">
        <v>1185078308736.64</v>
      </c>
    </row>
    <row r="32" spans="1:44">
      <c r="A32" s="3" t="s">
        <v>84</v>
      </c>
      <c r="B32" s="2" t="s">
        <v>131</v>
      </c>
      <c r="C32" s="2">
        <v>248670653830.149</v>
      </c>
      <c r="D32">
        <v>218810894236.877</v>
      </c>
      <c r="E32">
        <v>240029379898.622</v>
      </c>
      <c r="F32">
        <v>257140036365.836</v>
      </c>
      <c r="G32">
        <v>274672285623.123</v>
      </c>
      <c r="H32">
        <v>292473716045.447</v>
      </c>
      <c r="I32">
        <v>310752167231.802</v>
      </c>
      <c r="J32">
        <v>329310240841.026</v>
      </c>
      <c r="K32">
        <v>348144698581.402</v>
      </c>
      <c r="L32">
        <v>367340683629.692</v>
      </c>
      <c r="M32">
        <v>386739295840.874</v>
      </c>
      <c r="N32">
        <v>406427462598.617</v>
      </c>
      <c r="O32">
        <v>426343342979.53</v>
      </c>
      <c r="P32">
        <v>446378249741.993</v>
      </c>
      <c r="Q32">
        <v>466683369275.105</v>
      </c>
      <c r="R32">
        <v>487145349005.401</v>
      </c>
      <c r="S32">
        <v>507659855977.69</v>
      </c>
      <c r="T32">
        <v>528384315638.473</v>
      </c>
      <c r="U32">
        <v>549185765199.498</v>
      </c>
      <c r="V32">
        <v>570168139173.801</v>
      </c>
      <c r="W32">
        <v>591207272928.699</v>
      </c>
      <c r="X32">
        <v>612263711720.236</v>
      </c>
      <c r="Y32">
        <v>633448076836.075</v>
      </c>
      <c r="Z32">
        <v>654692044892.417</v>
      </c>
      <c r="AA32">
        <v>675958063042.558</v>
      </c>
      <c r="AB32">
        <v>697249847488.713</v>
      </c>
      <c r="AC32">
        <v>718589343354.843</v>
      </c>
      <c r="AD32">
        <v>740009534127.534</v>
      </c>
      <c r="AE32">
        <v>761444185730.967</v>
      </c>
      <c r="AF32">
        <v>782869464645.179</v>
      </c>
      <c r="AG32">
        <v>804450416664.939</v>
      </c>
      <c r="AH32">
        <v>826035041736.071</v>
      </c>
      <c r="AI32">
        <v>847715544502.722</v>
      </c>
      <c r="AJ32">
        <v>869502571890.896</v>
      </c>
      <c r="AK32">
        <v>891349406638.823</v>
      </c>
      <c r="AL32">
        <v>913377877577.301</v>
      </c>
      <c r="AM32">
        <v>935583757465.09</v>
      </c>
      <c r="AN32">
        <v>957992653211.441</v>
      </c>
      <c r="AO32">
        <v>980666404206.072</v>
      </c>
      <c r="AP32">
        <v>1003597015384.25</v>
      </c>
      <c r="AQ32">
        <v>1026906879674.02</v>
      </c>
      <c r="AR32">
        <v>1050618001507.42</v>
      </c>
    </row>
    <row r="33" ht="33.75" spans="1:44">
      <c r="A33" s="3" t="s">
        <v>37</v>
      </c>
      <c r="B33" s="2" t="s">
        <v>132</v>
      </c>
      <c r="C33" s="2">
        <v>468641288027.1</v>
      </c>
      <c r="D33">
        <v>622251924791.866</v>
      </c>
      <c r="E33">
        <v>582790015486.191</v>
      </c>
      <c r="F33">
        <v>634767401867.325</v>
      </c>
      <c r="G33">
        <v>687638661018.327</v>
      </c>
      <c r="H33">
        <v>740622264799.021</v>
      </c>
      <c r="I33">
        <v>794610839359.759</v>
      </c>
      <c r="J33">
        <v>848658667393.863</v>
      </c>
      <c r="K33">
        <v>902725625828.244</v>
      </c>
      <c r="L33">
        <v>956993022995.286</v>
      </c>
      <c r="M33">
        <v>1010747846292</v>
      </c>
      <c r="N33">
        <v>1064294849516.28</v>
      </c>
      <c r="O33">
        <v>1117489243820.76</v>
      </c>
      <c r="P33">
        <v>1169923392716.35</v>
      </c>
      <c r="Q33">
        <v>1221951988571.53</v>
      </c>
      <c r="R33">
        <v>1273268476334.84</v>
      </c>
      <c r="S33">
        <v>1323587278553.53</v>
      </c>
      <c r="T33">
        <v>1373361046962.84</v>
      </c>
      <c r="U33">
        <v>1422065397571.63</v>
      </c>
      <c r="V33">
        <v>1470113789142.23</v>
      </c>
      <c r="W33">
        <v>1517140113670.11</v>
      </c>
      <c r="X33">
        <v>1563039512804.77</v>
      </c>
      <c r="Y33">
        <v>1608114960067.01</v>
      </c>
      <c r="Z33">
        <v>1652195635246.35</v>
      </c>
      <c r="AA33">
        <v>1695184480008.14</v>
      </c>
      <c r="AB33">
        <v>1737122932873.46</v>
      </c>
      <c r="AC33">
        <v>1778030636897.31</v>
      </c>
      <c r="AD33">
        <v>1817985195527.16</v>
      </c>
      <c r="AE33">
        <v>1856783430495.29</v>
      </c>
      <c r="AF33">
        <v>1894420030690.71</v>
      </c>
      <c r="AG33">
        <v>1931240890401.77</v>
      </c>
      <c r="AH33">
        <v>1966816879071.1</v>
      </c>
      <c r="AI33">
        <v>2001374428453.51</v>
      </c>
      <c r="AJ33">
        <v>2034879214233.89</v>
      </c>
      <c r="AK33">
        <v>2067208514090.65</v>
      </c>
      <c r="AL33">
        <v>2098583824653.58</v>
      </c>
      <c r="AM33">
        <v>2128895797639.63</v>
      </c>
      <c r="AN33">
        <v>2158122993234.9</v>
      </c>
      <c r="AO33">
        <v>2186295952233.84</v>
      </c>
      <c r="AP33">
        <v>2213387576685.41</v>
      </c>
      <c r="AQ33">
        <v>2239489241436.15</v>
      </c>
      <c r="AR33">
        <v>2264482818002.48</v>
      </c>
    </row>
    <row r="34" ht="22.5" spans="1:44">
      <c r="A34" s="3" t="s">
        <v>38</v>
      </c>
      <c r="B34" s="2" t="s">
        <v>135</v>
      </c>
      <c r="C34" s="2">
        <v>552238844296.406</v>
      </c>
      <c r="D34">
        <v>769269175054.394</v>
      </c>
      <c r="E34">
        <v>745937728759.922</v>
      </c>
      <c r="F34">
        <v>810257512468.126</v>
      </c>
      <c r="G34">
        <v>876635300744.859</v>
      </c>
      <c r="H34">
        <v>943761794733.335</v>
      </c>
      <c r="I34">
        <v>1012523923609.14</v>
      </c>
      <c r="J34">
        <v>1081953783122.71</v>
      </c>
      <c r="K34">
        <v>1151590016337.6</v>
      </c>
      <c r="L34">
        <v>1222229965841.73</v>
      </c>
      <c r="M34">
        <v>1292467375878.56</v>
      </c>
      <c r="N34">
        <v>1362592917429.09</v>
      </c>
      <c r="O34">
        <v>1432701798793.85</v>
      </c>
      <c r="P34">
        <v>1501869054455.48</v>
      </c>
      <c r="Q34">
        <v>1570779901700.37</v>
      </c>
      <c r="R34">
        <v>1638829402422.54</v>
      </c>
      <c r="S34">
        <v>1705485500890.22</v>
      </c>
      <c r="T34">
        <v>1771697112086.71</v>
      </c>
      <c r="U34">
        <v>1836500709844.31</v>
      </c>
      <c r="V34">
        <v>1900387391362.68</v>
      </c>
      <c r="W34">
        <v>1963046558107.35</v>
      </c>
      <c r="X34">
        <v>2024040383986.42</v>
      </c>
      <c r="Y34">
        <v>2084017370726.41</v>
      </c>
      <c r="Z34">
        <v>2142631863774.03</v>
      </c>
      <c r="AA34">
        <v>2199776084507.1</v>
      </c>
      <c r="AB34">
        <v>2255528590373.19</v>
      </c>
      <c r="AC34">
        <v>2309843536986.01</v>
      </c>
      <c r="AD34">
        <v>2362840634064.43</v>
      </c>
      <c r="AE34">
        <v>2414338732335.03</v>
      </c>
      <c r="AF34">
        <v>2464221302260.19</v>
      </c>
      <c r="AG34">
        <v>2513071333356.85</v>
      </c>
      <c r="AH34">
        <v>2560341731409.73</v>
      </c>
      <c r="AI34">
        <v>2606300533907.75</v>
      </c>
      <c r="AJ34">
        <v>2650893965498.18</v>
      </c>
      <c r="AK34">
        <v>2694018907048.75</v>
      </c>
      <c r="AL34">
        <v>2736168868059.43</v>
      </c>
      <c r="AM34">
        <v>2776965411609.85</v>
      </c>
      <c r="AN34">
        <v>2816632848822.19</v>
      </c>
      <c r="AO34">
        <v>2855240064084.26</v>
      </c>
      <c r="AP34">
        <v>2892595804649.94</v>
      </c>
      <c r="AQ34">
        <v>2929126131994.32</v>
      </c>
      <c r="AR34">
        <v>2964685267495.55</v>
      </c>
    </row>
    <row r="35" ht="22.5" spans="1:44">
      <c r="A35" s="3" t="s">
        <v>86</v>
      </c>
      <c r="B35" s="2" t="s">
        <v>170</v>
      </c>
      <c r="C35" s="2">
        <f>'分行业工业增加值（2012年美元）'!B48*'2020年全国投入产出表'!$AM$57/('2020年全国投入产出表'!$AM$57+'2020年全国投入产出表'!$AN$57)</f>
        <v>124884457198.241</v>
      </c>
      <c r="D35" s="2">
        <f>'分行业工业增加值（2012年美元）'!C48*'2020年全国投入产出表'!$AM$57/('2020年全国投入产出表'!$AM$57+'2020年全国投入产出表'!$AN$57)</f>
        <v>175961615159.025</v>
      </c>
      <c r="E35" s="2">
        <f>'分行业工业增加值（2012年美元）'!D48*'2020年全国投入产出表'!$AM$57/('2020年全国投入产出表'!$AM$57+'2020年全国投入产出表'!$AN$57)</f>
        <v>178343241041.031</v>
      </c>
      <c r="F35" s="2">
        <f>'分行业工业增加值（2012年美元）'!E48*'2020年全国投入产出表'!$AM$57/('2020年全国投入产出表'!$AM$57+'2020年全国投入产出表'!$AN$57)</f>
        <v>194689647660.537</v>
      </c>
      <c r="G35" s="2">
        <f>'分行业工业增加值（2012年美元）'!F48*'2020年全国投入产出表'!$AM$57/('2020年全国投入产出表'!$AM$57+'2020年全国投入产出表'!$AN$57)</f>
        <v>211369909471.723</v>
      </c>
      <c r="H35" s="2">
        <f>'分行业工业增加值（2012年美元）'!G48*'2020年全国投入产出表'!$AM$57/('2020年全国投入产出表'!$AM$57+'2020年全国投入产出表'!$AN$57)</f>
        <v>228100677114.892</v>
      </c>
      <c r="I35" s="2">
        <f>'分行业工业增加值（2012年美元）'!H48*'2020年全国投入产出表'!$AM$57/('2020年全国投入产出表'!$AM$57+'2020年全国投入产出表'!$AN$57)</f>
        <v>245191968515.452</v>
      </c>
      <c r="J35" s="2">
        <f>'分行业工业增加值（2012年美元）'!I48*'2020年全国投入产出表'!$AM$57/('2020年全国投入产出表'!$AM$57+'2020年全国投入产出表'!$AN$57)</f>
        <v>262245123204.499</v>
      </c>
      <c r="K35" s="2">
        <f>'分行业工业增加值（2012年美元）'!J48*'2020年全国投入产出表'!$AM$57/('2020年全国投入产出表'!$AM$57+'2020年全国投入产出表'!$AN$57)</f>
        <v>279304029401.688</v>
      </c>
      <c r="L35" s="2">
        <f>'分行业工业增加值（2012年美元）'!K48*'2020年全国投入产出表'!$AM$57/('2020年全国投入产出表'!$AM$57+'2020年全国投入产出表'!$AN$57)</f>
        <v>296474988061.269</v>
      </c>
      <c r="M35" s="2">
        <f>'分行业工业增加值（2012年美元）'!L48*'2020年全国投入产出表'!$AM$57/('2020年全国投入产出表'!$AM$57+'2020年全国投入产出表'!$AN$57)</f>
        <v>313490776424.83</v>
      </c>
      <c r="N35" s="2">
        <f>'分行业工业增加值（2012年美元）'!M48*'2020年全国投入产出表'!$AM$57/('2020年全国投入产出表'!$AM$57+'2020年全国投入产出表'!$AN$57)</f>
        <v>330419530892.229</v>
      </c>
      <c r="O35" s="2">
        <f>'分行业工业增加值（2012年美元）'!N48*'2020年全国投入产出表'!$AM$57/('2020年全国投入产出表'!$AM$57+'2020年全国投入产出表'!$AN$57)</f>
        <v>347260513291.94</v>
      </c>
      <c r="P35" s="2">
        <f>'分行业工业增加值（2012年美元）'!O48*'2020年全国投入产出表'!$AM$57/('2020年全国投入产出表'!$AM$57+'2020年全国投入产出表'!$AN$57)</f>
        <v>363916583191.906</v>
      </c>
      <c r="Q35" s="2">
        <f>'分行业工业增加值（2012年美元）'!P48*'2020年全国投入产出表'!$AM$57/('2020年全国投入产出表'!$AM$57+'2020年全国投入产出表'!$AN$57)</f>
        <v>380461962584.353</v>
      </c>
      <c r="R35" s="2">
        <f>'分行业工业增加值（2012年美元）'!Q48*'2020年全国投入产出表'!$AM$57/('2020年全国投入产出表'!$AM$57+'2020年全国投入产出表'!$AN$57)</f>
        <v>396739071837.113</v>
      </c>
      <c r="S35" s="2">
        <f>'分行业工业增加值（2012年美元）'!R48*'2020年全国投入产出表'!$AM$57/('2020年全国投入产出表'!$AM$57+'2020年全国投入产出表'!$AN$57)</f>
        <v>412729931517.448</v>
      </c>
      <c r="T35" s="2">
        <f>'分行业工业增加值（2012年美元）'!S48*'2020年全国投入产出表'!$AM$57/('2020年全国投入产出表'!$AM$57+'2020年全国投入产出表'!$AN$57)</f>
        <v>428610104055.68</v>
      </c>
      <c r="U35" s="2">
        <f>'分行业工业增加值（2012年美元）'!T48*'2020年全国投入产出表'!$AM$57/('2020年全国投入产出表'!$AM$57+'2020年全国投入产出表'!$AN$57)</f>
        <v>444145955763.768</v>
      </c>
      <c r="V35" s="2">
        <f>'分行业工业增加值（2012年美元）'!U48*'2020年全国投入产出表'!$AM$57/('2020年全国投入产出表'!$AM$57+'2020年全国投入产出表'!$AN$57)</f>
        <v>459517201683.472</v>
      </c>
      <c r="W35" s="2">
        <f>'分行业工业增加值（2012年美元）'!V48*'2020年全国投入产出表'!$AM$57/('2020年全国投入产出表'!$AM$57+'2020年全国投入产出表'!$AN$57)</f>
        <v>474567014836.253</v>
      </c>
      <c r="X35" s="2">
        <f>'分行业工业增加值（2012年美元）'!W48*'2020年全国投入产出表'!$AM$57/('2020年全国投入产出表'!$AM$57+'2020年全国投入产出表'!$AN$57)</f>
        <v>489320672249.885</v>
      </c>
      <c r="Y35" s="2">
        <f>'分行业工业增加值（2012年美元）'!X48*'2020年全国投入产出表'!$AM$57/('2020年全国投入产出表'!$AM$57+'2020年全国投入产出表'!$AN$57)</f>
        <v>503864991380.891</v>
      </c>
      <c r="Z35" s="2">
        <f>'分行业工业增加值（2012年美元）'!Y48*'2020年全国投入产出表'!$AM$57/('2020年全国投入产出表'!$AM$57+'2020年全国投入产出表'!$AN$57)</f>
        <v>518109242950.571</v>
      </c>
      <c r="AA35" s="2">
        <f>'分行业工业增加值（2012年美元）'!Z48*'2020年全国投入产出表'!$AM$57/('2020年全国投入产出表'!$AM$57+'2020年全国投入产出表'!$AN$57)</f>
        <v>532040569502.641</v>
      </c>
      <c r="AB35" s="2">
        <f>'分行业工业增加值（2012年美元）'!AA48*'2020年全国投入产出表'!$AM$57/('2020年全国投入产出表'!$AM$57+'2020年全国投入产出表'!$AN$57)</f>
        <v>545693644215.627</v>
      </c>
      <c r="AC35" s="2">
        <f>'分行业工业增加值（2012年美元）'!AB48*'2020年全国投入产出表'!$AM$57/('2020年全国投入产出表'!$AM$57+'2020年全国投入产出表'!$AN$57)</f>
        <v>559064717530.496</v>
      </c>
      <c r="AD35" s="2">
        <f>'分行业工业增加值（2012年美元）'!AC48*'2020年全国投入产出表'!$AM$57/('2020年全国投入产出表'!$AM$57+'2020年全国投入产出表'!$AN$57)</f>
        <v>572161223740.206</v>
      </c>
      <c r="AE35" s="2">
        <f>'分行业工业增加值（2012年美元）'!AD48*'2020年全国投入产出表'!$AM$57/('2020年全国投入产出表'!$AM$57+'2020年全国投入产出表'!$AN$57)</f>
        <v>584903748514.277</v>
      </c>
      <c r="AF35" s="2">
        <f>'分行业工业增加值（2012年美元）'!AE48*'2020年全国投入产出表'!$AM$57/('2020年全国投入产出表'!$AM$57+'2020年全国投入产出表'!$AN$57)</f>
        <v>597311708951.437</v>
      </c>
      <c r="AG35" s="2">
        <f>'分行业工业增加值（2012年美元）'!AF48*'2020年全国投入产出表'!$AM$57/('2020年全国投入产出表'!$AM$57+'2020年全国投入产出表'!$AN$57)</f>
        <v>609468015808.165</v>
      </c>
      <c r="AH35" s="2">
        <f>'分行业工业增加值（2012年美元）'!AG48*'2020年全国投入产出表'!$AM$57/('2020年全国投入产出表'!$AM$57+'2020年全国投入产出表'!$AN$57)</f>
        <v>621263611048.246</v>
      </c>
      <c r="AI35" s="2">
        <f>'分行业工业增加值（2012年美元）'!AH48*'2020年全国投入产出表'!$AM$57/('2020年全国投入产出表'!$AM$57+'2020年全国投入产出表'!$AN$57)</f>
        <v>632728626442.3</v>
      </c>
      <c r="AJ35" s="2">
        <f>'分行业工业增加值（2012年美元）'!AI48*'2020年全国投入产出表'!$AM$57/('2020年全国投入产出表'!$AM$57+'2020年全国投入产出表'!$AN$57)</f>
        <v>643826597432.608</v>
      </c>
      <c r="AK35" s="2">
        <f>'分行业工业增加值（2012年美元）'!AJ48*'2020年全国投入产出表'!$AM$57/('2020年全国投入产出表'!$AM$57+'2020年全国投入产出表'!$AN$57)</f>
        <v>654551501156.38</v>
      </c>
      <c r="AL35" s="2">
        <f>'分行业工业增加值（2012年美元）'!AK48*'2020年全国投入产出表'!$AM$57/('2020年全国投入产出表'!$AM$57+'2020年全国投入产出表'!$AN$57)</f>
        <v>664960920762.086</v>
      </c>
      <c r="AM35" s="2">
        <f>'分行业工业增加值（2012年美元）'!AL48*'2020年全国投入产出表'!$AM$57/('2020年全国投入产出表'!$AM$57+'2020年全国投入产出表'!$AN$57)</f>
        <v>674971710682.865</v>
      </c>
      <c r="AN35" s="2">
        <f>'分行业工业增加值（2012年美元）'!AM48*'2020年全国投入产出表'!$AM$57/('2020年全国投入产出表'!$AM$57+'2020年全国投入产出表'!$AN$57)</f>
        <v>684580702850.244</v>
      </c>
      <c r="AO35" s="2">
        <f>'分行业工业增加值（2012年美元）'!AN48*'2020年全国投入产出表'!$AM$57/('2020年全国投入产出表'!$AM$57+'2020年全国投入产出表'!$AN$57)</f>
        <v>693762974506.567</v>
      </c>
      <c r="AP35" s="2">
        <f>'分行业工业增加值（2012年美元）'!AO48*'2020年全国投入产出表'!$AM$57/('2020年全国投入产出表'!$AM$57+'2020年全国投入产出表'!$AN$57)</f>
        <v>702508504324.43</v>
      </c>
      <c r="AQ35" s="2">
        <f>'分行业工业增加值（2012年美元）'!AP48*'2020年全国投入产出表'!$AM$57/('2020年全国投入产出表'!$AM$57+'2020年全国投入产出表'!$AN$57)</f>
        <v>710813764292.443</v>
      </c>
      <c r="AR35" s="2">
        <f>'分行业工业增加值（2012年美元）'!AQ48*'2020年全国投入产出表'!$AM$57/('2020年全国投入产出表'!$AM$57+'2020年全国投入产出表'!$AN$57)</f>
        <v>718625957281.443</v>
      </c>
    </row>
    <row r="36" spans="1:44">
      <c r="A36" s="3" t="s">
        <v>85</v>
      </c>
      <c r="B36" s="2" t="s">
        <v>133</v>
      </c>
      <c r="C36" s="2">
        <v>1062266415401.56</v>
      </c>
      <c r="D36">
        <v>1160126796618.74</v>
      </c>
      <c r="E36">
        <v>1226777322244.41</v>
      </c>
      <c r="F36">
        <v>1330135713131.26</v>
      </c>
      <c r="G36">
        <v>1437178713577.14</v>
      </c>
      <c r="H36">
        <v>1546656486642.12</v>
      </c>
      <c r="I36">
        <v>1659867365912.86</v>
      </c>
      <c r="J36">
        <v>1775749245688.58</v>
      </c>
      <c r="K36">
        <v>1894149435713.45</v>
      </c>
      <c r="L36">
        <v>2016014222130.28</v>
      </c>
      <c r="M36">
        <v>2139845284604.65</v>
      </c>
      <c r="N36">
        <v>2266259599162.31</v>
      </c>
      <c r="O36">
        <v>2395440202777.02</v>
      </c>
      <c r="P36">
        <v>2526462424540.86</v>
      </c>
      <c r="Q36">
        <v>2660134590506.71</v>
      </c>
      <c r="R36">
        <v>2796019254903.16</v>
      </c>
      <c r="S36">
        <v>2933497544851.94</v>
      </c>
      <c r="T36">
        <v>3073869082243.86</v>
      </c>
      <c r="U36">
        <v>3215835321793.6</v>
      </c>
      <c r="V36">
        <v>3360240127633.11</v>
      </c>
      <c r="W36">
        <v>3506692944742.19</v>
      </c>
      <c r="X36">
        <v>3654700320921.93</v>
      </c>
      <c r="Y36">
        <v>3805049347075.2</v>
      </c>
      <c r="Z36">
        <v>3957474042027.69</v>
      </c>
      <c r="AA36">
        <v>4111614783294.73</v>
      </c>
      <c r="AB36">
        <v>4267890569288.54</v>
      </c>
      <c r="AC36">
        <v>4426067131129.24</v>
      </c>
      <c r="AD36">
        <v>4586530680196.51</v>
      </c>
      <c r="AE36">
        <v>4748704905377.8</v>
      </c>
      <c r="AF36">
        <v>4912487669432.24</v>
      </c>
      <c r="AG36">
        <v>5079020416572.15</v>
      </c>
      <c r="AH36">
        <v>5246949654543.22</v>
      </c>
      <c r="AI36">
        <v>5416840882115.31</v>
      </c>
      <c r="AJ36">
        <v>5588706283704.81</v>
      </c>
      <c r="AK36">
        <v>5762007522971.76</v>
      </c>
      <c r="AL36">
        <v>5937582496673.71</v>
      </c>
      <c r="AM36">
        <v>6114684508887.93</v>
      </c>
      <c r="AN36">
        <v>6293389478631.88</v>
      </c>
      <c r="AO36">
        <v>6473788948981.54</v>
      </c>
      <c r="AP36">
        <v>6655430436172.81</v>
      </c>
      <c r="AQ36">
        <v>6838927523639.16</v>
      </c>
      <c r="AR36">
        <v>7023309229589.33</v>
      </c>
    </row>
    <row r="37" spans="1:44">
      <c r="A37" s="3" t="s">
        <v>9</v>
      </c>
      <c r="B37" s="2" t="s">
        <v>134</v>
      </c>
      <c r="C37" s="2">
        <v>961773724575.542</v>
      </c>
      <c r="D37">
        <v>1026154144746.35</v>
      </c>
      <c r="E37">
        <v>1044049414403.83</v>
      </c>
      <c r="F37">
        <v>1102072478800.81</v>
      </c>
      <c r="G37">
        <v>1160584722796.17</v>
      </c>
      <c r="H37">
        <v>1219064686732.16</v>
      </c>
      <c r="I37">
        <v>1278302141818.25</v>
      </c>
      <c r="J37">
        <v>1337662737012.5</v>
      </c>
      <c r="K37">
        <v>1397098611243.4</v>
      </c>
      <c r="L37">
        <v>1456897967166.39</v>
      </c>
      <c r="M37">
        <v>1516498784715.46</v>
      </c>
      <c r="N37">
        <v>1576207589989.98</v>
      </c>
      <c r="O37">
        <v>1635982112238.1</v>
      </c>
      <c r="P37">
        <v>1695417066379.95</v>
      </c>
      <c r="Q37">
        <v>1754897995081.81</v>
      </c>
      <c r="R37">
        <v>1814141726737.09</v>
      </c>
      <c r="S37">
        <v>1872986835871.81</v>
      </c>
      <c r="T37">
        <v>1931798498702.41</v>
      </c>
      <c r="U37">
        <v>1990126406027.41</v>
      </c>
      <c r="V37">
        <v>2048338918097.81</v>
      </c>
      <c r="W37">
        <v>2106221463089.85</v>
      </c>
      <c r="X37">
        <v>2163520257379.96</v>
      </c>
      <c r="Y37">
        <v>2220608067749.71</v>
      </c>
      <c r="Z37">
        <v>2277324111362.72</v>
      </c>
      <c r="AA37">
        <v>2333574502615.82</v>
      </c>
      <c r="AB37">
        <v>2389402355300.99</v>
      </c>
      <c r="AC37">
        <v>2444862011734.66</v>
      </c>
      <c r="AD37">
        <v>2500032145386.92</v>
      </c>
      <c r="AE37">
        <v>2554656448377.36</v>
      </c>
      <c r="AF37">
        <v>2608869026737.56</v>
      </c>
      <c r="AG37">
        <v>2662987623796.62</v>
      </c>
      <c r="AH37">
        <v>2716597310059.71</v>
      </c>
      <c r="AI37">
        <v>2769941939906.03</v>
      </c>
      <c r="AJ37">
        <v>2823087062994.9</v>
      </c>
      <c r="AK37">
        <v>2875911437779.65</v>
      </c>
      <c r="AL37">
        <v>2928707870159.28</v>
      </c>
      <c r="AM37">
        <v>2981406532018.91</v>
      </c>
      <c r="AN37">
        <v>3034100856003.69</v>
      </c>
      <c r="AO37">
        <v>3086920617787.17</v>
      </c>
      <c r="AP37">
        <v>3139847657385.68</v>
      </c>
      <c r="AQ37">
        <v>3193115317300.1</v>
      </c>
      <c r="AR37">
        <v>3246722401058.18</v>
      </c>
    </row>
    <row r="38" ht="22.5" spans="1:44">
      <c r="A38" s="3" t="s">
        <v>87</v>
      </c>
      <c r="B38" s="2" t="s">
        <v>136</v>
      </c>
      <c r="C38" s="2">
        <f>'分行业工业增加值（2012年美元）'!B48*'2020年全国投入产出表'!$AN$57/('2020年全国投入产出表'!$AM$57+'2020年全国投入产出表'!$AN$57)</f>
        <v>241031071085.127</v>
      </c>
      <c r="D38" s="2">
        <f>'分行业工业增加值（2012年美元）'!C48*'2020年全国投入产出表'!$AN$57/('2020年全国投入产出表'!$AM$57+'2020年全国投入产出表'!$AN$57)</f>
        <v>339611650025.622</v>
      </c>
      <c r="E38" s="2">
        <f>'分行业工业增加值（2012年美元）'!D48*'2020年全国投入产出表'!$AN$57/('2020年全国投入产出表'!$AM$57+'2020年全国投入产出表'!$AN$57)</f>
        <v>344208265570.442</v>
      </c>
      <c r="F38" s="2">
        <f>'分行业工业增加值（2012年美元）'!E48*'2020年全国投入产出表'!$AN$57/('2020年全国投入产出表'!$AM$57+'2020年全国投入产出表'!$AN$57)</f>
        <v>375757362906.376</v>
      </c>
      <c r="G38" s="2">
        <f>'分行业工业增加值（2012年美元）'!F48*'2020年全国投入产出表'!$AN$57/('2020年全国投入产出表'!$AM$57+'2020年全国投入产出表'!$AN$57)</f>
        <v>407950811639.14</v>
      </c>
      <c r="H38" s="2">
        <f>'分行业工业增加值（2012年美元）'!G48*'2020年全国投入产出表'!$AN$57/('2020年全国投入产出表'!$AM$57+'2020年全国投入产出表'!$AN$57)</f>
        <v>440241738273.091</v>
      </c>
      <c r="I38" s="2">
        <f>'分行业工业增加值（2012年美元）'!H48*'2020年全国投入产出表'!$AN$57/('2020年全国投入产出表'!$AM$57+'2020年全国投入产出表'!$AN$57)</f>
        <v>473228487504.549</v>
      </c>
      <c r="J38" s="2">
        <f>'分行业工业增加值（2012年美元）'!I48*'2020年全国投入产出表'!$AN$57/('2020年全国投入产出表'!$AM$57+'2020年全国投入产出表'!$AN$57)</f>
        <v>506141631640.304</v>
      </c>
      <c r="K38" s="2">
        <f>'分行业工业增加值（2012年美元）'!J48*'2020年全国投入产出表'!$AN$57/('2020年全国投入产出表'!$AM$57+'2020年全国投入产出表'!$AN$57)</f>
        <v>539065876374.158</v>
      </c>
      <c r="L38" s="2">
        <f>'分行业工业增加值（2012年美元）'!K48*'2020年全国投入产出表'!$AN$57/('2020年全国投入产出表'!$AM$57+'2020年全国投入产出表'!$AN$57)</f>
        <v>572206386011.057</v>
      </c>
      <c r="M38" s="2">
        <f>'分行业工业增加值（2012年美元）'!L48*'2020年全国投入产出表'!$AN$57/('2020年全国投入产出表'!$AM$57+'2020年全国投入产出表'!$AN$57)</f>
        <v>605047411921.242</v>
      </c>
      <c r="N38" s="2">
        <f>'分行业工业增加值（2012年美元）'!M48*'2020年全国投入产出表'!$AN$57/('2020年全国投入产出表'!$AM$57+'2020年全国投入产出表'!$AN$57)</f>
        <v>637720459576.301</v>
      </c>
      <c r="O38" s="2">
        <f>'分行业工业增加值（2012年美元）'!N48*'2020年全国投入产出表'!$AN$57/('2020年全国投入产出表'!$AM$57+'2020年全国投入产出表'!$AN$57)</f>
        <v>670224104281.14</v>
      </c>
      <c r="P38" s="2">
        <f>'分行业工业增加值（2012年美元）'!O48*'2020年全国投入产出表'!$AN$57/('2020年全国投入产出表'!$AM$57+'2020年全国投入产出表'!$AN$57)</f>
        <v>702370861837.083</v>
      </c>
      <c r="Q38" s="2">
        <f>'分行业工业增加值（2012年美元）'!P48*'2020年全国投入产出表'!$AN$57/('2020年全国投入产出表'!$AM$57+'2020年全国投入产出表'!$AN$57)</f>
        <v>734303983107.257</v>
      </c>
      <c r="R38" s="2">
        <f>'分行业工业增加值（2012年美元）'!Q48*'2020年全国投入产出表'!$AN$57/('2020年全国投入产出表'!$AM$57+'2020年全国投入产出表'!$AN$57)</f>
        <v>765719334267.687</v>
      </c>
      <c r="S38" s="2">
        <f>'分行业工业增加值（2012年美元）'!R48*'2020年全国投入产出表'!$AN$57/('2020年全国投入产出表'!$AM$57+'2020年全国投入产出表'!$AN$57)</f>
        <v>796582214427.425</v>
      </c>
      <c r="T38" s="2">
        <f>'分行业工业增加值（2012年美元）'!S48*'2020年全国投入产出表'!$AN$57/('2020年全国投入产出表'!$AM$57+'2020年全国投入产出表'!$AN$57)</f>
        <v>827231464796.753</v>
      </c>
      <c r="U38" s="2">
        <f>'分行业工业增加值（2012年美元）'!T48*'2020年全国投入产出表'!$AN$57/('2020年全国投入产出表'!$AM$57+'2020年全国投入产出表'!$AN$57)</f>
        <v>857216164746.051</v>
      </c>
      <c r="V38" s="2">
        <f>'分行业工业增加值（2012年美元）'!U48*'2020年全国投入产出表'!$AN$57/('2020年全国投入产出表'!$AM$57+'2020年全国投入产出表'!$AN$57)</f>
        <v>886883170160.969</v>
      </c>
      <c r="W38" s="2">
        <f>'分行业工业增加值（2012年美元）'!V48*'2020年全国投入产出表'!$AN$57/('2020年全国投入产出表'!$AM$57+'2020年全国投入产出表'!$AN$57)</f>
        <v>915929799863.555</v>
      </c>
      <c r="X38" s="2">
        <f>'分行业工业增加值（2012年美元）'!W48*'2020年全国投入产出表'!$AN$57/('2020年全国投入产出表'!$AM$57+'2020年全国投入产出表'!$AN$57)</f>
        <v>944404839340.932</v>
      </c>
      <c r="Y38" s="2">
        <f>'分行业工业增加值（2012年美元）'!X48*'2020年全国投入产出表'!$AN$57/('2020年全国投入产出表'!$AM$57+'2020年全国投入产出表'!$AN$57)</f>
        <v>972475849112.671</v>
      </c>
      <c r="Z38" s="2">
        <f>'分行业工业增加值（2012年美元）'!Y48*'2020年全国投入产出表'!$AN$57/('2020年全国投入产出表'!$AM$57+'2020年全国投入产出表'!$AN$57)</f>
        <v>999967718714.955</v>
      </c>
      <c r="AA38" s="2">
        <f>'分行业工业增加值（2012年美元）'!Z48*'2020年全国投入产出表'!$AN$57/('2020年全国投入产出表'!$AM$57+'2020年全国投入产出表'!$AN$57)</f>
        <v>1026855632838.26</v>
      </c>
      <c r="AB38" s="2">
        <f>'分行业工业增加值（2012年美元）'!AA48*'2020年全国投入产出表'!$AN$57/('2020年全国投入产出表'!$AM$57+'2020年全国投入产出表'!$AN$57)</f>
        <v>1053206511846.79</v>
      </c>
      <c r="AC38" s="2">
        <f>'分行业工业增加值（2012年美元）'!AB48*'2020年全国投入产出表'!$AN$57/('2020年全国投入产出表'!$AM$57+'2020年全国投入产出表'!$AN$57)</f>
        <v>1079013118969.44</v>
      </c>
      <c r="AD38" s="2">
        <f>'分行业工业增加值（2012年美元）'!AC48*'2020年全国投入产出表'!$AN$57/('2020年全国投入产出表'!$AM$57+'2020年全国投入产出表'!$AN$57)</f>
        <v>1104289802633.83</v>
      </c>
      <c r="AE38" s="2">
        <f>'分行业工业增加值（2012年美元）'!AD48*'2020年全国投入产出表'!$AN$57/('2020年全国投入产出表'!$AM$57+'2020年全国投入产出表'!$AN$57)</f>
        <v>1128883290594.85</v>
      </c>
      <c r="AF38" s="2">
        <f>'分行业工业增加值（2012年美元）'!AE48*'2020年全国投入产出表'!$AN$57/('2020年全国投入产出表'!$AM$57+'2020年全国投入产出表'!$AN$57)</f>
        <v>1152831058485.64</v>
      </c>
      <c r="AG38" s="2">
        <f>'分行业工业增加值（2012年美元）'!AF48*'2020年全国投入产出表'!$AN$57/('2020年全国投入产出表'!$AM$57+'2020年全国投入产出表'!$AN$57)</f>
        <v>1176293126767.41</v>
      </c>
      <c r="AH38" s="2">
        <f>'分行业工业增加值（2012年美元）'!AG48*'2020年全国投入产出表'!$AN$57/('2020年全国投入产出表'!$AM$57+'2020年全国投入产出表'!$AN$57)</f>
        <v>1199059009877.19</v>
      </c>
      <c r="AI38" s="2">
        <f>'分行业工业增加值（2012年美元）'!AH48*'2020年全国投入产出表'!$AN$57/('2020年全国投入产出表'!$AM$57+'2020年全国投入产出表'!$AN$57)</f>
        <v>1221186863113.96</v>
      </c>
      <c r="AJ38" s="2">
        <f>'分行业工业增加值（2012年美元）'!AI48*'2020年全国投入产出表'!$AN$57/('2020年全国投入产出表'!$AM$57+'2020年全国投入产出表'!$AN$57)</f>
        <v>1242606308693.32</v>
      </c>
      <c r="AK38" s="2">
        <f>'分行业工业增加值（2012年美元）'!AJ48*'2020年全国投入产出表'!$AN$57/('2020年全国投入产出表'!$AM$57+'2020年全国投入产出表'!$AN$57)</f>
        <v>1263305722293.86</v>
      </c>
      <c r="AL38" s="2">
        <f>'分行业工业增加值（2012年美元）'!AK48*'2020年全国投入产出表'!$AN$57/('2020年全国投入产出表'!$AM$57+'2020年全国投入产出表'!$AN$57)</f>
        <v>1283396241268.17</v>
      </c>
      <c r="AM38" s="2">
        <f>'分行业工业增加值（2012年美元）'!AL48*'2020年全国投入产出表'!$AN$57/('2020年全国投入产出表'!$AM$57+'2020年全国投入产出表'!$AN$57)</f>
        <v>1302717391963.35</v>
      </c>
      <c r="AN38" s="2">
        <f>'分行业工业增加值（2012年美元）'!AM48*'2020年全国投入产出表'!$AN$57/('2020年全国投入产出表'!$AM$57+'2020年全国投入产出表'!$AN$57)</f>
        <v>1321263059904.04</v>
      </c>
      <c r="AO38" s="2">
        <f>'分行业工业增加值（2012年美元）'!AN48*'2020年全国投入产出表'!$AN$57/('2020年全国投入产出表'!$AM$57+'2020年全国投入产出表'!$AN$57)</f>
        <v>1338985143355.99</v>
      </c>
      <c r="AP38" s="2">
        <f>'分行业工业增加值（2012年美元）'!AO48*'2020年全国投入产出表'!$AN$57/('2020年全国投入产出表'!$AM$57+'2020年全国投入产出表'!$AN$57)</f>
        <v>1355864300830.81</v>
      </c>
      <c r="AQ38" s="2">
        <f>'分行业工业增加值（2012年美元）'!AP48*'2020年全国投入产出表'!$AN$57/('2020年全国投入产出表'!$AM$57+'2020年全国投入产出表'!$AN$57)</f>
        <v>1371893723151.58</v>
      </c>
      <c r="AR38" s="2">
        <f>'分行业工业增加值（2012年美元）'!AQ48*'2020年全国投入产出表'!$AN$57/('2020年全国投入产出表'!$AM$57+'2020年全国投入产出表'!$AN$57)</f>
        <v>1386971510138.9</v>
      </c>
    </row>
    <row r="39" ht="67.5" spans="1:44">
      <c r="A39" s="4" t="s">
        <v>88</v>
      </c>
      <c r="B39" s="2" t="s">
        <v>141</v>
      </c>
      <c r="C39" s="2">
        <f>'分行业工业增加值（2012年美元）'!B49+'分行业工业增加值（2012年美元）'!B54</f>
        <v>583061588932.759</v>
      </c>
      <c r="D39" s="2">
        <f>'分行业工业增加值（2012年美元）'!C49+'分行业工业增加值（2012年美元）'!C54</f>
        <v>753000094667.696</v>
      </c>
      <c r="E39" s="2">
        <f>'分行业工业增加值（2012年美元）'!D49+'分行业工业增加值（2012年美元）'!D54</f>
        <v>665828738890.802</v>
      </c>
      <c r="F39" s="2">
        <f>'分行业工业增加值（2012年美元）'!E49+'分行业工业增加值（2012年美元）'!E54</f>
        <v>726548198161.223</v>
      </c>
      <c r="G39" s="2">
        <f>'分行业工业增加值（2012年美元）'!F49+'分行业工业增加值（2012年美元）'!F54</f>
        <v>788921268218.176</v>
      </c>
      <c r="H39" s="2">
        <f>'分行业工业增加值（2012年美元）'!G49+'分行业工业增加值（2012年美元）'!G54</f>
        <v>852254220429.515</v>
      </c>
      <c r="I39" s="2">
        <f>'分行业工业增加值（2012年美元）'!H49+'分行业工业增加值（2012年美元）'!H54</f>
        <v>917490076658.544</v>
      </c>
      <c r="J39" s="2">
        <f>'分行业工业增加值（2012年美元）'!I49+'分行业工业增加值（2012年美元）'!I54</f>
        <v>983326284985.582</v>
      </c>
      <c r="K39" s="2">
        <f>'分行业工业增加值（2012年美元）'!J49+'分行业工业增加值（2012年美元）'!J54</f>
        <v>1049763833849.94</v>
      </c>
      <c r="L39" s="2">
        <f>'分行业工业增加值（2012年美元）'!K49+'分行业工业增加值（2012年美元）'!K54</f>
        <v>1117013333365.35</v>
      </c>
      <c r="M39" s="2">
        <f>'分行业工业增加值（2012年美元）'!L49+'分行业工业增加值（2012年美元）'!L54</f>
        <v>1184176809765.65</v>
      </c>
      <c r="N39" s="2">
        <f>'分行业工业增加值（2012年美元）'!M49+'分行业工业增加值（2012年美元）'!M54</f>
        <v>1251574285294.22</v>
      </c>
      <c r="O39" s="2">
        <f>'分行业工业增加值（2012年美元）'!N49+'分行业工业增加值（2012年美元）'!N54</f>
        <v>1318940083855.38</v>
      </c>
      <c r="P39" s="2">
        <f>'分行业工业增加值（2012年美元）'!O49+'分行业工业增加值（2012年美元）'!O54</f>
        <v>1385737577436.66</v>
      </c>
      <c r="Q39" s="2">
        <f>'分行业工业增加值（2012年美元）'!P49+'分行业工业增加值（2012年美元）'!P54</f>
        <v>1452346086516.91</v>
      </c>
      <c r="R39" s="2">
        <f>'分行业工业增加值（2012年美元）'!Q49+'分行业工业增加值（2012年美元）'!Q54</f>
        <v>1518231224018.42</v>
      </c>
      <c r="S39" s="2">
        <f>'分行业工业增加值（2012年美元）'!R49+'分行业工业增加值（2012年美元）'!R54</f>
        <v>1583190319956.72</v>
      </c>
      <c r="T39" s="2">
        <f>'分行业工业增加值（2012年美元）'!S49+'分行业工业增加值（2012年美元）'!S54</f>
        <v>1647613405752.09</v>
      </c>
      <c r="U39" s="2">
        <f>'分行业工业增加值（2012年美元）'!T49+'分行业工业增加值（2012年美元）'!T54</f>
        <v>1710838682181.33</v>
      </c>
      <c r="V39" s="2">
        <f>'分行业工业增加值（2012年美元）'!U49+'分行业工业增加值（2012年美元）'!U54</f>
        <v>1773440686513.14</v>
      </c>
      <c r="W39" s="2">
        <f>'分行业工业增加值（2012年美元）'!V49+'分行业工业增加值（2012年美元）'!V54</f>
        <v>1834917959592.6</v>
      </c>
      <c r="X39" s="2">
        <f>'分行业工业增加值（2012年美元）'!W49+'分行业工业增加值（2012年美元）'!W54</f>
        <v>1894976582855.34</v>
      </c>
      <c r="Y39" s="2">
        <f>'分行业工业增加值（2012年美元）'!X49+'分行业工业增加值（2012年美元）'!X54</f>
        <v>1954120192159.12</v>
      </c>
      <c r="Z39" s="2">
        <f>'分行业工业增加值（2012年美元）'!Y49+'分行业工业增加值（2012年美元）'!Y54</f>
        <v>2012089837204.29</v>
      </c>
      <c r="AA39" s="2">
        <f>'分行业工业增加值（2012年美元）'!Z49+'分行业工业增加值（2012年美元）'!Z54</f>
        <v>2068731249291.4</v>
      </c>
      <c r="AB39" s="2">
        <f>'分行业工业增加值（2012年美元）'!AA49+'分行业工业增加值（2012年美元）'!AA54</f>
        <v>2124031909828.48</v>
      </c>
      <c r="AC39" s="2">
        <f>'分行业工业增加值（2012年美元）'!AB49+'分行业工业增加值（2012年美元）'!AB54</f>
        <v>2178162366204.83</v>
      </c>
      <c r="AD39" s="2">
        <f>'分行业工业增加值（2012年美元）'!AC49+'分行业工业增加值（2012年美元）'!AC54</f>
        <v>2231161228499.73</v>
      </c>
      <c r="AE39" s="2">
        <f>'分行业工业增加值（2012年美元）'!AD49+'分行业工业增加值（2012年美元）'!AD54</f>
        <v>2282699818439.89</v>
      </c>
      <c r="AF39" s="2">
        <f>'分行业工业增加值（2012年美元）'!AE49+'分行业工业增加值（2012年美元）'!AE54</f>
        <v>2332833478947.76</v>
      </c>
      <c r="AG39" s="2">
        <f>'分行业工业增加值（2012年美元）'!AF49+'分行业工业增加值（2012年美元）'!AF54</f>
        <v>2382052185747.24</v>
      </c>
      <c r="AH39" s="2">
        <f>'分行业工业增加值（2012年美元）'!AG49+'分行业工业增加值（2012年美元）'!AG54</f>
        <v>2429822378435.12</v>
      </c>
      <c r="AI39" s="2">
        <f>'分行业工业增加值（2012年美元）'!AH49+'分行业工业增加值（2012年美元）'!AH54</f>
        <v>2476371528652.87</v>
      </c>
      <c r="AJ39" s="2">
        <f>'分行业工业增加值（2012年美元）'!AI49+'分行业工业增加值（2012年美元）'!AI54</f>
        <v>2521847197758.79</v>
      </c>
      <c r="AK39" s="2">
        <f>'分行业工业增加值（2012年美元）'!AJ49+'分行业工业增加值（2012年美元）'!AJ54</f>
        <v>2566040398415.28</v>
      </c>
      <c r="AL39" s="2">
        <f>'分行业工业增加值（2012年美元）'!AK49+'分行业工业增加值（2012年美元）'!AK54</f>
        <v>2609237089353.77</v>
      </c>
      <c r="AM39" s="2">
        <f>'分行业工业增加值（2012年美元）'!AL49+'分行业工业增加值（2012年美元）'!AL54</f>
        <v>2651431378532.26</v>
      </c>
      <c r="AN39" s="2">
        <f>'分行业工业增加值（2012年美元）'!AM49+'分行业工业增加值（2012年美元）'!AM54</f>
        <v>2692682095005.49</v>
      </c>
      <c r="AO39" s="2">
        <f>'分行业工业增加值（2012年美元）'!AN49+'分行业工业增加值（2012年美元）'!AN54</f>
        <v>2733059747926.22</v>
      </c>
      <c r="AP39" s="2">
        <f>'分行业工业增加值（2012年美元）'!AO49+'分行业工业增加值（2012年美元）'!AO54</f>
        <v>2772615623194.56</v>
      </c>
      <c r="AQ39" s="2">
        <f>'分行业工业增加值（2012年美元）'!AP49+'分行业工业增加值（2012年美元）'!AP54</f>
        <v>2811494411460.37</v>
      </c>
      <c r="AR39" s="2">
        <f>'分行业工业增加值（2012年美元）'!AQ49+'分行业工业增加值（2012年美元）'!AQ54</f>
        <v>2849671156429.32</v>
      </c>
    </row>
    <row r="40" spans="1:44">
      <c r="A40" s="3" t="s">
        <v>42</v>
      </c>
      <c r="B40" s="2" t="s">
        <v>138</v>
      </c>
      <c r="C40" s="2">
        <v>396530442597.443</v>
      </c>
      <c r="D40">
        <v>515592470928.004</v>
      </c>
      <c r="E40">
        <v>460587362164.811</v>
      </c>
      <c r="F40">
        <v>501844608063.286</v>
      </c>
      <c r="G40">
        <v>544298945939.581</v>
      </c>
      <c r="H40">
        <v>587274345076.033</v>
      </c>
      <c r="I40">
        <v>631478882151.297</v>
      </c>
      <c r="J40">
        <v>675903396353.246</v>
      </c>
      <c r="K40">
        <v>720690396737.074</v>
      </c>
      <c r="L40">
        <v>766003184225.054</v>
      </c>
      <c r="M40">
        <v>811074070079.98</v>
      </c>
      <c r="N40">
        <v>856278588452.38</v>
      </c>
      <c r="O40">
        <v>901357831273.449</v>
      </c>
      <c r="P40">
        <v>945970374889.193</v>
      </c>
      <c r="Q40">
        <v>990409824074.335</v>
      </c>
      <c r="R40">
        <v>1034219484896.58</v>
      </c>
      <c r="S40">
        <v>1077349275657.27</v>
      </c>
      <c r="T40">
        <v>1120084875008.15</v>
      </c>
      <c r="U40">
        <v>1161941053191.39</v>
      </c>
      <c r="V40">
        <v>1203330095478.44</v>
      </c>
      <c r="W40">
        <v>1243925228629.14</v>
      </c>
      <c r="X40">
        <v>1283583349637.72</v>
      </c>
      <c r="Y40">
        <v>1322584662437.23</v>
      </c>
      <c r="Z40">
        <v>1360708939698.75</v>
      </c>
      <c r="AA40">
        <v>1397969165410.5</v>
      </c>
      <c r="AB40">
        <v>1434311157555.62</v>
      </c>
      <c r="AC40">
        <v>1469818527419.8</v>
      </c>
      <c r="AD40">
        <v>1504594745851.81</v>
      </c>
      <c r="AE40">
        <v>1538326119113.15</v>
      </c>
      <c r="AF40">
        <v>1571112405012.41</v>
      </c>
      <c r="AG40">
        <v>1603262055979.45</v>
      </c>
      <c r="AH40">
        <v>1634384315559.99</v>
      </c>
      <c r="AI40">
        <v>1664686585714.2</v>
      </c>
      <c r="AJ40">
        <v>1694177914804.42</v>
      </c>
      <c r="AK40">
        <v>1722749163931.72</v>
      </c>
      <c r="AL40">
        <v>1750590123827.82</v>
      </c>
      <c r="AM40">
        <v>1777635928265.24</v>
      </c>
      <c r="AN40">
        <v>1803948195656.33</v>
      </c>
      <c r="AO40">
        <v>1829516809152.46</v>
      </c>
      <c r="AP40">
        <v>1854379757051.71</v>
      </c>
      <c r="AQ40">
        <v>1878592328800.43</v>
      </c>
      <c r="AR40">
        <v>1902100480144.21</v>
      </c>
    </row>
    <row r="41" ht="22.5" spans="1:44">
      <c r="A41" s="3" t="s">
        <v>43</v>
      </c>
      <c r="B41" s="2" t="s">
        <v>139</v>
      </c>
      <c r="C41" s="2">
        <v>276885193263.772</v>
      </c>
      <c r="D41">
        <v>366620066214.743</v>
      </c>
      <c r="E41">
        <v>335467151918.152</v>
      </c>
      <c r="F41">
        <v>366177511096.027</v>
      </c>
      <c r="G41">
        <v>397617375511.968</v>
      </c>
      <c r="H41">
        <v>429254894664.436</v>
      </c>
      <c r="I41">
        <v>461671110388.381</v>
      </c>
      <c r="J41">
        <v>494243519455.85</v>
      </c>
      <c r="K41">
        <v>526948695675.274</v>
      </c>
      <c r="L41">
        <v>559948886340.233</v>
      </c>
      <c r="M41">
        <v>592705820891.639</v>
      </c>
      <c r="N41">
        <v>625482515519.593</v>
      </c>
      <c r="O41">
        <v>658182366599.406</v>
      </c>
      <c r="P41">
        <v>690448822772.652</v>
      </c>
      <c r="Q41">
        <v>722567784755.417</v>
      </c>
      <c r="R41">
        <v>754228654245.194</v>
      </c>
      <c r="S41">
        <v>785364123287.961</v>
      </c>
      <c r="T41">
        <v>816206542259.973</v>
      </c>
      <c r="U41">
        <v>846393121038.092</v>
      </c>
      <c r="V41">
        <v>876210331509.339</v>
      </c>
      <c r="W41">
        <v>905484921282.166</v>
      </c>
      <c r="X41">
        <v>934042939717.203</v>
      </c>
      <c r="Y41">
        <v>962121217949.953</v>
      </c>
      <c r="Z41">
        <v>989589250552.666</v>
      </c>
      <c r="AA41">
        <v>1016407322130.35</v>
      </c>
      <c r="AB41">
        <v>1042592254504.55</v>
      </c>
      <c r="AC41">
        <v>1068146985841.97</v>
      </c>
      <c r="AD41">
        <v>1093174701113.97</v>
      </c>
      <c r="AE41">
        <v>1117460694812.18</v>
      </c>
      <c r="AF41">
        <v>1141052728840.53</v>
      </c>
      <c r="AG41">
        <v>1164197979451.53</v>
      </c>
      <c r="AH41">
        <v>1186583221341.52</v>
      </c>
      <c r="AI41">
        <v>1208362233461.17</v>
      </c>
      <c r="AJ41">
        <v>1229566300092.13</v>
      </c>
      <c r="AK41">
        <v>1250082541273.25</v>
      </c>
      <c r="AL41">
        <v>1270067826791.24</v>
      </c>
      <c r="AM41">
        <v>1289457813628.77</v>
      </c>
      <c r="AN41">
        <v>1308271128590.6</v>
      </c>
      <c r="AO41">
        <v>1326536800739.86</v>
      </c>
      <c r="AP41">
        <v>1344242707250.81</v>
      </c>
      <c r="AQ41">
        <v>1361456894435.33</v>
      </c>
      <c r="AR41">
        <v>1378106757507.39</v>
      </c>
    </row>
    <row r="42" ht="22.5" spans="1:44">
      <c r="A42" s="3" t="s">
        <v>44</v>
      </c>
      <c r="B42" s="2" t="s">
        <v>140</v>
      </c>
      <c r="C42" s="2">
        <v>161045905897.189</v>
      </c>
      <c r="D42">
        <v>222235160205.162</v>
      </c>
      <c r="E42">
        <v>213859180128.638</v>
      </c>
      <c r="F42">
        <v>232080372670.855</v>
      </c>
      <c r="G42">
        <v>250733172455.89</v>
      </c>
      <c r="H42">
        <v>269683290019.578</v>
      </c>
      <c r="I42">
        <v>289087475661.545</v>
      </c>
      <c r="J42">
        <v>308688314744.276</v>
      </c>
      <c r="K42">
        <v>328466762077.79</v>
      </c>
      <c r="L42">
        <v>348416563224.169</v>
      </c>
      <c r="M42">
        <v>368349083691.416</v>
      </c>
      <c r="N42">
        <v>388280941716.284</v>
      </c>
      <c r="O42">
        <v>408123891628.264</v>
      </c>
      <c r="P42">
        <v>427779090626.938</v>
      </c>
      <c r="Q42">
        <v>447347551328.444</v>
      </c>
      <c r="R42">
        <v>466721010425.503</v>
      </c>
      <c r="S42">
        <v>485724709350.119</v>
      </c>
      <c r="T42">
        <v>504514585837.764</v>
      </c>
      <c r="U42">
        <v>522992825239.326</v>
      </c>
      <c r="V42">
        <v>541176621999.475</v>
      </c>
      <c r="W42">
        <v>558945543065.936</v>
      </c>
      <c r="X42">
        <v>576305556222.534</v>
      </c>
      <c r="Y42">
        <v>593311453203.263</v>
      </c>
      <c r="Z42">
        <v>609908363491.683</v>
      </c>
      <c r="AA42">
        <v>626061396293.995</v>
      </c>
      <c r="AB42">
        <v>641776872968.593</v>
      </c>
      <c r="AC42">
        <v>657094038989.09</v>
      </c>
      <c r="AD42">
        <v>671981386862.237</v>
      </c>
      <c r="AE42">
        <v>686454133187.161</v>
      </c>
      <c r="AF42">
        <v>700466839427.297</v>
      </c>
      <c r="AG42">
        <v>714109455008.932</v>
      </c>
      <c r="AH42">
        <v>727332996323.009</v>
      </c>
      <c r="AI42">
        <v>740167285131.365</v>
      </c>
      <c r="AJ42">
        <v>752617784648.091</v>
      </c>
      <c r="AK42">
        <v>764695149087.999</v>
      </c>
      <c r="AL42">
        <v>776469785807.477</v>
      </c>
      <c r="AM42">
        <v>787932724827.012</v>
      </c>
      <c r="AN42">
        <v>799114599030.743</v>
      </c>
      <c r="AO42">
        <v>810059837219.335</v>
      </c>
      <c r="AP42">
        <v>820764827200.404</v>
      </c>
      <c r="AQ42">
        <v>831300529779.168</v>
      </c>
      <c r="AR42">
        <v>841709602506.869</v>
      </c>
    </row>
    <row r="43" ht="33.75" spans="1:44">
      <c r="A43" s="3" t="s">
        <v>41</v>
      </c>
      <c r="B43" s="2" t="s">
        <v>137</v>
      </c>
      <c r="C43" s="2">
        <v>293315215089.206</v>
      </c>
      <c r="D43">
        <v>403425714122.283</v>
      </c>
      <c r="E43">
        <v>384569584668.547</v>
      </c>
      <c r="F43">
        <v>420191402592.614</v>
      </c>
      <c r="G43">
        <v>456650989574.658</v>
      </c>
      <c r="H43">
        <v>493488255244.244</v>
      </c>
      <c r="I43">
        <v>531556024010.038</v>
      </c>
      <c r="J43">
        <v>569837985005.094</v>
      </c>
      <c r="K43">
        <v>608350275798.368</v>
      </c>
      <c r="L43">
        <v>647314420069.325</v>
      </c>
      <c r="M43">
        <v>686089894193.105</v>
      </c>
      <c r="N43">
        <v>725160520653.604</v>
      </c>
      <c r="O43">
        <v>763955425285.416</v>
      </c>
      <c r="P43">
        <v>802233371494.197</v>
      </c>
      <c r="Q43">
        <v>840491309848.326</v>
      </c>
      <c r="R43">
        <v>878179723689.08</v>
      </c>
      <c r="S43">
        <v>915215185093.674</v>
      </c>
      <c r="T43">
        <v>951948144229.705</v>
      </c>
      <c r="U43">
        <v>987903122487.782</v>
      </c>
      <c r="V43">
        <v>1023474241904.12</v>
      </c>
      <c r="W43">
        <v>1058270667237.72</v>
      </c>
      <c r="X43">
        <v>1092163227031.03</v>
      </c>
      <c r="Y43">
        <v>1125513609763.37</v>
      </c>
      <c r="Z43">
        <v>1158072771023.26</v>
      </c>
      <c r="AA43">
        <v>1189870248550.7</v>
      </c>
      <c r="AB43">
        <v>1220786517055.5</v>
      </c>
      <c r="AC43">
        <v>1250917869099.45</v>
      </c>
      <c r="AD43">
        <v>1280463485368.61</v>
      </c>
      <c r="AE43">
        <v>1309049186389.98</v>
      </c>
      <c r="AF43">
        <v>1336755463912.71</v>
      </c>
      <c r="AG43">
        <v>1363949624700.66</v>
      </c>
      <c r="AH43">
        <v>1390228795204.72</v>
      </c>
      <c r="AI43">
        <v>1415857086646.18</v>
      </c>
      <c r="AJ43">
        <v>1440802773285.7</v>
      </c>
      <c r="AK43">
        <v>1464954995389.68</v>
      </c>
      <c r="AL43">
        <v>1488551602970.49</v>
      </c>
      <c r="AM43">
        <v>1511542078217.82</v>
      </c>
      <c r="AN43">
        <v>1533989327282.26</v>
      </c>
      <c r="AO43">
        <v>1555909198188.84</v>
      </c>
      <c r="AP43">
        <v>1577367307922.18</v>
      </c>
      <c r="AQ43">
        <v>1598464123025.5</v>
      </c>
      <c r="AR43">
        <v>1619115300097.97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3"/>
  <sheetViews>
    <sheetView workbookViewId="0">
      <selection activeCell="A1" sqref="A1"/>
    </sheetView>
  </sheetViews>
  <sheetFormatPr defaultColWidth="9" defaultRowHeight="13.5"/>
  <cols>
    <col min="2" max="6" width="13.75"/>
    <col min="7" max="7" width="12.625"/>
    <col min="8" max="42" width="13.75"/>
  </cols>
  <sheetData>
    <row r="1" spans="1:42">
      <c r="A1" s="1" t="s">
        <v>171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</row>
    <row r="2" spans="1:42">
      <c r="A2" s="2" t="s">
        <v>101</v>
      </c>
      <c r="B2">
        <f>'分42行业工业增加值（2012年美元）'!D2/'分42行业工业增加值（2012年美元）'!C2-1</f>
        <v>0.0951864792163439</v>
      </c>
      <c r="C2">
        <f>'分42行业工业增加值（2012年美元）'!E2/'分42行业工业增加值（2012年美元）'!D2-1</f>
        <v>0.0471551400821291</v>
      </c>
      <c r="D2">
        <f>'分42行业工业增加值（2012年美元）'!F2/'分42行业工业增加值（2012年美元）'!E2-1</f>
        <v>0.0380285568369849</v>
      </c>
      <c r="E2">
        <f>'分42行业工业增加值（2012年美元）'!G2/'分42行业工业增加值（2012年美元）'!F2-1</f>
        <v>0.0359246968994056</v>
      </c>
      <c r="F2">
        <f>'分42行业工业增加值（2012年美元）'!H2/'分42行业工业增加值（2012年美元）'!G2-1</f>
        <v>0.0337787917050443</v>
      </c>
      <c r="G2">
        <f>'分42行业工业增加值（2012年美元）'!I2/'分42行业工业增加值（2012年美元）'!H2-1</f>
        <v>0.0324961692787704</v>
      </c>
      <c r="H2">
        <f>'分42行业工业增加值（2012年美元）'!J2/'分42行业工业增加值（2012年美元）'!I2-1</f>
        <v>0.03067944721202</v>
      </c>
      <c r="I2">
        <f>'分42行业工业增加值（2012年美元）'!K2/'分42行业工业增加值（2012年美元）'!J2-1</f>
        <v>0.0291139620887628</v>
      </c>
      <c r="J2">
        <f>'分42行业工业增加值（2012年美元）'!L2/'分42行业工业增加值（2012年美元）'!K2-1</f>
        <v>0.0278141196342316</v>
      </c>
      <c r="K2">
        <f>'分42行业工业增加值（2012年美元）'!M2/'分42行业工业增加值（2012年美元）'!L2-1</f>
        <v>0.0263415137059184</v>
      </c>
      <c r="L2">
        <f>'分42行业工业增加值（2012年美元）'!N2/'分42行业工业增加值（2012年美元）'!M2-1</f>
        <v>0.0252854860714729</v>
      </c>
      <c r="M2">
        <f>'分42行业工业增加值（2012年美元）'!O2/'分42行业工业增加值（2012年美元）'!N2-1</f>
        <v>0.0240039895499045</v>
      </c>
      <c r="N2">
        <f>'分42行业工业增加值（2012年美元）'!P2/'分42行业工业增加值（2012年美元）'!O2-1</f>
        <v>0.0227239560523156</v>
      </c>
      <c r="O2">
        <f>'分42行业工业增加值（2012年美元）'!Q2/'分42行业工业增加值（2012年美元）'!P2-1</f>
        <v>0.0218017851372536</v>
      </c>
      <c r="P2">
        <f>'分42行业工业增加值（2012年美元）'!R2/'分42行业工业增加值（2012年美元）'!Q2-1</f>
        <v>0.020712877858404</v>
      </c>
      <c r="Q2">
        <f>'分42行业工业增加值（2012年美元）'!S2/'分42行业工业增加值（2012年美元）'!R2-1</f>
        <v>0.0196196106542259</v>
      </c>
      <c r="R2">
        <f>'分42行业工业增加值（2012年美元）'!T2/'分42行业工业增加值（2012年美元）'!S2-1</f>
        <v>0.0187572133374045</v>
      </c>
      <c r="S2">
        <f>'分42行业工业增加值（2012年美元）'!U2/'分42行业工业增加值（2012年美元）'!T2-1</f>
        <v>0.017802207119382</v>
      </c>
      <c r="T2">
        <f>'分42行业工业增加值（2012年美元）'!V2/'分42行业工业增加值（2012年美元）'!U2-1</f>
        <v>0.0171357683283653</v>
      </c>
      <c r="U2">
        <f>'分42行业工业增加值（2012年美元）'!W2/'分42行业工业增加值（2012年美元）'!V2-1</f>
        <v>0.0162679760519708</v>
      </c>
      <c r="V2">
        <f>'分42行业工业增加值（2012年美元）'!X2/'分42行业工业增加值（2012年美元）'!W2-1</f>
        <v>0.0153955944869675</v>
      </c>
      <c r="W2">
        <f>'分42行业工业增加值（2012年美元）'!Y2/'分42行业工业增加值（2012年美元）'!X2-1</f>
        <v>0.0147672176624147</v>
      </c>
      <c r="X2">
        <f>'分42行业工业增加值（2012年美元）'!Z2/'分42行业工业增加值（2012年美元）'!Y2-1</f>
        <v>0.0140686857107528</v>
      </c>
      <c r="Y2">
        <f>'分42行业工业增加值（2012年美元）'!AA2/'分42行业工业增加值（2012年美元）'!Z2-1</f>
        <v>0.0133658316173995</v>
      </c>
      <c r="Z2">
        <f>'分42行业工业增加值（2012年美元）'!AB2/'分42行业工业增加值（2012年美元）'!AA2-1</f>
        <v>0.0127304965920898</v>
      </c>
      <c r="AA2">
        <f>'分42行业工业增加值（2012年美元）'!AC2/'分42行业工业增加值（2012年美元）'!AB2-1</f>
        <v>0.0121558804847464</v>
      </c>
      <c r="AB2">
        <f>'分42行业工业增加值（2012年美元）'!AD2/'分42行业工业增加值（2012年美元）'!AC2-1</f>
        <v>0.011680709719543</v>
      </c>
      <c r="AC2">
        <f>'分42行业工业增加值（2012年美元）'!AE2/'分42行业工业增加值（2012年美元）'!AD2-1</f>
        <v>0.0111078614166658</v>
      </c>
      <c r="AD2">
        <f>'分42行业工业增加值（2012年美元）'!AF2/'分42行业工业增加值（2012年美元）'!AE2-1</f>
        <v>0.0105842238012384</v>
      </c>
      <c r="AE2">
        <f>'分42行业工业增加值（2012年美元）'!AG2/'分42行业工业增加值（2012年美元）'!AF2-1</f>
        <v>0.0102353903756698</v>
      </c>
      <c r="AF2">
        <f>'分42行业工业增加值（2012年美元）'!AH2/'分42行业工业增加值（2012年美元）'!AG2-1</f>
        <v>0.009738616526491</v>
      </c>
      <c r="AG2">
        <f>'分42行业工业增加值（2012年美元）'!AI2/'分42行业工业增加值（2012年美元）'!AH2-1</f>
        <v>0.00937552531116514</v>
      </c>
      <c r="AH2">
        <f>'分42行业工业增加值（2012年美元）'!AJ2/'分42行业工业增加值（2012年美元）'!AI2-1</f>
        <v>0.00904363834154132</v>
      </c>
      <c r="AI2">
        <f>'分42行业工业增加值（2012年美元）'!AK2/'分42行业工业增加值（2012年美元）'!AJ2-1</f>
        <v>0.00867304388869772</v>
      </c>
      <c r="AJ2">
        <f>'分42行业工业增加值（2012年美元）'!AL2/'分42行业工业增加值（2012年美元）'!AK2-1</f>
        <v>0.00841661171533281</v>
      </c>
      <c r="AK2">
        <f>'分42行业工业增加值（2012年美元）'!AM2/'分42行业工业增加值（2012年美元）'!AL2-1</f>
        <v>0.00818273871412045</v>
      </c>
      <c r="AL2">
        <f>'分42行业工业增加值（2012年美元）'!AN2/'分42行业工业增加值（2012年美元）'!AM2-1</f>
        <v>0.00797948959503092</v>
      </c>
      <c r="AM2">
        <f>'分42行业工业增加值（2012年美元）'!AO2/'分42行业工业增加值（2012年美元）'!AN2-1</f>
        <v>0.00782143593688689</v>
      </c>
      <c r="AN2">
        <f>'分42行业工业增加值（2012年美元）'!AP2/'分42行业工业增加值（2012年美元）'!AO2-1</f>
        <v>0.00765791512330827</v>
      </c>
      <c r="AO2">
        <f>'分42行业工业增加值（2012年美元）'!AQ2/'分42行业工业增加值（2012年美元）'!AP2-1</f>
        <v>0.00759545354223223</v>
      </c>
      <c r="AP2">
        <f>'分42行业工业增加值（2012年美元）'!AR2/'分42行业工业增加值（2012年美元）'!AQ2-1</f>
        <v>0.00751877156640268</v>
      </c>
    </row>
    <row r="3" spans="1:42">
      <c r="A3" s="2" t="s">
        <v>102</v>
      </c>
      <c r="B3">
        <f>'分42行业工业增加值（2012年美元）'!D3/'分42行业工业增加值（2012年美元）'!C3-1</f>
        <v>0.187565975159388</v>
      </c>
      <c r="C3">
        <f>'分42行业工业增加值（2012年美元）'!E3/'分42行业工业增加值（2012年美元）'!D3-1</f>
        <v>0.0121057881296343</v>
      </c>
      <c r="D3">
        <f>'分42行业工业增加值（2012年美元）'!F3/'分42行业工业增加值（2012年美元）'!E3-1</f>
        <v>0.0106976726367225</v>
      </c>
      <c r="E3">
        <f>'分42行业工业增加值（2012年美元）'!G3/'分42行业工业增加值（2012年美元）'!F3-1</f>
        <v>0.00882708382382424</v>
      </c>
      <c r="F3">
        <f>'分42行业工业增加值（2012年美元）'!H3/'分42行业工业增加值（2012年美元）'!G3-1</f>
        <v>0.00718425707405901</v>
      </c>
      <c r="G3">
        <f>'分42行业工业增加值（2012年美元）'!I3/'分42行业工业增加值（2012年美元）'!H3-1</f>
        <v>0.00575010894857275</v>
      </c>
      <c r="H3">
        <f>'分42行业工业增加值（2012年美元）'!J3/'分42行业工业增加值（2012年美元）'!I3-1</f>
        <v>0.00450424951159545</v>
      </c>
      <c r="I3">
        <f>'分42行业工业增加值（2012年美元）'!K3/'分42行业工业增加值（2012年美元）'!J3-1</f>
        <v>0.00342631487449108</v>
      </c>
      <c r="J3">
        <f>'分42行业工业增加值（2012年美元）'!L3/'分42行业工业增加值（2012年美元）'!K3-1</f>
        <v>0.00249681529457213</v>
      </c>
      <c r="K3">
        <f>'分42行业工业增加值（2012年美元）'!M3/'分42行业工业增加值（2012年美元）'!L3-1</f>
        <v>0.00169762912938864</v>
      </c>
      <c r="L3">
        <f>'分42行业工业增加值（2012年美元）'!N3/'分42行业工业增加值（2012年美元）'!M3-1</f>
        <v>0.00101224890580842</v>
      </c>
      <c r="M3">
        <f>'分42行业工业增加值（2012年美元）'!O3/'分42行业工业增加值（2012年美元）'!N3-1</f>
        <v>0.000425861077258061</v>
      </c>
      <c r="N3">
        <f>'分42行业工业增加值（2012年美元）'!P3/'分42行业工业增加值（2012年美元）'!O3-1</f>
        <v>-7.46805808395923e-5</v>
      </c>
      <c r="O3">
        <f>'分42行业工业增加值（2012年美元）'!Q3/'分42行业工业增加值（2012年美元）'!P3-1</f>
        <v>-0.000500945399429575</v>
      </c>
      <c r="P3">
        <f>'分42行业工业增加值（2012年美元）'!R3/'分42行业工业增加值（2012年美元）'!Q3-1</f>
        <v>-0.000863050823517342</v>
      </c>
      <c r="Q3">
        <f>'分42行业工业增加值（2012年美元）'!S3/'分42行业工业增加值（2012年美元）'!R3-1</f>
        <v>-0.00116980252883914</v>
      </c>
      <c r="R3">
        <f>'分42行业工业增加值（2012年美元）'!T3/'分42行业工业增加值（2012年美元）'!S3-1</f>
        <v>-0.00142883715651743</v>
      </c>
      <c r="S3">
        <f>'分42行业工业增加值（2012年美元）'!U3/'分42行业工业增加值（2012年美元）'!T3-1</f>
        <v>-0.00164676003415776</v>
      </c>
      <c r="T3">
        <f>'分42行业工业增加值（2012年美元）'!V3/'分42行业工业增加值（2012年美元）'!U3-1</f>
        <v>-0.00182927355617646</v>
      </c>
      <c r="U3">
        <f>'分42行业工业增加值（2012年美元）'!W3/'分42行业工业增加值（2012年美元）'!V3-1</f>
        <v>-0.00198129408733005</v>
      </c>
      <c r="V3">
        <f>'分42行业工业增加值（2012年美元）'!X3/'分42行业工业增加值（2012年美元）'!W3-1</f>
        <v>-0.00210705666279543</v>
      </c>
      <c r="W3">
        <f>'分42行业工业增加值（2012年美元）'!Y3/'分42行业工业增加值（2012年美元）'!X3-1</f>
        <v>-0.00221020763153335</v>
      </c>
      <c r="X3">
        <f>'分42行业工业增加值（2012年美元）'!Z3/'分42行业工业增加值（2012年美元）'!Y3-1</f>
        <v>-0.00229388589850765</v>
      </c>
      <c r="Y3">
        <f>'分42行业工业增加值（2012年美元）'!AA3/'分42行业工业增加值（2012年美元）'!Z3-1</f>
        <v>-0.00236079369106545</v>
      </c>
      <c r="Z3">
        <f>'分42行业工业增加值（2012年美元）'!AB3/'分42行业工业增加值（2012年美元）'!AA3-1</f>
        <v>-0.00241325788879698</v>
      </c>
      <c r="AA3">
        <f>'分42行业工业增加值（2012年美元）'!AC3/'分42行业工业增加值（2012年美元）'!AB3-1</f>
        <v>-0.00245328297285041</v>
      </c>
      <c r="AB3">
        <f>'分42行业工业增加值（2012年美元）'!AD3/'分42行业工业增加值（2012年美元）'!AC3-1</f>
        <v>-0.00248259661062733</v>
      </c>
      <c r="AC3">
        <f>'分42行业工业增加值（2012年美元）'!AE3/'分42行业工业增加值（2012年美元）'!AD3-1</f>
        <v>-0.00250268881825622</v>
      </c>
      <c r="AD3">
        <f>'分42行业工业增加值（2012年美元）'!AF3/'分42行业工业增加值（2012年美元）'!AE3-1</f>
        <v>-0.00251484555587289</v>
      </c>
      <c r="AE3">
        <f>'分42行业工业增加值（2012年美元）'!AG3/'分42行业工业增加值（2012年美元）'!AF3-1</f>
        <v>-0.00252017751817835</v>
      </c>
      <c r="AF3">
        <f>'分42行业工业增加值（2012年美元）'!AH3/'分42行业工业增加值（2012年美元）'!AG3-1</f>
        <v>-0.002519644791942</v>
      </c>
      <c r="AG3">
        <f>'分42行业工业增加值（2012年美元）'!AI3/'分42行业工业增加值（2012年美元）'!AH3-1</f>
        <v>-0.00251407796715675</v>
      </c>
      <c r="AH3">
        <f>'分42行业工业增加值（2012年美元）'!AJ3/'分42行业工业增加值（2012年美元）'!AI3-1</f>
        <v>-0.00250419621087483</v>
      </c>
      <c r="AI3">
        <f>'分42行业工业增加值（2012年美元）'!AK3/'分42行业工业增加值（2012年美元）'!AJ3-1</f>
        <v>-0.00249062274281475</v>
      </c>
      <c r="AJ3">
        <f>'分42行业工业增加值（2012年美元）'!AL3/'分42行业工业增加值（2012年美元）'!AK3-1</f>
        <v>-0.00247389809046505</v>
      </c>
      <c r="AK3">
        <f>'分42行业工业增加值（2012年美元）'!AM3/'分42行业工业增加值（2012年美元）'!AL3-1</f>
        <v>-0.00245449144743615</v>
      </c>
      <c r="AL3">
        <f>'分42行业工业增加值（2012年美元）'!AN3/'分42行业工业增加值（2012年美元）'!AM3-1</f>
        <v>-0.00243281041197496</v>
      </c>
      <c r="AM3">
        <f>'分42行业工业增加值（2012年美元）'!AO3/'分42行业工业增加值（2012年美元）'!AN3-1</f>
        <v>-0.00240920934219502</v>
      </c>
      <c r="AN3">
        <f>'分42行业工业增加值（2012年美元）'!AP3/'分42行业工业增加值（2012年美元）'!AO3-1</f>
        <v>-0.00238399652999932</v>
      </c>
      <c r="AO3">
        <f>'分42行业工业增加值（2012年美元）'!AQ3/'分42行业工业增加值（2012年美元）'!AP3-1</f>
        <v>-0.00235744036547059</v>
      </c>
      <c r="AP3">
        <f>'分42行业工业增加值（2012年美元）'!AR3/'分42行业工业增加值（2012年美元）'!AQ3-1</f>
        <v>-0.00232977463879347</v>
      </c>
    </row>
    <row r="4" spans="1:42">
      <c r="A4" s="2" t="s">
        <v>103</v>
      </c>
      <c r="B4">
        <f>'分42行业工业增加值（2012年美元）'!D4/'分42行业工业增加值（2012年美元）'!C4-1</f>
        <v>-0.26314039251634</v>
      </c>
      <c r="C4">
        <f>'分42行业工业增加值（2012年美元）'!E4/'分42行业工业增加值（2012年美元）'!D4-1</f>
        <v>0.0914591886836318</v>
      </c>
      <c r="D4">
        <f>'分42行业工业增加值（2012年美元）'!F4/'分42行业工业增加值（2012年美元）'!E4-1</f>
        <v>-0.0124430722867794</v>
      </c>
      <c r="E4">
        <f>'分42行业工业增加值（2012年美元）'!G4/'分42行业工业增加值（2012年美元）'!F4-1</f>
        <v>-0.0137538242002552</v>
      </c>
      <c r="F4">
        <f>'分42行业工业增加值（2012年美元）'!H4/'分42行业工业增加值（2012年美元）'!G4-1</f>
        <v>-0.0148663138465156</v>
      </c>
      <c r="G4">
        <f>'分42行业工业增加值（2012年美元）'!I4/'分42行业工业增加值（2012年美元）'!H4-1</f>
        <v>-0.0157973197844402</v>
      </c>
      <c r="H4">
        <f>'分42行业工业增加值（2012年美元）'!J4/'分42行业工业增加值（2012年美元）'!I4-1</f>
        <v>-0.0165650930444147</v>
      </c>
      <c r="I4">
        <f>'分42行业工业增加值（2012年美元）'!K4/'分42行业工业增加值（2012年美元）'!J4-1</f>
        <v>-0.0171880349111596</v>
      </c>
      <c r="J4">
        <f>'分42行业工业增加值（2012年美元）'!L4/'分42行业工业增加值（2012年美元）'!K4-1</f>
        <v>-0.0176838481523603</v>
      </c>
      <c r="K4">
        <f>'分42行业工业增加值（2012年美元）'!M4/'分42行业工业增加值（2012年美元）'!L4-1</f>
        <v>-0.0180690354831217</v>
      </c>
      <c r="L4">
        <f>'分42行业工业增加值（2012年美元）'!N4/'分42行业工业增加值（2012年美元）'!M4-1</f>
        <v>-0.0183586419989092</v>
      </c>
      <c r="M4">
        <f>'分42行业工业增加值（2012年美元）'!O4/'分42行业工业增加值（2012年美元）'!N4-1</f>
        <v>-0.0185661620727716</v>
      </c>
      <c r="N4">
        <f>'分42行业工业增加值（2012年美元）'!P4/'分42行业工业增加值（2012年美元）'!O4-1</f>
        <v>-0.0187035521246324</v>
      </c>
      <c r="O4">
        <f>'分42行业工业增加值（2012年美元）'!Q4/'分42行业工业增加值（2012年美元）'!P4-1</f>
        <v>-0.0187813075652257</v>
      </c>
      <c r="P4">
        <f>'分42行业工业增加值（2012年美元）'!R4/'分42行业工业增加值（2012年美元）'!Q4-1</f>
        <v>-0.0188085751515699</v>
      </c>
      <c r="Q4">
        <f>'分42行业工业增加值（2012年美元）'!S4/'分42行业工业增加值（2012年美元）'!R4-1</f>
        <v>-0.018793281524157</v>
      </c>
      <c r="R4">
        <f>'分42行业工业增加值（2012年美元）'!T4/'分42行业工业增加值（2012年美元）'!S4-1</f>
        <v>-0.018742265521384</v>
      </c>
      <c r="S4">
        <f>'分42行业工业增加值（2012年美元）'!U4/'分42行业工业增加值（2012年美元）'!T4-1</f>
        <v>-0.0186614066313823</v>
      </c>
      <c r="T4">
        <f>'分42行业工业增加值（2012年美元）'!V4/'分42行业工业增加值（2012年美元）'!U4-1</f>
        <v>-0.0185557451916225</v>
      </c>
      <c r="U4">
        <f>'分42行业工业增加值（2012年美元）'!W4/'分42行业工业增加值（2012年美元）'!V4-1</f>
        <v>-0.0184295921097147</v>
      </c>
      <c r="V4">
        <f>'分42行业工业增加值（2012年美元）'!X4/'分42行业工业增加值（2012年美元）'!W4-1</f>
        <v>-0.0182866272774912</v>
      </c>
      <c r="W4">
        <f>'分42行业工业增加值（2012年美元）'!Y4/'分42行业工业增加值（2012年美元）'!X4-1</f>
        <v>-0.0181299867224154</v>
      </c>
      <c r="X4">
        <f>'分42行业工业增加值（2012年美元）'!Z4/'分42行业工业增加值（2012年美元）'!Y4-1</f>
        <v>-0.0179623390544236</v>
      </c>
      <c r="Y4">
        <f>'分42行业工业增加值（2012年美元）'!AA4/'分42行业工业增加值（2012年美元）'!Z4-1</f>
        <v>-0.0177859520437819</v>
      </c>
      <c r="Z4">
        <f>'分42行业工业增加值（2012年美元）'!AB4/'分42行业工业增加值（2012年美元）'!AA4-1</f>
        <v>-0.0176027502886885</v>
      </c>
      <c r="AA4">
        <f>'分42行业工业增加值（2012年美元）'!AC4/'分42行业工业增加值（2012年美元）'!AB4-1</f>
        <v>-0.017414364957699</v>
      </c>
      <c r="AB4">
        <f>'分42行业工业增加值（2012年美元）'!AD4/'分42行业工业增加值（2012年美元）'!AC4-1</f>
        <v>-0.0172221765605155</v>
      </c>
      <c r="AC4">
        <f>'分42行业工业增加值（2012年美元）'!AE4/'分42行业工业增加值（2012年美元）'!AD4-1</f>
        <v>-0.0170273516360459</v>
      </c>
      <c r="AD4">
        <f>'分42行业工业增加值（2012年美元）'!AF4/'分42行业工业增加值（2012年美元）'!AE4-1</f>
        <v>-0.0168308741661943</v>
      </c>
      <c r="AE4">
        <f>'分42行业工业增加值（2012年美元）'!AG4/'分42行业工业增加值（2012年美元）'!AF4-1</f>
        <v>-0.0166335724380847</v>
      </c>
      <c r="AF4">
        <f>'分42行业工业增加值（2012年美元）'!AH4/'分42行业工业增加值（2012年美元）'!AG4-1</f>
        <v>-0.0164361419923219</v>
      </c>
      <c r="AG4">
        <f>'分42行业工业增加值（2012年美元）'!AI4/'分42行业工业增加值（2012年美元）'!AH4-1</f>
        <v>-0.0162391652148883</v>
      </c>
      <c r="AH4">
        <f>'分42行业工业增加值（2012年美元）'!AJ4/'分42行业工业增加值（2012年美元）'!AI4-1</f>
        <v>-0.0160431280565615</v>
      </c>
      <c r="AI4">
        <f>'分42行业工业增加值（2012年美元）'!AK4/'分42行业工业增加值（2012年美元）'!AJ4-1</f>
        <v>-0.0158484342977597</v>
      </c>
      <c r="AJ4">
        <f>'分42行业工业增加值（2012年美元）'!AL4/'分42行业工业增加值（2012年美元）'!AK4-1</f>
        <v>-0.0156554177182893</v>
      </c>
      <c r="AK4">
        <f>'分42行业工业增加值（2012年美元）'!AM4/'分42行业工业增加值（2012年美元）'!AL4-1</f>
        <v>-0.0154643524798808</v>
      </c>
      <c r="AL4">
        <f>'分42行业工业增加值（2012年美元）'!AN4/'分42行业工业增加值（2012年美元）'!AM4-1</f>
        <v>-0.0152754619852258</v>
      </c>
      <c r="AM4">
        <f>'分42行业工业增加值（2012年美元）'!AO4/'分42行业工业增加值（2012年美元）'!AN4-1</f>
        <v>-0.0150889264383656</v>
      </c>
      <c r="AN4">
        <f>'分42行业工业增加值（2012年美元）'!AP4/'分42行业工业增加值（2012年美元）'!AO4-1</f>
        <v>-0.0149048892983435</v>
      </c>
      <c r="AO4">
        <f>'分42行业工业增加值（2012年美元）'!AQ4/'分42行业工业增加值（2012年美元）'!AP4-1</f>
        <v>-0.0147234627895995</v>
      </c>
      <c r="AP4">
        <f>'分42行业工业增加值（2012年美元）'!AR4/'分42行业工业增加值（2012年美元）'!AQ4-1</f>
        <v>-0.0145447326083064</v>
      </c>
    </row>
    <row r="5" spans="1:42">
      <c r="A5" s="2" t="s">
        <v>104</v>
      </c>
      <c r="B5">
        <f>'分42行业工业增加值（2012年美元）'!D5/'分42行业工业增加值（2012年美元）'!C5-1</f>
        <v>-0.0314657805257896</v>
      </c>
      <c r="C5">
        <f>'分42行业工业增加值（2012年美元）'!E5/'分42行业工业增加值（2012年美元）'!D5-1</f>
        <v>0.0914591886836298</v>
      </c>
      <c r="D5">
        <f>'分42行业工业增加值（2012年美元）'!F5/'分42行业工业增加值（2012年美元）'!E5-1</f>
        <v>-0.0124430722867742</v>
      </c>
      <c r="E5">
        <f>'分42行业工业增加值（2012年美元）'!G5/'分42行业工业增加值（2012年美元）'!F5-1</f>
        <v>-0.0137538242002605</v>
      </c>
      <c r="F5">
        <f>'分42行业工业增加值（2012年美元）'!H5/'分42行业工业增加值（2012年美元）'!G5-1</f>
        <v>-0.0148663138465144</v>
      </c>
      <c r="G5">
        <f>'分42行业工业增加值（2012年美元）'!I5/'分42行业工业增加值（2012年美元）'!H5-1</f>
        <v>-0.0157973197844414</v>
      </c>
      <c r="H5">
        <f>'分42行业工业增加值（2012年美元）'!J5/'分42行业工业增加值（2012年美元）'!I5-1</f>
        <v>-0.0165650930444159</v>
      </c>
      <c r="I5">
        <f>'分42行业工业增加值（2012年美元）'!K5/'分42行业工业增加值（2012年美元）'!J5-1</f>
        <v>-0.0171880349111572</v>
      </c>
      <c r="J5">
        <f>'分42行业工业增加值（2012年美元）'!L5/'分42行业工业增加值（2012年美元）'!K5-1</f>
        <v>-0.0176838481523595</v>
      </c>
      <c r="K5">
        <f>'分42行业工业增加值（2012年美元）'!M5/'分42行业工业增加值（2012年美元）'!L5-1</f>
        <v>-0.0180690354831272</v>
      </c>
      <c r="L5">
        <f>'分42行业工业增加值（2012年美元）'!N5/'分42行业工业增加值（2012年美元）'!M5-1</f>
        <v>-0.0183586419989042</v>
      </c>
      <c r="M5">
        <f>'分42行业工业增加值（2012年美元）'!O5/'分42行业工业增加值（2012年美元）'!N5-1</f>
        <v>-0.0185661620727715</v>
      </c>
      <c r="N5">
        <f>'分42行业工业增加值（2012年美元）'!P5/'分42行业工业增加值（2012年美元）'!O5-1</f>
        <v>-0.0187035521246307</v>
      </c>
      <c r="O5">
        <f>'分42行业工业增加值（2012年美元）'!Q5/'分42行业工业增加值（2012年美元）'!P5-1</f>
        <v>-0.0187813075652287</v>
      </c>
      <c r="P5">
        <f>'分42行业工业增加值（2012年美元）'!R5/'分42行业工业增加值（2012年美元）'!Q5-1</f>
        <v>-0.0188085751515742</v>
      </c>
      <c r="Q5">
        <f>'分42行业工业增加值（2012年美元）'!S5/'分42行业工业增加值（2012年美元）'!R5-1</f>
        <v>-0.0187932815241515</v>
      </c>
      <c r="R5">
        <f>'分42行业工业增加值（2012年美元）'!T5/'分42行业工业增加值（2012年美元）'!S5-1</f>
        <v>-0.0187422655213835</v>
      </c>
      <c r="S5">
        <f>'分42行业工业增加值（2012年美元）'!U5/'分42行业工业增加值（2012年美元）'!T5-1</f>
        <v>-0.018661406631384</v>
      </c>
      <c r="T5">
        <f>'分42行业工业增加值（2012年美元）'!V5/'分42行业工业增加值（2012年美元）'!U5-1</f>
        <v>-0.0185557451916228</v>
      </c>
      <c r="U5">
        <f>'分42行业工业增加值（2012年美元）'!W5/'分42行业工业增加值（2012年美元）'!V5-1</f>
        <v>-0.0184295921097147</v>
      </c>
      <c r="V5">
        <f>'分42行业工业增加值（2012年美元）'!X5/'分42行业工业增加值（2012年美元）'!W5-1</f>
        <v>-0.0182866272774916</v>
      </c>
      <c r="W5">
        <f>'分42行业工业增加值（2012年美元）'!Y5/'分42行业工业增加值（2012年美元）'!X5-1</f>
        <v>-0.0181299867224137</v>
      </c>
      <c r="X5">
        <f>'分42行业工业增加值（2012年美元）'!Z5/'分42行业工业增加值（2012年美元）'!Y5-1</f>
        <v>-0.0179623390544246</v>
      </c>
      <c r="Y5">
        <f>'分42行业工业增加值（2012年美元）'!AA5/'分42行业工业增加值（2012年美元）'!Z5-1</f>
        <v>-0.0177859520437822</v>
      </c>
      <c r="Z5">
        <f>'分42行业工业增加值（2012年美元）'!AB5/'分42行业工业增加值（2012年美元）'!AA5-1</f>
        <v>-0.0176027502886881</v>
      </c>
      <c r="AA5">
        <f>'分42行业工业增加值（2012年美元）'!AC5/'分42行业工业增加值（2012年美元）'!AB5-1</f>
        <v>-0.0174143649576965</v>
      </c>
      <c r="AB5">
        <f>'分42行业工业增加值（2012年美元）'!AD5/'分42行业工业增加值（2012年美元）'!AC5-1</f>
        <v>-0.0172221765605171</v>
      </c>
      <c r="AC5">
        <f>'分42行业工业增加值（2012年美元）'!AE5/'分42行业工业增加值（2012年美元）'!AD5-1</f>
        <v>-0.0170273516360466</v>
      </c>
      <c r="AD5">
        <f>'分42行业工业增加值（2012年美元）'!AF5/'分42行业工业增加值（2012年美元）'!AE5-1</f>
        <v>-0.0168308741661939</v>
      </c>
      <c r="AE5">
        <f>'分42行业工业增加值（2012年美元）'!AG5/'分42行业工业增加值（2012年美元）'!AF5-1</f>
        <v>-0.0166335724380839</v>
      </c>
      <c r="AF5">
        <f>'分42行业工业增加值（2012年美元）'!AH5/'分42行业工业增加值（2012年美元）'!AG5-1</f>
        <v>-0.016436141992322</v>
      </c>
      <c r="AG5">
        <f>'分42行业工业增加值（2012年美元）'!AI5/'分42行业工业增加值（2012年美元）'!AH5-1</f>
        <v>-0.0162391652148899</v>
      </c>
      <c r="AH5">
        <f>'分42行业工业增加值（2012年美元）'!AJ5/'分42行业工业增加值（2012年美元）'!AI5-1</f>
        <v>-0.0160431280565597</v>
      </c>
      <c r="AI5">
        <f>'分42行业工业增加值（2012年美元）'!AK5/'分42行业工业增加值（2012年美元）'!AJ5-1</f>
        <v>-0.0158484342977591</v>
      </c>
      <c r="AJ5">
        <f>'分42行业工业增加值（2012年美元）'!AL5/'分42行业工业增加值（2012年美元）'!AK5-1</f>
        <v>-0.0156554177182909</v>
      </c>
      <c r="AK5">
        <f>'分42行业工业增加值（2012年美元）'!AM5/'分42行业工业增加值（2012年美元）'!AL5-1</f>
        <v>-0.0154643524798809</v>
      </c>
      <c r="AL5">
        <f>'分42行业工业增加值（2012年美元）'!AN5/'分42行业工业增加值（2012年美元）'!AM5-1</f>
        <v>-0.0152754619852262</v>
      </c>
      <c r="AM5">
        <f>'分42行业工业增加值（2012年美元）'!AO5/'分42行业工业增加值（2012年美元）'!AN5-1</f>
        <v>-0.0150889264383657</v>
      </c>
      <c r="AN5">
        <f>'分42行业工业增加值（2012年美元）'!AP5/'分42行业工业增加值（2012年美元）'!AO5-1</f>
        <v>-0.0149048892983403</v>
      </c>
      <c r="AO5">
        <f>'分42行业工业增加值（2012年美元）'!AQ5/'分42行业工业增加值（2012年美元）'!AP5-1</f>
        <v>-0.0147234627896029</v>
      </c>
      <c r="AP5">
        <f>'分42行业工业增加值（2012年美元）'!AR5/'分42行业工业增加值（2012年美元）'!AQ5-1</f>
        <v>-0.0145447326083044</v>
      </c>
    </row>
    <row r="6" spans="1:42">
      <c r="A6" s="2" t="s">
        <v>105</v>
      </c>
      <c r="B6">
        <f>'分42行业工业增加值（2012年美元）'!D6/'分42行业工业增加值（2012年美元）'!C6-1</f>
        <v>-0.0314657805257896</v>
      </c>
      <c r="C6">
        <f>'分42行业工业增加值（2012年美元）'!E6/'分42行业工业增加值（2012年美元）'!D6-1</f>
        <v>0.0914591886836298</v>
      </c>
      <c r="D6">
        <f>'分42行业工业增加值（2012年美元）'!F6/'分42行业工业增加值（2012年美元）'!E6-1</f>
        <v>-0.0124430722867743</v>
      </c>
      <c r="E6">
        <f>'分42行业工业增加值（2012年美元）'!G6/'分42行业工业增加值（2012年美元）'!F6-1</f>
        <v>-0.0137538242002606</v>
      </c>
      <c r="F6">
        <f>'分42行业工业增加值（2012年美元）'!H6/'分42行业工业增加值（2012年美元）'!G6-1</f>
        <v>-0.0148663138465143</v>
      </c>
      <c r="G6">
        <f>'分42行业工业增加值（2012年美元）'!I6/'分42行业工业增加值（2012年美元）'!H6-1</f>
        <v>-0.0157973197844414</v>
      </c>
      <c r="H6">
        <f>'分42行业工业增加值（2012年美元）'!J6/'分42行业工业增加值（2012年美元）'!I6-1</f>
        <v>-0.0165650930444158</v>
      </c>
      <c r="I6">
        <f>'分42行业工业增加值（2012年美元）'!K6/'分42行业工业增加值（2012年美元）'!J6-1</f>
        <v>-0.0171880349111571</v>
      </c>
      <c r="J6">
        <f>'分42行业工业增加值（2012年美元）'!L6/'分42行业工业增加值（2012年美元）'!K6-1</f>
        <v>-0.0176838481523595</v>
      </c>
      <c r="K6">
        <f>'分42行业工业增加值（2012年美元）'!M6/'分42行业工业增加值（2012年美元）'!L6-1</f>
        <v>-0.0180690354831273</v>
      </c>
      <c r="L6">
        <f>'分42行业工业增加值（2012年美元）'!N6/'分42行业工业增加值（2012年美元）'!M6-1</f>
        <v>-0.0183586419989042</v>
      </c>
      <c r="M6">
        <f>'分42行业工业增加值（2012年美元）'!O6/'分42行业工业增加值（2012年美元）'!N6-1</f>
        <v>-0.0185661620727717</v>
      </c>
      <c r="N6">
        <f>'分42行业工业增加值（2012年美元）'!P6/'分42行业工业增加值（2012年美元）'!O6-1</f>
        <v>-0.0187035521246304</v>
      </c>
      <c r="O6">
        <f>'分42行业工业增加值（2012年美元）'!Q6/'分42行业工业增加值（2012年美元）'!P6-1</f>
        <v>-0.0187813075652288</v>
      </c>
      <c r="P6">
        <f>'分42行业工业增加值（2012年美元）'!R6/'分42行业工业增加值（2012年美元）'!Q6-1</f>
        <v>-0.0188085751515741</v>
      </c>
      <c r="Q6">
        <f>'分42行业工业增加值（2012年美元）'!S6/'分42行业工业增加值（2012年美元）'!R6-1</f>
        <v>-0.0187932815241516</v>
      </c>
      <c r="R6">
        <f>'分42行业工业增加值（2012年美元）'!T6/'分42行业工业增加值（2012年美元）'!S6-1</f>
        <v>-0.0187422655213835</v>
      </c>
      <c r="S6">
        <f>'分42行业工业增加值（2012年美元）'!U6/'分42行业工业增加值（2012年美元）'!T6-1</f>
        <v>-0.0186614066313842</v>
      </c>
      <c r="T6">
        <f>'分42行业工业增加值（2012年美元）'!V6/'分42行业工业增加值（2012年美元）'!U6-1</f>
        <v>-0.0185557451916226</v>
      </c>
      <c r="U6">
        <f>'分42行业工业增加值（2012年美元）'!W6/'分42行业工业增加值（2012年美元）'!V6-1</f>
        <v>-0.0184295921097147</v>
      </c>
      <c r="V6">
        <f>'分42行业工业增加值（2012年美元）'!X6/'分42行业工业增加值（2012年美元）'!W6-1</f>
        <v>-0.0182866272774918</v>
      </c>
      <c r="W6">
        <f>'分42行业工业增加值（2012年美元）'!Y6/'分42行业工业增加值（2012年美元）'!X6-1</f>
        <v>-0.0181299867224136</v>
      </c>
      <c r="X6">
        <f>'分42行业工业增加值（2012年美元）'!Z6/'分42行业工业增加值（2012年美元）'!Y6-1</f>
        <v>-0.0179623390544248</v>
      </c>
      <c r="Y6">
        <f>'分42行业工业增加值（2012年美元）'!AA6/'分42行业工业增加值（2012年美元）'!Z6-1</f>
        <v>-0.0177859520437821</v>
      </c>
      <c r="Z6">
        <f>'分42行业工业增加值（2012年美元）'!AB6/'分42行业工业增加值（2012年美元）'!AA6-1</f>
        <v>-0.0176027502886881</v>
      </c>
      <c r="AA6">
        <f>'分42行业工业增加值（2012年美元）'!AC6/'分42行业工业增加值（2012年美元）'!AB6-1</f>
        <v>-0.0174143649576965</v>
      </c>
      <c r="AB6">
        <f>'分42行业工业增加值（2012年美元）'!AD6/'分42行业工业增加值（2012年美元）'!AC6-1</f>
        <v>-0.0172221765605172</v>
      </c>
      <c r="AC6">
        <f>'分42行业工业增加值（2012年美元）'!AE6/'分42行业工业增加值（2012年美元）'!AD6-1</f>
        <v>-0.0170273516360464</v>
      </c>
      <c r="AD6">
        <f>'分42行业工业增加值（2012年美元）'!AF6/'分42行业工业增加值（2012年美元）'!AE6-1</f>
        <v>-0.0168308741661941</v>
      </c>
      <c r="AE6">
        <f>'分42行业工业增加值（2012年美元）'!AG6/'分42行业工业增加值（2012年美元）'!AF6-1</f>
        <v>-0.0166335724380841</v>
      </c>
      <c r="AF6">
        <f>'分42行业工业增加值（2012年美元）'!AH6/'分42行业工业增加值（2012年美元）'!AG6-1</f>
        <v>-0.016436141992322</v>
      </c>
      <c r="AG6">
        <f>'分42行业工业增加值（2012年美元）'!AI6/'分42行业工业增加值（2012年美元）'!AH6-1</f>
        <v>-0.0162391652148898</v>
      </c>
      <c r="AH6">
        <f>'分42行业工业增加值（2012年美元）'!AJ6/'分42行业工业增加值（2012年美元）'!AI6-1</f>
        <v>-0.0160431280565597</v>
      </c>
      <c r="AI6">
        <f>'分42行业工业增加值（2012年美元）'!AK6/'分42行业工业增加值（2012年美元）'!AJ6-1</f>
        <v>-0.0158484342977593</v>
      </c>
      <c r="AJ6">
        <f>'分42行业工业增加值（2012年美元）'!AL6/'分42行业工业增加值（2012年美元）'!AK6-1</f>
        <v>-0.0156554177182907</v>
      </c>
      <c r="AK6">
        <f>'分42行业工业增加值（2012年美元）'!AM6/'分42行业工业增加值（2012年美元）'!AL6-1</f>
        <v>-0.015464352479881</v>
      </c>
      <c r="AL6">
        <f>'分42行业工业增加值（2012年美元）'!AN6/'分42行业工业增加值（2012年美元）'!AM6-1</f>
        <v>-0.0152754619852262</v>
      </c>
      <c r="AM6">
        <f>'分42行业工业增加值（2012年美元）'!AO6/'分42行业工业增加值（2012年美元）'!AN6-1</f>
        <v>-0.0150889264383656</v>
      </c>
      <c r="AN6">
        <f>'分42行业工业增加值（2012年美元）'!AP6/'分42行业工业增加值（2012年美元）'!AO6-1</f>
        <v>-0.0149048892983404</v>
      </c>
      <c r="AO6">
        <f>'分42行业工业增加值（2012年美元）'!AQ6/'分42行业工业增加值（2012年美元）'!AP6-1</f>
        <v>-0.0147234627896028</v>
      </c>
      <c r="AP6">
        <f>'分42行业工业增加值（2012年美元）'!AR6/'分42行业工业增加值（2012年美元）'!AQ6-1</f>
        <v>-0.0145447326083046</v>
      </c>
    </row>
    <row r="7" spans="1:42">
      <c r="A7" s="2" t="s">
        <v>106</v>
      </c>
      <c r="B7">
        <f>'分42行业工业增加值（2012年美元）'!D7/'分42行业工业增加值（2012年美元）'!C7-1</f>
        <v>-0.00945077190513766</v>
      </c>
      <c r="C7">
        <f>'分42行业工业增加值（2012年美元）'!E7/'分42行业工业增加值（2012年美元）'!D7-1</f>
        <v>0.148274581292153</v>
      </c>
      <c r="D7">
        <f>'分42行业工业增加值（2012年美元）'!F7/'分42行业工业增加值（2012年美元）'!E7-1</f>
        <v>0.0141919185118322</v>
      </c>
      <c r="E7">
        <f>'分42行业工业增加值（2012年美元）'!G7/'分42行业工业增加值（2012年美元）'!F7-1</f>
        <v>0.0121472477153477</v>
      </c>
      <c r="F7">
        <f>'分42行业工业增加值（2012年美元）'!H7/'分42行业工业增加值（2012年美元）'!G7-1</f>
        <v>0.0103434750543929</v>
      </c>
      <c r="G7">
        <f>'分42行业工业增加值（2012年美元）'!I7/'分42行业工业增加值（2012年美元）'!H7-1</f>
        <v>0.00876021180411546</v>
      </c>
      <c r="H7">
        <f>'分42行业工业增加值（2012年美元）'!J7/'分42行业工业增加值（2012年美元）'!I7-1</f>
        <v>0.00737591246934022</v>
      </c>
      <c r="I7">
        <f>'分42行业工业增加值（2012年美元）'!K7/'分42行业工业增加值（2012年美元）'!J7-1</f>
        <v>0.00616919091082146</v>
      </c>
      <c r="J7">
        <f>'分42行业工业增加值（2012年美元）'!L7/'分42行业工业增加值（2012年美元）'!K7-1</f>
        <v>0.00511965288360328</v>
      </c>
      <c r="K7">
        <f>'分42行业工业增加值（2012年美元）'!M7/'分42行业工业增加值（2012年美元）'!L7-1</f>
        <v>0.00420837567122012</v>
      </c>
      <c r="L7">
        <f>'分42行业工业增加值（2012年美元）'!N7/'分42行业工业增加值（2012年美元）'!M7-1</f>
        <v>0.00341814125454998</v>
      </c>
      <c r="M7">
        <f>'分42行业工业增加值（2012年美元）'!O7/'分42行业工业增加值（2012年美元）'!N7-1</f>
        <v>0.00273350462394029</v>
      </c>
      <c r="N7">
        <f>'分42行业工业增加值（2012年美元）'!P7/'分42行业工业增加值（2012年美元）'!O7-1</f>
        <v>0.00214075713004447</v>
      </c>
      <c r="O7">
        <f>'分42行业工业增加值（2012年美元）'!Q7/'分42行业工业增加值（2012年美元）'!P7-1</f>
        <v>0.00162782730536137</v>
      </c>
      <c r="P7">
        <f>'分42行业工业增加值（2012年美元）'!R7/'分42行业工业增加值（2012年美元）'!Q7-1</f>
        <v>0.00118414827093605</v>
      </c>
      <c r="Q7">
        <f>'分42行业工业增加值（2012年美元）'!S7/'分42行业工业增加值（2012年美元）'!R7-1</f>
        <v>0.000800511063016707</v>
      </c>
      <c r="R7">
        <f>'分42行业工业增加值（2012年美元）'!T7/'分42行业工业增加值（2012年美元）'!S7-1</f>
        <v>0.000468916239021899</v>
      </c>
      <c r="S7">
        <f>'分42行业工业增加值（2012年美元）'!U7/'分42行业工业增加值（2012年美元）'!T7-1</f>
        <v>0.000182431272718553</v>
      </c>
      <c r="T7">
        <f>'分42行业工业增加值（2012年美元）'!V7/'分42行业工业增加值（2012年美元）'!U7-1</f>
        <v>-6.49420428529002e-5</v>
      </c>
      <c r="U7">
        <f>'分42行业工业增加值（2012年美元）'!W7/'分42行业工业增加值（2012年美元）'!V7-1</f>
        <v>-0.000278388144488662</v>
      </c>
      <c r="V7">
        <f>'分42行业工业增加值（2012年美元）'!X7/'分42行业工业增加值（2012年美元）'!W7-1</f>
        <v>-0.00046238555624134</v>
      </c>
      <c r="W7">
        <f>'分42行业工业增加值（2012年美元）'!Y7/'分42行业工业增加值（2012年美元）'!X7-1</f>
        <v>-0.000620802272914056</v>
      </c>
      <c r="X7">
        <f>'分42行业工业增加值（2012年美元）'!Z7/'分42行业工业增加值（2012年美元）'!Y7-1</f>
        <v>-0.000756979386180467</v>
      </c>
      <c r="Y7">
        <f>'分42行业工业增加值（2012年美元）'!AA7/'分42行业工业增加值（2012年美元）'!Z7-1</f>
        <v>-0.000873803929998473</v>
      </c>
      <c r="Z7">
        <f>'分42行业工业增加值（2012年美元）'!AB7/'分42行业工业增加值（2012年美元）'!AA7-1</f>
        <v>-0.000973772028440623</v>
      </c>
      <c r="AA7">
        <f>'分42行业工业增加值（2012年美元）'!AC7/'分42行业工业增加值（2012年美元）'!AB7-1</f>
        <v>-0.00105904343913632</v>
      </c>
      <c r="AB7">
        <f>'分42行业工业增加值（2012年美元）'!AD7/'分42行业工业增加值（2012年美元）'!AC7-1</f>
        <v>-0.00113148853927603</v>
      </c>
      <c r="AC7">
        <f>'分42行业工业增加值（2012年美元）'!AE7/'分42行业工业增加值（2012年美元）'!AD7-1</f>
        <v>-0.00119272872345388</v>
      </c>
      <c r="AD7">
        <f>'分42行业工业增加值（2012年美元）'!AF7/'分42行业工业增加值（2012年美元）'!AE7-1</f>
        <v>-0.00124417109085495</v>
      </c>
      <c r="AE7">
        <f>'分42行业工业增加值（2012年美元）'!AG7/'分42行业工业增加值（2012年美元）'!AF7-1</f>
        <v>-0.00128703820317388</v>
      </c>
      <c r="AF7">
        <f>'分42行业工业增加值（2012年美元）'!AH7/'分42行业工业增加值（2012年美元）'!AG7-1</f>
        <v>-0.00132239360162045</v>
      </c>
      <c r="AG7">
        <f>'分42行业工业增加值（2012年美元）'!AI7/'分42行业工业增加值（2012年美元）'!AH7-1</f>
        <v>-0.00135116368335497</v>
      </c>
      <c r="AH7">
        <f>'分42行业工业增加值（2012年美元）'!AJ7/'分42行业工业增加值（2012年美元）'!AI7-1</f>
        <v>-0.00137415645840056</v>
      </c>
      <c r="AI7">
        <f>'分42行业工业增加值（2012年美元）'!AK7/'分42行业工业增加值（2012年美元）'!AJ7-1</f>
        <v>-0.00139207763632554</v>
      </c>
      <c r="AJ7">
        <f>'分42行业工业增加值（2012年美元）'!AL7/'分42行业工业增加值（2012年美元）'!AK7-1</f>
        <v>-0.00140554442914698</v>
      </c>
      <c r="AK7">
        <f>'分42行业工业增加值（2012年美元）'!AM7/'分42行业工业增加值（2012年美元）'!AL7-1</f>
        <v>-0.00141509740185741</v>
      </c>
      <c r="AL7">
        <f>'分42行业工业增加值（2012年美元）'!AN7/'分42行业工业增加值（2012年美元）'!AM7-1</f>
        <v>-0.00142121065401968</v>
      </c>
      <c r="AM7">
        <f>'分42行业工业增加值（2012年美元）'!AO7/'分42行业工业增加值（2012年美元）'!AN7-1</f>
        <v>-0.00142430057448639</v>
      </c>
      <c r="AN7">
        <f>'分42行业工业增加值（2012年美元）'!AP7/'分42行业工业增加值（2012年美元）'!AO7-1</f>
        <v>-0.00142473337643778</v>
      </c>
      <c r="AO7">
        <f>'分42行业工业增加值（2012年美元）'!AQ7/'分42行业工业增加值（2012年美元）'!AP7-1</f>
        <v>-0.00142283158861944</v>
      </c>
      <c r="AP7">
        <f>'分42行业工业增加值（2012年美元）'!AR7/'分42行业工业增加值（2012年美元）'!AQ7-1</f>
        <v>-0.00141887965344134</v>
      </c>
    </row>
    <row r="8" spans="1:42">
      <c r="A8" s="2" t="s">
        <v>107</v>
      </c>
      <c r="B8">
        <f>'分42行业工业增加值（2012年美元）'!D8/'分42行业工业增加值（2012年美元）'!C8-1</f>
        <v>-0.111722698281748</v>
      </c>
      <c r="C8">
        <f>'分42行业工业增加值（2012年美元）'!E8/'分42行业工业增加值（2012年美元）'!D8-1</f>
        <v>0.09145918868363</v>
      </c>
      <c r="D8">
        <f>'分42行业工业增加值（2012年美元）'!F8/'分42行业工业增加值（2012年美元）'!E8-1</f>
        <v>-0.0124430722867742</v>
      </c>
      <c r="E8">
        <f>'分42行业工业增加值（2012年美元）'!G8/'分42行业工业增加值（2012年美元）'!F8-1</f>
        <v>-0.0137538242002607</v>
      </c>
      <c r="F8">
        <f>'分42行业工业增加值（2012年美元）'!H8/'分42行业工业增加值（2012年美元）'!G8-1</f>
        <v>-0.0148663138465142</v>
      </c>
      <c r="G8">
        <f>'分42行业工业增加值（2012年美元）'!I8/'分42行业工业增加值（2012年美元）'!H8-1</f>
        <v>-0.0157973197844414</v>
      </c>
      <c r="H8">
        <f>'分42行业工业增加值（2012年美元）'!J8/'分42行业工业增加值（2012年美元）'!I8-1</f>
        <v>-0.0165650930444161</v>
      </c>
      <c r="I8">
        <f>'分42行业工业增加值（2012年美元）'!K8/'分42行业工业增加值（2012年美元）'!J8-1</f>
        <v>-0.0171880349111571</v>
      </c>
      <c r="J8">
        <f>'分42行业工业增加值（2012年美元）'!L8/'分42行业工业增加值（2012年美元）'!K8-1</f>
        <v>-0.0176838481523593</v>
      </c>
      <c r="K8">
        <f>'分42行业工业增加值（2012年美元）'!M8/'分42行业工业增加值（2012年美元）'!L8-1</f>
        <v>-0.0180690354831273</v>
      </c>
      <c r="L8">
        <f>'分42行业工业增加值（2012年美元）'!N8/'分42行业工业增加值（2012年美元）'!M8-1</f>
        <v>-0.0183586419989042</v>
      </c>
      <c r="M8">
        <f>'分42行业工业增加值（2012年美元）'!O8/'分42行业工业增加值（2012年美元）'!N8-1</f>
        <v>-0.0185661620727715</v>
      </c>
      <c r="N8">
        <f>'分42行业工业增加值（2012年美元）'!P8/'分42行业工业增加值（2012年美元）'!O8-1</f>
        <v>-0.0187035521246308</v>
      </c>
      <c r="O8">
        <f>'分42行业工业增加值（2012年美元）'!Q8/'分42行业工业增加值（2012年美元）'!P8-1</f>
        <v>-0.0187813075652289</v>
      </c>
      <c r="P8">
        <f>'分42行业工业增加值（2012年美元）'!R8/'分42行业工业增加值（2012年美元）'!Q8-1</f>
        <v>-0.0188085751515741</v>
      </c>
      <c r="Q8">
        <f>'分42行业工业增加值（2012年美元）'!S8/'分42行业工业增加值（2012年美元）'!R8-1</f>
        <v>-0.0187932815241516</v>
      </c>
      <c r="R8">
        <f>'分42行业工业增加值（2012年美元）'!T8/'分42行业工业增加值（2012年美元）'!S8-1</f>
        <v>-0.0187422655213834</v>
      </c>
      <c r="S8">
        <f>'分42行业工业增加值（2012年美元）'!U8/'分42行业工业增加值（2012年美元）'!T8-1</f>
        <v>-0.0186614066313838</v>
      </c>
      <c r="T8">
        <f>'分42行业工业增加值（2012年美元）'!V8/'分42行业工业增加值（2012年美元）'!U8-1</f>
        <v>-0.018555745191623</v>
      </c>
      <c r="U8">
        <f>'分42行业工业增加值（2012年美元）'!W8/'分42行业工业增加值（2012年美元）'!V8-1</f>
        <v>-0.0184295921097146</v>
      </c>
      <c r="V8">
        <f>'分42行业工业增加值（2012年美元）'!X8/'分42行业工业增加值（2012年美元）'!W8-1</f>
        <v>-0.0182866272774919</v>
      </c>
      <c r="W8">
        <f>'分42行业工业增加值（2012年美元）'!Y8/'分42行业工业增加值（2012年美元）'!X8-1</f>
        <v>-0.0181299867224135</v>
      </c>
      <c r="X8">
        <f>'分42行业工业增加值（2012年美元）'!Z8/'分42行业工业增加值（2012年美元）'!Y8-1</f>
        <v>-0.0179623390544247</v>
      </c>
      <c r="Y8">
        <f>'分42行业工业增加值（2012年美元）'!AA8/'分42行业工业增加值（2012年美元）'!Z8-1</f>
        <v>-0.0177859520437822</v>
      </c>
      <c r="Z8">
        <f>'分42行业工业增加值（2012年美元）'!AB8/'分42行业工业增加值（2012年美元）'!AA8-1</f>
        <v>-0.0176027502886882</v>
      </c>
      <c r="AA8">
        <f>'分42行业工业增加值（2012年美元）'!AC8/'分42行业工业增加值（2012年美元）'!AB8-1</f>
        <v>-0.0174143649576964</v>
      </c>
      <c r="AB8">
        <f>'分42行业工业增加值（2012年美元）'!AD8/'分42行业工业增加值（2012年美元）'!AC8-1</f>
        <v>-0.0172221765605173</v>
      </c>
      <c r="AC8">
        <f>'分42行业工业增加值（2012年美元）'!AE8/'分42行业工业增加值（2012年美元）'!AD8-1</f>
        <v>-0.0170273516360465</v>
      </c>
      <c r="AD8">
        <f>'分42行业工业增加值（2012年美元）'!AF8/'分42行业工业增加值（2012年美元）'!AE8-1</f>
        <v>-0.0168308741661939</v>
      </c>
      <c r="AE8">
        <f>'分42行业工业增加值（2012年美元）'!AG8/'分42行业工业增加值（2012年美元）'!AF8-1</f>
        <v>-0.0166335724380844</v>
      </c>
      <c r="AF8">
        <f>'分42行业工业增加值（2012年美元）'!AH8/'分42行业工业增加值（2012年美元）'!AG8-1</f>
        <v>-0.0164361419923216</v>
      </c>
      <c r="AG8">
        <f>'分42行业工业增加值（2012年美元）'!AI8/'分42行业工业增加值（2012年美元）'!AH8-1</f>
        <v>-0.0162391652148898</v>
      </c>
      <c r="AH8">
        <f>'分42行业工业增加值（2012年美元）'!AJ8/'分42行业工业增加值（2012年美元）'!AI8-1</f>
        <v>-0.0160431280565598</v>
      </c>
      <c r="AI8">
        <f>'分42行业工业增加值（2012年美元）'!AK8/'分42行业工业增加值（2012年美元）'!AJ8-1</f>
        <v>-0.0158484342977595</v>
      </c>
      <c r="AJ8">
        <f>'分42行业工业增加值（2012年美元）'!AL8/'分42行业工业增加值（2012年美元）'!AK8-1</f>
        <v>-0.0156554177182903</v>
      </c>
      <c r="AK8">
        <f>'分42行业工业增加值（2012年美元）'!AM8/'分42行业工业增加值（2012年美元）'!AL8-1</f>
        <v>-0.015464352479881</v>
      </c>
      <c r="AL8">
        <f>'分42行业工业增加值（2012年美元）'!AN8/'分42行业工业增加值（2012年美元）'!AM8-1</f>
        <v>-0.0152754619852262</v>
      </c>
      <c r="AM8">
        <f>'分42行业工业增加值（2012年美元）'!AO8/'分42行业工业增加值（2012年美元）'!AN8-1</f>
        <v>-0.0150889264383657</v>
      </c>
      <c r="AN8">
        <f>'分42行业工业增加值（2012年美元）'!AP8/'分42行业工业增加值（2012年美元）'!AO8-1</f>
        <v>-0.0149048892983404</v>
      </c>
      <c r="AO8">
        <f>'分42行业工业增加值（2012年美元）'!AQ8/'分42行业工业增加值（2012年美元）'!AP8-1</f>
        <v>-0.0147234627896028</v>
      </c>
      <c r="AP8">
        <f>'分42行业工业增加值（2012年美元）'!AR8/'分42行业工业增加值（2012年美元）'!AQ8-1</f>
        <v>-0.0145447326083046</v>
      </c>
    </row>
    <row r="9" spans="1:42">
      <c r="A9" s="2" t="s">
        <v>108</v>
      </c>
      <c r="B9">
        <f>'分42行业工业增加值（2012年美元）'!D9/'分42行业工业增加值（2012年美元）'!C9-1</f>
        <v>-0.0755281425649781</v>
      </c>
      <c r="C9">
        <f>'分42行业工业增加值（2012年美元）'!E9/'分42行业工业增加值（2012年美元）'!D9-1</f>
        <v>0.163156031098253</v>
      </c>
      <c r="D9">
        <f>'分42行业工业增加值（2012年美元）'!F9/'分42行业工业增加值（2012年美元）'!E9-1</f>
        <v>-0.00858274809079274</v>
      </c>
      <c r="E9">
        <f>'分42行业工业增加值（2012年美元）'!G9/'分42行业工业增加值（2012年美元）'!F9-1</f>
        <v>-0.00991363484677554</v>
      </c>
      <c r="F9">
        <f>'分42行业工业增加值（2012年美元）'!H9/'分42行业工业增加值（2012年美元）'!G9-1</f>
        <v>-0.0110453341557829</v>
      </c>
      <c r="G9">
        <f>'分42行业工业增加值（2012年美元）'!I9/'分42行业工业增加值（2012年美元）'!H9-1</f>
        <v>-0.0119947001269872</v>
      </c>
      <c r="H9">
        <f>'分42行业工业增加值（2012年美元）'!J9/'分42行业工业增加值（2012年美元）'!I9-1</f>
        <v>-0.0127800638451853</v>
      </c>
      <c r="I9">
        <f>'分42行业工业增加值（2012年美元）'!K9/'分42行业工业增加值（2012年美元）'!J9-1</f>
        <v>-0.0134199059978553</v>
      </c>
      <c r="J9">
        <f>'分42行业工业增加值（2012年美元）'!L9/'分42行业工业增加值（2012年美元）'!K9-1</f>
        <v>-0.0139320048744721</v>
      </c>
      <c r="K9">
        <f>'分42行业工业增加值（2012年美元）'!M9/'分42行业工业增加值（2012年美元）'!L9-1</f>
        <v>-0.0143329329964914</v>
      </c>
      <c r="L9">
        <f>'分42行业工业增加值（2012年美元）'!N9/'分42行业工业增加值（2012年美元）'!M9-1</f>
        <v>-0.0146377986823555</v>
      </c>
      <c r="M9">
        <f>'分42行业工业增加值（2012年美元）'!O9/'分42行业工业增加值（2012年美元）'!N9-1</f>
        <v>-0.0148601527174218</v>
      </c>
      <c r="N9">
        <f>'分42行业工业增加值（2012年美元）'!P9/'分42行业工业增加值（2012年美元）'!O9-1</f>
        <v>-0.0150120012994087</v>
      </c>
      <c r="O9">
        <f>'分42行业工业增加值（2012年美元）'!Q9/'分42行业工业增加值（2012年美元）'!P9-1</f>
        <v>-0.0151038833950223</v>
      </c>
      <c r="P9">
        <f>'分42行业工业增加值（2012年美元）'!R9/'分42行业工业增加值（2012年美元）'!Q9-1</f>
        <v>-0.0151449836311027</v>
      </c>
      <c r="Q9">
        <f>'分42行业工业增加值（2012年美元）'!S9/'分42行业工业增加值（2012年美元）'!R9-1</f>
        <v>-0.0151432614157256</v>
      </c>
      <c r="R9">
        <f>'分42行业工业增加值（2012年美元）'!T9/'分42行业工业增加值（2012年美元）'!S9-1</f>
        <v>-0.0151055838375628</v>
      </c>
      <c r="S9">
        <f>'分42行业工业增加值（2012年美元）'!U9/'分42行业工业增加值（2012年美元）'!T9-1</f>
        <v>-0.0150378546753912</v>
      </c>
      <c r="T9">
        <f>'分42行业工业增加值（2012年美元）'!V9/'分42行业工业增加值（2012年美元）'!U9-1</f>
        <v>-0.0149451351127595</v>
      </c>
      <c r="U9">
        <f>'分42行业工业增加值（2012年美元）'!W9/'分42行业工业增加值（2012年美元）'!V9-1</f>
        <v>-0.0148317539240723</v>
      </c>
      <c r="V9">
        <f>'分42行业工业增加值（2012年美元）'!X9/'分42行业工业增加值（2012年美元）'!W9-1</f>
        <v>-0.0147014063024918</v>
      </c>
      <c r="W9">
        <f>'分42行业工业增加值（2012年美元）'!Y9/'分42行业工业增加值（2012年美元）'!X9-1</f>
        <v>-0.0145572413751204</v>
      </c>
      <c r="X9">
        <f>'分42行业工业增加值（2012年美元）'!Z9/'分42行业工业增加值（2012年美元）'!Y9-1</f>
        <v>-0.0144019389669501</v>
      </c>
      <c r="Y9">
        <f>'分42行业工业增加值（2012年美元）'!AA9/'分42行业工业增加值（2012年美元）'!Z9-1</f>
        <v>-0.0142377764532194</v>
      </c>
      <c r="Z9">
        <f>'分42行业工业增加值（2012年美元）'!AB9/'分42行业工业增加值（2012年美元）'!AA9-1</f>
        <v>-0.0140666866636112</v>
      </c>
      <c r="AA9">
        <f>'分42行业工业增加值（2012年美元）'!AC9/'分42行业工业增加值（2012年美元）'!AB9-1</f>
        <v>-0.0138903078276642</v>
      </c>
      <c r="AB9">
        <f>'分42行业工业增加值（2012年美元）'!AD9/'分42行业工业增加值（2012年美元）'!AC9-1</f>
        <v>-0.0137100265193825</v>
      </c>
      <c r="AC9">
        <f>'分42行业工业增加值（2012年美元）'!AE9/'分42行业工业增加值（2012年美元）'!AD9-1</f>
        <v>-0.0135270144936077</v>
      </c>
      <c r="AD9">
        <f>'分42行业工业增加值（2012年美元）'!AF9/'分42行业工业增加值（2012年美元）'!AE9-1</f>
        <v>-0.0133422602264157</v>
      </c>
      <c r="AE9">
        <f>'分42行业工业增加值（2012年美元）'!AG9/'分42行业工业增加值（2012年美元）'!AF9-1</f>
        <v>-0.0131565958850079</v>
      </c>
      <c r="AF9">
        <f>'分42行业工业增加值（2012年美元）'!AH9/'分42行业工业增加值（2012年美元）'!AG9-1</f>
        <v>-0.012970720367688</v>
      </c>
      <c r="AG9">
        <f>'分42行业工业增加值（2012年美元）'!AI9/'分42行业工业增加值（2012年美元）'!AH9-1</f>
        <v>-0.0127852189737011</v>
      </c>
      <c r="AH9">
        <f>'分42行业工业增加值（2012年美元）'!AJ9/'分42行业工业增加值（2012年美元）'!AI9-1</f>
        <v>-0.0126005801889019</v>
      </c>
      <c r="AI9">
        <f>'分42行业工业增加值（2012年美元）'!AK9/'分42行业工业增加值（2012年美元）'!AJ9-1</f>
        <v>-0.0124172100069779</v>
      </c>
      <c r="AJ9">
        <f>'分42行业工业增加值（2012年美元）'!AL9/'分42行业工业增加值（2012年美元）'!AK9-1</f>
        <v>-0.0122354441470119</v>
      </c>
      <c r="AK9">
        <f>'分42行业工业增加值（2012年美元）'!AM9/'分42行业工业增加值（2012年美元）'!AL9-1</f>
        <v>-0.0120555584767477</v>
      </c>
      <c r="AL9">
        <f>'分42行业工业增加值（2012年美元）'!AN9/'分42行业工业增加值（2012年美元）'!AM9-1</f>
        <v>-0.0118777779062039</v>
      </c>
      <c r="AM9">
        <f>'分42行业工业增加值（2012年美元）'!AO9/'分42行业工业增加值（2012年美元）'!AN9-1</f>
        <v>-0.011702283977475</v>
      </c>
      <c r="AN9">
        <f>'分42行业工业增加值（2012年美元）'!AP9/'分42行业工业增加值（2012年美元）'!AO9-1</f>
        <v>-0.011529221343395</v>
      </c>
      <c r="AO9">
        <f>'分42行业工业增加值（2012年美元）'!AQ9/'分42行业工业增加值（2012年美元）'!AP9-1</f>
        <v>-0.0113587032992544</v>
      </c>
      <c r="AP9">
        <f>'分42行业工业增加值（2012年美元）'!AR9/'分42行业工业增加值（2012年美元）'!AQ9-1</f>
        <v>-0.0111908165071518</v>
      </c>
    </row>
    <row r="10" spans="1:42">
      <c r="A10" s="2" t="s">
        <v>109</v>
      </c>
      <c r="B10">
        <f>'分42行业工业增加值（2012年美元）'!D10/'分42行业工业增加值（2012年美元）'!C10-1</f>
        <v>-0.0286496772979585</v>
      </c>
      <c r="C10">
        <f>'分42行业工业增加值（2012年美元）'!E10/'分42行业工业增加值（2012年美元）'!D10-1</f>
        <v>0.169730625883658</v>
      </c>
      <c r="D10">
        <f>'分42行业工业增加值（2012年美元）'!F10/'分42行业工业增加值（2012年美元）'!E10-1</f>
        <v>0.0180493570405007</v>
      </c>
      <c r="E10">
        <f>'分42行业工业增加值（2012年美元）'!G10/'分42行业工业增加值（2012年美元）'!F10-1</f>
        <v>0.0157860420222224</v>
      </c>
      <c r="F10">
        <f>'分42行业工业增加值（2012年美元）'!H10/'分42行业工业增加值（2012年美元）'!G10-1</f>
        <v>0.0137821574814778</v>
      </c>
      <c r="G10">
        <f>'分42行业工业增加值（2012年美元）'!I10/'分42行业工业增加值（2012年美元）'!H10-1</f>
        <v>0.0120152650564032</v>
      </c>
      <c r="H10">
        <f>'分42行业工业增加值（2012年美元）'!J10/'分42行业工业增加值（2012年美元）'!I10-1</f>
        <v>0.0104620356260403</v>
      </c>
      <c r="I10">
        <f>'分42行业工业增加值（2012年美元）'!K10/'分42行业工业增加值（2012年美元）'!J10-1</f>
        <v>0.0090995290969822</v>
      </c>
      <c r="J10">
        <f>'分42行业工业增加值（2012年美元）'!L10/'分42行业工业增加值（2012年美元）'!K10-1</f>
        <v>0.00790599504281797</v>
      </c>
      <c r="K10">
        <f>'分42行业工业增加值（2012年美元）'!M10/'分42行业工业增加值（2012年美元）'!L10-1</f>
        <v>0.00686132462395062</v>
      </c>
      <c r="L10">
        <f>'分42行业工业增加值（2012年美元）'!N10/'分42行业工业增加值（2012年美元）'!M10-1</f>
        <v>0.00594725986904976</v>
      </c>
      <c r="M10">
        <f>'分42行业工业增加值（2012年美元）'!O10/'分42行业工业增加值（2012年美元）'!N10-1</f>
        <v>0.00514744151879287</v>
      </c>
      <c r="N10">
        <f>'分42行业工业增加值（2012年美元）'!P10/'分42行业工业增加值（2012年美元）'!O10-1</f>
        <v>0.00444735490605175</v>
      </c>
      <c r="O10">
        <f>'分42行业工业增加值（2012年美元）'!Q10/'分42行业工业增加值（2012年美元）'!P10-1</f>
        <v>0.00383421590085686</v>
      </c>
      <c r="P10">
        <f>'分42行业工业增加值（2012年美元）'!R10/'分42行业工业增加值（2012年美元）'!Q10-1</f>
        <v>0.00329682566250522</v>
      </c>
      <c r="Q10">
        <f>'分42行业工业增加值（2012年美元）'!S10/'分42行业工业增加值（2012年美元）'!R10-1</f>
        <v>0.00282541320166496</v>
      </c>
      <c r="R10">
        <f>'分42行业工业增加值（2012年美元）'!T10/'分42行业工业增加值（2012年美元）'!S10-1</f>
        <v>0.00241147782194351</v>
      </c>
      <c r="S10">
        <f>'分42行业工业增加值（2012年美元）'!U10/'分42行业工业增加值（2012年美元）'!T10-1</f>
        <v>0.00204763870211333</v>
      </c>
      <c r="T10">
        <f>'分42行业工业增加值（2012年美元）'!V10/'分42行业工业增加值（2012年美元）'!U10-1</f>
        <v>0.00172749562460073</v>
      </c>
      <c r="U10">
        <f>'分42行业工业增加值（2012年美元）'!W10/'分42行业工业增加值（2012年美元）'!V10-1</f>
        <v>0.00144550271225885</v>
      </c>
      <c r="V10">
        <f>'分42行业工业增加值（2012年美元）'!X10/'分42行业工业增加值（2012年美元）'!W10-1</f>
        <v>0.00119685566592298</v>
      </c>
      <c r="W10">
        <f>'分42行业工业增加值（2012年美元）'!Y10/'分42行业工业增加值（2012年美元）'!X10-1</f>
        <v>0.000977392159263957</v>
      </c>
      <c r="X10">
        <f>'分42行业工业增加值（2012年美元）'!Z10/'分42行业工业增加值（2012年美元）'!Y10-1</f>
        <v>0.000783504568760085</v>
      </c>
      <c r="Y10">
        <f>'分42行业工业增加值（2012年美元）'!AA10/'分42行业工业增加值（2012年美元）'!Z10-1</f>
        <v>0.00061206397408764</v>
      </c>
      <c r="Z10">
        <f>'分42行业工业增加值（2012年美元）'!AB10/'分42行业工业增加值（2012年美元）'!AA10-1</f>
        <v>0.000460354271857533</v>
      </c>
      <c r="AA10">
        <f>'分42行业工业增加值（2012年美元）'!AC10/'分42行业工业增加值（2012年美元）'!AB10-1</f>
        <v>0.000326015247950728</v>
      </c>
      <c r="AB10">
        <f>'分42行业工业增加值（2012年美元）'!AD10/'分42行业工业增加值（2012年美元）'!AC10-1</f>
        <v>0.000206993509773268</v>
      </c>
      <c r="AC10">
        <f>'分42行业工业增加值（2012年美元）'!AE10/'分42行业工业增加值（2012年美元）'!AD10-1</f>
        <v>0.000101500265553112</v>
      </c>
      <c r="AD10">
        <f>'分42行业工业增加值（2012年美元）'!AF10/'分42行业工业增加值（2012年美元）'!AE10-1</f>
        <v>7.97503678229283e-6</v>
      </c>
      <c r="AE10">
        <f>'分42行业工业增加值（2012年美元）'!AG10/'分42行业工业增加值（2012年美元）'!AF10-1</f>
        <v>-7.49455087578621e-5</v>
      </c>
      <c r="AF10">
        <f>'分42行业工业增加值（2012年美元）'!AH10/'分42行业工业增加值（2012年美元）'!AG10-1</f>
        <v>-0.000148454317373203</v>
      </c>
      <c r="AG10">
        <f>'分42行业工业增加值（2012年美元）'!AI10/'分42行业工业增加值（2012年美元）'!AH10-1</f>
        <v>-0.000213596926253223</v>
      </c>
      <c r="AH10">
        <f>'分42行业工业增加值（2012年美元）'!AJ10/'分42行业工业增加值（2012年美元）'!AI10-1</f>
        <v>-0.000271291196283774</v>
      </c>
      <c r="AI10">
        <f>'分42行业工业增加值（2012年美元）'!AK10/'分42行业工业增加值（2012年美元）'!AJ10-1</f>
        <v>-0.000322344266185159</v>
      </c>
      <c r="AJ10">
        <f>'分42行业工业增加值（2012年美元）'!AL10/'分42行业工业增加值（2012年美元）'!AK10-1</f>
        <v>-0.000367467128476906</v>
      </c>
      <c r="AK10">
        <f>'分42行业工业增加值（2012年美元）'!AM10/'分42行业工业增加值（2012年美元）'!AL10-1</f>
        <v>-0.000407287170129722</v>
      </c>
      <c r="AL10">
        <f>'分42行业工业增加值（2012年美元）'!AN10/'分42行业工业增加值（2012年美元）'!AM10-1</f>
        <v>-0.000442358971668555</v>
      </c>
      <c r="AM10">
        <f>'分42行业工业增加值（2012年美元）'!AO10/'分42行业工业增加值（2012年美元）'!AN10-1</f>
        <v>-0.000473173615654909</v>
      </c>
      <c r="AN10">
        <f>'分42行业工业增加值（2012年美元）'!AP10/'分42行业工业增加值（2012年美元）'!AO10-1</f>
        <v>-0.000500166718788941</v>
      </c>
      <c r="AO10">
        <f>'分42行业工业增加值（2012年美元）'!AQ10/'分42行业工业增加值（2012年美元）'!AP10-1</f>
        <v>-0.000523725370872974</v>
      </c>
      <c r="AP10">
        <f>'分42行业工业增加值（2012年美元）'!AR10/'分42行业工业增加值（2012年美元）'!AQ10-1</f>
        <v>-0.000544194136240628</v>
      </c>
    </row>
    <row r="11" spans="1:42">
      <c r="A11" s="2" t="s">
        <v>110</v>
      </c>
      <c r="B11">
        <f>'分42行业工业增加值（2012年美元）'!D11/'分42行业工业增加值（2012年美元）'!C11-1</f>
        <v>-0.0767928510753734</v>
      </c>
      <c r="C11">
        <f>'分42行业工业增加值（2012年美元）'!E11/'分42行业工业增加值（2012年美元）'!D11-1</f>
        <v>0.279040876010586</v>
      </c>
      <c r="D11">
        <f>'分42行业工业增加值（2012年美元）'!F11/'分42行业工业增加值（2012年美元）'!E11-1</f>
        <v>0.0435947862445352</v>
      </c>
      <c r="E11">
        <f>'分42行业工业增加值（2012年美元）'!G11/'分42行业工业增加值（2012年美元）'!F11-1</f>
        <v>0.0392045887823951</v>
      </c>
      <c r="F11">
        <f>'分42行业工业增加值（2012年美元）'!H11/'分42行业工业增加值（2012年美元）'!G11-1</f>
        <v>0.035336617470018</v>
      </c>
      <c r="G11">
        <f>'分42行业工业增加值（2012年美元）'!I11/'分42行业工业增加值（2012年美元）'!H11-1</f>
        <v>0.03192615364695</v>
      </c>
      <c r="H11">
        <f>'分42行业工业增加值（2012年美元）'!J11/'分42行业工业增加值（2012年美元）'!I11-1</f>
        <v>0.0289158064247435</v>
      </c>
      <c r="I11">
        <f>'分42行业工业增加值（2012年美元）'!K11/'分42行业工业增加值（2012年美元）'!J11-1</f>
        <v>0.0262549483749219</v>
      </c>
      <c r="J11">
        <f>'分42行业工业增加值（2012年美元）'!L11/'分42行业工业增加值（2012年美元）'!K11-1</f>
        <v>0.0238991368884818</v>
      </c>
      <c r="K11">
        <f>'分42行业工业增加值（2012年美元）'!M11/'分42行业工业增加值（2012年美元）'!L11-1</f>
        <v>0.0218095220208163</v>
      </c>
      <c r="L11">
        <f>'分42行业工业增加值（2012年美元）'!N11/'分42行业工业增加值（2012年美元）'!M11-1</f>
        <v>0.019952256950134</v>
      </c>
      <c r="M11">
        <f>'分42行业工业增加值（2012年美元）'!O11/'分42行业工业增加值（2012年美元）'!N11-1</f>
        <v>0.0182979287057554</v>
      </c>
      <c r="N11">
        <f>'分42行业工业增加值（2012年美元）'!P11/'分42行业工业增加值（2012年美元）'!O11-1</f>
        <v>0.0168210230663559</v>
      </c>
      <c r="O11">
        <f>'分42行业工业增加值（2012年美元）'!Q11/'分42行业工业增加值（2012年美元）'!P11-1</f>
        <v>0.015499432533052</v>
      </c>
      <c r="P11">
        <f>'分42行业工业增加值（2012年美元）'!R11/'分42行业工业增加值（2012年美元）'!Q11-1</f>
        <v>0.0143140117690255</v>
      </c>
      <c r="Q11">
        <f>'分42行业工业增加值（2012年美元）'!S11/'分42行业工业增加值（2012年美元）'!R11-1</f>
        <v>0.013248181417979</v>
      </c>
      <c r="R11">
        <f>'分42行业工业增加值（2012年美元）'!T11/'分42行业工业增加值（2012年美元）'!S11-1</f>
        <v>0.0122875788075545</v>
      </c>
      <c r="S11">
        <f>'分42行业工业增加值（2012年美元）'!U11/'分42行业工业增加值（2012年美元）'!T11-1</f>
        <v>0.0114197525408708</v>
      </c>
      <c r="T11">
        <f>'分42行业工业增加值（2012年美元）'!V11/'分42行业工业增加值（2012年美元）'!U11-1</f>
        <v>0.0106338971635147</v>
      </c>
      <c r="U11">
        <f>'分42行业工业增加值（2012年美元）'!W11/'分42行业工业增加值（2012年美元）'!V11-1</f>
        <v>0.0099206237628251</v>
      </c>
      <c r="V11">
        <f>'分42行业工业增加值（2012年美元）'!X11/'分42行业工业增加值（2012年美元）'!W11-1</f>
        <v>0.00927176234916294</v>
      </c>
      <c r="W11">
        <f>'分42行业工业增加值（2012年美元）'!Y11/'分42行业工业增加值（2012年美元）'!X11-1</f>
        <v>0.00868019206001103</v>
      </c>
      <c r="X11">
        <f>'分42行业工业增加值（2012年美元）'!Z11/'分42行业工业增加值（2012年美元）'!Y11-1</f>
        <v>0.00813969553322247</v>
      </c>
      <c r="Y11">
        <f>'分42行业工业增加值（2012年美元）'!AA11/'分42行业工业增加值（2012年美元）'!Z11-1</f>
        <v>0.00764483415164263</v>
      </c>
      <c r="Z11">
        <f>'分42行业工业增加值（2012年美元）'!AB11/'分42行业工业增加值（2012年美元）'!AA11-1</f>
        <v>0.00719084123248903</v>
      </c>
      <c r="AA11">
        <f>'分42行业工业增加值（2012年美元）'!AC11/'分42行业工业增加值（2012年美元）'!AB11-1</f>
        <v>0.00677353059545016</v>
      </c>
      <c r="AB11">
        <f>'分42行业工业增加值（2012年美元）'!AD11/'分42行业工业增加值（2012年美元）'!AC11-1</f>
        <v>0.00638921827943628</v>
      </c>
      <c r="AC11">
        <f>'分42行业工业增加值（2012年美元）'!AE11/'分42行业工业增加值（2012年美元）'!AD11-1</f>
        <v>0.00603465548389903</v>
      </c>
      <c r="AD11">
        <f>'分42行业工业增加值（2012年美元）'!AF11/'分42行业工业增加值（2012年美元）'!AE11-1</f>
        <v>0.00570697108246798</v>
      </c>
      <c r="AE11">
        <f>'分42行业工业增加值（2012年美元）'!AG11/'分42行业工业增加值（2012年美元）'!AF11-1</f>
        <v>0.00540362229595326</v>
      </c>
      <c r="AF11">
        <f>'分42行业工业增加值（2012年美元）'!AH11/'分42行业工业增加值（2012年美元）'!AG11-1</f>
        <v>0.00512235231942326</v>
      </c>
      <c r="AG11">
        <f>'分42行业工业增加值（2012年美元）'!AI11/'分42行业工业增加值（2012年美元）'!AH11-1</f>
        <v>0.00486115387748853</v>
      </c>
      <c r="AH11">
        <f>'分42行业工业增加值（2012年美元）'!AJ11/'分42行业工业增加值（2012年美元）'!AI11-1</f>
        <v>0.00461823783568338</v>
      </c>
      <c r="AI11">
        <f>'分42行业工业增加值（2012年美元）'!AK11/'分42行业工业增加值（2012年美元）'!AJ11-1</f>
        <v>0.00439200612684054</v>
      </c>
      <c r="AJ11">
        <f>'分42行业工业增加值（2012年美元）'!AL11/'分42行业工业增加值（2012年美元）'!AK11-1</f>
        <v>0.0041810283639474</v>
      </c>
      <c r="AK11">
        <f>'分42行业工业增加值（2012年美元）'!AM11/'分42行业工业增加值（2012年美元）'!AL11-1</f>
        <v>0.00398402160450817</v>
      </c>
      <c r="AL11">
        <f>'分42行业工业增加值（2012年美元）'!AN11/'分42行业工业增加值（2012年美元）'!AM11-1</f>
        <v>0.00379983281356422</v>
      </c>
      <c r="AM11">
        <f>'分42行业工业增加值（2012年美元）'!AO11/'分42行业工业增加值（2012年美元）'!AN11-1</f>
        <v>0.00362742363924529</v>
      </c>
      <c r="AN11">
        <f>'分42行业工业增加值（2012年美元）'!AP11/'分42行业工业增加值（2012年美元）'!AO11-1</f>
        <v>0.00346585717327619</v>
      </c>
      <c r="AO11">
        <f>'分42行业工业增加值（2012年美元）'!AQ11/'分42行业工业增加值（2012年美元）'!AP11-1</f>
        <v>0.00331428641744069</v>
      </c>
      <c r="AP11">
        <f>'分42行业工业增加值（2012年美元）'!AR11/'分42行业工业增加值（2012年美元）'!AQ11-1</f>
        <v>0.00317194421829736</v>
      </c>
    </row>
    <row r="12" spans="1:42">
      <c r="A12" s="2" t="s">
        <v>111</v>
      </c>
      <c r="B12">
        <f>'分42行业工业增加值（2012年美元）'!D12/'分42行业工业增加值（2012年美元）'!C12-1</f>
        <v>-0.0193201652304271</v>
      </c>
      <c r="C12">
        <f>'分42行业工业增加值（2012年美元）'!E12/'分42行业工业增加值（2012年美元）'!D12-1</f>
        <v>0.190779551516074</v>
      </c>
      <c r="D12">
        <f>'分42行业工业增加值（2012年美元）'!F12/'分42行业工业增加值（2012年美元）'!E12-1</f>
        <v>0.0235610271871787</v>
      </c>
      <c r="E12">
        <f>'分42行业工业增加值（2012年美元）'!G12/'分42行业工业增加值（2012年美元）'!F12-1</f>
        <v>0.0209377129686374</v>
      </c>
      <c r="F12">
        <f>'分42行业工业增加值（2012年美元）'!H12/'分42行业工业增加值（2012年美元）'!G12-1</f>
        <v>0.0186085999071774</v>
      </c>
      <c r="G12">
        <f>'分42行业工业增加值（2012年美元）'!I12/'分42行业工业增加值（2012年美元）'!H12-1</f>
        <v>0.016546899417488</v>
      </c>
      <c r="H12">
        <f>'分42行业工业增加值（2012年美元）'!J12/'分42行业工业增加值（2012年美元）'!I12-1</f>
        <v>0.0147255775775075</v>
      </c>
      <c r="I12">
        <f>'分42行业工业增加值（2012年美元）'!K12/'分42行业工业增加值（2012年美元）'!J12-1</f>
        <v>0.013118528914994</v>
      </c>
      <c r="J12">
        <f>'分42行业工业增加值（2012年美元）'!L12/'分42行业工业增加值（2012年美元）'!K12-1</f>
        <v>0.0117012892266735</v>
      </c>
      <c r="K12">
        <f>'分42行业工业增加值（2012年美元）'!M12/'分42行业工业增加值（2012年美元）'!L12-1</f>
        <v>0.0104514147686741</v>
      </c>
      <c r="L12">
        <f>'分42行业工业增加值（2012年美元）'!N12/'分42行业工业增加值（2012年美元）'!M12-1</f>
        <v>0.00934863131159092</v>
      </c>
      <c r="M12">
        <f>'分42行业工业增加值（2012年美元）'!O12/'分42行业工业增加值（2012年美元）'!N12-1</f>
        <v>0.00837483208925782</v>
      </c>
      <c r="N12">
        <f>'分42行业工业增加值（2012年美元）'!P12/'分42行业工业增加值（2012年美元）'!O12-1</f>
        <v>0.00751398230020595</v>
      </c>
      <c r="O12">
        <f>'分42行业工业增加值（2012年美元）'!Q12/'分42行业工业增加值（2012年美元）'!P12-1</f>
        <v>0.00675197068116318</v>
      </c>
      <c r="P12">
        <f>'分42行业工业增加值（2012年美元）'!R12/'分42行业工业增加值（2012年美元）'!Q12-1</f>
        <v>0.00607643564871485</v>
      </c>
      <c r="Q12">
        <f>'分42行业工业增加值（2012年美元）'!S12/'分42行业工业增加值（2012年美元）'!R12-1</f>
        <v>0.00547658398647299</v>
      </c>
      <c r="R12">
        <f>'分42行业工业增加值（2012年美元）'!T12/'分42行业工业增加值（2012年美元）'!S12-1</f>
        <v>0.00494301330691926</v>
      </c>
      <c r="S12">
        <f>'分42行业工业增加值（2012年美元）'!U12/'分42行业工业增加值（2012年美元）'!T12-1</f>
        <v>0.00446754486252354</v>
      </c>
      <c r="T12">
        <f>'分42行业工业增加值（2012年美元）'!V12/'分42行业工业增加值（2012年美元）'!U12-1</f>
        <v>0.00404307015042704</v>
      </c>
      <c r="U12">
        <f>'分42行业工业增加值（2012年美元）'!W12/'分42行业工业增加值（2012年美元）'!V12-1</f>
        <v>0.00366341271508497</v>
      </c>
      <c r="V12">
        <f>'分42行业工业增加值（2012年美元）'!X12/'分42行业工业增加值（2012年美元）'!W12-1</f>
        <v>0.00332320526732111</v>
      </c>
      <c r="W12">
        <f>'分42行业工业增加值（2012年美元）'!Y12/'分42行业工业增加值（2012年美元）'!X12-1</f>
        <v>0.00301778147062426</v>
      </c>
      <c r="X12">
        <f>'分42行业工业增加值（2012年美元）'!Z12/'分42行业工业增加值（2012年美元）'!Y12-1</f>
        <v>0.00274308132214429</v>
      </c>
      <c r="Y12">
        <f>'分42行业工业增加值（2012年美元）'!AA12/'分42行业工业增加值（2012年美元）'!Z12-1</f>
        <v>0.00249556885775326</v>
      </c>
      <c r="Z12">
        <f>'分42行业工业增加值（2012年美元）'!AB12/'分42行业工业增加值（2012年美元）'!AA12-1</f>
        <v>0.00227216085562754</v>
      </c>
      <c r="AA12">
        <f>'分42行业工业增加值（2012年美元）'!AC12/'分42行业工业增加值（2012年美元）'!AB12-1</f>
        <v>0.002070165243649</v>
      </c>
      <c r="AB12">
        <f>'分42行业工业增加值（2012年美元）'!AD12/'分42行业工业增加值（2012年美元）'!AC12-1</f>
        <v>0.00188722799635532</v>
      </c>
      <c r="AC12">
        <f>'分42行业工业增加值（2012年美元）'!AE12/'分42行业工业增加值（2012年美元）'!AD12-1</f>
        <v>0.00172128741337918</v>
      </c>
      <c r="AD12">
        <f>'分42行业工业增加值（2012年美元）'!AF12/'分42行业工业增加值（2012年美元）'!AE12-1</f>
        <v>0.00157053478498148</v>
      </c>
      <c r="AE12">
        <f>'分42行业工业增加值（2012年美元）'!AG12/'分42行业工业增加值（2012年美元）'!AF12-1</f>
        <v>0.00143338056618725</v>
      </c>
      <c r="AF12">
        <f>'分42行业工业增加值（2012年美元）'!AH12/'分42行业工业增加值（2012年美元）'!AG12-1</f>
        <v>0.00130842528911712</v>
      </c>
      <c r="AG12">
        <f>'分42行业工业增加值（2012年美元）'!AI12/'分42行业工业增加值（2012年美元）'!AH12-1</f>
        <v>0.00119443454397827</v>
      </c>
      <c r="AH12">
        <f>'分42行业工业增加值（2012年美元）'!AJ12/'分42行业工业增加值（2012年美元）'!AI12-1</f>
        <v>0.00109031744973032</v>
      </c>
      <c r="AI12">
        <f>'分42行业工业增加值（2012年美元）'!AK12/'分42行业工业增加值（2012年美元）'!AJ12-1</f>
        <v>0.000995108114921983</v>
      </c>
      <c r="AJ12">
        <f>'分42行业工业增加值（2012年美元）'!AL12/'分42行业工业增加值（2012年美元）'!AK12-1</f>
        <v>0.000907949660764906</v>
      </c>
      <c r="AK12">
        <f>'分42行业工业增加值（2012年美元）'!AM12/'分42行业工业增加值（2012年美元）'!AL12-1</f>
        <v>0.000828080438840084</v>
      </c>
      <c r="AL12">
        <f>'分42行业工业增加值（2012年美元）'!AN12/'分42行业工业增加值（2012年美元）'!AM12-1</f>
        <v>0.00075482212908895</v>
      </c>
      <c r="AM12">
        <f>'分42行业工业增加值（2012年美元）'!AO12/'分42行业工业增加值（2012年美元）'!AN12-1</f>
        <v>0.000687569449951297</v>
      </c>
      <c r="AN12">
        <f>'分42行业工业增加值（2012年美元）'!AP12/'分42行业工业增加值（2012年美元）'!AO12-1</f>
        <v>0.000625781250633839</v>
      </c>
      <c r="AO12">
        <f>'分42行业工业增加值（2012年美元）'!AQ12/'分42行业工业增加值（2012年美元）'!AP12-1</f>
        <v>0.000568972789983579</v>
      </c>
      <c r="AP12">
        <f>'分42行业工业增加值（2012年美元）'!AR12/'分42行业工业增加值（2012年美元）'!AQ12-1</f>
        <v>0.000516709034384277</v>
      </c>
    </row>
    <row r="13" spans="1:42">
      <c r="A13" s="2" t="s">
        <v>112</v>
      </c>
      <c r="B13">
        <f>'分42行业工业增加值（2012年美元）'!D13/'分42行业工业增加值（2012年美元）'!C13-1</f>
        <v>-0.0193201652304267</v>
      </c>
      <c r="C13">
        <f>'分42行业工业增加值（2012年美元）'!E13/'分42行业工业增加值（2012年美元）'!D13-1</f>
        <v>0.190779551516074</v>
      </c>
      <c r="D13">
        <f>'分42行业工业增加值（2012年美元）'!F13/'分42行业工业增加值（2012年美元）'!E13-1</f>
        <v>0.0235610271871791</v>
      </c>
      <c r="E13">
        <f>'分42行业工业增加值（2012年美元）'!G13/'分42行业工业增加值（2012年美元）'!F13-1</f>
        <v>0.0209377129686372</v>
      </c>
      <c r="F13">
        <f>'分42行业工业增加值（2012年美元）'!H13/'分42行业工业增加值（2012年美元）'!G13-1</f>
        <v>0.0186085999071774</v>
      </c>
      <c r="G13">
        <f>'分42行业工业增加值（2012年美元）'!I13/'分42行业工业增加值（2012年美元）'!H13-1</f>
        <v>0.016546899417488</v>
      </c>
      <c r="H13">
        <f>'分42行业工业增加值（2012年美元）'!J13/'分42行业工业增加值（2012年美元）'!I13-1</f>
        <v>0.0147255775775075</v>
      </c>
      <c r="I13">
        <f>'分42行业工业增加值（2012年美元）'!K13/'分42行业工业增加值（2012年美元）'!J13-1</f>
        <v>0.013118528914994</v>
      </c>
      <c r="J13">
        <f>'分42行业工业增加值（2012年美元）'!L13/'分42行业工业增加值（2012年美元）'!K13-1</f>
        <v>0.0117012892266735</v>
      </c>
      <c r="K13">
        <f>'分42行业工业增加值（2012年美元）'!M13/'分42行业工业增加值（2012年美元）'!L13-1</f>
        <v>0.0104514147686738</v>
      </c>
      <c r="L13">
        <f>'分42行业工业增加值（2012年美元）'!N13/'分42行业工业增加值（2012年美元）'!M13-1</f>
        <v>0.00934863131159114</v>
      </c>
      <c r="M13">
        <f>'分42行业工业增加值（2012年美元）'!O13/'分42行业工业增加值（2012年美元）'!N13-1</f>
        <v>0.00837483208925782</v>
      </c>
      <c r="N13">
        <f>'分42行业工业增加值（2012年美元）'!P13/'分42行业工业增加值（2012年美元）'!O13-1</f>
        <v>0.00751398230020595</v>
      </c>
      <c r="O13">
        <f>'分42行业工业增加值（2012年美元）'!Q13/'分42行业工业增加值（2012年美元）'!P13-1</f>
        <v>0.00675197068116318</v>
      </c>
      <c r="P13">
        <f>'分42行业工业增加值（2012年美元）'!R13/'分42行业工业增加值（2012年美元）'!Q13-1</f>
        <v>0.00607643564871485</v>
      </c>
      <c r="Q13">
        <f>'分42行业工业增加值（2012年美元）'!S13/'分42行业工业增加值（2012年美元）'!R13-1</f>
        <v>0.00547658398647299</v>
      </c>
      <c r="R13">
        <f>'分42行业工业增加值（2012年美元）'!T13/'分42行业工业增加值（2012年美元）'!S13-1</f>
        <v>0.00494301330691926</v>
      </c>
      <c r="S13">
        <f>'分42行业工业增加值（2012年美元）'!U13/'分42行业工业增加值（2012年美元）'!T13-1</f>
        <v>0.00446754486252354</v>
      </c>
      <c r="T13">
        <f>'分42行业工业增加值（2012年美元）'!V13/'分42行业工业增加值（2012年美元）'!U13-1</f>
        <v>0.00404307015042704</v>
      </c>
      <c r="U13">
        <f>'分42行业工业增加值（2012年美元）'!W13/'分42行业工业增加值（2012年美元）'!V13-1</f>
        <v>0.00366341271508497</v>
      </c>
      <c r="V13">
        <f>'分42行业工业增加值（2012年美元）'!X13/'分42行业工业增加值（2012年美元）'!W13-1</f>
        <v>0.00332320526732111</v>
      </c>
      <c r="W13">
        <f>'分42行业工业增加值（2012年美元）'!Y13/'分42行业工业增加值（2012年美元）'!X13-1</f>
        <v>0.00301778147062426</v>
      </c>
      <c r="X13">
        <f>'分42行业工业增加值（2012年美元）'!Z13/'分42行业工业增加值（2012年美元）'!Y13-1</f>
        <v>0.00274308132214429</v>
      </c>
      <c r="Y13">
        <f>'分42行业工业增加值（2012年美元）'!AA13/'分42行业工业增加值（2012年美元）'!Z13-1</f>
        <v>0.00249556885775326</v>
      </c>
      <c r="Z13">
        <f>'分42行业工业增加值（2012年美元）'!AB13/'分42行业工业增加值（2012年美元）'!AA13-1</f>
        <v>0.00227216085562754</v>
      </c>
      <c r="AA13">
        <f>'分42行业工业增加值（2012年美元）'!AC13/'分42行业工业增加值（2012年美元）'!AB13-1</f>
        <v>0.002070165243649</v>
      </c>
      <c r="AB13">
        <f>'分42行业工业增加值（2012年美元）'!AD13/'分42行业工业增加值（2012年美元）'!AC13-1</f>
        <v>0.00188722799635532</v>
      </c>
      <c r="AC13">
        <f>'分42行业工业增加值（2012年美元）'!AE13/'分42行业工业增加值（2012年美元）'!AD13-1</f>
        <v>0.00172128741337918</v>
      </c>
      <c r="AD13">
        <f>'分42行业工业增加值（2012年美元）'!AF13/'分42行业工业增加值（2012年美元）'!AE13-1</f>
        <v>0.00157053478498126</v>
      </c>
      <c r="AE13">
        <f>'分42行业工业增加值（2012年美元）'!AG13/'分42行业工业增加值（2012年美元）'!AF13-1</f>
        <v>0.00143338056618747</v>
      </c>
      <c r="AF13">
        <f>'分42行业工业增加值（2012年美元）'!AH13/'分42行业工业增加值（2012年美元）'!AG13-1</f>
        <v>0.00130842528911712</v>
      </c>
      <c r="AG13">
        <f>'分42行业工业增加值（2012年美元）'!AI13/'分42行业工业增加值（2012年美元）'!AH13-1</f>
        <v>0.00119443454397827</v>
      </c>
      <c r="AH13">
        <f>'分42行业工业增加值（2012年美元）'!AJ13/'分42行业工业增加值（2012年美元）'!AI13-1</f>
        <v>0.00109031744973032</v>
      </c>
      <c r="AI13">
        <f>'分42行业工业增加值（2012年美元）'!AK13/'分42行业工业增加值（2012年美元）'!AJ13-1</f>
        <v>0.000995108114922205</v>
      </c>
      <c r="AJ13">
        <f>'分42行业工业增加值（2012年美元）'!AL13/'分42行业工业增加值（2012年美元）'!AK13-1</f>
        <v>0.000907949660765128</v>
      </c>
      <c r="AK13">
        <f>'分42行业工业增加值（2012年美元）'!AM13/'分42行业工业增加值（2012年美元）'!AL13-1</f>
        <v>0.000828080438840084</v>
      </c>
      <c r="AL13">
        <f>'分42行业工业增加值（2012年美元）'!AN13/'分42行业工业增加值（2012年美元）'!AM13-1</f>
        <v>0.000754822129088728</v>
      </c>
      <c r="AM13">
        <f>'分42行业工业增加值（2012年美元）'!AO13/'分42行业工业增加值（2012年美元）'!AN13-1</f>
        <v>0.000687569449951297</v>
      </c>
      <c r="AN13">
        <f>'分42行业工业增加值（2012年美元）'!AP13/'分42行业工业增加值（2012年美元）'!AO13-1</f>
        <v>0.000625781250633839</v>
      </c>
      <c r="AO13">
        <f>'分42行业工业增加值（2012年美元）'!AQ13/'分42行业工业增加值（2012年美元）'!AP13-1</f>
        <v>0.000568972789983802</v>
      </c>
      <c r="AP13">
        <f>'分42行业工业增加值（2012年美元）'!AR13/'分42行业工业增加值（2012年美元）'!AQ13-1</f>
        <v>0.000516709034384277</v>
      </c>
    </row>
    <row r="14" spans="1:42">
      <c r="A14" s="2" t="s">
        <v>113</v>
      </c>
      <c r="B14">
        <f>'分42行业工业增加值（2012年美元）'!D14/'分42行业工业增加值（2012年美元）'!C14-1</f>
        <v>-0.0193201652304269</v>
      </c>
      <c r="C14">
        <f>'分42行业工业增加值（2012年美元）'!E14/'分42行业工业增加值（2012年美元）'!D14-1</f>
        <v>0.190779551516074</v>
      </c>
      <c r="D14">
        <f>'分42行业工业增加值（2012年美元）'!F14/'分42行业工业增加值（2012年美元）'!E14-1</f>
        <v>0.0235610271871787</v>
      </c>
      <c r="E14">
        <f>'分42行业工业增加值（2012年美元）'!G14/'分42行业工业增加值（2012年美元）'!F14-1</f>
        <v>0.0209377129686374</v>
      </c>
      <c r="F14">
        <f>'分42行业工业增加值（2012年美元）'!H14/'分42行业工业增加值（2012年美元）'!G14-1</f>
        <v>0.0186085999071774</v>
      </c>
      <c r="G14">
        <f>'分42行业工业增加值（2012年美元）'!I14/'分42行业工业增加值（2012年美元）'!H14-1</f>
        <v>0.016546899417488</v>
      </c>
      <c r="H14">
        <f>'分42行业工业增加值（2012年美元）'!J14/'分42行业工业增加值（2012年美元）'!I14-1</f>
        <v>0.0147255775775077</v>
      </c>
      <c r="I14">
        <f>'分42行业工业增加值（2012年美元）'!K14/'分42行业工业增加值（2012年美元）'!J14-1</f>
        <v>0.0131185289149938</v>
      </c>
      <c r="J14">
        <f>'分42行业工业增加值（2012年美元）'!L14/'分42行业工业增加值（2012年美元）'!K14-1</f>
        <v>0.0117012892266732</v>
      </c>
      <c r="K14">
        <f>'分42行业工业增加值（2012年美元）'!M14/'分42行业工业增加值（2012年美元）'!L14-1</f>
        <v>0.0104514147686741</v>
      </c>
      <c r="L14">
        <f>'分42行业工业增加值（2012年美元）'!N14/'分42行业工业增加值（2012年美元）'!M14-1</f>
        <v>0.00934863131159092</v>
      </c>
      <c r="M14">
        <f>'分42行业工业增加值（2012年美元）'!O14/'分42行业工业增加值（2012年美元）'!N14-1</f>
        <v>0.0083748320892576</v>
      </c>
      <c r="N14">
        <f>'分42行业工业增加值（2012年美元）'!P14/'分42行业工业增加值（2012年美元）'!O14-1</f>
        <v>0.00751398230020595</v>
      </c>
      <c r="O14">
        <f>'分42行业工业增加值（2012年美元）'!Q14/'分42行业工业增加值（2012年美元）'!P14-1</f>
        <v>0.0067519706811634</v>
      </c>
      <c r="P14">
        <f>'分42行业工业增加值（2012年美元）'!R14/'分42行业工业增加值（2012年美元）'!Q14-1</f>
        <v>0.00607643564871485</v>
      </c>
      <c r="Q14">
        <f>'分42行业工业增加值（2012年美元）'!S14/'分42行业工业增加值（2012年美元）'!R14-1</f>
        <v>0.00547658398647299</v>
      </c>
      <c r="R14">
        <f>'分42行业工业增加值（2012年美元）'!T14/'分42行业工业增加值（2012年美元）'!S14-1</f>
        <v>0.00494301330691904</v>
      </c>
      <c r="S14">
        <f>'分42行业工业增加值（2012年美元）'!U14/'分42行业工业增加值（2012年美元）'!T14-1</f>
        <v>0.00446754486252354</v>
      </c>
      <c r="T14">
        <f>'分42行业工业增加值（2012年美元）'!V14/'分42行业工业增加值（2012年美元）'!U14-1</f>
        <v>0.00404307015042704</v>
      </c>
      <c r="U14">
        <f>'分42行业工业增加值（2012年美元）'!W14/'分42行业工业增加值（2012年美元）'!V14-1</f>
        <v>0.00366341271508497</v>
      </c>
      <c r="V14">
        <f>'分42行业工业增加值（2012年美元）'!X14/'分42行业工业增加值（2012年美元）'!W14-1</f>
        <v>0.00332320526732088</v>
      </c>
      <c r="W14">
        <f>'分42行业工业增加值（2012年美元）'!Y14/'分42行业工业增加值（2012年美元）'!X14-1</f>
        <v>0.00301778147062426</v>
      </c>
      <c r="X14">
        <f>'分42行业工业增加值（2012年美元）'!Z14/'分42行业工业增加值（2012年美元）'!Y14-1</f>
        <v>0.00274308132214429</v>
      </c>
      <c r="Y14">
        <f>'分42行业工业增加值（2012年美元）'!AA14/'分42行业工业增加值（2012年美元）'!Z14-1</f>
        <v>0.0024955688577537</v>
      </c>
      <c r="Z14">
        <f>'分42行业工业增加值（2012年美元）'!AB14/'分42行业工业增加值（2012年美元）'!AA14-1</f>
        <v>0.00227216085562731</v>
      </c>
      <c r="AA14">
        <f>'分42行业工业增加值（2012年美元）'!AC14/'分42行业工业增加值（2012年美元）'!AB14-1</f>
        <v>0.00207016524364878</v>
      </c>
      <c r="AB14">
        <f>'分42行业工业增加值（2012年美元）'!AD14/'分42行业工业增加值（2012年美元）'!AC14-1</f>
        <v>0.00188722799635532</v>
      </c>
      <c r="AC14">
        <f>'分42行业工业增加值（2012年美元）'!AE14/'分42行业工业增加值（2012年美元）'!AD14-1</f>
        <v>0.00172128741337918</v>
      </c>
      <c r="AD14">
        <f>'分42行业工业增加值（2012年美元）'!AF14/'分42行业工业增加值（2012年美元）'!AE14-1</f>
        <v>0.00157053478498148</v>
      </c>
      <c r="AE14">
        <f>'分42行业工业增加值（2012年美元）'!AG14/'分42行业工业增加值（2012年美元）'!AF14-1</f>
        <v>0.00143338056618703</v>
      </c>
      <c r="AF14">
        <f>'分42行业工业增加值（2012年美元）'!AH14/'分42行业工业增加值（2012年美元）'!AG14-1</f>
        <v>0.00130842528911734</v>
      </c>
      <c r="AG14">
        <f>'分42行业工业增加值（2012年美元）'!AI14/'分42行业工业增加值（2012年美元）'!AH14-1</f>
        <v>0.00119443454397827</v>
      </c>
      <c r="AH14">
        <f>'分42行业工业增加值（2012年美元）'!AJ14/'分42行业工业增加值（2012年美元）'!AI14-1</f>
        <v>0.00109031744973032</v>
      </c>
      <c r="AI14">
        <f>'分42行业工业增加值（2012年美元）'!AK14/'分42行业工业增加值（2012年美元）'!AJ14-1</f>
        <v>0.000995108114922205</v>
      </c>
      <c r="AJ14">
        <f>'分42行业工业增加值（2012年美元）'!AL14/'分42行业工业增加值（2012年美元）'!AK14-1</f>
        <v>0.000907949660765128</v>
      </c>
      <c r="AK14">
        <f>'分42行业工业增加值（2012年美元）'!AM14/'分42行业工业增加值（2012年美元）'!AL14-1</f>
        <v>0.000828080438840084</v>
      </c>
      <c r="AL14">
        <f>'分42行业工业增加值（2012年美元）'!AN14/'分42行业工业增加值（2012年美元）'!AM14-1</f>
        <v>0.000754822129088728</v>
      </c>
      <c r="AM14">
        <f>'分42行业工业增加值（2012年美元）'!AO14/'分42行业工业增加值（2012年美元）'!AN14-1</f>
        <v>0.000687569449951297</v>
      </c>
      <c r="AN14">
        <f>'分42行业工业增加值（2012年美元）'!AP14/'分42行业工业增加值（2012年美元）'!AO14-1</f>
        <v>0.000625781250633839</v>
      </c>
      <c r="AO14">
        <f>'分42行业工业增加值（2012年美元）'!AQ14/'分42行业工业增加值（2012年美元）'!AP14-1</f>
        <v>0.000568972789983802</v>
      </c>
      <c r="AP14">
        <f>'分42行业工业增加值（2012年美元）'!AR14/'分42行业工业增加值（2012年美元）'!AQ14-1</f>
        <v>0.000516709034384277</v>
      </c>
    </row>
    <row r="15" spans="1:42">
      <c r="A15" s="2" t="s">
        <v>114</v>
      </c>
      <c r="B15">
        <f>'分42行业工业增加值（2012年美元）'!D15/'分42行业工业增加值（2012年美元）'!C15-1</f>
        <v>-0.0499823420894944</v>
      </c>
      <c r="C15">
        <f>'分42行业工业增加值（2012年美元）'!E15/'分42行业工业增加值（2012年美元）'!D15-1</f>
        <v>0.181364767272766</v>
      </c>
      <c r="D15">
        <f>'分42行业工业增加值（2012年美元）'!F15/'分42行业工业增加值（2012年美元）'!E15-1</f>
        <v>0.0333257288958944</v>
      </c>
      <c r="E15">
        <f>'分42行业工业增加值（2012年美元）'!G15/'分42行业工业增加值（2012年美元）'!F15-1</f>
        <v>0.0299296957926103</v>
      </c>
      <c r="F15">
        <f>'分42行业工业增加值（2012年美元）'!H15/'分42行业工业增加值（2012年美元）'!G15-1</f>
        <v>0.0269172246323894</v>
      </c>
      <c r="G15">
        <f>'分42行业工业增加值（2012年美元）'!I15/'分42行业工业增加值（2012年美元）'!H15-1</f>
        <v>0.0242482355664893</v>
      </c>
      <c r="H15">
        <f>'分42行业工业增加值（2012年美元）'!J15/'分42行业工业增加值（2012年美元）'!I15-1</f>
        <v>0.0218847627942287</v>
      </c>
      <c r="I15">
        <f>'分42行业工业增加值（2012年美元）'!K15/'分42行业工业增加值（2012年美元）'!J15-1</f>
        <v>0.0197916517913117</v>
      </c>
      <c r="J15">
        <f>'分42行业工业增加值（2012年美元）'!L15/'分42行业工业增加值（2012年美元）'!K15-1</f>
        <v>0.0179369019040885</v>
      </c>
      <c r="K15">
        <f>'分42行业工业增加值（2012年美元）'!M15/'分42行业工业增加值（2012年美元）'!L15-1</f>
        <v>0.0162917558334292</v>
      </c>
      <c r="L15">
        <f>'分42行业工业增加值（2012年美元）'!N15/'分42行业工业增加值（2012年美元）'!M15-1</f>
        <v>0.0148306204902988</v>
      </c>
      <c r="M15">
        <f>'分42行业工业增加值（2012年美元）'!O15/'分42行业工业增加值（2012年美元）'!N15-1</f>
        <v>0.013530884079624</v>
      </c>
      <c r="N15">
        <f>'分42行业工业增加值（2012年美元）'!P15/'分42行业工业增加值（2012年美元）'!O15-1</f>
        <v>0.0123726764061374</v>
      </c>
      <c r="O15">
        <f>'分42行业工业增加值（2012年美元）'!Q15/'分42行业工业增加值（2012年美元）'!P15-1</f>
        <v>0.0113386048300832</v>
      </c>
      <c r="P15">
        <f>'分42行业工业增加值（2012年美元）'!R15/'分42行业工业增加值（2012年美元）'!Q15-1</f>
        <v>0.0104134871906827</v>
      </c>
      <c r="Q15">
        <f>'分42行业工业增加值（2012年美元）'!S15/'分42行业工业增加值（2012年美元）'!R15-1</f>
        <v>0.00958409492759671</v>
      </c>
      <c r="R15">
        <f>'分42行业工业增加值（2012年美元）'!T15/'分42行业工业增加值（2012年美元）'!S15-1</f>
        <v>0.00883891396370418</v>
      </c>
      <c r="S15">
        <f>'分42行业工业增加值（2012年美元）'!U15/'分42行业工业增加值（2012年美元）'!T15-1</f>
        <v>0.00816792707562719</v>
      </c>
      <c r="T15">
        <f>'分42行业工业增加值（2012年美元）'!V15/'分42行业工业增加值（2012年美元）'!U15-1</f>
        <v>0.00756241897519505</v>
      </c>
      <c r="U15">
        <f>'分42行业工业增加值（2012年美元）'!W15/'分42行业工业增加值（2012年美元）'!V15-1</f>
        <v>0.0070148037626816</v>
      </c>
      <c r="V15">
        <f>'分42行业工业增加值（2012年美元）'!X15/'分42行业工业增加值（2012年美元）'!W15-1</f>
        <v>0.00651847349705226</v>
      </c>
      <c r="W15">
        <f>'分42行业工业增加值（2012年美元）'!Y15/'分42行业工业增加值（2012年美元）'!X15-1</f>
        <v>0.00606766614552923</v>
      </c>
      <c r="X15">
        <f>'分42行业工业增加值（2012年美元）'!Z15/'分42行业工业增加值（2012年美元）'!Y15-1</f>
        <v>0.00565735097482545</v>
      </c>
      <c r="Y15">
        <f>'分42行业工业增加值（2012年美元）'!AA15/'分42行业工业增加值（2012年美元）'!Z15-1</f>
        <v>0.00528312942079445</v>
      </c>
      <c r="Z15">
        <f>'分42行业工业增加值（2012年美元）'!AB15/'分42行业工业增加值（2012年美元）'!AA15-1</f>
        <v>0.00494114955496561</v>
      </c>
      <c r="AA15">
        <f>'分42行业工业增加值（2012年美元）'!AC15/'分42行业工业增加值（2012年美元）'!AB15-1</f>
        <v>0.00462803240458576</v>
      </c>
      <c r="AB15">
        <f>'分42行业工业增加值（2012年美元）'!AD15/'分42行业工业增加值（2012年美元）'!AC15-1</f>
        <v>0.00434080854875774</v>
      </c>
      <c r="AC15">
        <f>'分42行业工业增加值（2012年美元）'!AE15/'分42行业工业增加值（2012年美元）'!AD15-1</f>
        <v>0.00407686358560055</v>
      </c>
      <c r="AD15">
        <f>'分42行业工业增加值（2012年美元）'!AF15/'分42行业工业增加值（2012年美元）'!AE15-1</f>
        <v>0.00383389123510569</v>
      </c>
      <c r="AE15">
        <f>'分42行业工业增加值（2012年美元）'!AG15/'分42行业工业增加值（2012年美元）'!AF15-1</f>
        <v>0.00360985299965</v>
      </c>
      <c r="AF15">
        <f>'分42行业工业增加值（2012年美元）'!AH15/'分42行业工业增加值（2012年美元）'!AG15-1</f>
        <v>0.00340294344841552</v>
      </c>
      <c r="AG15">
        <f>'分42行业工业增加值（2012年美元）'!AI15/'分42行业工业增加值（2012年美元）'!AH15-1</f>
        <v>0.00321156032062997</v>
      </c>
      <c r="AH15">
        <f>'分42行业工业增加值（2012年美元）'!AJ15/'分42行业工业增加值（2012年美元）'!AI15-1</f>
        <v>0.00303427875566498</v>
      </c>
      <c r="AI15">
        <f>'分42行业工业增加值（2012年美元）'!AK15/'分42行业工业增加值（2012年美元）'!AJ15-1</f>
        <v>0.00286982905719246</v>
      </c>
      <c r="AJ15">
        <f>'分42行业工业增加值（2012年美元）'!AL15/'分42行业工业增加值（2012年美元）'!AK15-1</f>
        <v>0.00271707748429106</v>
      </c>
      <c r="AK15">
        <f>'分42行业工业增加值（2012年美元）'!AM15/'分42行业工业增加值（2012年美元）'!AL15-1</f>
        <v>0.00257500963631374</v>
      </c>
      <c r="AL15">
        <f>'分42行业工业增加值（2012年美元）'!AN15/'分42行业工业增加值（2012年美元）'!AM15-1</f>
        <v>0.0024427160615148</v>
      </c>
      <c r="AM15">
        <f>'分42行业工业增加值（2012年美元）'!AO15/'分42行业工业增加值（2012年美元）'!AN15-1</f>
        <v>0.00231937977402308</v>
      </c>
      <c r="AN15">
        <f>'分42行业工业增加值（2012年美元）'!AP15/'分42行业工业增加值（2012年美元）'!AO15-1</f>
        <v>0.00220426540970164</v>
      </c>
      <c r="AO15">
        <f>'分42行业工业增加值（2012年美元）'!AQ15/'分42行业工业增加值（2012年美元）'!AP15-1</f>
        <v>0.00209670979112486</v>
      </c>
      <c r="AP15">
        <f>'分42行业工业增加值（2012年美元）'!AR15/'分42行业工业增加值（2012年美元）'!AQ15-1</f>
        <v>0.00199611370538921</v>
      </c>
    </row>
    <row r="16" spans="1:42">
      <c r="A16" s="2" t="s">
        <v>119</v>
      </c>
      <c r="B16">
        <f>'分42行业工业增加值（2012年美元）'!D16/'分42行业工业增加值（2012年美元）'!C16-1</f>
        <v>0.130599027203208</v>
      </c>
      <c r="C16">
        <f>'分42行业工业增加值（2012年美元）'!E16/'分42行业工业增加值（2012年美元）'!D16-1</f>
        <v>0.0526612457462921</v>
      </c>
      <c r="D16">
        <f>'分42行业工业增加值（2012年美元）'!F16/'分42行业工业增加值（2012年美元）'!E16-1</f>
        <v>0.0239940890047872</v>
      </c>
      <c r="E16">
        <f>'分42行业工业增加值（2012年美元）'!G16/'分42行业工业增加值（2012年美元）'!F16-1</f>
        <v>0.021340139101568</v>
      </c>
      <c r="F16">
        <f>'分42行业工业增加值（2012年美元）'!H16/'分42行业工业增加值（2012年美元）'!G16-1</f>
        <v>0.0189835703455179</v>
      </c>
      <c r="G16">
        <f>'分42行业工业增加值（2012年美元）'!I16/'分42行业工业增加值（2012年美元）'!H16-1</f>
        <v>0.016897168837674</v>
      </c>
      <c r="H16">
        <f>'分42行业工业增加值（2012年美元）'!J16/'分42行业工业增加值（2012年美元）'!I16-1</f>
        <v>0.0150535429016274</v>
      </c>
      <c r="I16">
        <f>'分42行业工业增加值（2012年美元）'!K16/'分42行业工业增加值（2012年美元）'!J16-1</f>
        <v>0.0134262848406206</v>
      </c>
      <c r="J16">
        <f>'分42行业工业增加值（2012年美元）'!L16/'分42行业工业增加值（2012年美元）'!K16-1</f>
        <v>0.0119906740303097</v>
      </c>
      <c r="K16">
        <f>'分42行业工业增加值（2012年美元）'!M16/'分42行业工业增加值（2012年美元）'!L16-1</f>
        <v>0.0107240482242079</v>
      </c>
      <c r="L16">
        <f>'分42行业工业增加值（2012年美元）'!N16/'分42行业工业增加值（2012年美元）'!M16-1</f>
        <v>0.00960594620019983</v>
      </c>
      <c r="M16">
        <f>'分42行业工业增加值（2012年美元）'!O16/'分42行业工业增加值（2012年美元）'!N16-1</f>
        <v>0.00861810048588119</v>
      </c>
      <c r="N16">
        <f>'分42行业工业增加值（2012年美元）'!P16/'分42行业工业增加值（2012年美元）'!O16-1</f>
        <v>0.00774433759108017</v>
      </c>
      <c r="O16">
        <f>'分42行业工业增加值（2012年美元）'!Q16/'分42行业工业增加值（2012年美元）'!P16-1</f>
        <v>0.00697042608039022</v>
      </c>
      <c r="P16">
        <f>'分42行业工业增加值（2012年美元）'!R16/'分42行业工业增加值（2012年美元）'!Q16-1</f>
        <v>0.00628389983441369</v>
      </c>
      <c r="Q16">
        <f>'分42行业工业增加值（2012年美元）'!S16/'分42行业工业增加值（2012年美元）'!R16-1</f>
        <v>0.00567387435847655</v>
      </c>
      <c r="R16">
        <f>'分42行业工业增加值（2012年美元）'!T16/'分42行业工业增加值（2012年美元）'!S16-1</f>
        <v>0.00513086727313272</v>
      </c>
      <c r="S16">
        <f>'分42行业工业增加值（2012年美元）'!U16/'分42行业工业增加值（2012年美元）'!T16-1</f>
        <v>0.00464662948477756</v>
      </c>
      <c r="T16">
        <f>'分42行业工业增加值（2012年美元）'!V16/'分42行业工业增加值（2012年美元）'!U16-1</f>
        <v>0.004213990420598</v>
      </c>
      <c r="U16">
        <f>'分42行业工业增加值（2012年美元）'!W16/'分42行业工业增加值（2012年美元）'!V16-1</f>
        <v>0.0038267186822476</v>
      </c>
      <c r="V16">
        <f>'分42行业工业增加值（2012年美元）'!X16/'分42行业工业增加值（2012年美元）'!W16-1</f>
        <v>0.0034793981981156</v>
      </c>
      <c r="W16">
        <f>'分42行业工业增加值（2012年美元）'!Y16/'分42行业工业增加值（2012年美元）'!X16-1</f>
        <v>0.00316731919249702</v>
      </c>
      <c r="X16">
        <f>'分42行业工业增加值（2012年美元）'!Z16/'分42行业工业增加值（2012年美元）'!Y16-1</f>
        <v>0.00288638287360077</v>
      </c>
      <c r="Y16">
        <f>'分42行业工业增加值（2012年美元）'!AA16/'分42行业工业增加值（2012年美元）'!Z16-1</f>
        <v>0.00263301854883724</v>
      </c>
      <c r="Z16">
        <f>'分42行业工业增加值（2012年美元）'!AB16/'分42行业工业增加值（2012年美元）'!AA16-1</f>
        <v>0.00240411182438871</v>
      </c>
      <c r="AA16">
        <f>'分42行业工业增加值（2012年美元）'!AC16/'分42行业工业增加值（2012年美元）'!AB16-1</f>
        <v>0.00219694258054792</v>
      </c>
      <c r="AB16">
        <f>'分42行业工业增加值（2012年美元）'!AD16/'分42行业工业增加值（2012年美元）'!AC16-1</f>
        <v>0.0020091314971642</v>
      </c>
      <c r="AC16">
        <f>'分42行业工业增加值（2012年美元）'!AE16/'分42行业工业增加值（2012年美元）'!AD16-1</f>
        <v>0.00183859401129061</v>
      </c>
      <c r="AD16">
        <f>'分42行业工业增加值（2012年美元）'!AF16/'分42行业工业增加值（2012年美元）'!AE16-1</f>
        <v>0.00168350070516565</v>
      </c>
      <c r="AE16">
        <f>'分42行业工业增加值（2012年美元）'!AG16/'分42行业工业增加值（2012年美元）'!AF16-1</f>
        <v>0.0015422432392016</v>
      </c>
      <c r="AF16">
        <f>'分42行业工业增加值（2012年美元）'!AH16/'分42行业工业增加值（2012年美元）'!AG16-1</f>
        <v>0.00141340505440479</v>
      </c>
      <c r="AG16">
        <f>'分42行业工业增加值（2012年美元）'!AI16/'分42行业工业增加值（2012年美元）'!AH16-1</f>
        <v>0.00129573617009004</v>
      </c>
      <c r="AH16">
        <f>'分42行业工业增加值（2012年美元）'!AJ16/'分42行业工业增加值（2012年美元）'!AI16-1</f>
        <v>0.00118813149378538</v>
      </c>
      <c r="AI16">
        <f>'分42行业工业增加值（2012年美元）'!AK16/'分42行业工业增加值（2012年美元）'!AJ16-1</f>
        <v>0.00108961214131931</v>
      </c>
      <c r="AJ16">
        <f>'分42行业工业增加值（2012年美元）'!AL16/'分42行业工业增加值（2012年美元）'!AK16-1</f>
        <v>0.000999309335641962</v>
      </c>
      <c r="AK16">
        <f>'分42行业工业增加值（2012年美元）'!AM16/'分42行业工业增加值（2012年美元）'!AL16-1</f>
        <v>0.000916450515076495</v>
      </c>
      <c r="AL16">
        <f>'分42行业工业增加值（2012年美元）'!AN16/'分42行业工业增加值（2012年美元）'!AM16-1</f>
        <v>0.000840347334541303</v>
      </c>
      <c r="AM16">
        <f>'分42行业工业增加值（2012年美元）'!AO16/'分42行业工业增加值（2012年美元）'!AN16-1</f>
        <v>0.000770385289742936</v>
      </c>
      <c r="AN16">
        <f>'分42行业工业增加值（2012年美元）'!AP16/'分42行业工业增加值（2012年美元）'!AO16-1</f>
        <v>0.000706014733285576</v>
      </c>
      <c r="AO16">
        <f>'分42行业工业增加值（2012年美元）'!AQ16/'分42行业工业增加值（2012年美元）'!AP16-1</f>
        <v>0.000646743085607415</v>
      </c>
      <c r="AP16">
        <f>'分42行业工业增加值（2012年美元）'!AR16/'分42行业工业增加值（2012年美元）'!AQ16-1</f>
        <v>0.00059212807232667</v>
      </c>
    </row>
    <row r="17" spans="1:42">
      <c r="A17" s="2" t="s">
        <v>115</v>
      </c>
      <c r="B17">
        <f>'分42行业工业增加值（2012年美元）'!D17/'分42行业工业增加值（2012年美元）'!C17-1</f>
        <v>-0.00893208367155951</v>
      </c>
      <c r="C17">
        <f>'分42行业工业增加值（2012年美元）'!E17/'分42行业工业增加值（2012年美元）'!D17-1</f>
        <v>0.127850710617218</v>
      </c>
      <c r="D17">
        <f>'分42行业工业增加值（2012年美元）'!F17/'分42行业工业增加值（2012年美元）'!E17-1</f>
        <v>0.0240658920909746</v>
      </c>
      <c r="E17">
        <f>'分42行业工业增加值（2012年美元）'!G17/'分42行业工业增加值（2012年美元）'!F17-1</f>
        <v>0.0214068297948173</v>
      </c>
      <c r="F17">
        <f>'分42行业工业增加值（2012年美元）'!H17/'分42行业工业增加值（2012年美元）'!G17-1</f>
        <v>0.0190456824974858</v>
      </c>
      <c r="G17">
        <f>'分42行业工业增加值（2012年美元）'!I17/'分42行业工业增加值（2012年美元）'!H17-1</f>
        <v>0.0169551644922388</v>
      </c>
      <c r="H17">
        <f>'分42行业工业增加值（2012年美元）'!J17/'分42行业工业增加值（2012年美元）'!I17-1</f>
        <v>0.0151078237682769</v>
      </c>
      <c r="I17">
        <f>'分42行业工业增加值（2012年美元）'!K17/'分42行业工业增加值（2012年美元）'!J17-1</f>
        <v>0.0134772017109288</v>
      </c>
      <c r="J17">
        <f>'分42行业工业增加值（2012年美元）'!L17/'分42行业工业增加值（2012年美元）'!K17-1</f>
        <v>0.0120385345349394</v>
      </c>
      <c r="K17">
        <f>'分42行业工业增加值（2012年美元）'!M17/'分42行业工业增加值（2012年美元）'!L17-1</f>
        <v>0.0107691232469556</v>
      </c>
      <c r="L17">
        <f>'分42行业工业增加值（2012年美元）'!N17/'分42行业工业增加值（2012年美元）'!M17-1</f>
        <v>0.00964847520221479</v>
      </c>
      <c r="M17">
        <f>'分42行业工业增加值（2012年美元）'!O17/'分42行业工业增加值（2012年美元）'!N17-1</f>
        <v>0.00865829594313339</v>
      </c>
      <c r="N17">
        <f>'分42行业工业增加值（2012年美元）'!P17/'分42行业工业增加值（2012年美元）'!O17-1</f>
        <v>0.00778238870765735</v>
      </c>
      <c r="O17">
        <f>'分42行业工业增加值（2012年美元）'!Q17/'分42行业工业增加值（2012年美元）'!P17-1</f>
        <v>0.00700650190888075</v>
      </c>
      <c r="P17">
        <f>'分42行业工业增加值（2012年美元）'!R17/'分42行业工业增加值（2012年美元）'!Q17-1</f>
        <v>0.00631815190893992</v>
      </c>
      <c r="Q17">
        <f>'分42行业工业增加值（2012年美元）'!S17/'分42行业工业增加值（2012年美元）'!R17-1</f>
        <v>0.00570643892540623</v>
      </c>
      <c r="R17">
        <f>'分42行业工业增加值（2012年美元）'!T17/'分42行业工业增加值（2012年美元）'!S17-1</f>
        <v>0.00516186718893374</v>
      </c>
      <c r="S17">
        <f>'分42行业工业增加值（2012年美元）'!U17/'分42行业工业增加值（2012年美元）'!T17-1</f>
        <v>0.00467617583703661</v>
      </c>
      <c r="T17">
        <f>'分42行业工业增加值（2012年美元）'!V17/'分42行业工业增加值（2012年美元）'!U17-1</f>
        <v>0.00424218391788922</v>
      </c>
      <c r="U17">
        <f>'分42行业工业增加值（2012年美元）'!W17/'分42行业工业增加值（2012年美元）'!V17-1</f>
        <v>0.00385365085044387</v>
      </c>
      <c r="V17">
        <f>'分42行业工业增加值（2012年美元）'!X17/'分42行业工业增加值（2012年美元）'!W17-1</f>
        <v>0.00350515241378035</v>
      </c>
      <c r="W17">
        <f>'分42行业工业增加值（2012年美元）'!Y17/'分42行业工业增加值（2012年美元）'!X17-1</f>
        <v>0.00319197157878737</v>
      </c>
      <c r="X17">
        <f>'分42行业工业增加值（2012年美元）'!Z17/'分42行业工业增加值（2012年美元）'!Y17-1</f>
        <v>0.0029100030795961</v>
      </c>
      <c r="Y17">
        <f>'分42行业工业增加值（2012年美元）'!AA17/'分42行业工业增加值（2012年美元）'!Z17-1</f>
        <v>0.00265567042965187</v>
      </c>
      <c r="Z17">
        <f>'分42行业工业增加值（2012年美元）'!AB17/'分42行业工业增加值（2012年美元）'!AA17-1</f>
        <v>0.00242585403659179</v>
      </c>
      <c r="AA17">
        <f>'分42行业工业增加值（2012年美元）'!AC17/'分42行业工业增加值（2012年美元）'!AB17-1</f>
        <v>0.00221782910505985</v>
      </c>
      <c r="AB17">
        <f>'分42行业工业增加值（2012年美元）'!AD17/'分42行业工业增加值（2012年美元）'!AC17-1</f>
        <v>0.00202921209973672</v>
      </c>
      <c r="AC17">
        <f>'分42行业工业增加值（2012年美元）'!AE17/'分42行业工业增加值（2012年美元）'!AD17-1</f>
        <v>0.00185791464914997</v>
      </c>
      <c r="AD17">
        <f>'分42行业工业增加值（2012年美元）'!AF17/'分42行业工业增加值（2012年美元）'!AE17-1</f>
        <v>0.00170210388714365</v>
      </c>
      <c r="AE17">
        <f>'分42行业工业增加值（2012年美元）'!AG17/'分42行业工业增加值（2012年美元）'!AF17-1</f>
        <v>0.00156016834540895</v>
      </c>
      <c r="AF17">
        <f>'分42行业工业增加值（2012年美元）'!AH17/'分42行业工业增加值（2012年美元）'!AG17-1</f>
        <v>0.00143068862071893</v>
      </c>
      <c r="AG17">
        <f>'分42行业工业增加值（2012年美元）'!AI17/'分42行业工业增加值（2012年美元）'!AH17-1</f>
        <v>0.00131241214196343</v>
      </c>
      <c r="AH17">
        <f>'分42行业工业增加值（2012年美元）'!AJ17/'分42行业工业增加值（2012年美元）'!AI17-1</f>
        <v>0.00120423145312509</v>
      </c>
      <c r="AI17">
        <f>'分42行业工业增加值（2012年美元）'!AK17/'分42行业工业增加值（2012年美元）'!AJ17-1</f>
        <v>0.00110516550979067</v>
      </c>
      <c r="AJ17">
        <f>'分42行业工业增加值（2012年美元）'!AL17/'分42行业工业增加值（2012年美元）'!AK17-1</f>
        <v>0.0010143435572294</v>
      </c>
      <c r="AK17">
        <f>'分42行业工业增加值（2012年美元）'!AM17/'分42行业工业增加值（2012年美元）'!AL17-1</f>
        <v>0.000930991220264632</v>
      </c>
      <c r="AL17">
        <f>'分42行业工业增加值（2012年美元）'!AN17/'分42行业工业增加值（2012年美元）'!AM17-1</f>
        <v>0.000854418488391184</v>
      </c>
      <c r="AM17">
        <f>'分42行业工业增加值（2012年美元）'!AO17/'分42行业工业增加值（2012年美元）'!AN17-1</f>
        <v>0.000784009325544455</v>
      </c>
      <c r="AN17">
        <f>'分42行业工业增加值（2012年美元）'!AP17/'分42行业工业增加值（2012年美元）'!AO17-1</f>
        <v>0.000719212673516267</v>
      </c>
      <c r="AO17">
        <f>'分42行业工业增加值（2012年美元）'!AQ17/'分42行业工业增加值（2012年美元）'!AP17-1</f>
        <v>0.000659534651533455</v>
      </c>
      <c r="AP17">
        <f>'分42行业工业增加值（2012年美元）'!AR17/'分42行业工业增加值（2012年美元）'!AQ17-1</f>
        <v>0.000604531783531703</v>
      </c>
    </row>
    <row r="18" spans="1:42">
      <c r="A18" s="2" t="s">
        <v>116</v>
      </c>
      <c r="B18">
        <f>'分42行业工业增加值（2012年美元）'!D18/'分42行业工业增加值（2012年美元）'!C18-1</f>
        <v>-0.00893208367155951</v>
      </c>
      <c r="C18">
        <f>'分42行业工业增加值（2012年美元）'!E18/'分42行业工业增加值（2012年美元）'!D18-1</f>
        <v>0.127850710617218</v>
      </c>
      <c r="D18">
        <f>'分42行业工业增加值（2012年美元）'!F18/'分42行业工业增加值（2012年美元）'!E18-1</f>
        <v>0.0240658920909746</v>
      </c>
      <c r="E18">
        <f>'分42行业工业增加值（2012年美元）'!G18/'分42行业工业增加值（2012年美元）'!F18-1</f>
        <v>0.0214068297948173</v>
      </c>
      <c r="F18">
        <f>'分42行业工业增加值（2012年美元）'!H18/'分42行业工业增加值（2012年美元）'!G18-1</f>
        <v>0.0190456824974858</v>
      </c>
      <c r="G18">
        <f>'分42行业工业增加值（2012年美元）'!I18/'分42行业工业增加值（2012年美元）'!H18-1</f>
        <v>0.0169551644922386</v>
      </c>
      <c r="H18">
        <f>'分42行业工业增加值（2012年美元）'!J18/'分42行业工业增加值（2012年美元）'!I18-1</f>
        <v>0.0151078237682769</v>
      </c>
      <c r="I18">
        <f>'分42行业工业增加值（2012年美元）'!K18/'分42行业工业增加值（2012年美元）'!J18-1</f>
        <v>0.013477201710929</v>
      </c>
      <c r="J18">
        <f>'分42行业工业增加值（2012年美元）'!L18/'分42行业工业增加值（2012年美元）'!K18-1</f>
        <v>0.0120385345349392</v>
      </c>
      <c r="K18">
        <f>'分42行业工业增加值（2012年美元）'!M18/'分42行业工业增加值（2012年美元）'!L18-1</f>
        <v>0.0107691232469556</v>
      </c>
      <c r="L18">
        <f>'分42行业工业增加值（2012年美元）'!N18/'分42行业工业增加值（2012年美元）'!M18-1</f>
        <v>0.00964847520221501</v>
      </c>
      <c r="M18">
        <f>'分42行业工业增加值（2012年美元）'!O18/'分42行业工业增加值（2012年美元）'!N18-1</f>
        <v>0.00865829594313317</v>
      </c>
      <c r="N18">
        <f>'分42行业工业增加值（2012年美元）'!P18/'分42行业工业增加值（2012年美元）'!O18-1</f>
        <v>0.00778238870765757</v>
      </c>
      <c r="O18">
        <f>'分42行业工业增加值（2012年美元）'!Q18/'分42行业工业增加值（2012年美元）'!P18-1</f>
        <v>0.00700650190888052</v>
      </c>
      <c r="P18">
        <f>'分42行业工业增加值（2012年美元）'!R18/'分42行业工业增加值（2012年美元）'!Q18-1</f>
        <v>0.00631815190894014</v>
      </c>
      <c r="Q18">
        <f>'分42行业工业增加值（2012年美元）'!S18/'分42行业工业增加值（2012年美元）'!R18-1</f>
        <v>0.00570643892540623</v>
      </c>
      <c r="R18">
        <f>'分42行业工业增加值（2012年美元）'!T18/'分42行业工业增加值（2012年美元）'!S18-1</f>
        <v>0.00516186718893352</v>
      </c>
      <c r="S18">
        <f>'分42行业工业增加值（2012年美元）'!U18/'分42行业工业增加值（2012年美元）'!T18-1</f>
        <v>0.00467617583703661</v>
      </c>
      <c r="T18">
        <f>'分42行业工业增加值（2012年美元）'!V18/'分42行业工业增加值（2012年美元）'!U18-1</f>
        <v>0.004242183917889</v>
      </c>
      <c r="U18">
        <f>'分42行业工业增加值（2012年美元）'!W18/'分42行业工业增加值（2012年美元）'!V18-1</f>
        <v>0.00385365085044365</v>
      </c>
      <c r="V18">
        <f>'分42行业工业增加值（2012年美元）'!X18/'分42行业工业增加值（2012年美元）'!W18-1</f>
        <v>0.00350515241378035</v>
      </c>
      <c r="W18">
        <f>'分42行业工业增加值（2012年美元）'!Y18/'分42行业工业增加值（2012年美元）'!X18-1</f>
        <v>0.00319197157878759</v>
      </c>
      <c r="X18">
        <f>'分42行业工业增加值（2012年美元）'!Z18/'分42行业工业增加值（2012年美元）'!Y18-1</f>
        <v>0.0029100030795961</v>
      </c>
      <c r="Y18">
        <f>'分42行业工业增加值（2012年美元）'!AA18/'分42行业工业增加值（2012年美元）'!Z18-1</f>
        <v>0.00265567042965187</v>
      </c>
      <c r="Z18">
        <f>'分42行业工业增加值（2012年美元）'!AB18/'分42行业工业增加值（2012年美元）'!AA18-1</f>
        <v>0.00242585403659179</v>
      </c>
      <c r="AA18">
        <f>'分42行业工业增加值（2012年美元）'!AC18/'分42行业工业增加值（2012年美元）'!AB18-1</f>
        <v>0.00221782910506008</v>
      </c>
      <c r="AB18">
        <f>'分42行业工业增加值（2012年美元）'!AD18/'分42行业工业增加值（2012年美元）'!AC18-1</f>
        <v>0.00202921209973672</v>
      </c>
      <c r="AC18">
        <f>'分42行业工业增加值（2012年美元）'!AE18/'分42行业工业增加值（2012年美元）'!AD18-1</f>
        <v>0.00185791464914997</v>
      </c>
      <c r="AD18">
        <f>'分42行业工业增加值（2012年美元）'!AF18/'分42行业工业增加值（2012年美元）'!AE18-1</f>
        <v>0.00170210388714365</v>
      </c>
      <c r="AE18">
        <f>'分42行业工业增加值（2012年美元）'!AG18/'分42行业工业增加值（2012年美元）'!AF18-1</f>
        <v>0.00156016834540895</v>
      </c>
      <c r="AF18">
        <f>'分42行业工业增加值（2012年美元）'!AH18/'分42行业工业增加值（2012年美元）'!AG18-1</f>
        <v>0.00143068862071871</v>
      </c>
      <c r="AG18">
        <f>'分42行业工业增加值（2012年美元）'!AI18/'分42行业工业增加值（2012年美元）'!AH18-1</f>
        <v>0.00131241214196343</v>
      </c>
      <c r="AH18">
        <f>'分42行业工业增加值（2012年美元）'!AJ18/'分42行业工业增加值（2012年美元）'!AI18-1</f>
        <v>0.00120423145312532</v>
      </c>
      <c r="AI18">
        <f>'分42行业工业增加值（2012年美元）'!AK18/'分42行业工业增加值（2012年美元）'!AJ18-1</f>
        <v>0.00110516550979067</v>
      </c>
      <c r="AJ18">
        <f>'分42行业工业增加值（2012年美元）'!AL18/'分42行业工业增加值（2012年美元）'!AK18-1</f>
        <v>0.00101434355722918</v>
      </c>
      <c r="AK18">
        <f>'分42行业工业增加值（2012年美元）'!AM18/'分42行业工业增加值（2012年美元）'!AL18-1</f>
        <v>0.000930991220264632</v>
      </c>
      <c r="AL18">
        <f>'分42行业工业增加值（2012年美元）'!AN18/'分42行业工业增加值（2012年美元）'!AM18-1</f>
        <v>0.000854418488391184</v>
      </c>
      <c r="AM18">
        <f>'分42行业工业增加值（2012年美元）'!AO18/'分42行业工业增加值（2012年美元）'!AN18-1</f>
        <v>0.000784009325544455</v>
      </c>
      <c r="AN18">
        <f>'分42行业工业增加值（2012年美元）'!AP18/'分42行业工业增加值（2012年美元）'!AO18-1</f>
        <v>0.000719212673516267</v>
      </c>
      <c r="AO18">
        <f>'分42行业工业增加值（2012年美元）'!AQ18/'分42行业工业增加值（2012年美元）'!AP18-1</f>
        <v>0.000659534651533678</v>
      </c>
      <c r="AP18">
        <f>'分42行业工业增加值（2012年美元）'!AR18/'分42行业工业增加值（2012年美元）'!AQ18-1</f>
        <v>0.000604531783531481</v>
      </c>
    </row>
    <row r="19" spans="1:42">
      <c r="A19" s="2" t="s">
        <v>117</v>
      </c>
      <c r="B19">
        <f>'分42行业工业增加值（2012年美元）'!D19/'分42行业工业增加值（2012年美元）'!C19-1</f>
        <v>-0.00418307638877913</v>
      </c>
      <c r="C19">
        <f>'分42行业工业增加值（2012年美元）'!E19/'分42行业工业增加值（2012年美元）'!D19-1</f>
        <v>0.124243136038557</v>
      </c>
      <c r="D19">
        <f>'分42行业工业增加值（2012年美元）'!F19/'分42行业工业增加值（2012年美元）'!E19-1</f>
        <v>0.0200477230101588</v>
      </c>
      <c r="E19">
        <f>'分42行业工业增加值（2012年美元）'!G19/'分42行业工业增加值（2012年美元）'!F19-1</f>
        <v>0.0176603164202862</v>
      </c>
      <c r="F19">
        <f>'分42行业工业增加值（2012年美元）'!H19/'分42行业工业增加值（2012年美元）'!G19-1</f>
        <v>0.0155437627257031</v>
      </c>
      <c r="G19">
        <f>'分42行业工业增加值（2012年美元）'!I19/'分42行业工业增加值（2012年美元）'!H19-1</f>
        <v>0.0136742598426109</v>
      </c>
      <c r="H19">
        <f>'分42行业工业增加值（2012年美元）'!J19/'分42行业工业增加值（2012年美元）'!I19-1</f>
        <v>0.0120273072133201</v>
      </c>
      <c r="I19">
        <f>'分42行业工业增加值（2012年美元）'!K19/'分42行业工业增加值（2012年美元）'!J19-1</f>
        <v>0.0105789560421583</v>
      </c>
      <c r="J19">
        <f>'分42行业工业增加值（2012年美元）'!L19/'分42行业工业增加值（2012年美元）'!K19-1</f>
        <v>0.00930658494400483</v>
      </c>
      <c r="K19">
        <f>'分42行业工业增加值（2012年美元）'!M19/'分42行业工业增加值（2012年美元）'!L19-1</f>
        <v>0.00818933080358097</v>
      </c>
      <c r="L19">
        <f>'分42行业工业增加值（2012年美元）'!N19/'分42行业工业增加值（2012年美元）'!M19-1</f>
        <v>0.00720828035685983</v>
      </c>
      <c r="M19">
        <f>'分42行业工业增加值（2012年美元）'!O19/'分42行业工业增加值（2012年美元）'!N19-1</f>
        <v>0.00634650318323882</v>
      </c>
      <c r="N19">
        <f>'分42行业工业增加值（2012年美元）'!P19/'分42行业工业增加值（2012年美元）'!O19-1</f>
        <v>0.00558898513316408</v>
      </c>
      <c r="O19">
        <f>'分42行业工业增加值（2012年美元）'!Q19/'分42行业工业增加值（2012年美元）'!P19-1</f>
        <v>0.00492250382930126</v>
      </c>
      <c r="P19">
        <f>'分42行业工业增加值（2012年美元）'!R19/'分42行业工业增加值（2012年美元）'!Q19-1</f>
        <v>0.00433547465119433</v>
      </c>
      <c r="Q19">
        <f>'分42行业工业增加值（2012年美元）'!S19/'分42行业工业增加值（2012年美元）'!R19-1</f>
        <v>0.00381778592528681</v>
      </c>
      <c r="R19">
        <f>'分42行业工业增加值（2012年美元）'!T19/'分42行业工业增加值（2012年美元）'!S19-1</f>
        <v>0.00336063515508722</v>
      </c>
      <c r="S19">
        <f>'分42行业工业增加值（2012年美元）'!U19/'分42行业工业增加值（2012年美元）'!T19-1</f>
        <v>0.00295637335643217</v>
      </c>
      <c r="T19">
        <f>'分42行业工业增加值（2012年美元）'!V19/'分42行业工业增加值（2012年美元）'!U19-1</f>
        <v>0.00259836134219316</v>
      </c>
      <c r="U19">
        <f>'分42行业工业增加值（2012年美元）'!W19/'分42行业工业增加值（2012年美元）'!V19-1</f>
        <v>0.00228083968389226</v>
      </c>
      <c r="V19">
        <f>'分42行业工业增加值（2012年美元）'!X19/'分42行业工业增加值（2012年美元）'!W19-1</f>
        <v>0.0019988127325663</v>
      </c>
      <c r="W19">
        <f>'分42行业工业增加值（2012年美元）'!Y19/'分42行业工业增加值（2012年美元）'!X19-1</f>
        <v>0.00174794626404684</v>
      </c>
      <c r="X19">
        <f>'分42行业工业增加值（2012年美元）'!Z19/'分42行业工业增加值（2012年美元）'!Y19-1</f>
        <v>0.00152447785123733</v>
      </c>
      <c r="Y19">
        <f>'分42行业工业增加值（2012年美元）'!AA19/'分42行业工业增加值（2012年美元）'!Z19-1</f>
        <v>0.00132513883613861</v>
      </c>
      <c r="Z19">
        <f>'分42行业工业增加值（2012年美元）'!AB19/'分42行业工业增加值（2012年美元）'!AA19-1</f>
        <v>0.00114708669357211</v>
      </c>
      <c r="AA19">
        <f>'分42行业工业增加值（2012年美元）'!AC19/'分42行业工业增加值（2012年美元）'!AB19-1</f>
        <v>0.000987846588466068</v>
      </c>
      <c r="AB19">
        <f>'分42行业工业增加值（2012年美元）'!AD19/'分42行业工业增加值（2012年美元）'!AC19-1</f>
        <v>0.000845260992740293</v>
      </c>
      <c r="AC19">
        <f>'分42行业工业增加值（2012年美元）'!AE19/'分42行业工业增加值（2012年美元）'!AD19-1</f>
        <v>0.00071744631929227</v>
      </c>
      <c r="AD19">
        <f>'分42行业工业增加值（2012年美元）'!AF19/'分42行业工业增加值（2012年美元）'!AE19-1</f>
        <v>0.000602755634119712</v>
      </c>
      <c r="AE19">
        <f>'分42行业工业增加值（2012年美元）'!AG19/'分42行业工业增加值（2012年美元）'!AF19-1</f>
        <v>0.000499746613503715</v>
      </c>
      <c r="AF19">
        <f>'分42行业工业增加值（2012年美元）'!AH19/'分42行业工业增加值（2012年美元）'!AG19-1</f>
        <v>0.000407154014393063</v>
      </c>
      <c r="AG19">
        <f>'分42行业工业增加值（2012年美元）'!AI19/'分42行业工业增加值（2012年美元）'!AH19-1</f>
        <v>0.00032386602054757</v>
      </c>
      <c r="AH19">
        <f>'分42行业工业增加值（2012年美元）'!AJ19/'分42行业工业增加值（2012年美元）'!AI19-1</f>
        <v>0.000248903912206666</v>
      </c>
      <c r="AI19">
        <f>'分42行业工业增加值（2012年美元）'!AK19/'分42行业工业增加值（2012年美元）'!AJ19-1</f>
        <v>0.000181404583165401</v>
      </c>
      <c r="AJ19">
        <f>'分42行业工业增加值（2012年美元）'!AL19/'分42行业工业增加值（2012年美元）'!AK19-1</f>
        <v>0.00012060549608095</v>
      </c>
      <c r="AK19">
        <f>'分42行业工业增加值（2012年美元）'!AM19/'分42行业工业增加值（2012年美元）'!AL19-1</f>
        <v>6.58317251995832e-5</v>
      </c>
      <c r="AL19">
        <f>'分42行业工业增加值（2012年美元）'!AN19/'分42行业工业增加值（2012年美元）'!AM19-1</f>
        <v>1.64847861610085e-5</v>
      </c>
      <c r="AM19">
        <f>'分42行业工业增加值（2012年美元）'!AO19/'分42行业工业增加值（2012年美元）'!AN19-1</f>
        <v>-2.79670035938651e-5</v>
      </c>
      <c r="AN19">
        <f>'分42行业工业增加值（2012年美元）'!AP19/'分42行业工业增加值（2012年美元）'!AO19-1</f>
        <v>-6.79968532542041e-5</v>
      </c>
      <c r="AO19">
        <f>'分42行业工业增加值（2012年美元）'!AQ19/'分42行业工业增加值（2012年美元）'!AP19-1</f>
        <v>-0.000104026702693161</v>
      </c>
      <c r="AP19">
        <f>'分42行业工业增加值（2012年美元）'!AR19/'分42行业工业增加值（2012年美元）'!AQ19-1</f>
        <v>-0.000136433462314067</v>
      </c>
    </row>
    <row r="20" spans="1:42">
      <c r="A20" s="2" t="s">
        <v>123</v>
      </c>
      <c r="B20">
        <f>'分42行业工业增加值（2012年美元）'!D20/'分42行业工业增加值（2012年美元）'!C20-1</f>
        <v>0.0552188662001196</v>
      </c>
      <c r="C20">
        <f>'分42行业工业增加值（2012年美元）'!E20/'分42行业工业增加值（2012年美元）'!D20-1</f>
        <v>0.171822580732452</v>
      </c>
      <c r="D20">
        <f>'分42行业工业增加值（2012年美元）'!F20/'分42行业工业增加值（2012年美元）'!E20-1</f>
        <v>0.052013396795098</v>
      </c>
      <c r="E20">
        <f>'分42行业工业增加值（2012年美元）'!G20/'分42行业工业增加值（2012年美元）'!F20-1</f>
        <v>0.0466731117410863</v>
      </c>
      <c r="F20">
        <f>'分42行业工业增加值（2012年美元）'!H20/'分42行业工业增加值（2012年美元）'!G20-1</f>
        <v>0.0420078042320644</v>
      </c>
      <c r="G20">
        <f>'分42行业工业增加值（2012年美元）'!I20/'分42行业工业增加值（2012年美元）'!H20-1</f>
        <v>0.0379217207260896</v>
      </c>
      <c r="H20">
        <f>'分42行业工业增加值（2012年美元）'!J20/'分42行业工业增加值（2012年美元）'!I20-1</f>
        <v>0.0343339088275747</v>
      </c>
      <c r="I20">
        <f>'分42行业工业增加值（2012年美元）'!K20/'分42行业工业增加值（2012年美元）'!J20-1</f>
        <v>0.0311756004912418</v>
      </c>
      <c r="J20">
        <f>'分42行业工业增加值（2012年美元）'!L20/'分42行业工业增加值（2012年美元）'!K20-1</f>
        <v>0.028388208047585</v>
      </c>
      <c r="K20">
        <f>'分42行业工业增加值（2012年美元）'!M20/'分42行业工业增加值（2012年美元）'!L20-1</f>
        <v>0.0259217242588348</v>
      </c>
      <c r="L20">
        <f>'分42行业工业增加值（2012年美元）'!N20/'分42行业工业增加值（2012年美元）'!M20-1</f>
        <v>0.0237334086044658</v>
      </c>
      <c r="M20">
        <f>'分42行业工业增加值（2012年美元）'!O20/'分42行业工业增加值（2012年美元）'!N20-1</f>
        <v>0.0217866899712049</v>
      </c>
      <c r="N20">
        <f>'分42行业工业增加值（2012年美元）'!P20/'分42行业工业增加值（2012年美元）'!O20-1</f>
        <v>0.0200502413638226</v>
      </c>
      <c r="O20">
        <f>'分42行业工业增加值（2012年美元）'!Q20/'分42行业工业增加值（2012年美元）'!P20-1</f>
        <v>0.0184971960139548</v>
      </c>
      <c r="P20">
        <f>'分42行业工业增加值（2012年美元）'!R20/'分42行业工业增加值（2012年美元）'!Q20-1</f>
        <v>0.0171044820332935</v>
      </c>
      <c r="Q20">
        <f>'分42行业工业增加值（2012年美元）'!S20/'分42行业工业增加值（2012年美元）'!R20-1</f>
        <v>0.015852257467432</v>
      </c>
      <c r="R20">
        <f>'分42行业工业增加值（2012年美元）'!T20/'分42行业工业增加值（2012年美元）'!S20-1</f>
        <v>0.0147234307457349</v>
      </c>
      <c r="S20">
        <f>'分42行业工业增加值（2012年美元）'!U20/'分42行业工业增加值（2012年美元）'!T20-1</f>
        <v>0.0137032538325419</v>
      </c>
      <c r="T20">
        <f>'分42行业工业增加值（2012年美元）'!V20/'分42行业工业增加值（2012年美元）'!U20-1</f>
        <v>0.0127789772244804</v>
      </c>
      <c r="U20">
        <f>'分42行业工业增加值（2012年美元）'!W20/'分42行业工业增加值（2012年美元）'!V20-1</f>
        <v>0.0119395574824368</v>
      </c>
      <c r="V20">
        <f>'分42行业工业增加值（2012年美元）'!X20/'分42行业工业增加值（2012年美元）'!W20-1</f>
        <v>0.0111754093158651</v>
      </c>
      <c r="W20">
        <f>'分42行业工业增加值（2012年美元）'!Y20/'分42行业工业增加值（2012年美元）'!X20-1</f>
        <v>0.0104781953937592</v>
      </c>
      <c r="X20">
        <f>'分42行业工业增加值（2012年美元）'!Z20/'分42行业工业增加值（2012年美元）'!Y20-1</f>
        <v>0.00984064806330931</v>
      </c>
      <c r="Y20">
        <f>'分42行业工业增加值（2012年美元）'!AA20/'分42行业工业增加值（2012年美元）'!Z20-1</f>
        <v>0.00925641803168009</v>
      </c>
      <c r="Z20">
        <f>'分42行业工业增加值（2012年美元）'!AB20/'分42行业工业增加值（2012年美元）'!AA20-1</f>
        <v>0.00871994582021585</v>
      </c>
      <c r="AA20">
        <f>'分42行业工业增加值（2012年美元）'!AC20/'分42行业工业增加值（2012年美元）'!AB20-1</f>
        <v>0.00822635244792846</v>
      </c>
      <c r="AB20">
        <f>'分42行业工业增加值（2012年美元）'!AD20/'分42行业工业增加值（2012年美元）'!AC20-1</f>
        <v>0.00777134635439647</v>
      </c>
      <c r="AC20">
        <f>'分42行业工业增加值（2012年美元）'!AE20/'分42行业工业增加值（2012年美元）'!AD20-1</f>
        <v>0.00735114404205617</v>
      </c>
      <c r="AD20">
        <f>'分42行业工业增加值（2012年美元）'!AF20/'分42行业工业增加值（2012年美元）'!AE20-1</f>
        <v>0.00696240231613721</v>
      </c>
      <c r="AE20">
        <f>'分42行业工业增加值（2012年美元）'!AG20/'分42行业工业增加值（2012年美元）'!AF20-1</f>
        <v>0.00660216033665062</v>
      </c>
      <c r="AF20">
        <f>'分42行业工业增加值（2012年美元）'!AH20/'分42行业工业增加值（2012年美元）'!AG20-1</f>
        <v>0.00626778998007715</v>
      </c>
      <c r="AG20">
        <f>'分42行业工业增加值（2012年美元）'!AI20/'分42行业工业增加值（2012年美元）'!AH20-1</f>
        <v>0.00595695324629442</v>
      </c>
      <c r="AH20">
        <f>'分42行业工业增加值（2012年美元）'!AJ20/'分42行业工业增加值（2012年美元）'!AI20-1</f>
        <v>0.00566756564645954</v>
      </c>
      <c r="AI20">
        <f>'分42行业工业增加值（2012年美元）'!AK20/'分42行业工业增加值（2012年美元）'!AJ20-1</f>
        <v>0.00539776467513109</v>
      </c>
      <c r="AJ20">
        <f>'分42行业工业增加值（2012年美元）'!AL20/'分42行业工业增加值（2012年美元）'!AK20-1</f>
        <v>0.00514588261065119</v>
      </c>
      <c r="AK20">
        <f>'分42行业工业增加值（2012年美元）'!AM20/'分42行业工业增加值（2012年美元）'!AL20-1</f>
        <v>0.00491042300584876</v>
      </c>
      <c r="AL20">
        <f>'分42行业工业增加值（2012年美元）'!AN20/'分42行业工业增加值（2012年美元）'!AM20-1</f>
        <v>0.00469004033022924</v>
      </c>
      <c r="AM20">
        <f>'分42行业工业增加值（2012年美元）'!AO20/'分42行业工业增加值（2012年美元）'!AN20-1</f>
        <v>0.00448352230736782</v>
      </c>
      <c r="AN20">
        <f>'分42行业工业增加值（2012年美元）'!AP20/'分42行业工业增加值（2012年美元）'!AO20-1</f>
        <v>0.00428977456194768</v>
      </c>
      <c r="AO20">
        <f>'分42行业工业增加值（2012年美元）'!AQ20/'分42行业工业增加值（2012年美元）'!AP20-1</f>
        <v>0.00410780724839421</v>
      </c>
      <c r="AP20">
        <f>'分42行业工业增加值（2012年美元）'!AR20/'分42行业工业增加值（2012年美元）'!AQ20-1</f>
        <v>0.00393672338343154</v>
      </c>
    </row>
    <row r="21" spans="1:42">
      <c r="A21" s="2" t="s">
        <v>122</v>
      </c>
      <c r="B21">
        <f>'分42行业工业增加值（2012年美元）'!D21/'分42行业工业增加值（2012年美元）'!C21-1</f>
        <v>0.0367173685400497</v>
      </c>
      <c r="C21">
        <f>'分42行业工业增加值（2012年美元）'!E21/'分42行业工业增加值（2012年美元）'!D21-1</f>
        <v>0.16906641970683</v>
      </c>
      <c r="D21">
        <f>'分42行业工业增加值（2012年美元）'!F21/'分42行业工业增加值（2012年美元）'!E21-1</f>
        <v>0.0332336396285136</v>
      </c>
      <c r="E21">
        <f>'分42行业工业增加值（2012年美元）'!G21/'分42行业工业增加值（2012年美元）'!F21-1</f>
        <v>0.0298456877801696</v>
      </c>
      <c r="F21">
        <f>'分42行业工业增加值（2012年美元）'!H21/'分42行业工业增加值（2012年美元）'!G21-1</f>
        <v>0.0268402723551013</v>
      </c>
      <c r="G21">
        <f>'分42行业工业增加值（2012年美元）'!I21/'分42行业工业增加值（2012年美元）'!H21-1</f>
        <v>0.0241774796341014</v>
      </c>
      <c r="H21">
        <f>'分42行业工业增加值（2012年美元）'!J21/'分42行业工业增加值（2012年美元）'!I21-1</f>
        <v>0.0218194779195704</v>
      </c>
      <c r="I21">
        <f>'分42行业工业增加值（2012年美元）'!K21/'分42行业工业增加值（2012年美元）'!J21-1</f>
        <v>0.0197312218004415</v>
      </c>
      <c r="J21">
        <f>'分42行业工业增加值（2012年美元）'!L21/'分42行业工业增加值（2012年美元）'!K21-1</f>
        <v>0.0178808000673563</v>
      </c>
      <c r="K21">
        <f>'分42行业工业增加值（2012年美元）'!M21/'分42行业工业增加值（2012年美元）'!L21-1</f>
        <v>0.0162395292592201</v>
      </c>
      <c r="L21">
        <f>'分42行业工业增加值（2012年美元）'!N21/'分42行业工业增加值（2012年美元）'!M21-1</f>
        <v>0.0147818776473745</v>
      </c>
      <c r="M21">
        <f>'分42行业工业增加值（2012年美元）'!O21/'分42行业工业增加值（2012年美元）'!N21-1</f>
        <v>0.0134852847492339</v>
      </c>
      <c r="N21">
        <f>'分42行业工业增加值（2012年美元）'!P21/'分42行业工业增加值（2012年美元）'!O21-1</f>
        <v>0.0123299235350416</v>
      </c>
      <c r="O21">
        <f>'分42行业工业增加值（2012年美元）'!Q21/'分42行业工业增加值（2012年美元）'!P21-1</f>
        <v>0.011298437881949</v>
      </c>
      <c r="P21">
        <f>'分42行业工业增加值（2012年美元）'!R21/'分42行业工业增加值（2012年美元）'!Q21-1</f>
        <v>0.0103756766862986</v>
      </c>
      <c r="Q21">
        <f>'分42行业工业增加值（2012年美元）'!S21/'分42行业工业增加值（2012年美元）'!R21-1</f>
        <v>0.00954843793500437</v>
      </c>
      <c r="R21">
        <f>'分42行业工业增加值（2012年美元）'!T21/'分42行业工业增加值（2012年美元）'!S21-1</f>
        <v>0.0088052303517383</v>
      </c>
      <c r="S21">
        <f>'分42行业工业增加值（2012年美元）'!U21/'分42行业工业增加值（2012年美元）'!T21-1</f>
        <v>0.00813605638487092</v>
      </c>
      <c r="T21">
        <f>'分42行业工业增加值（2012年美元）'!V21/'分42行业工业增加值（2012年美元）'!U21-1</f>
        <v>0.00753221779132662</v>
      </c>
      <c r="U21">
        <f>'分42行业工业增加值（2012年美元）'!W21/'分42行业工业增加值（2012年美元）'!V21-1</f>
        <v>0.00698614350054072</v>
      </c>
      <c r="V21">
        <f>'分42行业工业增加值（2012年美元）'!X21/'分42行业工业增加值（2012年美元）'!W21-1</f>
        <v>0.00649123852256128</v>
      </c>
      <c r="W21">
        <f>'分42行业工业增加值（2012年美元）'!Y21/'分42行业工业增加值（2012年美元）'!X21-1</f>
        <v>0.00604175217697267</v>
      </c>
      <c r="X21">
        <f>'分42行业工业增加值（2012年美元）'!Z21/'分42行业工业增加值（2012年美元）'!Y21-1</f>
        <v>0.00563266371596249</v>
      </c>
      <c r="Y21">
        <f>'分42行业工业增加值（2012年美元）'!AA21/'分42行业工业增加值（2012年美元）'!Z21-1</f>
        <v>0.00525958338761812</v>
      </c>
      <c r="Z21">
        <f>'分42行业工业增加值（2012年美元）'!AB21/'分42行业工业增加值（2012年美元）'!AA21-1</f>
        <v>0.00491866706466171</v>
      </c>
      <c r="AA21">
        <f>'分42行业工业增加值（2012年美元）'!AC21/'分42行业工业增加值（2012年美元）'!AB21-1</f>
        <v>0.00460654270126604</v>
      </c>
      <c r="AB21">
        <f>'分42行业工业增加值（2012年美元）'!AD21/'分42行业工业增加值（2012年美元）'!AC21-1</f>
        <v>0.00432024704449452</v>
      </c>
      <c r="AC21">
        <f>'分42行业工业增加值（2012年美元）'!AE21/'分42行业工业增加值（2012年美元）'!AD21-1</f>
        <v>0.00405717119968552</v>
      </c>
      <c r="AD21">
        <f>'分42行业工业增加值（2012年美元）'!AF21/'分42行业工业增加值（2012年美元）'!AE21-1</f>
        <v>0.00381501381671834</v>
      </c>
      <c r="AE21">
        <f>'分42行业工业增加值（2012年美元）'!AG21/'分42行业工业增加值（2012年美元）'!AF21-1</f>
        <v>0.00359174082198321</v>
      </c>
      <c r="AF21">
        <f>'分42行业工业增加值（2012年美元）'!AH21/'分42行业工业增加值（2012年美元）'!AG21-1</f>
        <v>0.00338555076412983</v>
      </c>
      <c r="AG21">
        <f>'分42行业工业增加值（2012年美元）'!AI21/'分42行业工业增加值（2012年美元）'!AH21-1</f>
        <v>0.0031948449700161</v>
      </c>
      <c r="AH21">
        <f>'分42行业工业增加值（2012年美元）'!AJ21/'分42行业工业增加值（2012年美元）'!AI21-1</f>
        <v>0.00301820182041901</v>
      </c>
      <c r="AI21">
        <f>'分42行业工业增加值（2012年美元）'!AK21/'分42行业工业增加值（2012年美元）'!AJ21-1</f>
        <v>0.00285435455367478</v>
      </c>
      <c r="AJ21">
        <f>'分42行业工业增加值（2012年美元）'!AL21/'分42行业工业增加值（2012年美元）'!AK21-1</f>
        <v>0.00270217209111379</v>
      </c>
      <c r="AK21">
        <f>'分42行业工业增加值（2012年美元）'!AM21/'分42行业工业增加值（2012年美元）'!AL21-1</f>
        <v>0.00256064245178456</v>
      </c>
      <c r="AL21">
        <f>'分42行业工业增加值（2012年美元）'!AN21/'分42行业工业增加值（2012年美元）'!AM21-1</f>
        <v>0.00242885838724782</v>
      </c>
      <c r="AM21">
        <f>'分42行业工业增加值（2012年美元）'!AO21/'分42行业工业增加值（2012年美元）'!AN21-1</f>
        <v>0.00230600492144117</v>
      </c>
      <c r="AN21">
        <f>'分42行业工业增加值（2012年美元）'!AP21/'分42行业工业增加值（2012年美元）'!AO21-1</f>
        <v>0.00219134852662717</v>
      </c>
      <c r="AO21">
        <f>'分42行业工业增加值（2012年美元）'!AQ21/'分42行业工业增加值（2012年美元）'!AP21-1</f>
        <v>0.00208422770611283</v>
      </c>
      <c r="AP21">
        <f>'分42行业工业增加值（2012年美元）'!AR21/'分42行业工业增加值（2012年美元）'!AQ21-1</f>
        <v>0.00198404478758518</v>
      </c>
    </row>
    <row r="22" spans="1:42">
      <c r="A22" s="2" t="s">
        <v>118</v>
      </c>
      <c r="B22">
        <f>'分42行业工业增加值（2012年美元）'!D22/'分42行业工业增加值（2012年美元）'!C22-1</f>
        <v>0.0185291619991399</v>
      </c>
      <c r="C22">
        <f>'分42行业工业增加值（2012年美元）'!E22/'分42行业工业增加值（2012年美元）'!D22-1</f>
        <v>0.10408190901503</v>
      </c>
      <c r="D22">
        <f>'分42行业工业增加值（2012年美元）'!F22/'分42行业工业增加值（2012年美元）'!E22-1</f>
        <v>0.015740493056335</v>
      </c>
      <c r="E22">
        <f>'分42行业工业增加值（2012年美元）'!G22/'分42行业工业增加值（2012年美元）'!F22-1</f>
        <v>0.0136113677262641</v>
      </c>
      <c r="F22">
        <f>'分42行业工业增加值（2012年美元）'!H22/'分42行业工业增加值（2012年美元）'!G22-1</f>
        <v>0.0117300457181593</v>
      </c>
      <c r="G22">
        <f>'分42行业工业增加值（2012年美元）'!I22/'分42行业工业增加值（2012年美元）'!H22-1</f>
        <v>0.0100754003925498</v>
      </c>
      <c r="H22">
        <f>'分42行业工业增加值（2012年美元）'!J22/'分42行业工业增加值（2012年美元）'!I22-1</f>
        <v>0.00862524041985191</v>
      </c>
      <c r="I22">
        <f>'分42行业工业增加值（2012年美元）'!K22/'分42行业工业增加值（2012年美元）'!J22-1</f>
        <v>0.00735761409814883</v>
      </c>
      <c r="J22">
        <f>'分42行业工业增加值（2012年美元）'!L22/'分42行业工业增加值（2012年美元）'!K22-1</f>
        <v>0.0062516313059513</v>
      </c>
      <c r="K22">
        <f>'分42行业工业增加值（2012年美元）'!M22/'分42行业工业增加值（2012年美元）'!L22-1</f>
        <v>0.00528793378724779</v>
      </c>
      <c r="L22">
        <f>'分42行业工业增加值（2012年美元）'!N22/'分42行业工业增加值（2012年美元）'!M22-1</f>
        <v>0.00444892015592369</v>
      </c>
      <c r="M22">
        <f>'分42行业工业增加值（2012年美元）'!O22/'分42行业工业增加值（2012年美元）'!N22-1</f>
        <v>0.00371880713791262</v>
      </c>
      <c r="N22">
        <f>'分42行业工业增加值（2012年美元）'!P22/'分42行业工业增加值（2012年美元）'!O22-1</f>
        <v>0.00308358683494703</v>
      </c>
      <c r="O22">
        <f>'分42行业工业增加值（2012年美元）'!Q22/'分42行业工业增加值（2012年美元）'!P22-1</f>
        <v>0.00253092232507801</v>
      </c>
      <c r="P22">
        <f>'分42行业工业增加值（2012年美元）'!R22/'分42行业工业增加值（2012年美元）'!Q22-1</f>
        <v>0.00205001060083587</v>
      </c>
      <c r="Q22">
        <f>'分42行业工业增加值（2012年美元）'!S22/'分42行业工业增加值（2012年美元）'!R22-1</f>
        <v>0.00163143207462357</v>
      </c>
      <c r="R22">
        <f>'分42行业工业增加值（2012年美元）'!T22/'分42行业工业增加值（2012年美元）'!S22-1</f>
        <v>0.00126699891612869</v>
      </c>
      <c r="S22">
        <f>'分42行业工业增加值（2012年美元）'!U22/'分42行业工业增加值（2012年美元）'!T22-1</f>
        <v>0.000949609649692151</v>
      </c>
      <c r="T22">
        <f>'分42行业工业增加值（2012年美元）'!V22/'分42行业工业增加值（2012年美元）'!U22-1</f>
        <v>0.000673114158004973</v>
      </c>
      <c r="U22">
        <f>'分42行业工业增加值（2012年美元）'!W22/'分42行业工业增加值（2012年美元）'!V22-1</f>
        <v>0.000432191072058163</v>
      </c>
      <c r="V22">
        <f>'分42行业工业增加值（2012年美元）'!X22/'分42行业工业增加值（2012年美元）'!W22-1</f>
        <v>0.000222238139062192</v>
      </c>
      <c r="W22">
        <f>'分42行业工业增加值（2012年美元）'!Y22/'分42行业工业增加值（2012年美元）'!X22-1</f>
        <v>3.9275306908948e-5</v>
      </c>
      <c r="X22">
        <f>'分42行业工业增加值（2012年美元）'!Z22/'分42行业工业增加值（2012年美元）'!Y22-1</f>
        <v>-0.000120140227877874</v>
      </c>
      <c r="Y22">
        <f>'分42行业工业增加值（2012年美元）'!AA22/'分42行业工业增加值（2012年美元）'!Z22-1</f>
        <v>-0.000258988016466954</v>
      </c>
      <c r="Z22">
        <f>'分42行业工业增加值（2012年美元）'!AB22/'分42行业工业增加值（2012年美元）'!AA22-1</f>
        <v>-0.000379848507293001</v>
      </c>
      <c r="AA22">
        <f>'分42行业工业增加值（2012年美元）'!AC22/'分42行业工业增加值（2012年美元）'!AB22-1</f>
        <v>-0.000484958463772611</v>
      </c>
      <c r="AB22">
        <f>'分42行业工业增加值（2012年美元）'!AD22/'分42行业工业增加值（2012年美元）'!AC22-1</f>
        <v>-0.000576258715539457</v>
      </c>
      <c r="AC22">
        <f>'分42行业工业增加值（2012年美元）'!AE22/'分42行业工业增加值（2012年美元）'!AD22-1</f>
        <v>-0.000655435228006929</v>
      </c>
      <c r="AD22">
        <f>'分42行业工业增加值（2012年美元）'!AF22/'分42行业工业增加值（2012年美元）'!AE22-1</f>
        <v>-0.000723954380434599</v>
      </c>
      <c r="AE22">
        <f>'分42行业工业增加值（2012年美元）'!AG22/'分42行业工业增加值（2012年美元）'!AF22-1</f>
        <v>-0.000783093245490973</v>
      </c>
      <c r="AF22">
        <f>'分42行业工业增加值（2012年美元）'!AH22/'分42行业工业增加值（2012年美元）'!AG22-1</f>
        <v>-0.000833965567412887</v>
      </c>
      <c r="AG22">
        <f>'分42行业工业增加值（2012年美元）'!AI22/'分42行业工业增加值（2012年美元）'!AH22-1</f>
        <v>-0.000877544047543699</v>
      </c>
      <c r="AH22">
        <f>'分42行业工业增加值（2012年美元）'!AJ22/'分42行业工业增加值（2012年美元）'!AI22-1</f>
        <v>-0.000914679464747992</v>
      </c>
      <c r="AI22">
        <f>'分42行业工业增加值（2012年美元）'!AK22/'分42行业工业增加值（2012年美元）'!AJ22-1</f>
        <v>-0.000946117085949938</v>
      </c>
      <c r="AJ22">
        <f>'分42行业工业增加值（2012年美元）'!AL22/'分42行业工业增加值（2012年美元）'!AK22-1</f>
        <v>-0.000972510758255107</v>
      </c>
      <c r="AK22">
        <f>'分42行业工业增加值（2012年美元）'!AM22/'分42行业工业增加值（2012年美元）'!AL22-1</f>
        <v>-0.00099443501810248</v>
      </c>
      <c r="AL22">
        <f>'分42行业工业增加值（2012年美元）'!AN22/'分42行业工业增加值（2012年美元）'!AM22-1</f>
        <v>-0.00101239550478815</v>
      </c>
      <c r="AM22">
        <f>'分42行业工业增加值（2012年美元）'!AO22/'分42行业工业增加值（2012年美元）'!AN22-1</f>
        <v>-0.001026837923643</v>
      </c>
      <c r="AN22">
        <f>'分42行业工业增加值（2012年美元）'!AP22/'分42行业工业增加值（2012年美元）'!AO22-1</f>
        <v>-0.00103815576836142</v>
      </c>
      <c r="AO22">
        <f>'分42行业工业增加值（2012年美元）'!AQ22/'分42行业工业增加值（2012年美元）'!AP22-1</f>
        <v>-0.00104669698145177</v>
      </c>
      <c r="AP22">
        <f>'分42行业工业增加值（2012年美元）'!AR22/'分42行业工业增加值（2012年美元）'!AQ22-1</f>
        <v>-0.0010527697049395</v>
      </c>
    </row>
    <row r="23" spans="1:42">
      <c r="A23" s="2" t="s">
        <v>120</v>
      </c>
      <c r="B23">
        <f>'分42行业工业增加值（2012年美元）'!D23/'分42行业工业增加值（2012年美元）'!C23-1</f>
        <v>-0.0360127523325496</v>
      </c>
      <c r="C23">
        <f>'分42行业工业增加值（2012年美元）'!E23/'分42行业工业增加值（2012年美元）'!D23-1</f>
        <v>0.223852250294953</v>
      </c>
      <c r="D23">
        <f>'分42行业工业增加值（2012年美元）'!F23/'分42行业工业增加值（2012年美元）'!E23-1</f>
        <v>0.0340456399918301</v>
      </c>
      <c r="E23">
        <f>'分42行业工业增加值（2012年美元）'!G23/'分42行业工业增加值（2012年美元）'!F23-1</f>
        <v>0.0305859156810373</v>
      </c>
      <c r="F23">
        <f>'分42行业工业增加值（2012年美元）'!H23/'分42行业工业增加值（2012年美元）'!G23-1</f>
        <v>0.0275178976274699</v>
      </c>
      <c r="G23">
        <f>'分42行业工业增加值（2012年美元）'!I23/'分42行业工业增加值（2012年美元）'!H23-1</f>
        <v>0.0248001769870028</v>
      </c>
      <c r="H23">
        <f>'分42行业工业增加值（2012年美元）'!J23/'分42行业工业增加值（2012年美元）'!I23-1</f>
        <v>0.0223937170305766</v>
      </c>
      <c r="I23">
        <f>'分42行业工业增加值（2012年美元）'!K23/'分42行业工业增加值（2012年美元）'!J23-1</f>
        <v>0.0202624932459854</v>
      </c>
      <c r="J23">
        <f>'分42行业工业增加值（2012年美元）'!L23/'分42行业工业增加值（2012年美元）'!K23-1</f>
        <v>0.0183737928444376</v>
      </c>
      <c r="K23">
        <f>'分42行业工业增加值（2012年美元）'!M23/'分42行业工业增加值（2012年美元）'!L23-1</f>
        <v>0.0166982714242105</v>
      </c>
      <c r="L23">
        <f>'分42行业工业增加值（2012年美元）'!N23/'分42行业工业增加值（2012年美元）'!M23-1</f>
        <v>0.0152098486003169</v>
      </c>
      <c r="M23">
        <f>'分42行业工业增加值（2012年美元）'!O23/'分42行业工业增加值（2012年美元）'!N23-1</f>
        <v>0.0138855055382441</v>
      </c>
      <c r="N23">
        <f>'分42行业工业增加值（2012年美元）'!P23/'分42行业工业增加值（2012年美元）'!O23-1</f>
        <v>0.0127050299888278</v>
      </c>
      <c r="O23">
        <f>'分42行业工业增加值（2012年美元）'!Q23/'分42行业工业增加值（2012年美元）'!P23-1</f>
        <v>0.0116507402275303</v>
      </c>
      <c r="P23">
        <f>'分42行业工业增加值（2012年美元）'!R23/'分42行业工业增加值（2012年美元）'!Q23-1</f>
        <v>0.0107072084558364</v>
      </c>
      <c r="Q23">
        <f>'分42行业工业增加值（2012年美元）'!S23/'分42行业工业增加值（2012年美元）'!R23-1</f>
        <v>0.00986099632643134</v>
      </c>
      <c r="R23">
        <f>'分42行业工业增加值（2012年美元）'!T23/'分42行业工业增加值（2012年美元）'!S23-1</f>
        <v>0.00910040972703818</v>
      </c>
      <c r="S23">
        <f>'分42行业工业增加值（2012年美元）'!U23/'分42行业工业增加值（2012年美元）'!T23-1</f>
        <v>0.00841527622450267</v>
      </c>
      <c r="T23">
        <f>'分42行业工业增加值（2012年美元）'!V23/'分42行业工业增加值（2012年美元）'!U23-1</f>
        <v>0.00779674614275483</v>
      </c>
      <c r="U23">
        <f>'分42行业工业增加值（2012年美元）'!W23/'分42行业工业增加值（2012年美元）'!V23-1</f>
        <v>0.00723711674505245</v>
      </c>
      <c r="V23">
        <f>'分42行业工业增加值（2012年美元）'!X23/'分42行业工业增加值（2012年美元）'!W23-1</f>
        <v>0.00672967811633463</v>
      </c>
      <c r="W23">
        <f>'分42行业工业增加值（2012年美元）'!Y23/'分42行业工业增加值（2012年美元）'!X23-1</f>
        <v>0.00626857889368271</v>
      </c>
      <c r="X23">
        <f>'分42行业工业增加值（2012年美元）'!Z23/'分42行业工业增加值（2012年美元）'!Y23-1</f>
        <v>0.00584870981525221</v>
      </c>
      <c r="Y23">
        <f>'分42行业工业增加值（2012年美元）'!AA23/'分42行业工业增加值（2012年美元）'!Z23-1</f>
        <v>0.00546560305406607</v>
      </c>
      <c r="Z23">
        <f>'分42行业工业增加值（2012年美元）'!AB23/'分42行业工业增加值（2012年美元）'!AA23-1</f>
        <v>0.00511534539778258</v>
      </c>
      <c r="AA23">
        <f>'分42行业工业增加值（2012年美元）'!AC23/'分42行业工业增加值（2012年美元）'!AB23-1</f>
        <v>0.00479450348636057</v>
      </c>
      <c r="AB23">
        <f>'分42行业工业增加值（2012年美元）'!AD23/'分42行业工业增加值（2012年美元）'!AC23-1</f>
        <v>0.00450005949349519</v>
      </c>
      <c r="AC23">
        <f>'分42行业工业增加值（2012年美元）'!AE23/'分42行业工业增加值（2012年美元）'!AD23-1</f>
        <v>0.00422935581817252</v>
      </c>
      <c r="AD23">
        <f>'分42行业工业增加值（2012年美元）'!AF23/'分42行业工业增加值（2012年美元）'!AE23-1</f>
        <v>0.00398004752693137</v>
      </c>
      <c r="AE23">
        <f>'分42行业工业增加值（2012年美元）'!AG23/'分42行业工业增加值（2012年美元）'!AF23-1</f>
        <v>0.00375006144990953</v>
      </c>
      <c r="AF23">
        <f>'分42行业工业增加值（2012年美元）'!AH23/'分42行业工业增加值（2012年美元）'!AG23-1</f>
        <v>0.00353756098123603</v>
      </c>
      <c r="AG23">
        <f>'分42行业工业增加值（2012年美元）'!AI23/'分42行业工业增加值（2012年美元）'!AH23-1</f>
        <v>0.00334091576564166</v>
      </c>
      <c r="AH23">
        <f>'分42行业工业增加值（2012年美元）'!AJ23/'分42行业工业增加值（2012年美元）'!AI23-1</f>
        <v>0.00315867556898142</v>
      </c>
      <c r="AI23">
        <f>'分42行业工业增加值（2012年美元）'!AK23/'分42行业工业增加值（2012年美元）'!AJ23-1</f>
        <v>0.00298954773102089</v>
      </c>
      <c r="AJ23">
        <f>'分42行业工业增加值（2012年美元）'!AL23/'分42行业工业增加值（2012年美元）'!AK23-1</f>
        <v>0.0028323776860566</v>
      </c>
      <c r="AK23">
        <f>'分42行业工业增加值（2012年美元）'!AM23/'分42行业工业增加值（2012年美元）'!AL23-1</f>
        <v>0.00268613211220825</v>
      </c>
      <c r="AL23">
        <f>'分42行业工业增加值（2012年美元）'!AN23/'分42行业工业增加值（2012年美元）'!AM23-1</f>
        <v>0.00254988433430259</v>
      </c>
      <c r="AM23">
        <f>'分42行业工业增加值（2012年美元）'!AO23/'分42行业工业增加值（2012年美元）'!AN23-1</f>
        <v>0.00242280166066333</v>
      </c>
      <c r="AN23">
        <f>'分42行业工业增加值（2012年美元）'!AP23/'分42行业工业增加值（2012年美元）'!AO23-1</f>
        <v>0.00230413438080723</v>
      </c>
      <c r="AO23">
        <f>'分42行业工业增加值（2012年美元）'!AQ23/'分42行业工业增加值（2012年美元）'!AP23-1</f>
        <v>0.00219320619114671</v>
      </c>
      <c r="AP23">
        <f>'分42行业工业增加值（2012年美元）'!AR23/'分42行业工业增加值（2012年美元）'!AQ23-1</f>
        <v>0.00208940585004536</v>
      </c>
    </row>
    <row r="24" spans="1:42">
      <c r="A24" s="2" t="s">
        <v>121</v>
      </c>
      <c r="B24">
        <f>'分42行业工业增加值（2012年美元）'!D24/'分42行业工业增加值（2012年美元）'!C24-1</f>
        <v>-0.0360127523325499</v>
      </c>
      <c r="C24">
        <f>'分42行业工业增加值（2012年美元）'!E24/'分42行业工业增加值（2012年美元）'!D24-1</f>
        <v>0.223852250294953</v>
      </c>
      <c r="D24">
        <f>'分42行业工业增加值（2012年美元）'!F24/'分42行业工业增加值（2012年美元）'!E24-1</f>
        <v>0.0340456399918301</v>
      </c>
      <c r="E24">
        <f>'分42行业工业增加值（2012年美元）'!G24/'分42行业工业增加值（2012年美元）'!F24-1</f>
        <v>0.0305859156810371</v>
      </c>
      <c r="F24">
        <f>'分42行业工业增加值（2012年美元）'!H24/'分42行业工业增加值（2012年美元）'!G24-1</f>
        <v>0.0275178976274699</v>
      </c>
      <c r="G24">
        <f>'分42行业工业增加值（2012年美元）'!I24/'分42行业工业增加值（2012年美元）'!H24-1</f>
        <v>0.0248001769870028</v>
      </c>
      <c r="H24">
        <f>'分42行业工业增加值（2012年美元）'!J24/'分42行业工业增加值（2012年美元）'!I24-1</f>
        <v>0.0223937170305761</v>
      </c>
      <c r="I24">
        <f>'分42行业工业增加值（2012年美元）'!K24/'分42行业工业增加值（2012年美元）'!J24-1</f>
        <v>0.0202624932459856</v>
      </c>
      <c r="J24">
        <f>'分42行业工业增加值（2012年美元）'!L24/'分42行业工业增加值（2012年美元）'!K24-1</f>
        <v>0.0183737928444374</v>
      </c>
      <c r="K24">
        <f>'分42行业工业增加值（2012年美元）'!M24/'分42行业工业增加值（2012年美元）'!L24-1</f>
        <v>0.0166982714242105</v>
      </c>
      <c r="L24">
        <f>'分42行业工业增加值（2012年美元）'!N24/'分42行业工业增加值（2012年美元）'!M24-1</f>
        <v>0.0152098486003169</v>
      </c>
      <c r="M24">
        <f>'分42行业工业增加值（2012年美元）'!O24/'分42行业工业增加值（2012年美元）'!N24-1</f>
        <v>0.0138855055382441</v>
      </c>
      <c r="N24">
        <f>'分42行业工业增加值（2012年美元）'!P24/'分42行业工业增加值（2012年美元）'!O24-1</f>
        <v>0.0127050299888278</v>
      </c>
      <c r="O24">
        <f>'分42行业工业增加值（2012年美元）'!Q24/'分42行业工业增加值（2012年美元）'!P24-1</f>
        <v>0.0116507402275303</v>
      </c>
      <c r="P24">
        <f>'分42行业工业增加值（2012年美元）'!R24/'分42行业工业增加值（2012年美元）'!Q24-1</f>
        <v>0.0107072084558364</v>
      </c>
      <c r="Q24">
        <f>'分42行业工业增加值（2012年美元）'!S24/'分42行业工业增加值（2012年美元）'!R24-1</f>
        <v>0.00986099632643134</v>
      </c>
      <c r="R24">
        <f>'分42行业工业增加值（2012年美元）'!T24/'分42行业工业增加值（2012年美元）'!S24-1</f>
        <v>0.00910040972703818</v>
      </c>
      <c r="S24">
        <f>'分42行业工业增加值（2012年美元）'!U24/'分42行业工业增加值（2012年美元）'!T24-1</f>
        <v>0.00841527622450267</v>
      </c>
      <c r="T24">
        <f>'分42行业工业增加值（2012年美元）'!V24/'分42行业工业增加值（2012年美元）'!U24-1</f>
        <v>0.00779674614275483</v>
      </c>
      <c r="U24">
        <f>'分42行业工业增加值（2012年美元）'!W24/'分42行业工业增加值（2012年美元）'!V24-1</f>
        <v>0.00723711674505245</v>
      </c>
      <c r="V24">
        <f>'分42行业工业增加值（2012年美元）'!X24/'分42行业工业增加值（2012年美元）'!W24-1</f>
        <v>0.00672967811633463</v>
      </c>
      <c r="W24">
        <f>'分42行业工业增加值（2012年美元）'!Y24/'分42行业工业增加值（2012年美元）'!X24-1</f>
        <v>0.00626857889368249</v>
      </c>
      <c r="X24">
        <f>'分42行业工业增加值（2012年美元）'!Z24/'分42行业工业增加值（2012年美元）'!Y24-1</f>
        <v>0.00584870981525221</v>
      </c>
      <c r="Y24">
        <f>'分42行业工业增加值（2012年美元）'!AA24/'分42行业工业增加值（2012年美元）'!Z24-1</f>
        <v>0.00546560305406607</v>
      </c>
      <c r="Z24">
        <f>'分42行业工业增加值（2012年美元）'!AB24/'分42行业工业增加值（2012年美元）'!AA24-1</f>
        <v>0.00511534539778258</v>
      </c>
      <c r="AA24">
        <f>'分42行业工业增加值（2012年美元）'!AC24/'分42行业工业增加值（2012年美元）'!AB24-1</f>
        <v>0.00479450348636057</v>
      </c>
      <c r="AB24">
        <f>'分42行业工业增加值（2012年美元）'!AD24/'分42行业工业增加值（2012年美元）'!AC24-1</f>
        <v>0.00450005949349497</v>
      </c>
      <c r="AC24">
        <f>'分42行业工业增加值（2012年美元）'!AE24/'分42行业工业增加值（2012年美元）'!AD24-1</f>
        <v>0.00422935581817252</v>
      </c>
      <c r="AD24">
        <f>'分42行业工业增加值（2012年美元）'!AF24/'分42行业工业增加值（2012年美元）'!AE24-1</f>
        <v>0.00398004752693137</v>
      </c>
      <c r="AE24">
        <f>'分42行业工业增加值（2012年美元）'!AG24/'分42行业工业增加值（2012年美元）'!AF24-1</f>
        <v>0.0037500614499093</v>
      </c>
      <c r="AF24">
        <f>'分42行业工业增加值（2012年美元）'!AH24/'分42行业工业增加值（2012年美元）'!AG24-1</f>
        <v>0.00353756098123625</v>
      </c>
      <c r="AG24">
        <f>'分42行业工业增加值（2012年美元）'!AI24/'分42行业工业增加值（2012年美元）'!AH24-1</f>
        <v>0.00334091576564144</v>
      </c>
      <c r="AH24">
        <f>'分42行业工业增加值（2012年美元）'!AJ24/'分42行业工业增加值（2012年美元）'!AI24-1</f>
        <v>0.00315867556898142</v>
      </c>
      <c r="AI24">
        <f>'分42行业工业增加值（2012年美元）'!AK24/'分42行业工业增加值（2012年美元）'!AJ24-1</f>
        <v>0.00298954773102111</v>
      </c>
      <c r="AJ24">
        <f>'分42行业工业增加值（2012年美元）'!AL24/'分42行业工业增加值（2012年美元）'!AK24-1</f>
        <v>0.0028323776860566</v>
      </c>
      <c r="AK24">
        <f>'分42行业工业增加值（2012年美元）'!AM24/'分42行业工业增加值（2012年美元）'!AL24-1</f>
        <v>0.00268613211220803</v>
      </c>
      <c r="AL24">
        <f>'分42行业工业增加值（2012年美元）'!AN24/'分42行业工业增加值（2012年美元）'!AM24-1</f>
        <v>0.00254988433430259</v>
      </c>
      <c r="AM24">
        <f>'分42行业工业增加值（2012年美元）'!AO24/'分42行业工业增加值（2012年美元）'!AN24-1</f>
        <v>0.00242280166066311</v>
      </c>
      <c r="AN24">
        <f>'分42行业工业增加值（2012年美元）'!AP24/'分42行业工业增加值（2012年美元）'!AO24-1</f>
        <v>0.00230413438080745</v>
      </c>
      <c r="AO24">
        <f>'分42行业工业增加值（2012年美元）'!AQ24/'分42行业工业增加值（2012年美元）'!AP24-1</f>
        <v>0.00219320619114693</v>
      </c>
      <c r="AP24">
        <f>'分42行业工业增加值（2012年美元）'!AR24/'分42行业工业增加值（2012年美元）'!AQ24-1</f>
        <v>0.00208940585004513</v>
      </c>
    </row>
    <row r="25" spans="1:42">
      <c r="A25" s="2" t="s">
        <v>124</v>
      </c>
      <c r="B25">
        <f>'分42行业工业增加值（2012年美元）'!D25/'分42行业工业增加值（2012年美元）'!C25-1</f>
        <v>0.0533851302677504</v>
      </c>
      <c r="C25">
        <f>'分42行业工业增加值（2012年美元）'!E25/'分42行业工业增加值（2012年美元）'!D25-1</f>
        <v>0.0513503873805123</v>
      </c>
      <c r="D25">
        <f>'分42行业工业增加值（2012年美元）'!F25/'分42行业工业增加值（2012年美元）'!E25-1</f>
        <v>0.0197946508779483</v>
      </c>
      <c r="E25">
        <f>'分42行业工业增加值（2012年美元）'!G25/'分42行业工业增加值（2012年美元）'!F25-1</f>
        <v>0.0174233654038718</v>
      </c>
      <c r="F25">
        <f>'分42行业工业增加值（2012年美元）'!H25/'分42行业工业增加值（2012年美元）'!G25-1</f>
        <v>0.0153214140581224</v>
      </c>
      <c r="G25">
        <f>'分42行业工业增加值（2012年美元）'!I25/'分42行业工业增加值（2012年美元）'!H25-1</f>
        <v>0.0134651800525223</v>
      </c>
      <c r="H25">
        <f>'分42行业工业增加值（2012年美元）'!J25/'分42行业工业增加值（2012年美元）'!I25-1</f>
        <v>0.0118303213920061</v>
      </c>
      <c r="I25">
        <f>'分42行业工业增加值（2012年美元）'!K25/'分42行业工业增加值（2012年美元）'!J25-1</f>
        <v>0.0103930253434525</v>
      </c>
      <c r="J25">
        <f>'分42行业工业增加值（2012年美元）'!L25/'分42行业工业增加值（2012年美元）'!K25-1</f>
        <v>0.0091307876315605</v>
      </c>
      <c r="K25">
        <f>'分42行业工业增加值（2012年美元）'!M25/'分42行业工业增加值（2012年美元）'!L25-1</f>
        <v>0.00802284626420025</v>
      </c>
      <c r="L25">
        <f>'分42行业工业增加值（2012年美元）'!N25/'分42行业工业增加值（2012年美元）'!M25-1</f>
        <v>0.00705037559049693</v>
      </c>
      <c r="M25">
        <f>'分42行业工业增加值（2012年美元）'!O25/'分42行业工业增加值（2012年美元）'!N25-1</f>
        <v>0.00619652135913662</v>
      </c>
      <c r="N25">
        <f>'分42行业工业增加值（2012年美元）'!P25/'分42行业工业增加值（2012年美元）'!O25-1</f>
        <v>0.00544633587018506</v>
      </c>
      <c r="O25">
        <f>'分42行业工业增加值（2012年美元）'!Q25/'分42行业工业增加值（2012年美元）'!P25-1</f>
        <v>0.00478665491603381</v>
      </c>
      <c r="P25">
        <f>'分42行业工业增加值（2012年美元）'!R25/'分42行业工业增加值（2012年美元）'!Q25-1</f>
        <v>0.00420594497031423</v>
      </c>
      <c r="Q25">
        <f>'分42行业工业增加值（2012年美元）'!S25/'分42行业工业增加值（2012年美元）'!R25-1</f>
        <v>0.00369413938706531</v>
      </c>
      <c r="R25">
        <f>'分42行业工业增加值（2012年美元）'!T25/'分42行业工业增加值（2012年美元）'!S25-1</f>
        <v>0.00324247547858469</v>
      </c>
      <c r="S25">
        <f>'分42行业工业增加值（2012年美元）'!U25/'分42行业工业增加值（2012年美元）'!T25-1</f>
        <v>0.00284333956487637</v>
      </c>
      <c r="T25">
        <f>'分42行业工业增加值（2012年美元）'!V25/'分42行业工业增加值（2012年美元）'!U25-1</f>
        <v>0.00249012386165726</v>
      </c>
      <c r="U25">
        <f>'分42行业工业增加值（2012年美元）'!W25/'分42行业工业增加值（2012年美元）'!V25-1</f>
        <v>0.00217709695317381</v>
      </c>
      <c r="V25">
        <f>'分42行业工业增加值（2012年美元）'!X25/'分42行业工业增加值（2012年美元）'!W25-1</f>
        <v>0.00189928824789298</v>
      </c>
      <c r="W25">
        <f>'分42行业工业增加值（2012年美元）'!Y25/'分42行业工业增加值（2012年美元）'!X25-1</f>
        <v>0.00165238599449746</v>
      </c>
      <c r="X25">
        <f>'分42行业工业增加值（2012年美元）'!Z25/'分42行业工业增加值（2012年美元）'!Y25-1</f>
        <v>0.00143264797152143</v>
      </c>
      <c r="Y25">
        <f>'分42行业工业增加值（2012年美元）'!AA25/'分42行业工业增加值（2012年美元）'!Z25-1</f>
        <v>0.00123682373190293</v>
      </c>
      <c r="Z25">
        <f>'分42行业工业增加值（2012年美元）'!AB25/'分42行业工业增加值（2012年美元）'!AA25-1</f>
        <v>0.00106208720125567</v>
      </c>
      <c r="AA25">
        <f>'分42行业工业增加值（2012年美元）'!AC25/'分42行业工业增加值（2012年美元）'!AB25-1</f>
        <v>0.000905978438082267</v>
      </c>
      <c r="AB25">
        <f>'分42行业工业增加值（2012年美元）'!AD25/'分42行业工业增加值（2012年美元）'!AC25-1</f>
        <v>0.000766353426355559</v>
      </c>
      <c r="AC25">
        <f>'分42行业工业增加值（2012年美元）'!AE25/'分42行业工业增加值（2012年美元）'!AD25-1</f>
        <v>0.000641340862274964</v>
      </c>
      <c r="AD25">
        <f>'分42行业工业增加值（2012年美元）'!AF25/'分42行业工业增加值（2012年美元）'!AE25-1</f>
        <v>0.000529304999739022</v>
      </c>
      <c r="AE25">
        <f>'分42行业工业增加值（2012年美元）'!AG25/'分42行业工业增加值（2012年美元）'!AF25-1</f>
        <v>0.000428813723851285</v>
      </c>
      <c r="AF25">
        <f>'分42行业工业增加值（2012年美元）'!AH25/'分42行业工业增加值（2012年美元）'!AG25-1</f>
        <v>0.000338611123574362</v>
      </c>
      <c r="AG25">
        <f>'分42行业工业增加值（2012年美元）'!AI25/'分42行业工业增加值（2012年美元）'!AH25-1</f>
        <v>0.000257593927575739</v>
      </c>
      <c r="AH25">
        <f>'分42行业工业增加值（2012年美元）'!AJ25/'分42行业工业增加值（2012年美元）'!AI25-1</f>
        <v>0.00018479125299109</v>
      </c>
      <c r="AI25">
        <f>'分42行业工业增加值（2012年美元）'!AK25/'分42行业工业增加值（2012年美元）'!AJ25-1</f>
        <v>0.000119347192475638</v>
      </c>
      <c r="AJ25">
        <f>'分42行业工业增加值（2012年美元）'!AL25/'分42行业工业增加值（2012年美元）'!AK25-1</f>
        <v>6.05058313278839e-5</v>
      </c>
      <c r="AK25">
        <f>'分42行业工业增加值（2012年美元）'!AM25/'分42行业工业增加值（2012年美元）'!AL25-1</f>
        <v>7.5983451692796e-6</v>
      </c>
      <c r="AL25">
        <f>'分42行业工业增加值（2012年美元）'!AN25/'分42行业工业增加值（2012年美元）'!AM25-1</f>
        <v>-3.99681213779646e-5</v>
      </c>
      <c r="AM25">
        <f>'分42行业工业增加值（2012年美元）'!AO25/'分42行业工业增加值（2012年美元）'!AN25-1</f>
        <v>-8.27200508041193e-5</v>
      </c>
      <c r="AN25">
        <f>'分42行业工业增加值（2012年美元）'!AP25/'分42行业工业增加值（2012年美元）'!AO25-1</f>
        <v>-0.000121125842112768</v>
      </c>
      <c r="AO25">
        <f>'分42行业工业增加值（2012年美元）'!AQ25/'分42行业工业增加值（2012年美元）'!AP25-1</f>
        <v>-0.000155602980222769</v>
      </c>
      <c r="AP25">
        <f>'分42行业工业增加值（2012年美元）'!AR25/'分42行业工业增加值（2012年美元）'!AQ25-1</f>
        <v>-0.000186524244513819</v>
      </c>
    </row>
    <row r="26" spans="1:42">
      <c r="A26" s="2" t="s">
        <v>125</v>
      </c>
      <c r="B26">
        <f>'分42行业工业增加值（2012年美元）'!D26/'分42行业工业增加值（2012年美元）'!C26-1</f>
        <v>0.017693794611767</v>
      </c>
      <c r="C26">
        <f>'分42行业工业增加值（2012年美元）'!E26/'分42行业工业增加值（2012年美元）'!D26-1</f>
        <v>0.141139508291378</v>
      </c>
      <c r="D26">
        <f>'分42行业工业增加值（2012年美元）'!F26/'分42行业工业增加值（2012年美元）'!E26-1</f>
        <v>0.0453490536299659</v>
      </c>
      <c r="E26">
        <f>'分42行业工业增加值（2012年美元）'!G26/'分42行业工业增加值（2012年美元）'!F26-1</f>
        <v>0.0407707989184827</v>
      </c>
      <c r="F26">
        <f>'分42行业工业增加值（2012年美元）'!H26/'分42行业工业增加值（2012年美元）'!G26-1</f>
        <v>0.0367435535853065</v>
      </c>
      <c r="G26">
        <f>'分42行业工业增加值（2012年美元）'!I26/'分42行业工业增加值（2012年美元）'!H26-1</f>
        <v>0.0331970237794139</v>
      </c>
      <c r="H26">
        <f>'分42行业工业增加值（2012年美元）'!J26/'分42行业工业增加值（2012年美元）'!I26-1</f>
        <v>0.0300695241632647</v>
      </c>
      <c r="I26">
        <f>'分42行业工业增加值（2012年美元）'!K26/'分42行业工业增加值（2012年美元）'!J26-1</f>
        <v>0.0273070779952171</v>
      </c>
      <c r="J26">
        <f>'分42行业工业增加值（2012年美元）'!L26/'分42行业工业增加值（2012年美元）'!K26-1</f>
        <v>0.0248626007356383</v>
      </c>
      <c r="K26">
        <f>'分42行业工业增加值（2012年美元）'!M26/'分42行业工业增加值（2012年美元）'!L26-1</f>
        <v>0.0226951367711614</v>
      </c>
      <c r="L26">
        <f>'分42行业工业增加值（2012年美元）'!N26/'分42行业工业增加值（2012年美元）'!M26-1</f>
        <v>0.0207691449345702</v>
      </c>
      <c r="M26">
        <f>'分42行业工业增加值（2012年美元）'!O26/'分42行业工业增加值（2012年美元）'!N26-1</f>
        <v>0.0190538368175579</v>
      </c>
      <c r="N26">
        <f>'分42行业工业增加值（2012年美元）'!P26/'分42行业工业增加值（2012年美元）'!O26-1</f>
        <v>0.0175225724886225</v>
      </c>
      <c r="O26">
        <f>'分42行业工业增加值（2012年美元）'!Q26/'分42行业工业增加值（2012年美元）'!P26-1</f>
        <v>0.0161523161066652</v>
      </c>
      <c r="P26">
        <f>'分42行业工业增加值（2012年美元）'!R26/'分42行业工业增加值（2012年美元）'!Q26-1</f>
        <v>0.0149231513253205</v>
      </c>
      <c r="Q26">
        <f>'分42行业工业增加值（2012年美元）'!S26/'分42行业工业增加值（2012年美元）'!R26-1</f>
        <v>0.0138178542073322</v>
      </c>
      <c r="R26">
        <f>'分42行业工业增加值（2012年美元）'!T26/'分42行业工业增加值（2012年美元）'!S26-1</f>
        <v>0.0128215198606305</v>
      </c>
      <c r="S26">
        <f>'分42行业工业增加值（2012年美元）'!U26/'分42行业工业增加值（2012年美元）'!T26-1</f>
        <v>0.0119212381296088</v>
      </c>
      <c r="T26">
        <f>'分42行业工业增加值（2012年美元）'!V26/'分42行业工业增加值（2012年美元）'!U26-1</f>
        <v>0.0111058133037607</v>
      </c>
      <c r="U26">
        <f>'分42行业工业增加值（2012年美元）'!W26/'分42行业工业增加值（2012年美元）'!V26-1</f>
        <v>0.0103655227911195</v>
      </c>
      <c r="V26">
        <f>'分42行业工业增加值（2012年美元）'!X26/'分42行业工业增加值（2012年美元）'!W26-1</f>
        <v>0.00969190992471924</v>
      </c>
      <c r="W26">
        <f>'分42行业工业增加值（2012年美元）'!Y26/'分42行业工业增加值（2012年美元）'!X26-1</f>
        <v>0.00907760642969779</v>
      </c>
      <c r="X26">
        <f>'分42行业工业增加值（2012年美元）'!Z26/'分42行业工业增加值（2012年美元）'!Y26-1</f>
        <v>0.00851618050524139</v>
      </c>
      <c r="Y26">
        <f>'分42行业工业增加值（2012年美元）'!AA26/'分42行业工业增加值（2012年美元）'!Z26-1</f>
        <v>0.00800200692335995</v>
      </c>
      <c r="Z26">
        <f>'分42行业工业增加值（2012年美元）'!AB26/'分42行业工业增加值（2012年美元）'!AA26-1</f>
        <v>0.0075301559863008</v>
      </c>
      <c r="AA26">
        <f>'分42行业工业增加值（2012年美元）'!AC26/'分42行业工业增加值（2012年美元）'!AB26-1</f>
        <v>0.0070962985950751</v>
      </c>
      <c r="AB26">
        <f>'分42行业工业增加值（2012年美元）'!AD26/'分42行业工业增加值（2012年美元）'!AC26-1</f>
        <v>0.00669662505862423</v>
      </c>
      <c r="AC26">
        <f>'分42行业工业增加值（2012年美元）'!AE26/'分42行业工业增加值（2012年美元）'!AD26-1</f>
        <v>0.00632777560686426</v>
      </c>
      <c r="AD26">
        <f>'分42行业工业增加值（2012年美元）'!AF26/'分42行业工业增加值（2012年美元）'!AE26-1</f>
        <v>0.00598678086802229</v>
      </c>
      <c r="AE26">
        <f>'分42行业工业增加值（2012年美元）'!AG26/'分42行业工业增加值（2012年美元）'!AF26-1</f>
        <v>0.00567101082590948</v>
      </c>
      <c r="AF26">
        <f>'分42行业工业增加值（2012年美元）'!AH26/'分42行业工业增加值（2012年美元）'!AG26-1</f>
        <v>0.00537813099577478</v>
      </c>
      <c r="AG26">
        <f>'分42行业工业增加值（2012年美元）'!AI26/'分42行业工业增加值（2012年美元）'!AH26-1</f>
        <v>0.00510606474725184</v>
      </c>
      <c r="AH26">
        <f>'分42行业工业增加值（2012年美元）'!AJ26/'分42行业工业增加值（2012年美元）'!AI26-1</f>
        <v>0.00485296086489906</v>
      </c>
      <c r="AI26">
        <f>'分42行业工业增加值（2012年美元）'!AK26/'分42行业工业增加值（2012年美元）'!AJ26-1</f>
        <v>0.00461716557608205</v>
      </c>
      <c r="AJ26">
        <f>'分42行业工业增加值（2012年美元）'!AL26/'分42行业工业增加值（2012年美元）'!AK26-1</f>
        <v>0.00439719839186514</v>
      </c>
      <c r="AK26">
        <f>'分42行业工业增加值（2012年美元）'!AM26/'分42行业工业增加值（2012年美元）'!AL26-1</f>
        <v>0.00419173120701166</v>
      </c>
      <c r="AL26">
        <f>'分42行业工业增加值（2012年美元）'!AN26/'分42行业工业增加值（2012年美元）'!AM26-1</f>
        <v>0.00399957018865238</v>
      </c>
      <c r="AM26">
        <f>'分42行业工业增加值（2012年美元）'!AO26/'分42行业工业增加值（2012年美元）'!AN26-1</f>
        <v>0.00381964005410063</v>
      </c>
      <c r="AN26">
        <f>'分42行业工业增加值（2012年美元）'!AP26/'分42行业工业增加值（2012年美元）'!AO26-1</f>
        <v>0.00365097039882123</v>
      </c>
      <c r="AO26">
        <f>'分42行业工业增加值（2012年美元）'!AQ26/'分42行业工业增加值（2012年美元）'!AP26-1</f>
        <v>0.00349268378585865</v>
      </c>
      <c r="AP26">
        <f>'分42行业工业增加值（2012年美元）'!AR26/'分42行业工业增加值（2012年美元）'!AQ26-1</f>
        <v>0.00334398535088098</v>
      </c>
    </row>
    <row r="27" spans="1:42">
      <c r="A27" s="2" t="s">
        <v>126</v>
      </c>
      <c r="B27">
        <f>'分42行业工业增加值（2012年美元）'!D27/'分42行业工业增加值（2012年美元）'!C27-1</f>
        <v>-0.0352586062777757</v>
      </c>
      <c r="C27">
        <f>'分42行业工业增加值（2012年美元）'!E27/'分42行业工业增加值（2012年美元）'!D27-1</f>
        <v>0.241220249106735</v>
      </c>
      <c r="D27">
        <f>'分42行业工业增加值（2012年美元）'!F27/'分42行业工业增加值（2012年美元）'!E27-1</f>
        <v>0.0790797340329152</v>
      </c>
      <c r="E27">
        <f>'分42行业工业增加值（2012年美元）'!G27/'分42行业工业增加值（2012年美元）'!F27-1</f>
        <v>0.0698952472116738</v>
      </c>
      <c r="F27">
        <f>'分42行业工业增加值（2012年美元）'!H27/'分42行业工业增加值（2012年美元）'!G27-1</f>
        <v>0.0621557294592301</v>
      </c>
      <c r="G27">
        <f>'分42行业工业增加值（2012年美元）'!I27/'分42行业工业增加值（2012年美元）'!H27-1</f>
        <v>0.0555719713229841</v>
      </c>
      <c r="H27">
        <f>'分42行业工业增加值（2012年美元）'!J27/'分42行业工业增加值（2012年美元）'!I27-1</f>
        <v>0.0499268696701005</v>
      </c>
      <c r="I27">
        <f>'分42行业工业增加值（2012年美元）'!K27/'分42行业工业增加值（2012年美元）'!J27-1</f>
        <v>0.0450535348837169</v>
      </c>
      <c r="J27">
        <f>'分42行业工业增加值（2012年美元）'!L27/'分42行业工业增加值（2012年美元）'!K27-1</f>
        <v>0.0408211922929218</v>
      </c>
      <c r="K27">
        <f>'分42行业工业增加值（2012年美元）'!M27/'分42行业工业增加值（2012年美元）'!L27-1</f>
        <v>0.0371257580308011</v>
      </c>
      <c r="L27">
        <f>'分42行业工业增加值（2012年美元）'!N27/'分42行业工业增加值（2012年美元）'!M27-1</f>
        <v>0.0338833273476775</v>
      </c>
      <c r="M27">
        <f>'分42行业工业增加值（2012年美元）'!O27/'分42行业工业增加值（2012年美元）'!N27-1</f>
        <v>0.0310255424459882</v>
      </c>
      <c r="N27">
        <f>'分42行业工业增加值（2012年美元）'!P27/'分42行业工业增加值（2012年美元）'!O27-1</f>
        <v>0.0284962130459752</v>
      </c>
      <c r="O27">
        <f>'分42行业工业增加值（2012年美元）'!Q27/'分42行业工业增加值（2012年美元）'!P27-1</f>
        <v>0.02624879684981</v>
      </c>
      <c r="P27">
        <f>'分42行业工业增加值（2012年美元）'!R27/'分42行业工业增加值（2012年美元）'!Q27-1</f>
        <v>0.0242444861018853</v>
      </c>
      <c r="Q27">
        <f>'分42行业工业增加值（2012年美元）'!S27/'分42行业工业增加值（2012年美元）'!R27-1</f>
        <v>0.0224507315274582</v>
      </c>
      <c r="R27">
        <f>'分42行业工业增加值（2012年美元）'!T27/'分42行业工业增加值（2012年美元）'!S27-1</f>
        <v>0.0208400884834912</v>
      </c>
      <c r="S27">
        <f>'分42行业工业增加值（2012年美元）'!U27/'分42行业工业增加值（2012年美元）'!T27-1</f>
        <v>0.0193893047773503</v>
      </c>
      <c r="T27">
        <f>'分42行业工业增加值（2012年美元）'!V27/'分42行业工业增加值（2012年美元）'!U27-1</f>
        <v>0.0180785925716229</v>
      </c>
      <c r="U27">
        <f>'分42行业工业增加值（2012年美元）'!W27/'分42行业工业增加值（2012年美元）'!V27-1</f>
        <v>0.0168910423908635</v>
      </c>
      <c r="V27">
        <f>'分42行业工业增加值（2012年美元）'!X27/'分42行业工业增加值（2012年美元）'!W27-1</f>
        <v>0.0158121480846514</v>
      </c>
      <c r="W27">
        <f>'分42行业工业增加值（2012年美元）'!Y27/'分42行业工业增加值（2012年美元）'!X27-1</f>
        <v>0.0148294192865375</v>
      </c>
      <c r="X27">
        <f>'分42行业工业增加值（2012年美元）'!Z27/'分42行业工业增加值（2012年美元）'!Y27-1</f>
        <v>0.0139320634609972</v>
      </c>
      <c r="Y27">
        <f>'分42行业工业增加值（2012年美元）'!AA27/'分42行业工业增加值（2012年美元）'!Z27-1</f>
        <v>0.013110723710684</v>
      </c>
      <c r="Z27">
        <f>'分42行业工业增加值（2012年美元）'!AB27/'分42行业工业增加值（2012年美元）'!AA27-1</f>
        <v>0.0123572615599847</v>
      </c>
      <c r="AA27">
        <f>'分42行业工业增加值（2012年美元）'!AC27/'分42行业工业增加值（2012年美元）'!AB27-1</f>
        <v>0.0116645762284127</v>
      </c>
      <c r="AB27">
        <f>'分42行业工业增加值（2012年美元）'!AD27/'分42行业工业增加值（2012年美元）'!AC27-1</f>
        <v>0.0110264536656557</v>
      </c>
      <c r="AC27">
        <f>'分42行业工业增加值（2012年美元）'!AE27/'分42行业工业增加值（2012年美元）'!AD27-1</f>
        <v>0.0104374399778495</v>
      </c>
      <c r="AD27">
        <f>'分42行业工业增加值（2012年美元）'!AF27/'分42行业工业增加值（2012年美元）'!AE27-1</f>
        <v>0.00989273493013698</v>
      </c>
      <c r="AE27">
        <f>'分42行业工业增加值（2012年美元）'!AG27/'分42行业工业增加值（2012年美元）'!AF27-1</f>
        <v>0.00938810204245022</v>
      </c>
      <c r="AF27">
        <f>'分42行业工业增加值（2012年美元）'!AH27/'分42行业工业增加值（2012年美元）'!AG27-1</f>
        <v>0.00891979245162244</v>
      </c>
      <c r="AG27">
        <f>'分42行业工业增加值（2012年美元）'!AI27/'分42行业工业增加值（2012年美元）'!AH27-1</f>
        <v>0.00848448023439952</v>
      </c>
      <c r="AH27">
        <f>'分42行业工业增加值（2012年美元）'!AJ27/'分42行业工业增加值（2012年美元）'!AI27-1</f>
        <v>0.00807920730517919</v>
      </c>
      <c r="AI27">
        <f>'分42行业工业增加值（2012年美元）'!AK27/'分42行业工业增加值（2012年美元）'!AJ27-1</f>
        <v>0.0077013363379137</v>
      </c>
      <c r="AJ27">
        <f>'分42行业工业增加值（2012年美元）'!AL27/'分42行业工业增加值（2012年美元）'!AK27-1</f>
        <v>0.00734851043314566</v>
      </c>
      <c r="AK27">
        <f>'分42行业工业增加值（2012年美元）'!AM27/'分42行业工业增加值（2012年美元）'!AL27-1</f>
        <v>0.00701861847158991</v>
      </c>
      <c r="AL27">
        <f>'分42行业工业增加值（2012年美元）'!AN27/'分42行业工业增加值（2012年美元）'!AM27-1</f>
        <v>0.00670976527599199</v>
      </c>
      <c r="AM27">
        <f>'分42行业工业增加值（2012年美元）'!AO27/'分42行业工业增加值（2012年美元）'!AN27-1</f>
        <v>0.00642024584866574</v>
      </c>
      <c r="AN27">
        <f>'分42行业工业增加值（2012年美元）'!AP27/'分42行业工业增加值（2012年美元）'!AO27-1</f>
        <v>0.00614852307347302</v>
      </c>
      <c r="AO27">
        <f>'分42行业工业增加值（2012年美元）'!AQ27/'分42行业工业增加值（2012年美元）'!AP27-1</f>
        <v>0.00589320837021856</v>
      </c>
      <c r="AP27">
        <f>'分42行业工业增加值（2012年美元）'!AR27/'分42行业工业增加值（2012年美元）'!AQ27-1</f>
        <v>0.00565304487093932</v>
      </c>
    </row>
    <row r="28" spans="1:42">
      <c r="A28" s="2" t="s">
        <v>127</v>
      </c>
      <c r="B28">
        <f>'分42行业工业增加值（2012年美元）'!D28/'分42行业工业增加值（2012年美元）'!C28-1</f>
        <v>0.142754360645146</v>
      </c>
      <c r="C28">
        <f>'分42行业工业增加值（2012年美元）'!E28/'分42行业工业增加值（2012年美元）'!D28-1</f>
        <v>0.0419348495626486</v>
      </c>
      <c r="D28">
        <f>'分42行业工业增加值（2012年美元）'!F28/'分42行业工业增加值（2012年美元）'!E28-1</f>
        <v>0.0484677324902034</v>
      </c>
      <c r="E28">
        <f>'分42行业工业增加值（2012年美元）'!G28/'分42行业工业增加值（2012年美元）'!F28-1</f>
        <v>0.0435422149763676</v>
      </c>
      <c r="F28">
        <f>'分42行业工业增加值（2012年美元）'!H28/'分42行业工业增加值（2012年美元）'!G28-1</f>
        <v>0.0392227852488554</v>
      </c>
      <c r="G28">
        <f>'分42行业工业增加值（2012年美元）'!I28/'分42行业工业增加值（2012年美元）'!H28-1</f>
        <v>0.0354281123902167</v>
      </c>
      <c r="H28">
        <f>'分42行业工业增加值（2012年美元）'!J28/'分42行业工业增加值（2012年美元）'!I28-1</f>
        <v>0.0320880944841149</v>
      </c>
      <c r="I28">
        <f>'分42行业工业增加值（2012年美元）'!K28/'分42行业工业增加值（2012年美元）'!J28-1</f>
        <v>0.029142249391426</v>
      </c>
      <c r="J28">
        <f>'分42行业工业增加值（2012年美元）'!L28/'分42行业工业增加值（2012年美元）'!K28-1</f>
        <v>0.0265384025783031</v>
      </c>
      <c r="K28">
        <f>'分42行业工业增加值（2012年美元）'!M28/'分42行业工业增加值（2012年美元）'!L28-1</f>
        <v>0.0242315712978889</v>
      </c>
      <c r="L28">
        <f>'分42行业工业增加值（2012年美元）'!N28/'分42行业工业增加值（2012年美元）'!M28-1</f>
        <v>0.0221829955061346</v>
      </c>
      <c r="M28">
        <f>'分42行业工业增加值（2012年美元）'!O28/'分42行业工业增加值（2012年美元）'!N28-1</f>
        <v>0.0203592896979634</v>
      </c>
      <c r="N28">
        <f>'分42行业工业增加值（2012年美元）'!P28/'分42行业工业增加值（2012年美元）'!O28-1</f>
        <v>0.0187317002812855</v>
      </c>
      <c r="O28">
        <f>'分42行业工业增加值（2012年美元）'!Q28/'分42行业工业增加值（2012年美元）'!P28-1</f>
        <v>0.0172754573381808</v>
      </c>
      <c r="P28">
        <f>'分42行业工业增加值（2012年美元）'!R28/'分42行业工业增加值（2012年美元）'!Q28-1</f>
        <v>0.0159692112147412</v>
      </c>
      <c r="Q28">
        <f>'分42行业工业增加值（2012年美元）'!S28/'分42行业工业增加值（2012年美元）'!R28-1</f>
        <v>0.0147945450159257</v>
      </c>
      <c r="R28">
        <f>'分42行业工业增加值（2012年美元）'!T28/'分42行业工业增加值（2012年美元）'!S28-1</f>
        <v>0.0137355544852968</v>
      </c>
      <c r="S28">
        <f>'分42行业工业增加值（2012年美元）'!U28/'分42行业工业增加值（2012年美元）'!T28-1</f>
        <v>0.0127784871949779</v>
      </c>
      <c r="T28">
        <f>'分42行业工业增加值（2012年美元）'!V28/'分42行业工业增加值（2012年美元）'!U28-1</f>
        <v>0.011911433522974</v>
      </c>
      <c r="U28">
        <f>'分42行业工业增加值（2012年美元）'!W28/'分42行业工业增加值（2012年美元）'!V28-1</f>
        <v>0.0111240625357765</v>
      </c>
      <c r="V28">
        <f>'分42行业工业增加值（2012年美元）'!X28/'分42行业工业增加值（2012年美元）'!W28-1</f>
        <v>0.0104073965849514</v>
      </c>
      <c r="W28">
        <f>'分42行业工业增加值（2012年美元）'!Y28/'分42行业工业增加值（2012年美元）'!X28-1</f>
        <v>0.00975361912412986</v>
      </c>
      <c r="X28">
        <f>'分42行业工业增加值（2012年美元）'!Z28/'分42行业工业增加值（2012年美元）'!Y28-1</f>
        <v>0.00915591092820445</v>
      </c>
      <c r="Y28">
        <f>'分42行业工业增加值（2012年美元）'!AA28/'分42行业工业增加值（2012年美元）'!Z28-1</f>
        <v>0.00860831052801725</v>
      </c>
      <c r="Z28">
        <f>'分42行业工业增加值（2012年美元）'!AB28/'分42行业工业增加值（2012年美元）'!AA28-1</f>
        <v>0.00810559524846344</v>
      </c>
      <c r="AA28">
        <f>'分42行业工业增加值（2012年美元）'!AC28/'分42行业工业增加值（2012年美元）'!AB28-1</f>
        <v>0.00764317975246853</v>
      </c>
      <c r="AB28">
        <f>'分42行业工业增加值（2012年美元）'!AD28/'分42行业工业增加值（2012年美元）'!AC28-1</f>
        <v>0.00721702944595837</v>
      </c>
      <c r="AC28">
        <f>'分42行业工业增加值（2012年美元）'!AE28/'分42行业工业增加值（2012年美元）'!AD28-1</f>
        <v>0.00682358649326087</v>
      </c>
      <c r="AD28">
        <f>'分42行业工业增加值（2012年美元）'!AF28/'分42行业工业增加值（2012年美元）'!AE28-1</f>
        <v>0.00645970653283956</v>
      </c>
      <c r="AE28">
        <f>'分42行业工业增加值（2012年美元）'!AG28/'分42行业工业增加值（2012年美元）'!AF28-1</f>
        <v>0.00612260447509438</v>
      </c>
      <c r="AF28">
        <f>'分42行业工业增加值（2012年美元）'!AH28/'分42行业工业增加值（2012年美元）'!AG28-1</f>
        <v>0.00580980801286013</v>
      </c>
      <c r="AG28">
        <f>'分42行业工业增加值（2012年美元）'!AI28/'分42行业工业增加值（2012年美元）'!AH28-1</f>
        <v>0.00551911768644153</v>
      </c>
      <c r="AH28">
        <f>'分42行业工业增加值（2012年美元）'!AJ28/'分42行业工业增加值（2012年美元）'!AI28-1</f>
        <v>0.00524857252464517</v>
      </c>
      <c r="AI28">
        <f>'分42行业工业增加值（2012年美元）'!AK28/'分42行业工业增加值（2012年美元）'!AJ28-1</f>
        <v>0.00499642043387039</v>
      </c>
      <c r="AJ28">
        <f>'分42行业工业增加值（2012年美元）'!AL28/'分42行业工业增加值（2012年美元）'!AK28-1</f>
        <v>0.00476109263572333</v>
      </c>
      <c r="AK28">
        <f>'分42行业工业增加值（2012年美元）'!AM28/'分42行业工业增加值（2012年美元）'!AL28-1</f>
        <v>0.00454118156081029</v>
      </c>
      <c r="AL28">
        <f>'分42行业工业增加值（2012年美元）'!AN28/'分42行业工业增加值（2012年美元）'!AM28-1</f>
        <v>0.00433542169736456</v>
      </c>
      <c r="AM28">
        <f>'分42行业工业增加值（2012年美元）'!AO28/'分42行业工业增加值（2012年美元）'!AN28-1</f>
        <v>0.00414267296959614</v>
      </c>
      <c r="AN28">
        <f>'分42行业工业增加值（2012年美元）'!AP28/'分42行业工业增加值（2012年美元）'!AO28-1</f>
        <v>0.00396190628532134</v>
      </c>
      <c r="AO28">
        <f>'分42行业工业增加值（2012年美元）'!AQ28/'分42行业工业增加值（2012年美元）'!AP28-1</f>
        <v>0.00379219094642269</v>
      </c>
      <c r="AP28">
        <f>'分42行业工业增加值（2012年美元）'!AR28/'分42行业工业增加值（2012年美元）'!AQ28-1</f>
        <v>0.00363268366165226</v>
      </c>
    </row>
    <row r="29" spans="1:42">
      <c r="A29" s="2" t="s">
        <v>128</v>
      </c>
      <c r="B29">
        <f>'分42行业工业增加值（2012年美元）'!D29/'分42行业工业增加值（2012年美元）'!C29-1</f>
        <v>0.0277819010154126</v>
      </c>
      <c r="C29">
        <f>'分42行业工业增加值（2012年美元）'!E29/'分42行业工业增加值（2012年美元）'!D29-1</f>
        <v>0.0728566235849477</v>
      </c>
      <c r="D29">
        <f>'分42行业工业增加值（2012年美元）'!F29/'分42行业工业增加值（2012年美元）'!E29-1</f>
        <v>0.0506790998377089</v>
      </c>
      <c r="E29">
        <f>'分42行业工业增加值（2012年美元）'!G29/'分42行业工业增加值（2012年美元）'!F29-1</f>
        <v>0.04835472043177</v>
      </c>
      <c r="F29">
        <f>'分42行业工业增加值（2012年美元）'!H29/'分42行业工业增加值（2012年美元）'!G29-1</f>
        <v>0.0457966770826368</v>
      </c>
      <c r="G29">
        <f>'分42行业工业增加值（2012年美元）'!I29/'分42行业工业增加值（2012年美元）'!H29-1</f>
        <v>0.0440959164054124</v>
      </c>
      <c r="H29">
        <f>'分42行业工业增加值（2012年美元）'!J29/'分42行业工业增加值（2012年美元）'!I29-1</f>
        <v>0.04193708133411</v>
      </c>
      <c r="I29">
        <f>'分42行业工业增加值（2012年美元）'!K29/'分42行业工业增加值（2012年美元）'!J29-1</f>
        <v>0.0400855795691342</v>
      </c>
      <c r="J29">
        <f>'分42行业工业增加值（2012年美元）'!L29/'分42行业工业增加值（2012年美元）'!K29-1</f>
        <v>0.0384960506061607</v>
      </c>
      <c r="K29">
        <f>'分42行业工业增加值（2012年美元）'!M29/'分42行业工业增加值（2012年美元）'!L29-1</f>
        <v>0.0366810797775095</v>
      </c>
      <c r="L29">
        <f>'分42行业工业增加值（2012年美元）'!N29/'分42行业工业增加值（2012年美元）'!M29-1</f>
        <v>0.0353006149923127</v>
      </c>
      <c r="M29">
        <f>'分42行业工业增加值（2012年美元）'!O29/'分42行业工业增加值（2012年美元）'!N29-1</f>
        <v>0.0338335964728571</v>
      </c>
      <c r="N29">
        <f>'分42行业工业增加值（2012年美元）'!P29/'分42行业工业增加值（2012年美元）'!O29-1</f>
        <v>0.032289274485793</v>
      </c>
      <c r="O29">
        <f>'分42行业工业增加值（2012年美元）'!Q29/'分42行业工业增加值（2012年美元）'!P29-1</f>
        <v>0.0311388521454996</v>
      </c>
      <c r="P29">
        <f>'分42行业工业增加值（2012年美元）'!R29/'分42行业工业增加值（2012年美元）'!Q29-1</f>
        <v>0.0298607976204104</v>
      </c>
      <c r="Q29">
        <f>'分42行业工业增加值（2012年美元）'!S29/'分42行业工业增加值（2012年美元）'!R29-1</f>
        <v>0.0285745090632081</v>
      </c>
      <c r="R29">
        <f>'分42行业工业增加值（2012年美元）'!T29/'分42行业工业增加值（2012年美元）'!S29-1</f>
        <v>0.0275504188904225</v>
      </c>
      <c r="S29">
        <f>'分42行业工业增加值（2012年美元）'!U29/'分42行业工业增加值（2012年美元）'!T29-1</f>
        <v>0.026437963992584</v>
      </c>
      <c r="T29">
        <f>'分42行业工业增加值（2012年美元）'!V29/'分42行业工业增加值（2012年美元）'!U29-1</f>
        <v>0.0255434830766461</v>
      </c>
      <c r="U29">
        <f>'分42行业工业增加值（2012年美元）'!W29/'分42行业工业增加值（2012年美元）'!V29-1</f>
        <v>0.024520578434303</v>
      </c>
      <c r="V29">
        <f>'分42行业工业增加值（2012年美元）'!X29/'分42行业工业增加值（2012年美元）'!W29-1</f>
        <v>0.0235307932537185</v>
      </c>
      <c r="W29">
        <f>'分42行业工业增加值（2012年美元）'!Y29/'分42行业工业增加值（2012年美元）'!X29-1</f>
        <v>0.0227318738054476</v>
      </c>
      <c r="X29">
        <f>'分42行业工业增加值（2012年美元）'!Z29/'分42行业工业增加值（2012年美元）'!Y29-1</f>
        <v>0.021896211833023</v>
      </c>
      <c r="Y29">
        <f>'分42行业工业增加值（2012年美元）'!AA29/'分42行业工业增加值（2012年美元）'!Z29-1</f>
        <v>0.021107221704151</v>
      </c>
      <c r="Z29">
        <f>'分42行业工业增加值（2012年美元）'!AB29/'分42行业工业增加值（2012年美元）'!AA29-1</f>
        <v>0.0203215558092347</v>
      </c>
      <c r="AA29">
        <f>'分42行业工业增加值（2012年美元）'!AC29/'分42行业工业增加值（2012年美元）'!AB29-1</f>
        <v>0.0196491711527651</v>
      </c>
      <c r="AB29">
        <f>'分42行业工业增加值（2012年美元）'!AD29/'分42行业工业增加值（2012年美元）'!AC29-1</f>
        <v>0.0190315939891961</v>
      </c>
      <c r="AC29">
        <f>'分42行业工业增加值（2012年美元）'!AE29/'分42行业工业增加值（2012年美元）'!AD29-1</f>
        <v>0.018340597300911</v>
      </c>
      <c r="AD29">
        <f>'分42行业工业增加值（2012年美元）'!AF29/'分42行业工业增加值（2012年美元）'!AE29-1</f>
        <v>0.0177334979274761</v>
      </c>
      <c r="AE29">
        <f>'分42行业工业增加值（2012年美元）'!AG29/'分42行业工业增加值（2012年美元）'!AF29-1</f>
        <v>0.0172619717321689</v>
      </c>
      <c r="AF29">
        <f>'分42行业工业增加值（2012年美元）'!AH29/'分42行业工业增加值（2012年美元）'!AG29-1</f>
        <v>0.0167011077351584</v>
      </c>
      <c r="AG29">
        <f>'分42行业工业增加值（2012年美元）'!AI29/'分42行业工业增加值（2012年美元）'!AH29-1</f>
        <v>0.0162458348744166</v>
      </c>
      <c r="AH29">
        <f>'分42行业工业增加值（2012年美元）'!AJ29/'分42行业工业增加值（2012年美元）'!AI29-1</f>
        <v>0.0158123133813037</v>
      </c>
      <c r="AI29">
        <f>'分42行业工业增加值（2012年美元）'!AK29/'分42行业工业增加值（2012年美元）'!AJ29-1</f>
        <v>0.0153943675611079</v>
      </c>
      <c r="AJ29">
        <f>'分42行业工业增加值（2012年美元）'!AL29/'分42行业工业增加值（2012年美元）'!AK29-1</f>
        <v>0.0150598912341657</v>
      </c>
      <c r="AK29">
        <f>'分42行业工业增加值（2012年美元）'!AM29/'分42行业工业增加值（2012年美元）'!AL29-1</f>
        <v>0.0147605854990962</v>
      </c>
      <c r="AL29">
        <f>'分42行业工业增加值（2012年美元）'!AN29/'分42行业工业增加值（2012年美元）'!AM29-1</f>
        <v>0.0145177297381431</v>
      </c>
      <c r="AM29">
        <f>'分42行业工业增加值（2012年美元）'!AO29/'分42行业工业增加值（2012年美元）'!AN29-1</f>
        <v>0.014274501377235</v>
      </c>
      <c r="AN29">
        <f>'分42行业工业增加值（2012年美元）'!AP29/'分42行业工业增加值（2012年美元）'!AO29-1</f>
        <v>0.0141055196885096</v>
      </c>
      <c r="AO29">
        <f>'分42行业工业增加值（2012年美元）'!AQ29/'分42行业工业增加值（2012年美元）'!AP29-1</f>
        <v>0.0140011260349173</v>
      </c>
      <c r="AP29">
        <f>'分42行业工业增加值（2012年美元）'!AR29/'分42行业工业增加值（2012年美元）'!AQ29-1</f>
        <v>0.0138975450062542</v>
      </c>
    </row>
    <row r="30" spans="1:42">
      <c r="A30" s="2" t="s">
        <v>129</v>
      </c>
      <c r="B30">
        <f>'分42行业工业增加值（2012年美元）'!D30/'分42行业工业增加值（2012年美元）'!C30-1</f>
        <v>-0.00716365139008424</v>
      </c>
      <c r="C30">
        <f>'分42行业工业增加值（2012年美元）'!E30/'分42行业工业增加值（2012年美元）'!D30-1</f>
        <v>0.135280911374194</v>
      </c>
      <c r="D30">
        <f>'分42行业工业增加值（2012年美元）'!F30/'分42行业工业增加值（2012年美元）'!E30-1</f>
        <v>0.0543944392928588</v>
      </c>
      <c r="E30">
        <f>'分42行业工业增加值（2012年美元）'!G30/'分42行业工业增加值（2012年美元）'!F30-1</f>
        <v>0.0517122820863476</v>
      </c>
      <c r="F30">
        <f>'分42行业工业增加值（2012年美元）'!H30/'分42行业工业增加值（2012年美元）'!G30-1</f>
        <v>0.0487718567721283</v>
      </c>
      <c r="G30">
        <f>'分42行业工业增加值（2012年美元）'!I30/'分42行业工业增加值（2012年美元）'!H30-1</f>
        <v>0.0466920744966111</v>
      </c>
      <c r="H30">
        <f>'分42行业工业增加值（2012年美元）'!J30/'分42行业工业增加值（2012年美元）'!I30-1</f>
        <v>0.044326954159442</v>
      </c>
      <c r="I30">
        <f>'分42行业工业增加值（2012年美元）'!K30/'分42行业工业增加值（2012年美元）'!J30-1</f>
        <v>0.0421114491224825</v>
      </c>
      <c r="J30">
        <f>'分42行业工业增加值（2012年美元）'!L30/'分42行业工业增加值（2012年美元）'!K30-1</f>
        <v>0.0404437429840705</v>
      </c>
      <c r="K30">
        <f>'分42行业工业增加值（2012年美元）'!M30/'分42行业工业增加值（2012年美元）'!L30-1</f>
        <v>0.0384066695897824</v>
      </c>
      <c r="L30">
        <f>'分42行业工业增加值（2012年美元）'!N30/'分42行业工业增加值（2012年美元）'!M30-1</f>
        <v>0.0367475570622613</v>
      </c>
      <c r="M30">
        <f>'分42行业工业增加值（2012年美元）'!O30/'分42行业工业增加值（2012年美元）'!N30-1</f>
        <v>0.0352497837685937</v>
      </c>
      <c r="N30">
        <f>'分42行业工业增加值（2012年美元）'!P30/'分42行业工业增加值（2012年美元）'!O30-1</f>
        <v>0.033555420493927</v>
      </c>
      <c r="O30">
        <f>'分42行业工业增加值（2012年美元）'!Q30/'分42行业工业增加值（2012年美元）'!P30-1</f>
        <v>0.0322841762207629</v>
      </c>
      <c r="P30">
        <f>'分42行业工业增加值（2012年美元）'!R30/'分42行业工业增加值（2012年美元）'!Q30-1</f>
        <v>0.0309182061522979</v>
      </c>
      <c r="Q30">
        <f>'分42行业工业增加值（2012年美元）'!S30/'分42行业工业增加值（2012年美元）'!R30-1</f>
        <v>0.0295049719621419</v>
      </c>
      <c r="R30">
        <f>'分42行业工业增加值（2012年美元）'!T30/'分42行业工业增加值（2012年美元）'!S30-1</f>
        <v>0.0284986067769837</v>
      </c>
      <c r="S30">
        <f>'分42行业工业增加值（2012年美元）'!U30/'分42行业工业增加值（2012年美元）'!T30-1</f>
        <v>0.0272747308112444</v>
      </c>
      <c r="T30">
        <f>'分42行业工业增加值（2012年美元）'!V30/'分42行业工业增加值（2012年美元）'!U30-1</f>
        <v>0.0263134679405126</v>
      </c>
      <c r="U30">
        <f>'分42行业工业增加值（2012年美元）'!W30/'分42行业工业增加值（2012年美元）'!V30-1</f>
        <v>0.0253131250305787</v>
      </c>
      <c r="V30">
        <f>'分42行业工业增加值（2012年美元）'!X30/'分42行业工业增加值（2012年美元）'!W30-1</f>
        <v>0.0242624448285362</v>
      </c>
      <c r="W30">
        <f>'分42行业工业增加值（2012年美元）'!Y30/'分42行业工业增加值（2012年美元）'!X30-1</f>
        <v>0.0234472843303943</v>
      </c>
      <c r="X30">
        <f>'分42行业工业增加值（2012年美元）'!Z30/'分42行业工业增加值（2012年美元）'!Y30-1</f>
        <v>0.0226076952693539</v>
      </c>
      <c r="Y30">
        <f>'分42行业工业增加值（2012年美元）'!AA30/'分42行业工业增加值（2012年美元）'!Z30-1</f>
        <v>0.0217657904988828</v>
      </c>
      <c r="Z30">
        <f>'分42行业工业增加值（2012年美元）'!AB30/'分42行业工业增加值（2012年美元）'!AA30-1</f>
        <v>0.021017254993692</v>
      </c>
      <c r="AA30">
        <f>'分42行业工业增加值（2012年美元）'!AC30/'分42行业工业增加值（2012年美元）'!AB30-1</f>
        <v>0.0203051657508149</v>
      </c>
      <c r="AB30">
        <f>'分42行业工业增加值（2012年美元）'!AD30/'分42行业工业增加值（2012年美元）'!AC30-1</f>
        <v>0.0196587893079478</v>
      </c>
      <c r="AC30">
        <f>'分42行业工业增加值（2012年美元）'!AE30/'分42行业工业增加值（2012年美元）'!AD30-1</f>
        <v>0.0189724792019208</v>
      </c>
      <c r="AD30">
        <f>'分42行业工业增加值（2012年美元）'!AF30/'分42行业工业增加值（2012年美元）'!AE30-1</f>
        <v>0.0183221779625464</v>
      </c>
      <c r="AE30">
        <f>'分42行业工业增加值（2012年美元）'!AG30/'分42行业工业增加值（2012年美元）'!AF30-1</f>
        <v>0.0178674987246161</v>
      </c>
      <c r="AF30">
        <f>'分42行业工业增加值（2012年美元）'!AH30/'分42行业工业增加值（2012年美元）'!AG30-1</f>
        <v>0.0172485716970066</v>
      </c>
      <c r="AG30">
        <f>'分42行业工业增加值（2012年美元）'!AI30/'分42行业工业增加值（2012年美元）'!AH30-1</f>
        <v>0.0167599766009983</v>
      </c>
      <c r="AH30">
        <f>'分42行业工业增加值（2012年美元）'!AJ30/'分42行业工业增加值（2012年美元）'!AI30-1</f>
        <v>0.0162927081189015</v>
      </c>
      <c r="AI30">
        <f>'分42行业工业增加值（2012年美元）'!AK30/'分42行业工业增加值（2012年美元）'!AJ30-1</f>
        <v>0.0157847646239961</v>
      </c>
      <c r="AJ30">
        <f>'分42行业工业增加值（2012年美元）'!AL30/'分42行业工业增加值（2012年美元）'!AK30-1</f>
        <v>0.0154317326926849</v>
      </c>
      <c r="AK30">
        <f>'分42行业工业增加值（2012年美元）'!AM30/'分42行业工业增加值（2012年美元）'!AL30-1</f>
        <v>0.0150231009901265</v>
      </c>
      <c r="AL30">
        <f>'分42行业工业增加值（2012年美元）'!AN30/'分42行业工业增加值（2012年美元）'!AM30-1</f>
        <v>0.0146589940359096</v>
      </c>
      <c r="AM30">
        <f>'分42行业工业增加值（2012年美元）'!AO30/'分42行业工业增加值（2012年美元）'!AN30-1</f>
        <v>0.0143500263044551</v>
      </c>
      <c r="AN30">
        <f>'分42行业工业增加值（2012年美元）'!AP30/'分42行业工业增加值（2012年美元）'!AO30-1</f>
        <v>0.0140156825897777</v>
      </c>
      <c r="AO30">
        <f>'分42行业工业增加值（2012年美元）'!AQ30/'分42行业工业增加值（2012年美元）'!AP30-1</f>
        <v>0.0137837900275299</v>
      </c>
      <c r="AP30">
        <f>'分42行业工业增加值（2012年美元）'!AR30/'分42行业工业增加值（2012年美元）'!AQ30-1</f>
        <v>0.0135160970085835</v>
      </c>
    </row>
    <row r="31" spans="1:42">
      <c r="A31" s="2" t="s">
        <v>130</v>
      </c>
      <c r="B31">
        <f>'分42行业工业增加值（2012年美元）'!D31/'分42行业工业增加值（2012年美元）'!C31-1</f>
        <v>-0.0354913706439268</v>
      </c>
      <c r="C31">
        <f>'分42行业工业增加值（2012年美元）'!E31/'分42行业工业增加值（2012年美元）'!D31-1</f>
        <v>0.0998326029402647</v>
      </c>
      <c r="D31">
        <f>'分42行业工业增加值（2012年美元）'!F31/'分42行业工业增加值（2012年美元）'!E31-1</f>
        <v>0.037554862075363</v>
      </c>
      <c r="E31">
        <f>'分42行业工业增加值（2012年美元）'!G31/'分42行业工业增加值（2012年美元）'!F31-1</f>
        <v>0.0353866327716839</v>
      </c>
      <c r="F31">
        <f>'分42行业工业增加值（2012年美元）'!H31/'分42行业工业增加值（2012年美元）'!G31-1</f>
        <v>0.0331629162681946</v>
      </c>
      <c r="G31">
        <f>'分42行业工业增加值（2012年美元）'!I31/'分42行业工业增加值（2012年美元）'!H31-1</f>
        <v>0.0316819370990362</v>
      </c>
      <c r="H31">
        <f>'分42行业工业增加值（2012年美元）'!J31/'分42行业工业增加值（2012年美元）'!I31-1</f>
        <v>0.029883881100758</v>
      </c>
      <c r="I31">
        <f>'分42行业工业增加值（2012年美元）'!K31/'分42行业工业增加值（2012年美元）'!J31-1</f>
        <v>0.0282089498469178</v>
      </c>
      <c r="J31">
        <f>'分42行业工业增加值（2012年美元）'!L31/'分42行业工业增加值（2012年美元）'!K31-1</f>
        <v>0.0268884808627994</v>
      </c>
      <c r="K31">
        <f>'分42行业工业增加值（2012年美元）'!M31/'分42行业工业增加值（2012年美元）'!L31-1</f>
        <v>0.0253652344320039</v>
      </c>
      <c r="L31">
        <f>'分42行业工业增加值（2012年美元）'!N31/'分42行业工业增加值（2012年美元）'!M31-1</f>
        <v>0.0241281914224625</v>
      </c>
      <c r="M31">
        <f>'分42行业工业增加值（2012年美元）'!O31/'分42行业工业增加值（2012年美元）'!N31-1</f>
        <v>0.0229267310064485</v>
      </c>
      <c r="N31">
        <f>'分42行业工业增加值（2012年美元）'!P31/'分42行业工业增加值（2012年美元）'!O31-1</f>
        <v>0.0216331209502199</v>
      </c>
      <c r="O31">
        <f>'分42行业工业增加值（2012年美元）'!Q31/'分42行业工业增加值（2012年美元）'!P31-1</f>
        <v>0.020637093063572</v>
      </c>
      <c r="P31">
        <f>'分42行业工业增加值（2012年美元）'!R31/'分42行业工业增加值（2012年美元）'!Q31-1</f>
        <v>0.019592244110324</v>
      </c>
      <c r="Q31">
        <f>'分42行业工业增加值（2012年美元）'!S31/'分42行业工业增加值（2012年美元）'!R31-1</f>
        <v>0.0185285307805041</v>
      </c>
      <c r="R31">
        <f>'分42行业工业增加值（2012年美元）'!T31/'分42行业工业增加值（2012年美元）'!S31-1</f>
        <v>0.0177032293666766</v>
      </c>
      <c r="S31">
        <f>'分42行业工业增加值（2012年美元）'!U31/'分42行业工业增加值（2012年美元）'!T31-1</f>
        <v>0.0167348368909979</v>
      </c>
      <c r="T31">
        <f>'分42行业工业增加值（2012年美元）'!V31/'分42行业工业增加值（2012年美元）'!U31-1</f>
        <v>0.016031092989977</v>
      </c>
      <c r="U31">
        <f>'分42行业工业增加值（2012年美元）'!W31/'分42行业工业增加值（2012年美元）'!V31-1</f>
        <v>0.01522953193139</v>
      </c>
      <c r="V31">
        <f>'分42行业工业增加值（2012年美元）'!X31/'分42行业工业增加值（2012年美元）'!W31-1</f>
        <v>0.0143530625196611</v>
      </c>
      <c r="W31">
        <f>'分42行业工业增加值（2012年美元）'!Y31/'分42行业工业增加值（2012年美元）'!X31-1</f>
        <v>0.0137457804897436</v>
      </c>
      <c r="X31">
        <f>'分42行业工业增加值（2012年美元）'!Z31/'分42行业工业增加值（2012年美元）'!Y31-1</f>
        <v>0.0131072488752237</v>
      </c>
      <c r="Y31">
        <f>'分42行业工业增加值（2012年美元）'!AA31/'分42行业工业增加值（2012年美元）'!Z31-1</f>
        <v>0.0124311270297355</v>
      </c>
      <c r="Z31">
        <f>'分42行业工业增加值（2012年美元）'!AB31/'分42行业工业增加值（2012年美元）'!AA31-1</f>
        <v>0.0118322325523126</v>
      </c>
      <c r="AA31">
        <f>'分42行业工业增加值（2012年美元）'!AC31/'分42行业工业增加值（2012年美元）'!AB31-1</f>
        <v>0.01128845963886</v>
      </c>
      <c r="AB31">
        <f>'分42行业工业增加值（2012年美元）'!AD31/'分42行业工业增加值（2012年美元）'!AC31-1</f>
        <v>0.01078446188765</v>
      </c>
      <c r="AC31">
        <f>'分42行业工业增加值（2012年美元）'!AE31/'分42行业工业增加值（2012年美元）'!AD31-1</f>
        <v>0.0102240024584337</v>
      </c>
      <c r="AD31">
        <f>'分42行业工业增加值（2012年美元）'!AF31/'分42行业工业增加值（2012年美元）'!AE31-1</f>
        <v>0.00972850726877916</v>
      </c>
      <c r="AE31">
        <f>'分42行业工业增加值（2012年美元）'!AG31/'分42行业工业增加值（2012年美元）'!AF31-1</f>
        <v>0.00938165957983217</v>
      </c>
      <c r="AF31">
        <f>'分42行业工业增加值（2012年美元）'!AH31/'分42行业工业增加值（2012年美元）'!AG31-1</f>
        <v>0.0088954957961227</v>
      </c>
      <c r="AG31">
        <f>'分42行业工业增加值（2012年美元）'!AI31/'分42行业工业增加值（2012年美元）'!AH31-1</f>
        <v>0.00850984631568119</v>
      </c>
      <c r="AH31">
        <f>'分42行业工业增加值（2012年美元）'!AJ31/'分42行业工业增加值（2012年美元）'!AI31-1</f>
        <v>0.00817250765437549</v>
      </c>
      <c r="AI31">
        <f>'分42行业工业增加值（2012年美元）'!AK31/'分42行业工业增加值（2012年美元）'!AJ31-1</f>
        <v>0.0077825424124609</v>
      </c>
      <c r="AJ31">
        <f>'分42行业工业增加值（2012年美元）'!AL31/'分42行业工业增加值（2012年美元）'!AK31-1</f>
        <v>0.00750862785248541</v>
      </c>
      <c r="AK31">
        <f>'分42行业工业增加值（2012年美元）'!AM31/'分42行业工业增加值（2012年美元）'!AL31-1</f>
        <v>0.00722590777907572</v>
      </c>
      <c r="AL31">
        <f>'分42行业工业增加值（2012年美元）'!AN31/'分42行业工业增加值（2012年美元）'!AM31-1</f>
        <v>0.00696822849378953</v>
      </c>
      <c r="AM31">
        <f>'分42行业工业增加值（2012年美元）'!AO31/'分42行业工业增加值（2012年美元）'!AN31-1</f>
        <v>0.00674756170461199</v>
      </c>
      <c r="AN31">
        <f>'分42行业工业增加值（2012年美元）'!AP31/'分42行业工业增加值（2012年美元）'!AO31-1</f>
        <v>0.00652791009418774</v>
      </c>
      <c r="AO31">
        <f>'分42行业工业增加值（2012年美元）'!AQ31/'分42行业工业增加值（2012年美元）'!AP31-1</f>
        <v>0.0063943476506132</v>
      </c>
      <c r="AP31">
        <f>'分42行业工业增加值（2012年美元）'!AR31/'分42行业工业增加值（2012年美元）'!AQ31-1</f>
        <v>0.00621855202094435</v>
      </c>
    </row>
    <row r="32" spans="1:42">
      <c r="A32" s="2" t="s">
        <v>131</v>
      </c>
      <c r="B32">
        <f>'分42行业工业增加值（2012年美元）'!D32/'分42行业工业增加值（2012年美元）'!C32-1</f>
        <v>-0.120077536827756</v>
      </c>
      <c r="C32">
        <f>'分42行业工业增加值（2012年美元）'!E32/'分42行业工业增加值（2012年美元）'!D32-1</f>
        <v>0.0969717972029975</v>
      </c>
      <c r="D32">
        <f>'分42行业工业增加值（2012年美元）'!F32/'分42行业工业增加值（2012年美元）'!E32-1</f>
        <v>0.0712856754220703</v>
      </c>
      <c r="E32">
        <f>'分42行业工业增加值（2012年美元）'!G32/'分42行业工业增加值（2012年美元）'!F32-1</f>
        <v>0.0681817172660879</v>
      </c>
      <c r="F32">
        <f>'分42行业工业增加值（2012年美元）'!H32/'分42行业工业增加值（2012年美元）'!G32-1</f>
        <v>0.0648097072551008</v>
      </c>
      <c r="G32">
        <f>'分42行业工业增加值（2012年美元）'!I32/'分42行业工业增加值（2012年美元）'!H32-1</f>
        <v>0.0624960472807572</v>
      </c>
      <c r="H32">
        <f>'分42行业工业增加值（2012年美元）'!J32/'分42行业工业增加值（2012年美元）'!I32-1</f>
        <v>0.059719852558199</v>
      </c>
      <c r="I32">
        <f>'分42行业工业增加值（2012年美元）'!K32/'分42行业工业增加值（2012年美元）'!J32-1</f>
        <v>0.0571936593659359</v>
      </c>
      <c r="J32">
        <f>'分42行业工业增加值（2012年美元）'!L32/'分42行业工业增加值（2012年美元）'!K32-1</f>
        <v>0.0551379501871165</v>
      </c>
      <c r="K32">
        <f>'分42行业工业增加值（2012年美元）'!M32/'分42行业工业增加值（2012年美元）'!L32-1</f>
        <v>0.0528082324546912</v>
      </c>
      <c r="L32">
        <f>'分42行业工业增加值（2012年美元）'!N32/'分42行业工业增加值（2012年美元）'!M32-1</f>
        <v>0.0509081103717057</v>
      </c>
      <c r="M32">
        <f>'分42行业工业增加值（2012年美元）'!O32/'分42行业工业增加值（2012年美元）'!N32-1</f>
        <v>0.0490022998287931</v>
      </c>
      <c r="N32">
        <f>'分42行业工业增加值（2012年美元）'!P32/'分42行业工业增加值（2012年美元）'!O32-1</f>
        <v>0.0469924231077414</v>
      </c>
      <c r="O32">
        <f>'分42行业工业增加值（2012年美元）'!Q32/'分42行业工业增加值（2012年美元）'!P32-1</f>
        <v>0.0454885952549176</v>
      </c>
      <c r="P32">
        <f>'分42行业工业增加值（2012年美元）'!R32/'分42行业工业增加值（2012年美元）'!Q32-1</f>
        <v>0.0438455301333738</v>
      </c>
      <c r="Q32">
        <f>'分42行业工业增加值（2012年美元）'!S32/'分42行业工业增加值（2012年美元）'!R32-1</f>
        <v>0.042111675733276</v>
      </c>
      <c r="R32">
        <f>'分42行业工业增加值（2012年美元）'!T32/'分42行业工业增加值（2012年美元）'!S32-1</f>
        <v>0.0408235148333136</v>
      </c>
      <c r="S32">
        <f>'分42行业工业增加值（2012年美元）'!U32/'分42行业工业增加值（2012年美元）'!T32-1</f>
        <v>0.0393680299459487</v>
      </c>
      <c r="T32">
        <f>'分42行业工业增加值（2012年美元）'!V32/'分42行业工业增加值（2012年美元）'!U32-1</f>
        <v>0.0382063325452016</v>
      </c>
      <c r="U32">
        <f>'分42行业工业增加值（2012年美元）'!W32/'分42行业工业增加值（2012年美元）'!V32-1</f>
        <v>0.0368998762108745</v>
      </c>
      <c r="V32">
        <f>'分42行业工业增加值（2012年美元）'!X32/'分42行业工业增加值（2012年美元）'!W32-1</f>
        <v>0.0356160009453681</v>
      </c>
      <c r="W32">
        <f>'分42行业工业增加值（2012年美元）'!Y32/'分42行业工业增加值（2012年美元）'!X32-1</f>
        <v>0.0346000664588118</v>
      </c>
      <c r="X32">
        <f>'分42行业工业增加值（2012年美元）'!Z32/'分42行业工业增加值（2012年美元）'!Y32-1</f>
        <v>0.0335370314208714</v>
      </c>
      <c r="Y32">
        <f>'分42行业工业增加值（2012年美元）'!AA32/'分42行业工业增加值（2012年美元）'!Z32-1</f>
        <v>0.0324824752584791</v>
      </c>
      <c r="Z32">
        <f>'分42行业工业增加值（2012年美元）'!AB32/'分42行业工业增加值（2012年美元）'!AA32-1</f>
        <v>0.0314986766343439</v>
      </c>
      <c r="AA32">
        <f>'分42行业工业增加值（2012年美元）'!AC32/'分42行业工业增加值（2012年美元）'!AB32-1</f>
        <v>0.0306052356167428</v>
      </c>
      <c r="AB32">
        <f>'分42行业工业增加值（2012年美元）'!AD32/'分42行业工业增加值（2012年美元）'!AC32-1</f>
        <v>0.0298086674548883</v>
      </c>
      <c r="AC32">
        <f>'分42行业工业增加值（2012年美元）'!AE32/'分42行业工业增加值（2012年美元）'!AD32-1</f>
        <v>0.0289653722214596</v>
      </c>
      <c r="AD32">
        <f>'分42行业工业增加值（2012年美元）'!AF32/'分42行业工业增加值（2012年美元）'!AE32-1</f>
        <v>0.028137687982533</v>
      </c>
      <c r="AE32">
        <f>'分42行业工业增加值（2012年美元）'!AG32/'分42行业工业增加值（2012年美元）'!AF32-1</f>
        <v>0.0275664756314657</v>
      </c>
      <c r="AF32">
        <f>'分42行业工业增加值（2012年美元）'!AH32/'分42行业工业增加值（2012年美元）'!AG32-1</f>
        <v>0.0268315170506304</v>
      </c>
      <c r="AG32">
        <f>'分42行业工业增加值（2012年美元）'!AI32/'分42行业工业增加值（2012年美元）'!AH32-1</f>
        <v>0.0262464685772716</v>
      </c>
      <c r="AH32">
        <f>'分42行业工业增加值（2012年美元）'!AJ32/'分42行业工业增加值（2012年美元）'!AI32-1</f>
        <v>0.0257008704505406</v>
      </c>
      <c r="AI32">
        <f>'分42行业工业增加值（2012年美元）'!AK32/'分42行业工业增加值（2012年美元）'!AJ32-1</f>
        <v>0.025125670071817</v>
      </c>
      <c r="AJ32">
        <f>'分42行业工业增加值（2012年美元）'!AL32/'分42行业工业增加值（2012年美元）'!AK32-1</f>
        <v>0.0247136204662377</v>
      </c>
      <c r="AK32">
        <f>'分42行业工业增加值（2012年美元）'!AM32/'分42行业工业增加值（2012年美元）'!AL32-1</f>
        <v>0.0243118214628639</v>
      </c>
      <c r="AL32">
        <f>'分42行业工业增加值（2012年美元）'!AN32/'分42行业工业增加值（2012年美元）'!AM32-1</f>
        <v>0.0239517793757629</v>
      </c>
      <c r="AM32">
        <f>'分42行业工业增加值（2012年美元）'!AO32/'分42行业工业增加值（2012年美元）'!AN32-1</f>
        <v>0.023667980039954</v>
      </c>
      <c r="AN32">
        <f>'分42行业工业增加值（2012年美元）'!AP32/'分42行业工业增加值（2012年美元）'!AO32-1</f>
        <v>0.023382682510412</v>
      </c>
      <c r="AO32">
        <f>'分42行业工业增加值（2012年美元）'!AQ32/'分42行业工业增加值（2012年美元）'!AP32-1</f>
        <v>0.0232263188634985</v>
      </c>
      <c r="AP32">
        <f>'分42行业工业增加值（2012年美元）'!AR32/'分42行业工业增加值（2012年美元）'!AQ32-1</f>
        <v>0.023089846122101</v>
      </c>
    </row>
    <row r="33" spans="1:42">
      <c r="A33" s="2" t="s">
        <v>132</v>
      </c>
      <c r="B33">
        <f>'分42行业工业增加值（2012年美元）'!D33/'分42行业工业增加值（2012年美元）'!C33-1</f>
        <v>0.327778709834638</v>
      </c>
      <c r="C33">
        <f>'分42行业工业增加值（2012年美元）'!E33/'分42行业工业增加值（2012年美元）'!D33-1</f>
        <v>-0.0634178983357494</v>
      </c>
      <c r="D33">
        <f>'分42行业工业增加值（2012年美元）'!F33/'分42行业工业增加值（2012年美元）'!E33-1</f>
        <v>0.0891871600404339</v>
      </c>
      <c r="E33">
        <f>'分42行业工业增加值（2012年美元）'!G33/'分42行业工业增加值（2012年美元）'!F33-1</f>
        <v>0.0832923351064787</v>
      </c>
      <c r="F33">
        <f>'分42行业工业增加值（2012年美元）'!H33/'分42行业工业增加值（2012年美元）'!G33-1</f>
        <v>0.0770515196196653</v>
      </c>
      <c r="G33">
        <f>'分42行业工业增加值（2012年美元）'!I33/'分42行业工业增加值（2012年美元）'!H33-1</f>
        <v>0.0728962348645954</v>
      </c>
      <c r="H33">
        <f>'分42行业工业增加值（2012年美元）'!J33/'分42行业工业增加值（2012年美元）'!I33-1</f>
        <v>0.0680179848511151</v>
      </c>
      <c r="I33">
        <f>'分42行业工业增加值（2012年美元）'!K33/'分42行业工业增加值（2012年美元）'!J33-1</f>
        <v>0.0637087211993188</v>
      </c>
      <c r="J33">
        <f>'分42行业工业增加值（2012年美元）'!L33/'分42行业工业增加值（2012年美元）'!K33-1</f>
        <v>0.0601150511455262</v>
      </c>
      <c r="K33">
        <f>'分42行业工业增加值（2012年美元）'!M33/'分42行业工业增加值（2012年美元）'!L33-1</f>
        <v>0.0561705487971764</v>
      </c>
      <c r="L33">
        <f>'分42行业工业增加值（2012年美元）'!N33/'分42行业工业增加值（2012年美元）'!M33-1</f>
        <v>0.0529776080361892</v>
      </c>
      <c r="M33">
        <f>'分42行业工业增加值（2012年美元）'!O33/'分42行业工业增加值（2012年美元）'!N33-1</f>
        <v>0.0499808810769466</v>
      </c>
      <c r="N33">
        <f>'分42行业工业增加值（2012年美元）'!P33/'分42行业工业增加值（2012年美元）'!O33-1</f>
        <v>0.0469213902375603</v>
      </c>
      <c r="O33">
        <f>'分42行业工业增加值（2012年美元）'!Q33/'分42行业工业增加值（2012年美元）'!P33-1</f>
        <v>0.0444717971955231</v>
      </c>
      <c r="P33">
        <f>'分42行业工业增加值（2012年美元）'!R33/'分42行业工业增加值（2012年美元）'!Q33-1</f>
        <v>0.0419955024773921</v>
      </c>
      <c r="Q33">
        <f>'分42行业工业增加值（2012年美元）'!S33/'分42行业工业增加值（2012年美元）'!R33-1</f>
        <v>0.0395193968545697</v>
      </c>
      <c r="R33">
        <f>'分42行业工业增加值（2012年美元）'!T33/'分42行业工业增加值（2012年美元）'!S33-1</f>
        <v>0.0376052030839287</v>
      </c>
      <c r="S33">
        <f>'分42行业工业增加值（2012年美元）'!U33/'分42行业工业增加值（2012年美元）'!T33-1</f>
        <v>0.0354636173178922</v>
      </c>
      <c r="T33">
        <f>'分42行业工业增加值（2012年美元）'!V33/'分42行业工业增加值（2012年美元）'!U33-1</f>
        <v>0.0337877510082514</v>
      </c>
      <c r="U33">
        <f>'分42行业工业增加值（2012年美元）'!W33/'分42行业工业增加值（2012年美元）'!V33-1</f>
        <v>0.0319882208269868</v>
      </c>
      <c r="V33">
        <f>'分42行业工业增加值（2012年美元）'!X33/'分42行业工业增加值（2012年美元）'!W33-1</f>
        <v>0.0302538959461198</v>
      </c>
      <c r="W33">
        <f>'分42行业工业增加值（2012年美元）'!Y33/'分42行业工业增加值（2012年美元）'!X33-1</f>
        <v>0.0288383287133638</v>
      </c>
      <c r="X33">
        <f>'分42行业工业增加值（2012年美元）'!Z33/'分42行业工业增加值（2012年美元）'!Y33-1</f>
        <v>0.0274113954996744</v>
      </c>
      <c r="Y33">
        <f>'分42行业工业增加值（2012年美元）'!AA33/'分42行业工业增加值（2012年美元）'!Z33-1</f>
        <v>0.0260192218431687</v>
      </c>
      <c r="Z33">
        <f>'分42行业工业增加值（2012年美元）'!AB33/'分42行业工业增加值（2012年美元）'!AA33-1</f>
        <v>0.0247397574481798</v>
      </c>
      <c r="AA33">
        <f>'分42行业工业增加值（2012年美元）'!AC33/'分42行业工业增加值（2012年美元）'!AB33-1</f>
        <v>0.0235491128749206</v>
      </c>
      <c r="AB33">
        <f>'分42行业工业增加值（2012年美元）'!AD33/'分42行业工业增加值（2012年美元）'!AC33-1</f>
        <v>0.0224712430712506</v>
      </c>
      <c r="AC33">
        <f>'分42行业工业增加值（2012年美元）'!AE33/'分42行业工业增加值（2012年美元）'!AD33-1</f>
        <v>0.0213413371371707</v>
      </c>
      <c r="AD33">
        <f>'分42行业工业增加值（2012年美元）'!AF33/'分42行业工业增加值（2012年美元）'!AE33-1</f>
        <v>0.0202697846056179</v>
      </c>
      <c r="AE33">
        <f>'分42行业工业增加值（2012年美元）'!AG33/'分42行业工业增加值（2012年美元）'!AF33-1</f>
        <v>0.0194364814109547</v>
      </c>
      <c r="AF33">
        <f>'分42行业工业增加值（2012年美元）'!AH33/'分42行业工业增加值（2012年美元）'!AG33-1</f>
        <v>0.0184213107987419</v>
      </c>
      <c r="AG33">
        <f>'分42行业工业增加值（2012年美元）'!AI33/'分42行业工业增加值（2012年美元）'!AH33-1</f>
        <v>0.0175702932744461</v>
      </c>
      <c r="AH33">
        <f>'分42行业工业增加值（2012年美元）'!AJ33/'分42行业工业增加值（2012年美元）'!AI33-1</f>
        <v>0.0167408883135722</v>
      </c>
      <c r="AI33">
        <f>'分42行业工业增加值（2012年美元）'!AK33/'分42行业工业增加值（2012年美元）'!AJ33-1</f>
        <v>0.0158875768304172</v>
      </c>
      <c r="AJ33">
        <f>'分42行业工业增加值（2012年美元）'!AL33/'分42行业工业增加值（2012年美元）'!AK33-1</f>
        <v>0.0151776225518943</v>
      </c>
      <c r="AK33">
        <f>'分42行业工业增加值（2012年美元）'!AM33/'分42行业工业增加值（2012年美元）'!AL33-1</f>
        <v>0.0144440134484756</v>
      </c>
      <c r="AL33">
        <f>'分42行业工业增加值（2012年美元）'!AN33/'分42行业工业增加值（2012年美元）'!AM33-1</f>
        <v>0.0137288051522648</v>
      </c>
      <c r="AM33">
        <f>'分42行业工业增加值（2012年美元）'!AO33/'分42行业工业增加值（2012年美元）'!AN33-1</f>
        <v>0.0130543806294889</v>
      </c>
      <c r="AN33">
        <f>'分42行业工业增加值（2012年美元）'!AP33/'分42行业工业增加值（2012年美元）'!AO33-1</f>
        <v>0.0123915631933953</v>
      </c>
      <c r="AO33">
        <f>'分42行业工业增加值（2012年美元）'!AQ33/'分42行业工业增加值（2012年美元）'!AP33-1</f>
        <v>0.0117926318127382</v>
      </c>
      <c r="AP33">
        <f>'分42行业工业增加值（2012年美元）'!AR33/'分42行业工业增加值（2012年美元）'!AQ33-1</f>
        <v>0.0111603914427836</v>
      </c>
    </row>
    <row r="34" spans="1:42">
      <c r="A34" s="2" t="s">
        <v>135</v>
      </c>
      <c r="B34">
        <f>'分42行业工业增加值（2012年美元）'!D34/'分42行业工业增加值（2012年美元）'!C34-1</f>
        <v>0.393000841935524</v>
      </c>
      <c r="C34">
        <f>'分42行业工业增加值（2012年美元）'!E34/'分42行业工业增加值（2012年美元）'!D34-1</f>
        <v>-0.0303293659112525</v>
      </c>
      <c r="D34">
        <f>'分42行业工业增加值（2012年美元）'!F34/'分42行业工业增加值（2012年美元）'!E34-1</f>
        <v>0.0862267468561106</v>
      </c>
      <c r="E34">
        <f>'分42行业工业增加值（2012年美元）'!G34/'分42行业工业增加值（2012年美元）'!F34-1</f>
        <v>0.081921842445545</v>
      </c>
      <c r="F34">
        <f>'分42行业工业增加值（2012年美元）'!H34/'分42行业工业增加值（2012年美元）'!G34-1</f>
        <v>0.0765728849060037</v>
      </c>
      <c r="G34">
        <f>'分42行业工业增加值（2012年美元）'!I34/'分42行业工业增加值（2012年美元）'!H34-1</f>
        <v>0.0728596233281875</v>
      </c>
      <c r="H34">
        <f>'分42行业工业增加值（2012年美元）'!J34/'分42行业工业增加值（2012年美元）'!I34-1</f>
        <v>0.068571080539102</v>
      </c>
      <c r="I34">
        <f>'分42行业工业增加值（2012年美元）'!K34/'分42行业工业增加值（2012年美元）'!J34-1</f>
        <v>0.0643615598939056</v>
      </c>
      <c r="J34">
        <f>'分42行业工业增加值（2012年美元）'!L34/'分42行业工业增加值（2012年美元）'!K34-1</f>
        <v>0.0613412312558821</v>
      </c>
      <c r="K34">
        <f>'分42行业工业增加值（2012年美元）'!M34/'分42行业工业增加值（2012年美元）'!L34-1</f>
        <v>0.0574666077577788</v>
      </c>
      <c r="L34">
        <f>'分42行业工业增加值（2012年美元）'!N34/'分42行业工业增加值（2012年美元）'!M34-1</f>
        <v>0.0542571076526106</v>
      </c>
      <c r="M34">
        <f>'分42行业工业增加值（2012年美元）'!O34/'分42行业工业增加值（2012年美元）'!N34-1</f>
        <v>0.0514525508447818</v>
      </c>
      <c r="N34">
        <f>'分42行业工业增加值（2012年美元）'!P34/'分42行业工业增加值（2012年美元）'!O34-1</f>
        <v>0.048277496210209</v>
      </c>
      <c r="O34">
        <f>'分42行业工业增加值（2012年美元）'!Q34/'分42行业工业增加值（2012年美元）'!P34-1</f>
        <v>0.0458833924571904</v>
      </c>
      <c r="P34">
        <f>'分42行业工业增加值（2012年美元）'!R34/'分42行业工业增加值（2012年美元）'!Q34-1</f>
        <v>0.0433221106588557</v>
      </c>
      <c r="Q34">
        <f>'分42行业工业增加值（2012年美元）'!S34/'分42行业工业增加值（2012年美元）'!R34-1</f>
        <v>0.040672994009717</v>
      </c>
      <c r="R34">
        <f>'分42行业工业增加值（2012年美元）'!T34/'分42行业工业增加值（2012年美元）'!S34-1</f>
        <v>0.03882273473561</v>
      </c>
      <c r="S34">
        <f>'分42行业工业增加值（2012年美元）'!U34/'分42行业工业增加值（2012年美元）'!T34-1</f>
        <v>0.036577131223787</v>
      </c>
      <c r="T34">
        <f>'分42行业工业增加值（2012年美元）'!V34/'分42行业工业增加值（2012年美元）'!U34-1</f>
        <v>0.0347871804110469</v>
      </c>
      <c r="U34">
        <f>'分42行业工业增加值（2012年美元）'!W34/'分42行业工业增加值（2012年美元）'!V34-1</f>
        <v>0.0329717861892045</v>
      </c>
      <c r="V34">
        <f>'分42行业工业增加值（2012年美元）'!X34/'分42行业工业增加值（2012年美元）'!W34-1</f>
        <v>0.0310710031950929</v>
      </c>
      <c r="W34">
        <f>'分42行业工业增加值（2012年美元）'!Y34/'分42行业工业增加值（2012年美元）'!X34-1</f>
        <v>0.0296323073464884</v>
      </c>
      <c r="X34">
        <f>'分42行业工业增加值（2012年美元）'!Z34/'分42行业工业增加值（2012年美元）'!Y34-1</f>
        <v>0.0281257219210171</v>
      </c>
      <c r="Y34">
        <f>'分42行业工业增加值（2012年美元）'!AA34/'分42行业工业增加值（2012年美元）'!Z34-1</f>
        <v>0.0266701068434669</v>
      </c>
      <c r="Z34">
        <f>'分42行业工业增加值（2012年美元）'!AB34/'分42行业工业增加值（2012年美元）'!AA34-1</f>
        <v>0.0253446276913145</v>
      </c>
      <c r="AA34">
        <f>'分42行业工业增加值（2012年美元）'!AC34/'分42行业工业增加值（2012年美元）'!AB34-1</f>
        <v>0.0240808060889324</v>
      </c>
      <c r="AB34">
        <f>'分42行业工业增加值（2012年美元）'!AD34/'分42行业工业增加值（2012年美元）'!AC34-1</f>
        <v>0.0229440203328981</v>
      </c>
      <c r="AC34">
        <f>'分42行业工业增加值（2012年美元）'!AE34/'分42行业工业增加值（2012年美元）'!AD34-1</f>
        <v>0.0217949943505142</v>
      </c>
      <c r="AD34">
        <f>'分42行业工业增加值（2012年美元）'!AF34/'分42行业工业增加值（2012年美元）'!AE34-1</f>
        <v>0.0206609657779528</v>
      </c>
      <c r="AE34">
        <f>'分42行业工业增加值（2012年美元）'!AG34/'分42行业工业增加值（2012年美元）'!AF34-1</f>
        <v>0.0198237191813311</v>
      </c>
      <c r="AF34">
        <f>'分42行业工业增加值（2012年美元）'!AH34/'分42行业工业增加值（2012年美元）'!AG34-1</f>
        <v>0.0188098114945818</v>
      </c>
      <c r="AG34">
        <f>'分42行业工业增加值（2012年美元）'!AI34/'分42行业工业增加值（2012年美元）'!AH34-1</f>
        <v>0.0179502610664066</v>
      </c>
      <c r="AH34">
        <f>'分42行业工业增加值（2012年美元）'!AJ34/'分42行业工业增加值（2012年美元）'!AI34-1</f>
        <v>0.0171098578273201</v>
      </c>
      <c r="AI34">
        <f>'分42行业工业增加值（2012年美元）'!AK34/'分42行业工业增加值（2012年美元）'!AJ34-1</f>
        <v>0.0162680748878861</v>
      </c>
      <c r="AJ34">
        <f>'分42行业工业增加值（2012年美元）'!AL34/'分42行业工业增加值（2012年美元）'!AK34-1</f>
        <v>0.0156457554549441</v>
      </c>
      <c r="AK34">
        <f>'分42行业工业增加值（2012年美元）'!AM34/'分42行业工业增加值（2012年美元）'!AL34-1</f>
        <v>0.0149100971166864</v>
      </c>
      <c r="AL34">
        <f>'分42行业工业增加值（2012年美元）'!AN34/'分42行业工业增加值（2012年美元）'!AM34-1</f>
        <v>0.0142844549112853</v>
      </c>
      <c r="AM34">
        <f>'分42行业工业增加值（2012年美元）'!AO34/'分42行业工业增加值（2012年美元）'!AN34-1</f>
        <v>0.0137068682125943</v>
      </c>
      <c r="AN34">
        <f>'分42行业工业增加值（2012年美元）'!AP34/'分42行业工业增加值（2012年美元）'!AO34-1</f>
        <v>0.0130832223306103</v>
      </c>
      <c r="AO34">
        <f>'分42行业工业增加值（2012年美元）'!AQ34/'分42行业工业增加值（2012年美元）'!AP34-1</f>
        <v>0.0126289083617062</v>
      </c>
      <c r="AP34">
        <f>'分42行业工业增加值（2012年美元）'!AR34/'分42行业工业增加值（2012年美元）'!AQ34-1</f>
        <v>0.0121398444105305</v>
      </c>
    </row>
    <row r="35" spans="1:42">
      <c r="A35" s="2" t="s">
        <v>170</v>
      </c>
      <c r="B35">
        <f>'分42行业工业增加值（2012年美元）'!D35/'分42行业工业增加值（2012年美元）'!C35-1</f>
        <v>0.408995315403459</v>
      </c>
      <c r="C35">
        <f>'分42行业工业增加值（2012年美元）'!E35/'分42行业工业增加值（2012年美元）'!D35-1</f>
        <v>0.0135349171457257</v>
      </c>
      <c r="D35">
        <f>'分42行业工业增加值（2012年美元）'!F35/'分42行业工业增加值（2012年美元）'!E35-1</f>
        <v>0.0916570009835433</v>
      </c>
      <c r="E35">
        <f>'分42行业工业增加值（2012年美元）'!G35/'分42行业工业增加值（2012年美元）'!F35-1</f>
        <v>0.0856761620950188</v>
      </c>
      <c r="F35">
        <f>'分42行业工业增加值（2012年美元）'!H35/'分42行业工业增加值（2012年美元）'!G35-1</f>
        <v>0.0791539708039981</v>
      </c>
      <c r="G35">
        <f>'分42行业工业增加值（2012年美元）'!I35/'分42行业工业增加值（2012年美元）'!H35-1</f>
        <v>0.074928718391974</v>
      </c>
      <c r="H35">
        <f>'分42行业工业增加值（2012年美元）'!J35/'分42行业工业增加值（2012年美元）'!I35-1</f>
        <v>0.0695502172942175</v>
      </c>
      <c r="I35">
        <f>'分42行业工业增加值（2012年美元）'!K35/'分42行业工业增加值（2012年美元）'!J35-1</f>
        <v>0.0650494697050565</v>
      </c>
      <c r="J35">
        <f>'分42行业工业增加值（2012年美元）'!L35/'分42行业工业增加值（2012年美元）'!K35-1</f>
        <v>0.0614776618023147</v>
      </c>
      <c r="K35">
        <f>'分42行业工业增加值（2012年美元）'!M35/'分42行业工业增加值（2012年美元）'!L35-1</f>
        <v>0.0573936724808772</v>
      </c>
      <c r="L35">
        <f>'分42行业工业增加值（2012年美元）'!N35/'分42行业工业增加值（2012年美元）'!M35-1</f>
        <v>0.054000805575402</v>
      </c>
      <c r="M35">
        <f>'分42行业工业增加值（2012年美元）'!O35/'分42行业工业增加值（2012年美元）'!N35-1</f>
        <v>0.0509684834738315</v>
      </c>
      <c r="N35">
        <f>'分42行业工业增加值（2012年美元）'!P35/'分42行业工业增加值（2012年美元）'!O35-1</f>
        <v>0.0479641919032776</v>
      </c>
      <c r="O35">
        <f>'分42行业工业增加值（2012年美元）'!Q35/'分42行业工业增加值（2012年美元）'!P35-1</f>
        <v>0.045464758014949</v>
      </c>
      <c r="P35">
        <f>'分42行业工业增加值（2012年美元）'!R35/'分42行业工业增加值（2012年美元）'!Q35-1</f>
        <v>0.0427824877477769</v>
      </c>
      <c r="Q35">
        <f>'分42行业工业增加值（2012年美元）'!S35/'分42行业工业增加值（2012年美元）'!R35-1</f>
        <v>0.0403057344624242</v>
      </c>
      <c r="R35">
        <f>'分42行业工业增加值（2012年美元）'!T35/'分42行业工业增加值（2012年美元）'!S35-1</f>
        <v>0.0384759411071689</v>
      </c>
      <c r="S35">
        <f>'分42行业工业增加值（2012年美元）'!U35/'分42行业工业增加值（2012年美元）'!T35-1</f>
        <v>0.0362470496170815</v>
      </c>
      <c r="T35">
        <f>'分42行业工业增加值（2012年美元）'!V35/'分42行业工业增加值（2012年美元）'!U35-1</f>
        <v>0.0346085464028856</v>
      </c>
      <c r="U35">
        <f>'分42行业工业增加值（2012年美元）'!W35/'分42行业工业增加值（2012年美元）'!V35-1</f>
        <v>0.0327513596828251</v>
      </c>
      <c r="V35">
        <f>'分42行业工业增加值（2012年美元）'!X35/'分42行业工业增加值（2012年美元）'!W35-1</f>
        <v>0.0310886702033495</v>
      </c>
      <c r="W35">
        <f>'分42行业工业增加值（2012年美元）'!Y35/'分42行业工业增加值（2012年美元）'!X35-1</f>
        <v>0.0297234920898211</v>
      </c>
      <c r="X35">
        <f>'分42行业工业增加值（2012年美元）'!Z35/'分42行业工业增加值（2012年美元）'!Y35-1</f>
        <v>0.0282699767067411</v>
      </c>
      <c r="Y35">
        <f>'分42行业工业增加值（2012年美元）'!AA35/'分42行业工业增加值（2012年美元）'!Z35-1</f>
        <v>0.0268887821277484</v>
      </c>
      <c r="Z35">
        <f>'分42行业工业增加值（2012年美元）'!AB35/'分42行业工业增加值（2012年美元）'!AA35-1</f>
        <v>0.0256617173493898</v>
      </c>
      <c r="AA35">
        <f>'分42行业工业增加值（2012年美元）'!AC35/'分42行业工业增加值（2012年美元）'!AB35-1</f>
        <v>0.0245028936228291</v>
      </c>
      <c r="AB35">
        <f>'分42行业工业增加值（2012年美元）'!AD35/'分42行业工业增加值（2012年美元）'!AC35-1</f>
        <v>0.0234257426717241</v>
      </c>
      <c r="AC35">
        <f>'分42行业工业增加值（2012年美元）'!AE35/'分42行业工业增加值（2012年美元）'!AD35-1</f>
        <v>0.0222708639546978</v>
      </c>
      <c r="AD35">
        <f>'分42行业工业增加值（2012年美元）'!AF35/'分42行业工业增加值（2012年美元）'!AE35-1</f>
        <v>0.0212136791201585</v>
      </c>
      <c r="AE35">
        <f>'分42行业工业增加值（2012年美元）'!AG35/'分42行业工业增加值（2012年美元）'!AF35-1</f>
        <v>0.0203516969022217</v>
      </c>
      <c r="AF35">
        <f>'分42行业工业增加值（2012年美元）'!AH35/'分42行业工业增加值（2012年美元）'!AG35-1</f>
        <v>0.0193539200321122</v>
      </c>
      <c r="AG35">
        <f>'分42行业工业增加值（2012年美元）'!AI35/'分42行业工业增加值（2012年美元）'!AH35-1</f>
        <v>0.018454348830619</v>
      </c>
      <c r="AH35">
        <f>'分42行业工业增加值（2012年美元）'!AJ35/'分42行业工业增加值（2012年美元）'!AI35-1</f>
        <v>0.0175398591536939</v>
      </c>
      <c r="AI35">
        <f>'分42行业工业增加值（2012年美元）'!AK35/'分42行业工业增加值（2012年美元）'!AJ35-1</f>
        <v>0.0166580625381725</v>
      </c>
      <c r="AJ35">
        <f>'分42行业工业增加值（2012年美元）'!AL35/'分42行业工业增加值（2012年美元）'!AK35-1</f>
        <v>0.015903133041963</v>
      </c>
      <c r="AK35">
        <f>'分42行业工业增加值（2012年美元）'!AM35/'分42行业工业增加值（2012年美元）'!AL35-1</f>
        <v>0.0150547041310418</v>
      </c>
      <c r="AL35">
        <f>'分42行业工业增加值（2012年美元）'!AN35/'分42行业工业增加值（2012年美元）'!AM35-1</f>
        <v>0.0142361405897413</v>
      </c>
      <c r="AM35">
        <f>'分42行业工业增加值（2012年美元）'!AO35/'分42行业工业增加值（2012年美元）'!AN35-1</f>
        <v>0.0134129863989632</v>
      </c>
      <c r="AN35">
        <f>'分42行业工业增加值（2012年美元）'!AP35/'分42行业工业增加值（2012年美元）'!AO35-1</f>
        <v>0.0126059333507722</v>
      </c>
      <c r="AO35">
        <f>'分42行业工业增加值（2012年美元）'!AQ35/'分42行业工业增加值（2012年美元）'!AP35-1</f>
        <v>0.0118222909998789</v>
      </c>
      <c r="AP35">
        <f>'分42行业工业增加值（2012年美元）'!AR35/'分42行业工业增加值（2012年美元）'!AQ35-1</f>
        <v>0.0109904919986692</v>
      </c>
    </row>
    <row r="36" spans="1:42">
      <c r="A36" s="2" t="s">
        <v>133</v>
      </c>
      <c r="B36">
        <f>'分42行业工业增加值（2012年美元）'!D36/'分42行业工业增加值（2012年美元）'!C36-1</f>
        <v>0.0921241411743086</v>
      </c>
      <c r="C36">
        <f>'分42行业工业增加值（2012年美元）'!E36/'分42行业工业增加值（2012年美元）'!D36-1</f>
        <v>0.0574510698485087</v>
      </c>
      <c r="D36">
        <f>'分42行业工业增加值（2012年美元）'!F36/'分42行业工业增加值（2012年美元）'!E36-1</f>
        <v>0.0842519575579976</v>
      </c>
      <c r="E36">
        <f>'分42行业工业增加值（2012年美元）'!G36/'分42行业工业增加值（2012年美元）'!F36-1</f>
        <v>0.0804752472917902</v>
      </c>
      <c r="F36">
        <f>'分42行业工业增加值（2012年美元）'!H36/'分42行业工业增加值（2012年美元）'!G36-1</f>
        <v>0.0761754763208884</v>
      </c>
      <c r="G36">
        <f>'分42行业工业增加值（2012年美元）'!I36/'分42行业工业增加值（2012年美元）'!H36-1</f>
        <v>0.0731971709610368</v>
      </c>
      <c r="H36">
        <f>'分42行业工业增加值（2012年美元）'!J36/'分42行业工业增加值（2012年美元）'!I36-1</f>
        <v>0.0698139394481014</v>
      </c>
      <c r="I36">
        <f>'分42行业工业增加值（2012年美元）'!K36/'分42行业工业增加值（2012年美元）'!J36-1</f>
        <v>0.0666761877063098</v>
      </c>
      <c r="J36">
        <f>'分42行业工业增加值（2012年美元）'!L36/'分42行业工业增加值（2012年美元）'!K36-1</f>
        <v>0.0643374720701106</v>
      </c>
      <c r="K36">
        <f>'分42行业工业增加值（2012年美元）'!M36/'分42行业工业增加值（2012年美元）'!L36-1</f>
        <v>0.0614237048107331</v>
      </c>
      <c r="L36">
        <f>'分42行业工业增加值（2012年美元）'!N36/'分42行业工业增加值（2012年美元）'!M36-1</f>
        <v>0.0590763806463774</v>
      </c>
      <c r="M36">
        <f>'分42行业工业增加值（2012年美元）'!O36/'分42行业工业增加值（2012年美元）'!N36-1</f>
        <v>0.0570016796233139</v>
      </c>
      <c r="N36">
        <f>'分42行业工业增加值（2012年美元）'!P36/'分42行业工业增加值（2012年美元）'!O36-1</f>
        <v>0.0546965111514561</v>
      </c>
      <c r="O36">
        <f>'分42行业工业增加值（2012年美元）'!Q36/'分42行业工业增加值（2012年美元）'!P36-1</f>
        <v>0.0529088280385339</v>
      </c>
      <c r="P36">
        <f>'分42行业工业增加值（2012年美元）'!R36/'分42行业工业增加值（2012年美元）'!Q36-1</f>
        <v>0.0510818756620004</v>
      </c>
      <c r="Q36">
        <f>'分42行业工业增加值（2012年美元）'!S36/'分42行业工业增加值（2012年美元）'!R36-1</f>
        <v>0.0491692929895582</v>
      </c>
      <c r="R36">
        <f>'分42行业工业增加值（2012年美元）'!T36/'分42行业工业增加值（2012年美元）'!S36-1</f>
        <v>0.0478512544311691</v>
      </c>
      <c r="S36">
        <f>'分42行业工业增加值（2012年美元）'!U36/'分42行业工业增加值（2012年美元）'!T36-1</f>
        <v>0.0461848685650945</v>
      </c>
      <c r="T36">
        <f>'分42行业工业增加值（2012年美元）'!V36/'分42行业工业增加值（2012年美元）'!U36-1</f>
        <v>0.0449042912306123</v>
      </c>
      <c r="U36">
        <f>'分42行业工业增加值（2012年美元）'!W36/'分42行业工业增加值（2012年美元）'!V36-1</f>
        <v>0.043584033148321</v>
      </c>
      <c r="V36">
        <f>'分42行业工业增加值（2012年美元）'!X36/'分42行业工业增加值（2012年美元）'!W36-1</f>
        <v>0.042207110377787</v>
      </c>
      <c r="W36">
        <f>'分42行业工业增加值（2012年美元）'!Y36/'分42行业工业增加值（2012年美元）'!X36-1</f>
        <v>0.0411385374862536</v>
      </c>
      <c r="X36">
        <f>'分42行业工业增加值（2012年美元）'!Z36/'分42行业工业增加值（2012年美元）'!Y36-1</f>
        <v>0.0400585330304988</v>
      </c>
      <c r="Y36">
        <f>'分42行业工业增加值（2012年美元）'!AA36/'分42行业工业增加值（2012年美元）'!Z36-1</f>
        <v>0.0389492741152797</v>
      </c>
      <c r="Z36">
        <f>'分42行业工业增加值（2012年美元）'!AB36/'分42行业工业增加值（2012年美元）'!AA36-1</f>
        <v>0.0380083724352656</v>
      </c>
      <c r="AA36">
        <f>'分42行业工业增加值（2012年美元）'!AC36/'分42行业工业增加值（2012年美元）'!AB36-1</f>
        <v>0.0370620003659252</v>
      </c>
      <c r="AB36">
        <f>'分42行业工业增加值（2012年美元）'!AD36/'分42行业工业增加值（2012年美元）'!AC36-1</f>
        <v>0.0362542058927899</v>
      </c>
      <c r="AC36">
        <f>'分42行业工业增加值（2012年美元）'!AE36/'分42行业工业增加值（2012年美元）'!AD36-1</f>
        <v>0.0353588009083898</v>
      </c>
      <c r="AD36">
        <f>'分42行业工业增加值（2012年美元）'!AF36/'分42行业工业增加值（2012年美元）'!AE36-1</f>
        <v>0.0344899856525007</v>
      </c>
      <c r="AE36">
        <f>'分42行业工业增加值（2012年美元）'!AG36/'分42行业工业增加值（2012年美元）'!AF36-1</f>
        <v>0.0338998809454838</v>
      </c>
      <c r="AF36">
        <f>'分42行业工业增加值（2012年美元）'!AH36/'分42行业工业增加值（2012年美元）'!AG36-1</f>
        <v>0.0330633122527209</v>
      </c>
      <c r="AG36">
        <f>'分42行业工业增加值（2012年美元）'!AI36/'分42行业工业增加值（2012年美元）'!AH36-1</f>
        <v>0.0323790466380756</v>
      </c>
      <c r="AH36">
        <f>'分42行业工业增加值（2012年美元）'!AJ36/'分42行业工业增加值（2012年美元）'!AI36-1</f>
        <v>0.0317279767543006</v>
      </c>
      <c r="AI36">
        <f>'分42行业工业增加值（2012年美元）'!AK36/'分42行业工业增加值（2012年美元）'!AJ36-1</f>
        <v>0.031009187183848</v>
      </c>
      <c r="AJ36">
        <f>'分42行业工业增加值（2012年美元）'!AL36/'分42行业工业增加值（2012年美元）'!AK36-1</f>
        <v>0.0304711462111034</v>
      </c>
      <c r="AK36">
        <f>'分42行业工业增加值（2012年美元）'!AM36/'分42行业工业增加值（2012年美元）'!AL36-1</f>
        <v>0.0298272928946139</v>
      </c>
      <c r="AL36">
        <f>'分42行业工业增加值（2012年美元）'!AN36/'分42行业工业增加值（2012年美元）'!AM36-1</f>
        <v>0.0292255421329091</v>
      </c>
      <c r="AM36">
        <f>'分42行业工业增加值（2012年美元）'!AO36/'分42行业工业增加值（2012年美元）'!AN36-1</f>
        <v>0.0286649143457871</v>
      </c>
      <c r="AN36">
        <f>'分42行业工业增加值（2012年美元）'!AP36/'分42行业工业增加值（2012年美元）'!AO36-1</f>
        <v>0.0280579871575588</v>
      </c>
      <c r="AO36">
        <f>'分42行业工业增加值（2012年美元）'!AQ36/'分42行业工业增加值（2012年美元）'!AP36-1</f>
        <v>0.027571032291019</v>
      </c>
      <c r="AP36">
        <f>'分42行业工业增加值（2012年美元）'!AR36/'分42行业工业增加值（2012年美元）'!AQ36-1</f>
        <v>0.0269606170430734</v>
      </c>
    </row>
    <row r="37" spans="1:42">
      <c r="A37" s="2" t="s">
        <v>134</v>
      </c>
      <c r="B37">
        <f>'分42行业工业增加值（2012年美元）'!D37/'分42行业工业增加值（2012年美元）'!C37-1</f>
        <v>0.0669392587110038</v>
      </c>
      <c r="C37">
        <f>'分42行业工业增加值（2012年美元）'!E37/'分42行业工业增加值（2012年美元）'!D37-1</f>
        <v>0.0174391632573909</v>
      </c>
      <c r="D37">
        <f>'分42行业工业增加值（2012年美元）'!F37/'分42行业工业增加值（2012年美元）'!E37-1</f>
        <v>0.0555750174239715</v>
      </c>
      <c r="E37">
        <f>'分42行业工业增加值（2012年美元）'!G37/'分42行业工业增加值（2012年美元）'!F37-1</f>
        <v>0.0530929182253315</v>
      </c>
      <c r="F37">
        <f>'分42行业工业增加值（2012年美元）'!H37/'分42行业工业增加值（2012年美元）'!G37-1</f>
        <v>0.0503883626824724</v>
      </c>
      <c r="G37">
        <f>'分42行业工业增加值（2012年美元）'!I37/'分42行业工业增加值（2012年美元）'!H37-1</f>
        <v>0.0485925445391111</v>
      </c>
      <c r="H37">
        <f>'分42行业工业增加值（2012年美元）'!J37/'分42行业工业增加值（2012年美元）'!I37-1</f>
        <v>0.0464370615149059</v>
      </c>
      <c r="I37">
        <f>'分42行业工业增加值（2012年美元）'!K37/'分42行业工业增加值（2012年美元）'!J37-1</f>
        <v>0.0444326305774521</v>
      </c>
      <c r="J37">
        <f>'分42行业工业增加值（2012年美元）'!L37/'分42行业工业增加值（2012年美元）'!K37-1</f>
        <v>0.0428025305026747</v>
      </c>
      <c r="K37">
        <f>'分42行业工业增加值（2012年美元）'!M37/'分42行业工业增加值（2012年美元）'!L37-1</f>
        <v>0.0409093971522188</v>
      </c>
      <c r="L37">
        <f>'分42行业工业增加值（2012年美元）'!N37/'分42行业工业增加值（2012年美元）'!M37-1</f>
        <v>0.0393728012684977</v>
      </c>
      <c r="M37">
        <f>'分42行业工业增加值（2012年美元）'!O37/'分42行业工业增加值（2012年美元）'!N37-1</f>
        <v>0.0379230011501848</v>
      </c>
      <c r="N37">
        <f>'分42行业工业增加值（2012年美元）'!P37/'分42行业工业增加值（2012年美元）'!O37-1</f>
        <v>0.0363298312965905</v>
      </c>
      <c r="O37">
        <f>'分42行业工业增加值（2012年美元）'!Q37/'分42行业工业增加值（2012年美元）'!P37-1</f>
        <v>0.0350833608327794</v>
      </c>
      <c r="P37">
        <f>'分42行业工业增加值（2012年美元）'!R37/'分42行业工业增加值（2012年美元）'!Q37-1</f>
        <v>0.0337590742147484</v>
      </c>
      <c r="Q37">
        <f>'分42行业工业增加值（2012年美元）'!S37/'分42行业工业增加值（2012年美元）'!R37-1</f>
        <v>0.032436886417115</v>
      </c>
      <c r="R37">
        <f>'分42行业工业增加值（2012年美元）'!T37/'分42行业工业增加值（2012年美元）'!S37-1</f>
        <v>0.0313999338939428</v>
      </c>
      <c r="S37">
        <f>'分42行业工业增加值（2012年美元）'!U37/'分42行业工业增加值（2012年美元）'!T37-1</f>
        <v>0.0301935773136686</v>
      </c>
      <c r="T37">
        <f>'分42行业工业增加值（2012年美元）'!V37/'分42行业工业增加值（2012年美元）'!U37-1</f>
        <v>0.0292506606083385</v>
      </c>
      <c r="U37">
        <f>'分42行业工业增加值（2012年美元）'!W37/'分42行业工业增加值（2012年美元）'!V37-1</f>
        <v>0.0282582850331197</v>
      </c>
      <c r="V37">
        <f>'分42行业工业增加值（2012年美元）'!X37/'分42行业工业增加值（2012年美元）'!W37-1</f>
        <v>0.0272045439163136</v>
      </c>
      <c r="W37">
        <f>'分42行业工业增加值（2012年美元）'!Y37/'分42行业工业增加值（2012年美元）'!X37-1</f>
        <v>0.0263865384088817</v>
      </c>
      <c r="X37">
        <f>'分42行业工业增加值（2012年美元）'!Z37/'分42行业工业增加值（2012年美元）'!Y37-1</f>
        <v>0.0255407716637202</v>
      </c>
      <c r="Y37">
        <f>'分42行业工业增加值（2012年美元）'!AA37/'分42行业工业增加值（2012年美元）'!Z37-1</f>
        <v>0.0247002132776963</v>
      </c>
      <c r="Z37">
        <f>'分42行业工业增加值（2012年美元）'!AB37/'分42行业工业增加值（2012年美元）'!AA37-1</f>
        <v>0.0239237498621065</v>
      </c>
      <c r="AA37">
        <f>'分42行业工业增加值（2012年美元）'!AC37/'分42行业工业增加值（2012年美元）'!AB37-1</f>
        <v>0.023210681244467</v>
      </c>
      <c r="AB37">
        <f>'分42行业工业增加值（2012年美元）'!AD37/'分42行业工业增加值（2012年美元）'!AC37-1</f>
        <v>0.0225657453825445</v>
      </c>
      <c r="AC37">
        <f>'分42行业工业增加值（2012年美元）'!AE37/'分42行业工业增加值（2012年美元）'!AD37-1</f>
        <v>0.0218494402526916</v>
      </c>
      <c r="AD37">
        <f>'分42行业工业增加值（2012年美元）'!AF37/'分42行业工业增加值（2012年美元）'!AE37-1</f>
        <v>0.0212210837173954</v>
      </c>
      <c r="AE37">
        <f>'分42行业工业增加值（2012年美元）'!AG37/'分42行业工业增加值（2012年美元）'!AF37-1</f>
        <v>0.0207440835490069</v>
      </c>
      <c r="AF37">
        <f>'分42行业工业增加值（2012年美元）'!AH37/'分42行业工业增加值（2012年美元）'!AG37-1</f>
        <v>0.0201314064639393</v>
      </c>
      <c r="AG37">
        <f>'分42行业工业增加值（2012年美元）'!AI37/'分42行业工业增加值（2012年美元）'!AH37-1</f>
        <v>0.0196365613883154</v>
      </c>
      <c r="AH37">
        <f>'分42行业工业增加值（2012年美元）'!AJ37/'分42行业工业增加值（2012年美元）'!AI37-1</f>
        <v>0.0191863671664805</v>
      </c>
      <c r="AI37">
        <f>'分42行业工业增加值（2012年美元）'!AK37/'分42行业工业增加值（2012年美元）'!AJ37-1</f>
        <v>0.0187115641870113</v>
      </c>
      <c r="AJ37">
        <f>'分42行业工业增加值（2012年美元）'!AL37/'分42行业工业增加值（2012年美元）'!AK37-1</f>
        <v>0.018358156543371</v>
      </c>
      <c r="AK37">
        <f>'分42行业工业增加值（2012年美元）'!AM37/'分42行业工业增加值（2012年美元）'!AL37-1</f>
        <v>0.017993826696264</v>
      </c>
      <c r="AL37">
        <f>'分42行业工业增加值（2012年美元）'!AN37/'分42行业工业增加值（2012年美元）'!AM37-1</f>
        <v>0.0176743169436531</v>
      </c>
      <c r="AM37">
        <f>'分42行业工业增加值（2012年美元）'!AO37/'分42行业工业增加值（2012年美元）'!AN37-1</f>
        <v>0.0174087033655996</v>
      </c>
      <c r="AN37">
        <f>'分42行业工业增加值（2012年美元）'!AP37/'分42行业工业增加值（2012年美元）'!AO37-1</f>
        <v>0.0171455784426522</v>
      </c>
      <c r="AO37">
        <f>'分42行业工业增加值（2012年美元）'!AQ37/'分42行业工业增加值（2012年美元）'!AP37-1</f>
        <v>0.016965045991681</v>
      </c>
      <c r="AP37">
        <f>'分42行业工业增加值（2012年美元）'!AR37/'分42行业工业增加值（2012年美元）'!AQ37-1</f>
        <v>0.0167883331577912</v>
      </c>
    </row>
    <row r="38" spans="1:42">
      <c r="A38" s="2" t="s">
        <v>136</v>
      </c>
      <c r="B38">
        <f>'分42行业工业增加值（2012年美元）'!D38/'分42行业工业增加值（2012年美元）'!C38-1</f>
        <v>0.408995315403459</v>
      </c>
      <c r="C38">
        <f>'分42行业工业增加值（2012年美元）'!E38/'分42行业工业增加值（2012年美元）'!D38-1</f>
        <v>0.0135349171457257</v>
      </c>
      <c r="D38">
        <f>'分42行业工业增加值（2012年美元）'!F38/'分42行业工业增加值（2012年美元）'!E38-1</f>
        <v>0.0916570009835436</v>
      </c>
      <c r="E38">
        <f>'分42行业工业增加值（2012年美元）'!G38/'分42行业工业增加值（2012年美元）'!F38-1</f>
        <v>0.0856761620950188</v>
      </c>
      <c r="F38">
        <f>'分42行业工业增加值（2012年美元）'!H38/'分42行业工业增加值（2012年美元）'!G38-1</f>
        <v>0.0791539708039981</v>
      </c>
      <c r="G38">
        <f>'分42行业工业增加值（2012年美元）'!I38/'分42行业工业增加值（2012年美元）'!H38-1</f>
        <v>0.0749287183919738</v>
      </c>
      <c r="H38">
        <f>'分42行业工业增加值（2012年美元）'!J38/'分42行业工业增加值（2012年美元）'!I38-1</f>
        <v>0.0695502172942175</v>
      </c>
      <c r="I38">
        <f>'分42行业工业增加值（2012年美元）'!K38/'分42行业工业增加值（2012年美元）'!J38-1</f>
        <v>0.0650494697050563</v>
      </c>
      <c r="J38">
        <f>'分42行业工业增加值（2012年美元）'!L38/'分42行业工业增加值（2012年美元）'!K38-1</f>
        <v>0.0614776618023145</v>
      </c>
      <c r="K38">
        <f>'分42行业工业增加值（2012年美元）'!M38/'分42行业工业增加值（2012年美元）'!L38-1</f>
        <v>0.0573936724808775</v>
      </c>
      <c r="L38">
        <f>'分42行业工业增加值（2012年美元）'!N38/'分42行业工业增加值（2012年美元）'!M38-1</f>
        <v>0.054000805575402</v>
      </c>
      <c r="M38">
        <f>'分42行业工业增加值（2012年美元）'!O38/'分42行业工业增加值（2012年美元）'!N38-1</f>
        <v>0.0509684834738313</v>
      </c>
      <c r="N38">
        <f>'分42行业工业增加值（2012年美元）'!P38/'分42行业工业增加值（2012年美元）'!O38-1</f>
        <v>0.0479641919032778</v>
      </c>
      <c r="O38">
        <f>'分42行业工业增加值（2012年美元）'!Q38/'分42行业工业增加值（2012年美元）'!P38-1</f>
        <v>0.045464758014949</v>
      </c>
      <c r="P38">
        <f>'分42行业工业增加值（2012年美元）'!R38/'分42行业工业增加值（2012年美元）'!Q38-1</f>
        <v>0.0427824877477772</v>
      </c>
      <c r="Q38">
        <f>'分42行业工业增加值（2012年美元）'!S38/'分42行业工业增加值（2012年美元）'!R38-1</f>
        <v>0.040305734462424</v>
      </c>
      <c r="R38">
        <f>'分42行业工业增加值（2012年美元）'!T38/'分42行业工业增加值（2012年美元）'!S38-1</f>
        <v>0.0384759411071691</v>
      </c>
      <c r="S38">
        <f>'分42行业工业增加值（2012年美元）'!U38/'分42行业工业增加值（2012年美元）'!T38-1</f>
        <v>0.0362470496170815</v>
      </c>
      <c r="T38">
        <f>'分42行业工业增加值（2012年美元）'!V38/'分42行业工业增加值（2012年美元）'!U38-1</f>
        <v>0.0346085464028856</v>
      </c>
      <c r="U38">
        <f>'分42行业工业增加值（2012年美元）'!W38/'分42行业工业增加值（2012年美元）'!V38-1</f>
        <v>0.0327513596828251</v>
      </c>
      <c r="V38">
        <f>'分42行业工业增加值（2012年美元）'!X38/'分42行业工业增加值（2012年美元）'!W38-1</f>
        <v>0.0310886702033493</v>
      </c>
      <c r="W38">
        <f>'分42行业工业增加值（2012年美元）'!Y38/'分42行业工业增加值（2012年美元）'!X38-1</f>
        <v>0.0297234920898211</v>
      </c>
      <c r="X38">
        <f>'分42行业工业增加值（2012年美元）'!Z38/'分42行业工业增加值（2012年美元）'!Y38-1</f>
        <v>0.0282699767067411</v>
      </c>
      <c r="Y38">
        <f>'分42行业工业增加值（2012年美元）'!AA38/'分42行业工业增加值（2012年美元）'!Z38-1</f>
        <v>0.0268887821277481</v>
      </c>
      <c r="Z38">
        <f>'分42行业工业增加值（2012年美元）'!AB38/'分42行业工业增加值（2012年美元）'!AA38-1</f>
        <v>0.0256617173493898</v>
      </c>
      <c r="AA38">
        <f>'分42行业工业增加值（2012年美元）'!AC38/'分42行业工业增加值（2012年美元）'!AB38-1</f>
        <v>0.0245028936228289</v>
      </c>
      <c r="AB38">
        <f>'分42行业工业增加值（2012年美元）'!AD38/'分42行业工业增加值（2012年美元）'!AC38-1</f>
        <v>0.0234257426717244</v>
      </c>
      <c r="AC38">
        <f>'分42行业工业增加值（2012年美元）'!AE38/'分42行业工业增加值（2012年美元）'!AD38-1</f>
        <v>0.0222708639546978</v>
      </c>
      <c r="AD38">
        <f>'分42行业工业增加值（2012年美元）'!AF38/'分42行业工业增加值（2012年美元）'!AE38-1</f>
        <v>0.0212136791201587</v>
      </c>
      <c r="AE38">
        <f>'分42行业工业增加值（2012年美元）'!AG38/'分42行业工业增加值（2012年美元）'!AF38-1</f>
        <v>0.0203516969022217</v>
      </c>
      <c r="AF38">
        <f>'分42行业工业增加值（2012年美元）'!AH38/'分42行业工业增加值（2012年美元）'!AG38-1</f>
        <v>0.0193539200321122</v>
      </c>
      <c r="AG38">
        <f>'分42行业工业增加值（2012年美元）'!AI38/'分42行业工业增加值（2012年美元）'!AH38-1</f>
        <v>0.0184543488306188</v>
      </c>
      <c r="AH38">
        <f>'分42行业工业增加值（2012年美元）'!AJ38/'分42行业工业增加值（2012年美元）'!AI38-1</f>
        <v>0.0175398591536942</v>
      </c>
      <c r="AI38">
        <f>'分42行业工业增加值（2012年美元）'!AK38/'分42行业工业增加值（2012年美元）'!AJ38-1</f>
        <v>0.0166580625381723</v>
      </c>
      <c r="AJ38">
        <f>'分42行业工业增加值（2012年美元）'!AL38/'分42行业工业增加值（2012年美元）'!AK38-1</f>
        <v>0.015903133041963</v>
      </c>
      <c r="AK38">
        <f>'分42行业工业增加值（2012年美元）'!AM38/'分42行业工业增加值（2012年美元）'!AL38-1</f>
        <v>0.015054704131042</v>
      </c>
      <c r="AL38">
        <f>'分42行业工业增加值（2012年美元）'!AN38/'分42行业工业增加值（2012年美元）'!AM38-1</f>
        <v>0.0142361405897411</v>
      </c>
      <c r="AM38">
        <f>'分42行业工业增加值（2012年美元）'!AO38/'分42行业工业增加值（2012年美元）'!AN38-1</f>
        <v>0.0134129863989634</v>
      </c>
      <c r="AN38">
        <f>'分42行业工业增加值（2012年美元）'!AP38/'分42行业工业增加值（2012年美元）'!AO38-1</f>
        <v>0.012605933350772</v>
      </c>
      <c r="AO38">
        <f>'分42行业工业增加值（2012年美元）'!AQ38/'分42行业工业增加值（2012年美元）'!AP38-1</f>
        <v>0.0118222909998791</v>
      </c>
      <c r="AP38">
        <f>'分42行业工业增加值（2012年美元）'!AR38/'分42行业工业增加值（2012年美元）'!AQ38-1</f>
        <v>0.0109904919986692</v>
      </c>
    </row>
    <row r="39" spans="1:42">
      <c r="A39" s="2" t="s">
        <v>141</v>
      </c>
      <c r="B39">
        <f>'分42行业工业增加值（2012年美元）'!D39/'分42行业工业增加值（2012年美元）'!C39-1</f>
        <v>0.291458928114257</v>
      </c>
      <c r="C39">
        <f>'分42行业工业增加值（2012年美元）'!E39/'分42行业工业增加值（2012年美元）'!D39-1</f>
        <v>-0.115765398164211</v>
      </c>
      <c r="D39">
        <f>'分42行业工业增加值（2012年美元）'!F39/'分42行业工业增加值（2012年美元）'!E39-1</f>
        <v>0.091193809644764</v>
      </c>
      <c r="E39">
        <f>'分42行业工业增加值（2012年美元）'!G39/'分42行业工业增加值（2012年美元）'!F39-1</f>
        <v>0.0858484959632537</v>
      </c>
      <c r="F39">
        <f>'分42行业工业增加值（2012年美元）'!H39/'分42行业工业增加值（2012年美元）'!G39-1</f>
        <v>0.0802779120841544</v>
      </c>
      <c r="G39">
        <f>'分42行业工业增加值（2012年美元）'!I39/'分42行业工业增加值（2012年美元）'!H39-1</f>
        <v>0.0765450667949203</v>
      </c>
      <c r="H39">
        <f>'分42行业工业增加值（2012年美元）'!J39/'分42行业工业增加值（2012年美元）'!I39-1</f>
        <v>0.0717568614658044</v>
      </c>
      <c r="I39">
        <f>'分42行业工业增加值（2012年美元）'!K39/'分42行业工业增加值（2012年美元）'!J39-1</f>
        <v>0.067564093301276</v>
      </c>
      <c r="J39">
        <f>'分42行业工业增加值（2012年美元）'!L39/'分42行业工业增加值（2012年美元）'!K39-1</f>
        <v>0.0640615511288576</v>
      </c>
      <c r="K39">
        <f>'分42行业工业增加值（2012年美元）'!M39/'分42行业工业增加值（2012年美元）'!L39-1</f>
        <v>0.0601277302554182</v>
      </c>
      <c r="L39">
        <f>'分42行业工业增加值（2012年美元）'!N39/'分42行业工业增加值（2012年美元）'!M39-1</f>
        <v>0.0569150442507924</v>
      </c>
      <c r="M39">
        <f>'分42行业工业增加值（2012年美元）'!O39/'分42行业工业增加值（2012年美元）'!N39-1</f>
        <v>0.053824850312683</v>
      </c>
      <c r="N39">
        <f>'分42行业工业增加值（2012年美元）'!P39/'分42行业工业增加值（2012年美元）'!O39-1</f>
        <v>0.0506448279182026</v>
      </c>
      <c r="O39">
        <f>'分42行业工业增加值（2012年美元）'!Q39/'分42行业工业增加值（2012年美元）'!P39-1</f>
        <v>0.0480671883080908</v>
      </c>
      <c r="P39">
        <f>'分42行业工业增加值（2012年美元）'!R39/'分42行业工业增加值（2012年美元）'!Q39-1</f>
        <v>0.0453646263195633</v>
      </c>
      <c r="Q39">
        <f>'分42行业工业增加值（2012年美元）'!S39/'分42行业工业增加值（2012年美元）'!R39-1</f>
        <v>0.0427860360863612</v>
      </c>
      <c r="R39">
        <f>'分42行业工业增加值（2012年美元）'!T39/'分42行业工业增加值（2012年美元）'!S39-1</f>
        <v>0.0406919401813504</v>
      </c>
      <c r="S39">
        <f>'分42行业工业增加值（2012年美元）'!U39/'分42行业工业增加值（2012年美元）'!T39-1</f>
        <v>0.0383738540901115</v>
      </c>
      <c r="T39">
        <f>'分42行业工业增加值（2012年美元）'!V39/'分42行业工业增加值（2012年美元）'!U39-1</f>
        <v>0.0365914127286346</v>
      </c>
      <c r="U39">
        <f>'分42行业工业增加值（2012年美元）'!W39/'分42行业工业增加值（2012年美元）'!V39-1</f>
        <v>0.0346655366300035</v>
      </c>
      <c r="V39">
        <f>'分42行业工业增加值（2012年美元）'!X39/'分42行业工业增加值（2012年美元）'!W39-1</f>
        <v>0.0327309583236475</v>
      </c>
      <c r="W39">
        <f>'分42行业工业增加值（2012年美元）'!Y39/'分42行业工业增加值（2012年美元）'!X39-1</f>
        <v>0.0312107335989693</v>
      </c>
      <c r="X39">
        <f>'分42行业工业增加值（2012年美元）'!Z39/'分42行业工业增加值（2012年美元）'!Y39-1</f>
        <v>0.0296653426323388</v>
      </c>
      <c r="Y39">
        <f>'分42行业工业增加值（2012年美元）'!AA39/'分42行业工业增加值（2012年美元）'!Z39-1</f>
        <v>0.0281505383307374</v>
      </c>
      <c r="Z39">
        <f>'分42行业工业增加值（2012年美元）'!AB39/'分42行业工业增加值（2012年美元）'!AA39-1</f>
        <v>0.0267316794078605</v>
      </c>
      <c r="AA39">
        <f>'分42行业工业增加值（2012年美元）'!AC39/'分42行业工业增加值（2012年美元）'!AB39-1</f>
        <v>0.0254847660837261</v>
      </c>
      <c r="AB39">
        <f>'分42行业工业增加值（2012年美元）'!AD39/'分42行业工业增加值（2012年美元）'!AC39-1</f>
        <v>0.0243319153416681</v>
      </c>
      <c r="AC39">
        <f>'分42行业工业增加值（2012年美元）'!AE39/'分42行业工业增加值（2012年美元）'!AD39-1</f>
        <v>0.0230994467283774</v>
      </c>
      <c r="AD39">
        <f>'分42行业工业增加值（2012年美元）'!AF39/'分42行业工业增加值（2012年美元）'!AE39-1</f>
        <v>0.0219624411860437</v>
      </c>
      <c r="AE39">
        <f>'分42行业工业增加值（2012年美元）'!AG39/'分42行业工业增加值（2012年美元）'!AF39-1</f>
        <v>0.0210982512226623</v>
      </c>
      <c r="AF39">
        <f>'分42行业工业增加值（2012年美元）'!AH39/'分42行业工业增加值（2012年美元）'!AG39-1</f>
        <v>0.0200542175245819</v>
      </c>
      <c r="AG39">
        <f>'分42行业工业增加值（2012年美元）'!AI39/'分42行业工业增加值（2012年美元）'!AH39-1</f>
        <v>0.0191574292141188</v>
      </c>
      <c r="AH39">
        <f>'分42行业工业增加值（2012年美元）'!AJ39/'分42行业工业增加值（2012年美元）'!AI39-1</f>
        <v>0.0183638313474916</v>
      </c>
      <c r="AI39">
        <f>'分42行业工业增加值（2012年美元）'!AK39/'分42行业工业增加值（2012年美元）'!AJ39-1</f>
        <v>0.017524138931087</v>
      </c>
      <c r="AJ39">
        <f>'分42行业工业增加值（2012年美元）'!AL39/'分42行业工业增加值（2012年美元）'!AK39-1</f>
        <v>0.0168339870896672</v>
      </c>
      <c r="AK39">
        <f>'分42行业工业增加值（2012年美元）'!AM39/'分42行业工业增加值（2012年美元）'!AL39-1</f>
        <v>0.0161711211873599</v>
      </c>
      <c r="AL39">
        <f>'分42行业工业增加值（2012年美元）'!AN39/'分42行业工业增加值（2012年美元）'!AM39-1</f>
        <v>0.0155579046122856</v>
      </c>
      <c r="AM39">
        <f>'分42行业工业增加值（2012年美元）'!AO39/'分42行业工业增加值（2012年美元）'!AN39-1</f>
        <v>0.0149953286337143</v>
      </c>
      <c r="AN39">
        <f>'分42行业工业增加值（2012年美元）'!AP39/'分42行业工业增加值（2012年美元）'!AO39-1</f>
        <v>0.0144731103293141</v>
      </c>
      <c r="AO39">
        <f>'分42行业工业增加值（2012年美元）'!AQ39/'分42行业工业增加值（2012年美元）'!AP39-1</f>
        <v>0.0140224227046004</v>
      </c>
      <c r="AP39">
        <f>'分42行业工业增加值（2012年美元）'!AR39/'分42行业工业增加值（2012年美元）'!AQ39-1</f>
        <v>0.0135788087692195</v>
      </c>
    </row>
    <row r="40" spans="1:42">
      <c r="A40" s="2" t="s">
        <v>138</v>
      </c>
      <c r="B40">
        <f>'分42行业工业增加值（2012年美元）'!D40/'分42行业工业增加值（2012年美元）'!C40-1</f>
        <v>0.300259489664032</v>
      </c>
      <c r="C40">
        <f>'分42行业工业增加值（2012年美元）'!E40/'分42行业工业增加值（2012年美元）'!D40-1</f>
        <v>-0.106683304867099</v>
      </c>
      <c r="D40">
        <f>'分42行业工业增加值（2012年美元）'!F40/'分42行业工业增加值（2012年美元）'!E40-1</f>
        <v>0.0895752886153052</v>
      </c>
      <c r="E40">
        <f>'分42行业工业增加值（2012年美元）'!G40/'分42行业工业增加值（2012年美元）'!F40-1</f>
        <v>0.0845965806828819</v>
      </c>
      <c r="F40">
        <f>'分42行业工业增加值（2012年美元）'!H40/'分42行业工业增加值（2012年美元）'!G40-1</f>
        <v>0.0789555068166941</v>
      </c>
      <c r="G40">
        <f>'分42行业工业增加值（2012年美元）'!I40/'分42行业工业增加值（2012年美元）'!H40-1</f>
        <v>0.0752706762110322</v>
      </c>
      <c r="H40">
        <f>'分42行业工业增加值（2012年美元）'!J40/'分42行业工业增加值（2012年美元）'!I40-1</f>
        <v>0.0703499601611464</v>
      </c>
      <c r="I40">
        <f>'分42行业工业增加值（2012年美元）'!K40/'分42行业工业增加值（2012年美元）'!J40-1</f>
        <v>0.0662624283669393</v>
      </c>
      <c r="J40">
        <f>'分42行业工业增加值（2012年美元）'!L40/'分42行业工业增加值（2012年美元）'!K40-1</f>
        <v>0.0628741380392102</v>
      </c>
      <c r="K40">
        <f>'分42行业工业增加值（2012年美元）'!M40/'分42行业工业增加值（2012年美元）'!L40-1</f>
        <v>0.0588390319819925</v>
      </c>
      <c r="L40">
        <f>'分42行业工业增加值（2012年美元）'!N40/'分42行业工业增加值（2012年美元）'!M40-1</f>
        <v>0.0557341432058633</v>
      </c>
      <c r="M40">
        <f>'分42行业工业增加值（2012年美元）'!O40/'分42行业工业增加值（2012年美元）'!N40-1</f>
        <v>0.0526455331582496</v>
      </c>
      <c r="N40">
        <f>'分42行业工业增加值（2012年美元）'!P40/'分42行业工业增加值（2012年美元）'!O40-1</f>
        <v>0.0494948200014138</v>
      </c>
      <c r="O40">
        <f>'分42行业工业增加值（2012年美元）'!Q40/'分42行业工业增加值（2012年美元）'!P40-1</f>
        <v>0.0469776330895642</v>
      </c>
      <c r="P40">
        <f>'分42行业工业增加值（2012年美元）'!R40/'分42行业工业增加值（2012年美元）'!Q40-1</f>
        <v>0.044233871431143</v>
      </c>
      <c r="Q40">
        <f>'分42行业工业增加值（2012年美元）'!S40/'分42行业工业增加值（2012年美元）'!R40-1</f>
        <v>0.0417027443309124</v>
      </c>
      <c r="R40">
        <f>'分42行业工业增加值（2012年美元）'!T40/'分42行业工业增加值（2012年美元）'!S40-1</f>
        <v>0.0396673579464819</v>
      </c>
      <c r="S40">
        <f>'分42行业工业增加值（2012年美元）'!U40/'分42行业工业增加值（2012年美元）'!T40-1</f>
        <v>0.0373687558123088</v>
      </c>
      <c r="T40">
        <f>'分42行业工业增加值（2012年美元）'!V40/'分42行业工业增加值（2012年美元）'!U40-1</f>
        <v>0.0356206041376805</v>
      </c>
      <c r="U40">
        <f>'分42行业工业增加值（2012年美元）'!W40/'分42行业工业增加值（2012年美元）'!V40-1</f>
        <v>0.033735658489086</v>
      </c>
      <c r="V40">
        <f>'分42行业工业增加值（2012年美元）'!X40/'分42行业工业增加值（2012年美元）'!W40-1</f>
        <v>0.0318814347485219</v>
      </c>
      <c r="W40">
        <f>'分42行业工业增加值（2012年美元）'!Y40/'分42行业工业增加值（2012年美元）'!X40-1</f>
        <v>0.0303847138641349</v>
      </c>
      <c r="X40">
        <f>'分42行业工业增加值（2012年美元）'!Z40/'分42行业工业增加值（2012年美元）'!Y40-1</f>
        <v>0.0288255854950452</v>
      </c>
      <c r="Y40">
        <f>'分42行业工业增加值（2012年美元）'!AA40/'分42行业工业增加值（2012年美元）'!Z40-1</f>
        <v>0.0273829506257224</v>
      </c>
      <c r="Z40">
        <f>'分42行业工业增加值（2012年美元）'!AB40/'分42行业工业增加值（2012年美元）'!AA40-1</f>
        <v>0.0259962759153194</v>
      </c>
      <c r="AA40">
        <f>'分42行业工业增加值（2012年美元）'!AC40/'分42行业工业增加值（2012年美元）'!AB40-1</f>
        <v>0.0247556952179695</v>
      </c>
      <c r="AB40">
        <f>'分42行业工业增加值（2012年美元）'!AD40/'分42行业工业增加值（2012年美元）'!AC40-1</f>
        <v>0.0236602123209442</v>
      </c>
      <c r="AC40">
        <f>'分42行业工业增加值（2012年美元）'!AE40/'分42行业工业增加值（2012年美元）'!AD40-1</f>
        <v>0.0224189093803084</v>
      </c>
      <c r="AD40">
        <f>'分42行业工业增加值（2012年美元）'!AF40/'分42行业工业增加值（2012年美元）'!AE40-1</f>
        <v>0.0213129618563335</v>
      </c>
      <c r="AE40">
        <f>'分42行业工业增加值（2012年美元）'!AG40/'分42行业工业增加值（2012年美元）'!AF40-1</f>
        <v>0.0204629858846963</v>
      </c>
      <c r="AF40">
        <f>'分42行业工业增加值（2012年美元）'!AH40/'分42行业工业增加值（2012年美元）'!AG40-1</f>
        <v>0.0194118356786828</v>
      </c>
      <c r="AG40">
        <f>'分42行业工业增加值（2012年美元）'!AI40/'分42行业工业增加值（2012年美元）'!AH40-1</f>
        <v>0.0185404802687594</v>
      </c>
      <c r="AH40">
        <f>'分42行业工业增加值（2012年美元）'!AJ40/'分42行业工业增加值（2012年美元）'!AI40-1</f>
        <v>0.0177158447381658</v>
      </c>
      <c r="AI40">
        <f>'分42行业工业增加值（2012年美元）'!AK40/'分42行业工业增加值（2012年美元）'!AJ40-1</f>
        <v>0.0168643734979856</v>
      </c>
      <c r="AJ40">
        <f>'分42行业工业增加值（2012年美元）'!AL40/'分42行业工业增加值（2012年美元）'!AK40-1</f>
        <v>0.0161607739994838</v>
      </c>
      <c r="AK40">
        <f>'分42行业工业增加值（2012年美元）'!AM40/'分42行业工业增加值（2012年美元）'!AL40-1</f>
        <v>0.015449535599048</v>
      </c>
      <c r="AL40">
        <f>'分42行业工业增加值（2012年美元）'!AN40/'分42行业工业增加值（2012年美元）'!AM40-1</f>
        <v>0.0148018314508123</v>
      </c>
      <c r="AM40">
        <f>'分42行业工业增加值（2012年美元）'!AO40/'分42行业工业增加值（2012年美元）'!AN40-1</f>
        <v>0.0141736960948744</v>
      </c>
      <c r="AN40">
        <f>'分42行业工业增加值（2012年美元）'!AP40/'分42行业工业增加值（2012年美元）'!AO40-1</f>
        <v>0.0135898985868121</v>
      </c>
      <c r="AO40">
        <f>'分42行业工业增加值（2012年美元）'!AQ40/'分42行业工业增加值（2012年美元）'!AP40-1</f>
        <v>0.0130569650885404</v>
      </c>
      <c r="AP40">
        <f>'分42行业工业增加值（2012年美元）'!AR40/'分42行业工业增加值（2012年美元）'!AQ40-1</f>
        <v>0.0125137055993363</v>
      </c>
    </row>
    <row r="41" spans="1:42">
      <c r="A41" s="2" t="s">
        <v>139</v>
      </c>
      <c r="B41">
        <f>'分42行业工业增加值（2012年美元）'!D41/'分42行业工业增加值（2012年美元）'!C41-1</f>
        <v>0.324086932541336</v>
      </c>
      <c r="C41">
        <f>'分42行业工业增加值（2012年美元）'!E41/'分42行业工业增加值（2012年美元）'!D41-1</f>
        <v>-0.084973292973941</v>
      </c>
      <c r="D41">
        <f>'分42行业工业增加值（2012年美元）'!F41/'分42行业工业增加值（2012年美元）'!E41-1</f>
        <v>0.0915450559086863</v>
      </c>
      <c r="E41">
        <f>'分42行业工业增加值（2012年美元）'!G41/'分42行业工业增加值（2012年美元）'!F41-1</f>
        <v>0.0858596267199385</v>
      </c>
      <c r="F41">
        <f>'分42行业工业增加值（2012年美元）'!H41/'分42行业工业增加值（2012年美元）'!G41-1</f>
        <v>0.0795677480435351</v>
      </c>
      <c r="G41">
        <f>'分42行业工业增加值（2012年美元）'!I41/'分42行业工业增加值（2012年美元）'!H41-1</f>
        <v>0.0755174049891403</v>
      </c>
      <c r="H41">
        <f>'分42行业工业增加值（2012年美元）'!J41/'分42行业工业增加值（2012年美元）'!I41-1</f>
        <v>0.070553275555985</v>
      </c>
      <c r="I41">
        <f>'分42行业工业增加值（2012年美元）'!K41/'分42行业工业增加值（2012年美元）'!J41-1</f>
        <v>0.0661721902907935</v>
      </c>
      <c r="J41">
        <f>'分42行业工业增加值（2012年美元）'!L41/'分42行业工业增加值（2012年美元）'!K41-1</f>
        <v>0.0626250542714979</v>
      </c>
      <c r="K41">
        <f>'分42行业工业增加值（2012年美元）'!M41/'分42行业工业增加值（2012年美元）'!L41-1</f>
        <v>0.0584998655243372</v>
      </c>
      <c r="L41">
        <f>'分42行业工业增加值（2012年美元）'!N41/'分42行业工业增加值（2012年美元）'!M41-1</f>
        <v>0.0553001058411173</v>
      </c>
      <c r="M41">
        <f>'分42行业工业增加值（2012年美元）'!O41/'分42行业工业增加值（2012年美元）'!N41-1</f>
        <v>0.0522794007321674</v>
      </c>
      <c r="N41">
        <f>'分42行业工业增加值（2012年美元）'!P41/'分42行业工业增加值（2012年美元）'!O41-1</f>
        <v>0.0490235804097203</v>
      </c>
      <c r="O41">
        <f>'分42行业工业增加值（2012年美元）'!Q41/'分42行业工业增加值（2012年美元）'!P41-1</f>
        <v>0.0465189611791705</v>
      </c>
      <c r="P41">
        <f>'分42行业工业增加值（2012年美元）'!R41/'分42行业工业增加值（2012年美元）'!Q41-1</f>
        <v>0.0438171617358971</v>
      </c>
      <c r="Q41">
        <f>'分42行业工业增加值（2012年美元）'!S41/'分42行业工业增加值（2012年美元）'!R41-1</f>
        <v>0.0412812067899042</v>
      </c>
      <c r="R41">
        <f>'分42行业工业增加值（2012年美元）'!T41/'分42行业工业增加值（2012年美元）'!S41-1</f>
        <v>0.0392714895644697</v>
      </c>
      <c r="S41">
        <f>'分42行业工业增加值（2012年美元）'!U41/'分42行业工业增加值（2012年美元）'!T41-1</f>
        <v>0.0369839951227739</v>
      </c>
      <c r="T41">
        <f>'分42行业工业增加值（2012年美元）'!V41/'分42行业工业增加值（2012年美元）'!U41-1</f>
        <v>0.0352285595547805</v>
      </c>
      <c r="U41">
        <f>'分42行业工业增加值（2012年美元）'!W41/'分42行业工业增加值（2012年美元）'!V41-1</f>
        <v>0.0334104594754085</v>
      </c>
      <c r="V41">
        <f>'分42行业工业增加值（2012年美元）'!X41/'分42行业工业增加值（2012年美元）'!W41-1</f>
        <v>0.0315389221441686</v>
      </c>
      <c r="W41">
        <f>'分42行业工业增加值（2012年美元）'!Y41/'分42行业工业增加值（2012年美元）'!X41-1</f>
        <v>0.030061014369694</v>
      </c>
      <c r="X41">
        <f>'分42行业工业增加值（2012年美元）'!Z41/'分42行业工业增加值（2012年美元）'!Y41-1</f>
        <v>0.0285494510361601</v>
      </c>
      <c r="Y41">
        <f>'分42行业工业增加值（2012年美元）'!AA41/'分42行业工业增加值（2012年美元）'!Z41-1</f>
        <v>0.0271002050221409</v>
      </c>
      <c r="Z41">
        <f>'分42行业工业增加值（2012年美元）'!AB41/'分42行业工业增加值（2012年美元）'!AA41-1</f>
        <v>0.0257622429552333</v>
      </c>
      <c r="AA41">
        <f>'分42行业工业增加值（2012年美元）'!AC41/'分42行业工业增加值（2012年美元）'!AB41-1</f>
        <v>0.0245107626946297</v>
      </c>
      <c r="AB41">
        <f>'分42行业工业增加值（2012年美元）'!AD41/'分42行业工业增加值（2012年美元）'!AC41-1</f>
        <v>0.0234309655915677</v>
      </c>
      <c r="AC41">
        <f>'分42行业工业增加值（2012年美元）'!AE41/'分42行业工业增加值（2012年美元）'!AD41-1</f>
        <v>0.0222160224467891</v>
      </c>
      <c r="AD41">
        <f>'分42行业工业增加值（2012年美元）'!AF41/'分42行业工业增加值（2012年美元）'!AE41-1</f>
        <v>0.0211121824131053</v>
      </c>
      <c r="AE41">
        <f>'分42行业工业增加值（2012年美元）'!AG41/'分42行业工业增加值（2012年美元）'!AF41-1</f>
        <v>0.0202841201164461</v>
      </c>
      <c r="AF41">
        <f>'分42行业工业增加值（2012年美元）'!AH41/'分42行业工业增加值（2012年美元）'!AG41-1</f>
        <v>0.0192280370564946</v>
      </c>
      <c r="AG41">
        <f>'分42行业工业增加值（2012年美元）'!AI41/'分42行业工业增加值（2012年美元）'!AH41-1</f>
        <v>0.0183543907649621</v>
      </c>
      <c r="AH41">
        <f>'分42行业工业增加值（2012年美元）'!AJ41/'分42行业工业增加值（2012年美元）'!AI41-1</f>
        <v>0.0175477733777099</v>
      </c>
      <c r="AI41">
        <f>'分42行业工业增加值（2012年美元）'!AK41/'分42行业工业增加值（2012年美元）'!AJ41-1</f>
        <v>0.0166857543018077</v>
      </c>
      <c r="AJ41">
        <f>'分42行业工业增加值（2012年美元）'!AL41/'分42行业工业增加值（2012年美元）'!AK41-1</f>
        <v>0.0159871727331176</v>
      </c>
      <c r="AK41">
        <f>'分42行业工业增加值（2012年美元）'!AM41/'分42行业工业增加值（2012年美元）'!AL41-1</f>
        <v>0.0152668908136331</v>
      </c>
      <c r="AL41">
        <f>'分42行业工业增加值（2012年美元）'!AN41/'分42行业工业增加值（2012年美元）'!AM41-1</f>
        <v>0.0145900972974726</v>
      </c>
      <c r="AM41">
        <f>'分42行业工业增加值（2012年美元）'!AO41/'分42行业工业增加值（2012年美元）'!AN41-1</f>
        <v>0.0139616871075781</v>
      </c>
      <c r="AN41">
        <f>'分42行业工业增加值（2012年美元）'!AP41/'分42行业工业增加值（2012年美元）'!AO41-1</f>
        <v>0.0133474672553937</v>
      </c>
      <c r="AO41">
        <f>'分42行业工业增加值（2012年美元）'!AQ41/'分42行业工业增加值（2012年美元）'!AP41-1</f>
        <v>0.0128058624321836</v>
      </c>
      <c r="AP41">
        <f>'分42行业工业增加值（2012年美元）'!AR41/'分42行业工业增加值（2012年美元）'!AQ41-1</f>
        <v>0.0122294456329191</v>
      </c>
    </row>
    <row r="42" spans="1:42">
      <c r="A42" s="2" t="s">
        <v>140</v>
      </c>
      <c r="B42">
        <f>'分42行业工业增加值（2012年美元）'!D42/'分42行业工业增加值（2012年美元）'!C42-1</f>
        <v>0.379949145351363</v>
      </c>
      <c r="C42">
        <f>'分42行业工业增加值（2012年美元）'!E42/'分42行业工业增加值（2012年美元）'!D42-1</f>
        <v>-0.0376897160142954</v>
      </c>
      <c r="D42">
        <f>'分42行业工业增加值（2012年美元）'!F42/'分42行业工业增加值（2012年美元）'!E42-1</f>
        <v>0.0852018254781339</v>
      </c>
      <c r="E42">
        <f>'分42行业工业增加值（2012年美元）'!G42/'分42行业工业增加值（2012年美元）'!F42-1</f>
        <v>0.0803721554320713</v>
      </c>
      <c r="F42">
        <f>'分42行业工业增加值（2012年美元）'!H42/'分42行业工业增加值（2012年美元）'!G42-1</f>
        <v>0.0755788210154831</v>
      </c>
      <c r="G42">
        <f>'分42行业工业增加值（2012年美元）'!I42/'分42行业工业增加值（2012年美元）'!H42-1</f>
        <v>0.0719517536312995</v>
      </c>
      <c r="H42">
        <f>'分42行业工业增加值（2012年美元）'!J42/'分42行业工业增加值（2012年美元）'!I42-1</f>
        <v>0.0678024498912539</v>
      </c>
      <c r="I42">
        <f>'分42行业工业增加值（2012年美元）'!K42/'分42行业工业增加值（2012年美元）'!J42-1</f>
        <v>0.0640725495226435</v>
      </c>
      <c r="J42">
        <f>'分42行业工业增加值（2012年美元）'!L42/'分42行业工业增加值（2012年美元）'!K42-1</f>
        <v>0.0607361336050629</v>
      </c>
      <c r="K42">
        <f>'分42行业工业增加值（2012年美元）'!M42/'分42行业工业增加值（2012年美元）'!L42-1</f>
        <v>0.0572088774505894</v>
      </c>
      <c r="L42">
        <f>'分42行业工业增加值（2012年美元）'!N42/'分42行业工业增加值（2012年美元）'!M42-1</f>
        <v>0.0541113278336967</v>
      </c>
      <c r="M42">
        <f>'分42行业工业增加值（2012年美元）'!O42/'分42行业工业增加值（2012年美元）'!N42-1</f>
        <v>0.0511046198257117</v>
      </c>
      <c r="N42">
        <f>'分42行业工业增加值（2012年美元）'!P42/'分42行业工业增加值（2012年美元）'!O42-1</f>
        <v>0.0481598833144932</v>
      </c>
      <c r="O42">
        <f>'分42行业工业增加值（2012年美元）'!Q42/'分42行业工业增加值（2012年美元）'!P42-1</f>
        <v>0.0457443131987287</v>
      </c>
      <c r="P42">
        <f>'分42行业工业增加值（2012年美元）'!R42/'分42行业工业增加值（2012年美元）'!Q42-1</f>
        <v>0.0433073994470912</v>
      </c>
      <c r="Q42">
        <f>'分42行业工业增加值（2012年美元）'!S42/'分42行业工业增加值（2012年美元）'!R42-1</f>
        <v>0.0407174703947668</v>
      </c>
      <c r="R42">
        <f>'分42行业工业增加值（2012年美元）'!T42/'分42行业工业增加值（2012年美元）'!S42-1</f>
        <v>0.0386842096478581</v>
      </c>
      <c r="S42">
        <f>'分42行业工业增加值（2012年美元）'!U42/'分42行业工业增加值（2012年美元）'!T42-1</f>
        <v>0.0366257783625388</v>
      </c>
      <c r="T42">
        <f>'分42行业工业增加值（2012年美元）'!V42/'分42行业工业增加值（2012年美元）'!U42-1</f>
        <v>0.0347687308173452</v>
      </c>
      <c r="U42">
        <f>'分42行业工业增加值（2012年美元）'!W42/'分42行业工业增加值（2012年美元）'!V42-1</f>
        <v>0.0328338666973651</v>
      </c>
      <c r="V42">
        <f>'分42行业工业增加值（2012年美元）'!X42/'分42行业工业增加值（2012年美元）'!W42-1</f>
        <v>0.0310585053802821</v>
      </c>
      <c r="W42">
        <f>'分42行业工业增加值（2012年美元）'!Y42/'分42行业工业增加值（2012年美元）'!X42-1</f>
        <v>0.0295084730610549</v>
      </c>
      <c r="X42">
        <f>'分42行业工业增加值（2012年美元）'!Z42/'分42行业工业增加值（2012年美元）'!Y42-1</f>
        <v>0.0279733522736061</v>
      </c>
      <c r="Y42">
        <f>'分42行业工业增加值（2012年美元）'!AA42/'分42行业工业增加值（2012年美元）'!Z42-1</f>
        <v>0.0264843602239475</v>
      </c>
      <c r="Z42">
        <f>'分42行业工业增加值（2012年美元）'!AB42/'分42行业工业增加值（2012年美元）'!AA42-1</f>
        <v>0.0251021333812094</v>
      </c>
      <c r="AA42">
        <f>'分42行业工业增加值（2012年美元）'!AC42/'分42行业工业增加值（2012年美元）'!AB42-1</f>
        <v>0.0238668089575216</v>
      </c>
      <c r="AB42">
        <f>'分42行业工业增加值（2012年美元）'!AD42/'分42行业工业增加值（2012年美元）'!AC42-1</f>
        <v>0.022656342912577</v>
      </c>
      <c r="AC42">
        <f>'分42行业工业增加值（2012年美元）'!AE42/'分42行业工业增加值（2012年美元）'!AD42-1</f>
        <v>0.0215374214343991</v>
      </c>
      <c r="AD42">
        <f>'分42行业工业增加值（2012年美元）'!AF42/'分42行业工业增加值（2012年美元）'!AE42-1</f>
        <v>0.0204131719261065</v>
      </c>
      <c r="AE42">
        <f>'分42行业工业增加值（2012年美元）'!AG42/'分42行业工业增加值（2012年美元）'!AF42-1</f>
        <v>0.0194764617162879</v>
      </c>
      <c r="AF42">
        <f>'分42行业工业增加值（2012年美元）'!AH42/'分42行业工业增加值（2012年美元）'!AG42-1</f>
        <v>0.0185175272800604</v>
      </c>
      <c r="AG42">
        <f>'分42行业工业增加值（2012年美元）'!AI42/'分42行业工业增加值（2012年美元）'!AH42-1</f>
        <v>0.0176456848145745</v>
      </c>
      <c r="AH42">
        <f>'分42行业工业增加值（2012年美元）'!AJ42/'分42行业工业增加值（2012年美元）'!AI42-1</f>
        <v>0.0168211967305691</v>
      </c>
      <c r="AI42">
        <f>'分42行业工业增加值（2012年美元）'!AK42/'分42行业工业增加值（2012年美元）'!AJ42-1</f>
        <v>0.016047141970682</v>
      </c>
      <c r="AJ42">
        <f>'分42行业工业增加值（2012年美元）'!AL42/'分42行业工业增加值（2012年美元）'!AK42-1</f>
        <v>0.0153978179847496</v>
      </c>
      <c r="AK42">
        <f>'分42行业工业增加值（2012年美元）'!AM42/'分42行业工业增加值（2012年美元）'!AL42-1</f>
        <v>0.0147628912664184</v>
      </c>
      <c r="AL42">
        <f>'分42行业工业增加值（2012年美元）'!AN42/'分42行业工业增加值（2012年美元）'!AM42-1</f>
        <v>0.0141914072755209</v>
      </c>
      <c r="AM42">
        <f>'分42行业工业增加值（2012年美元）'!AO42/'分42行业工业增加值（2012年美元）'!AN42-1</f>
        <v>0.0136967065823443</v>
      </c>
      <c r="AN42">
        <f>'分42行业工业增加值（2012年美元）'!AP42/'分42行业工业增加值（2012年美元）'!AO42-1</f>
        <v>0.0132150607760233</v>
      </c>
      <c r="AO42">
        <f>'分42行业工业增加值（2012年美元）'!AQ42/'分42行业工业增加值（2012年美元）'!AP42-1</f>
        <v>0.0128364450200684</v>
      </c>
      <c r="AP42">
        <f>'分42行业工业增加值（2012年美元）'!AR42/'分42行业工业增加值（2012年美元）'!AQ42-1</f>
        <v>0.0125214316060476</v>
      </c>
    </row>
    <row r="43" spans="1:42">
      <c r="A43" s="2" t="s">
        <v>137</v>
      </c>
      <c r="B43">
        <f>'分42行业工业增加值（2012年美元）'!D43/'分42行业工业增加值（2012年美元）'!C43-1</f>
        <v>0.375399888476938</v>
      </c>
      <c r="C43">
        <f>'分42行业工业增加值（2012年美元）'!E43/'分42行业工业增加值（2012年美元）'!D43-1</f>
        <v>-0.0467400286934128</v>
      </c>
      <c r="D43">
        <f>'分42行业工业增加值（2012年美元）'!F43/'分42行业工业增加值（2012年美元）'!E43-1</f>
        <v>0.0926277567030391</v>
      </c>
      <c r="E43">
        <f>'分42行业工业增加值（2012年美元）'!G43/'分42行业工业增加值（2012年美元）'!F43-1</f>
        <v>0.086768998025865</v>
      </c>
      <c r="F43">
        <f>'分42行业工业增加值（2012年美元）'!H43/'分42行业工业增加值（2012年美元）'!G43-1</f>
        <v>0.0806683145565887</v>
      </c>
      <c r="G43">
        <f>'分42行业工业增加值（2012年美元）'!I43/'分42行业工业增加值（2012年美元）'!H43-1</f>
        <v>0.077140171749281</v>
      </c>
      <c r="H43">
        <f>'分42行业工业增加值（2012年美元）'!J43/'分42行业工业增加值（2012年美元）'!I43-1</f>
        <v>0.0720186758608403</v>
      </c>
      <c r="I43">
        <f>'分42行业工业增加值（2012年美元）'!K43/'分42行业工业增加值（2012年美元）'!J43-1</f>
        <v>0.0675846324862492</v>
      </c>
      <c r="J43">
        <f>'分42行业工业增加值（2012年美元）'!L43/'分42行业工业增加值（2012年美元）'!K43-1</f>
        <v>0.0640488643155825</v>
      </c>
      <c r="K43">
        <f>'分42行业工业增加值（2012年美元）'!M43/'分42行业工业增加值（2012年美元）'!L43-1</f>
        <v>0.0599020706500364</v>
      </c>
      <c r="L43">
        <f>'分42行业工业增加值（2012年美元）'!N43/'分42行业工业增加值（2012年美元）'!M43-1</f>
        <v>0.0569468036057419</v>
      </c>
      <c r="M43">
        <f>'分42行业工业增加值（2012年美元）'!O43/'分42行业工业增加值（2012年美元）'!N43-1</f>
        <v>0.0534983683293255</v>
      </c>
      <c r="N43">
        <f>'分42行业工业增加值（2012年美元）'!P43/'分42行业工业增加值（2012年美元）'!O43-1</f>
        <v>0.0501049471498685</v>
      </c>
      <c r="O43">
        <f>'分42行业工业增加值（2012年美元）'!Q43/'分42行业工业增加值（2012年美元）'!P43-1</f>
        <v>0.0476892880719633</v>
      </c>
      <c r="P43">
        <f>'分42行业工业增加值（2012年美元）'!R43/'分42行业工业增加值（2012年美元）'!Q43-1</f>
        <v>0.0448409322013752</v>
      </c>
      <c r="Q43">
        <f>'分42行业工业增加值（2012年美元）'!S43/'分42行业工业增加值（2012年美元）'!R43-1</f>
        <v>0.0421729862413749</v>
      </c>
      <c r="R43">
        <f>'分42行业工业增加值（2012年美元）'!T43/'分42行业工业增加值（2012年美元）'!S43-1</f>
        <v>0.040135871578957</v>
      </c>
      <c r="S43">
        <f>'分42行业工业增加值（2012年美元）'!U43/'分42行业工业增加值（2012年美元）'!T43-1</f>
        <v>0.0377698916438047</v>
      </c>
      <c r="T43">
        <f>'分42行业工业增加值（2012年美元）'!V43/'分42行业工业增加值（2012年美元）'!U43-1</f>
        <v>0.036006687909601</v>
      </c>
      <c r="U43">
        <f>'分42行业工业增加值（2012年美元）'!W43/'分42行业工业增加值（2012年美元）'!V43-1</f>
        <v>0.033998340074356</v>
      </c>
      <c r="V43">
        <f>'分42行业工业增加值（2012年美元）'!X43/'分42行业工业增加值（2012年美元）'!W43-1</f>
        <v>0.0320263622932835</v>
      </c>
      <c r="W43">
        <f>'分42行业工业增加值（2012年美元）'!Y43/'分42行业工业增加值（2012年美元）'!X43-1</f>
        <v>0.030536079138098</v>
      </c>
      <c r="X43">
        <f>'分42行业工业增加值（2012年美元）'!Z43/'分42行业工业增加值（2012年美元）'!Y43-1</f>
        <v>0.0289282697050062</v>
      </c>
      <c r="Y43">
        <f>'分42行业工业增加值（2012年美元）'!AA43/'分42行业工业增加值（2012年美元）'!Z43-1</f>
        <v>0.0274572361280405</v>
      </c>
      <c r="Z43">
        <f>'分42行业工业增加值（2012年美元）'!AB43/'分42行业工业增加值（2012年美元）'!AA43-1</f>
        <v>0.025982890607154</v>
      </c>
      <c r="AA43">
        <f>'分42行业工业增加值（2012年美元）'!AC43/'分42行业工业增加值（2012年美元）'!AB43-1</f>
        <v>0.0246819174548436</v>
      </c>
      <c r="AB43">
        <f>'分42行业工业增加值（2012年美元）'!AD43/'分42行业工业增加值（2012年美元）'!AC43-1</f>
        <v>0.0236191495852804</v>
      </c>
      <c r="AC43">
        <f>'分42行业工业增加值（2012年美元）'!AE43/'分42行业工业增加值（2012年美元）'!AD43-1</f>
        <v>0.0223244952691024</v>
      </c>
      <c r="AD43">
        <f>'分42行业工业增加值（2012年美元）'!AF43/'分42行业工业增加值（2012年美元）'!AE43-1</f>
        <v>0.021165192118668</v>
      </c>
      <c r="AE43">
        <f>'分42行业工业增加值（2012年美元）'!AG43/'分42行业工业增加值（2012年美元）'!AF43-1</f>
        <v>0.0203434072439488</v>
      </c>
      <c r="AF43">
        <f>'分42行业工业增加值（2012年美元）'!AH43/'分42行业工业增加值（2012年美元）'!AG43-1</f>
        <v>0.0192669656035336</v>
      </c>
      <c r="AG43">
        <f>'分42行业工业增加值（2012年美元）'!AI43/'分42行业工业增加值（2012年美元）'!AH43-1</f>
        <v>0.0184345853933245</v>
      </c>
      <c r="AH43">
        <f>'分42行业工业增加值（2012年美元）'!AJ43/'分42行业工业增加值（2012年美元）'!AI43-1</f>
        <v>0.0176187885590984</v>
      </c>
      <c r="AI43">
        <f>'分42行业工业增加值（2012年美元）'!AK43/'分42行业工业增加值（2012年美元）'!AJ43-1</f>
        <v>0.0167630313820828</v>
      </c>
      <c r="AJ43">
        <f>'分42行业工业增加值（2012年美元）'!AL43/'分42行业工业增加值（2012年美元）'!AK43-1</f>
        <v>0.0161073941896306</v>
      </c>
      <c r="AK43">
        <f>'分42行业工业增加值（2012年美元）'!AM43/'分42行业工业增加值（2012年美元）'!AL43-1</f>
        <v>0.0154448627789936</v>
      </c>
      <c r="AL43">
        <f>'分42行业工业增加值（2012年美元）'!AN43/'分42行业工业增加值（2012年美元）'!AM43-1</f>
        <v>0.0148505618122827</v>
      </c>
      <c r="AM43">
        <f>'分42行业工业增加值（2012年美元）'!AO43/'分42行业工业增加值（2012年美元）'!AN43-1</f>
        <v>0.0142894546374812</v>
      </c>
      <c r="AN43">
        <f>'分42行业工业增加值（2012年美元）'!AP43/'分42行业工业增加值（2012年美元）'!AO43-1</f>
        <v>0.0137913637623057</v>
      </c>
      <c r="AO43">
        <f>'分42行业工业增加值（2012年美元）'!AQ43/'分42行业工业增加值（2012年美元）'!AP43-1</f>
        <v>0.0133747003613953</v>
      </c>
      <c r="AP43">
        <f>'分42行业工业增加值（2012年美元）'!AR43/'分42行业工业增加值（2012年美元）'!AQ43-1</f>
        <v>0.012919387288707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分行业工业增加值（当年人民币）</vt:lpstr>
      <vt:lpstr>About</vt:lpstr>
      <vt:lpstr>分行业工业增加值（2012年美元）</vt:lpstr>
      <vt:lpstr>汇率</vt:lpstr>
      <vt:lpstr>2020年全国投入产出表</vt:lpstr>
      <vt:lpstr>分42行业工业增加值（2012年美元）</vt:lpstr>
      <vt:lpstr>BPCiObIC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2023-02-10T02:40:00Z</dcterms:created>
  <dcterms:modified xsi:type="dcterms:W3CDTF">2023-02-16T08:43:13Z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08EE579925534CC484648CB93619D6BD</vt:lpwstr>
  </property>
  <property fmtid="{D5CDD505-2E9C-101B-9397-08002B2CF9AE}" pid="3" name="KSOProductBuildVer">
    <vt:lpwstr>2052-11.1.0.13703</vt:lpwstr>
  </property>
</Properties>
</file>