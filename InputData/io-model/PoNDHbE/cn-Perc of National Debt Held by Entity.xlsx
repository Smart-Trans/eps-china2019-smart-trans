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2"/>
  </bookViews>
  <sheets>
    <sheet name="About" sheetId="1" r:id="rId1"/>
    <sheet name="Data &amp; Calcs" sheetId="5" r:id="rId2"/>
    <sheet name="PoNDHbE" sheetId="4" r:id="rId3"/>
  </sheets>
  <externalReferences>
    <externalReference r:id="rId4"/>
  </externalReferences>
  <definedNames>
    <definedName name="BTU_per_kw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<sst xmlns="http://schemas.openxmlformats.org/spreadsheetml/2006/main" count="71" uniqueCount="52">
  <si>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PoNDHbE Percent of National Debt Held by Entity</t>
  </si>
  <si>
    <t>Source:</t>
  </si>
  <si>
    <t>Huatai Research,China Bond Information Network</t>
  </si>
  <si>
    <t>Holders of Chinese Treasury Securities</t>
  </si>
  <si>
    <t>https://mp.weixin.qq.com/s/z2jBmTD08zkQY78NWGaz5w</t>
  </si>
  <si>
    <t>https://www.chinabond.com.cn/</t>
  </si>
  <si>
    <t>2019年</t>
  </si>
  <si>
    <t>华泰研究</t>
  </si>
  <si>
    <t>labor and consumers</t>
  </si>
  <si>
    <t>中国债券信息网</t>
  </si>
  <si>
    <t>government</t>
  </si>
  <si>
    <t>foreign entities</t>
  </si>
  <si>
    <t>券种</t>
  </si>
  <si>
    <t>年份</t>
  </si>
  <si>
    <t>机构 \ 金额（亿元）</t>
  </si>
  <si>
    <t>政策性银行</t>
  </si>
  <si>
    <t>商业银行</t>
  </si>
  <si>
    <t>信用社</t>
  </si>
  <si>
    <t>保险机构</t>
  </si>
  <si>
    <t>证券公司</t>
  </si>
  <si>
    <t>其他金融机构</t>
  </si>
  <si>
    <t>非法人产品</t>
  </si>
  <si>
    <t>非金融机构</t>
  </si>
  <si>
    <t>境外机构</t>
  </si>
  <si>
    <t>其它</t>
  </si>
  <si>
    <t>汇总</t>
  </si>
  <si>
    <t>记账式国债</t>
  </si>
  <si>
    <t>2019 年</t>
  </si>
  <si>
    <t>表1 2019年国债持有结构</t>
  </si>
  <si>
    <t>calculation</t>
  </si>
  <si>
    <t>由表1，政府持有的国债比例很小，2023年忽略政府持有的国债比例</t>
  </si>
  <si>
    <t>domestic industry</t>
  </si>
  <si>
    <t>2023年</t>
  </si>
  <si>
    <t>国债持有者结构</t>
  </si>
  <si>
    <t>① 商业银行</t>
  </si>
  <si>
    <t>② 信用社</t>
  </si>
  <si>
    <t>③ 保险机构</t>
  </si>
  <si>
    <t>④ 证券公司</t>
  </si>
  <si>
    <t>⑤ 非法人产品</t>
  </si>
  <si>
    <t>⑥ 境外机构</t>
  </si>
  <si>
    <t>⑦ 其他</t>
  </si>
  <si>
    <t>⑧ 银行间债券市场</t>
  </si>
  <si>
    <t>⑨ 柜台市场</t>
  </si>
  <si>
    <t>⑩ 交易所市场</t>
  </si>
  <si>
    <t>总计</t>
  </si>
  <si>
    <t>国债</t>
  </si>
  <si>
    <t>2022 年</t>
  </si>
  <si>
    <t>2023 年</t>
  </si>
  <si>
    <t>2024 年</t>
  </si>
  <si>
    <t>表2 2023年国债持有结构</t>
  </si>
  <si>
    <t>Share of Debt Held</t>
  </si>
  <si>
    <t>Unit: dimensionless (% of debt held)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</si>
</sst>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_)"/>
  </numFmts>
  <fonts count="26">
    <font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theme="10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0"/>
      <name val="Courier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3" fillId="4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/>
    <xf numFmtId="176" fontId="25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10" fontId="0" fillId="2" borderId="0" xfId="0" applyNumberFormat="1" applyFill="1"/>
    <xf numFmtId="0" fontId="3" fillId="0" borderId="3" xfId="0" applyFont="1" applyFill="1" applyBorder="1" applyAlignment="1">
      <alignment vertical="center"/>
    </xf>
    <xf numFmtId="0" fontId="0" fillId="2" borderId="0" xfId="0" applyFill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/>
    </xf>
    <xf numFmtId="0" fontId="3" fillId="0" borderId="1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0" xfId="0" applyNumberFormat="1" applyFont="1" applyFill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0" xfId="0" applyAlignment="1"/>
    <xf numFmtId="0" fontId="0" fillId="0" borderId="4" xfId="0" applyBorder="1"/>
    <xf numFmtId="0" fontId="4" fillId="3" borderId="5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2" borderId="5" xfId="0" applyFill="1" applyBorder="1"/>
    <xf numFmtId="0" fontId="0" fillId="0" borderId="8" xfId="0" applyBorder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6" applyFont="1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tsyhold96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69850</xdr:colOff>
      <xdr:row>30</xdr:row>
      <xdr:rowOff>68580</xdr:rowOff>
    </xdr:from>
    <xdr:to>
      <xdr:col>10</xdr:col>
      <xdr:colOff>116840</xdr:colOff>
      <xdr:row>46</xdr:row>
      <xdr:rowOff>153670</xdr:rowOff>
    </xdr:to>
    <xdr:pic>
      <xdr:nvPicPr>
        <xdr:cNvPr id="3" name="图片 2" descr="图片"/>
        <xdr:cNvPicPr>
          <a:picLocks noChangeAspect="1"/>
        </xdr:cNvPicPr>
      </xdr:nvPicPr>
      <xdr:blipFill>
        <a:blip r:embed="rId1"/>
        <a:srcRect b="48920"/>
        <a:stretch>
          <a:fillRect/>
        </a:stretch>
      </xdr:blipFill>
      <xdr:spPr>
        <a:xfrm>
          <a:off x="1197610" y="5326380"/>
          <a:ext cx="5975350" cy="2889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350520</xdr:colOff>
      <xdr:row>4</xdr:row>
      <xdr:rowOff>99060</xdr:rowOff>
    </xdr:from>
    <xdr:to>
      <xdr:col>10</xdr:col>
      <xdr:colOff>114300</xdr:colOff>
      <xdr:row>7</xdr:row>
      <xdr:rowOff>114300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520" y="800100"/>
          <a:ext cx="6819900" cy="5410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22799;&#26611;&#38054;\Desktop\&#22823;&#19977;&#19979;&#23398;&#20064;&#36164;&#26009;\&#33300;&#29399;&#30340;&#33258;&#25105;&#20462;&#20859;\&#25105;&#30340;&#29702;&#35299;\0625&#25214;&#25968;&#25454;\&#21442;&#25968;&#26356;&#26032;&#38656;&#27714;2025070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O模块记录"/>
      <sheetName val="fuels模块记录"/>
      <sheetName val="更新需求汇总"/>
      <sheetName val="更新参数-IO"/>
      <sheetName val="IRoND"/>
      <sheetName val="PoNDHbE"/>
      <sheetName val="ACTR"/>
      <sheetName val="BS燃料补贴"/>
      <sheetName val="BS 发电补贴"/>
      <sheetName val="Fossil Fuels"/>
      <sheetName val="hydro"/>
      <sheetName val="wind"/>
      <sheetName val="solar"/>
      <sheetName val="biomass"/>
      <sheetName val="geothermal"/>
      <sheetName val="biofuel diesel"/>
      <sheetName val="municipal solid waste"/>
      <sheetName val="hydrogen"/>
      <sheetName val="电力行业的建设BS-BSpUECB"/>
      <sheetName val="煤电改造补贴"/>
      <sheetName val="天然气建设补贴"/>
      <sheetName val="水电建设补贴"/>
      <sheetName val="海上、陆上风电建设补贴"/>
      <sheetName val="光伏建设补贴"/>
      <sheetName val="生物质能建设补贴"/>
      <sheetName val="地热建设补贴"/>
      <sheetName val="氢能建设补贴（不用"/>
      <sheetName val="城市固废建设补贴"/>
      <sheetName val="补贴期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inabond.com.c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K19" sqref="K19"/>
    </sheetView>
  </sheetViews>
  <sheetFormatPr defaultColWidth="9" defaultRowHeight="13.8" outlineLevelRow="7" outlineLevelCol="2"/>
  <sheetData>
    <row r="1" spans="1:1">
      <c r="A1" s="35" t="s">
        <v>0</v>
      </c>
    </row>
    <row r="3" spans="1:2">
      <c r="A3" s="35" t="s">
        <v>1</v>
      </c>
      <c r="B3" t="s">
        <v>2</v>
      </c>
    </row>
    <row r="4" spans="2:2">
      <c r="B4" s="36">
        <v>2023</v>
      </c>
    </row>
    <row r="5" spans="2:2">
      <c r="B5" t="s">
        <v>3</v>
      </c>
    </row>
    <row r="6" spans="2:3">
      <c r="B6" s="19" t="s">
        <v>4</v>
      </c>
      <c r="C6" s="37" t="s">
        <v>5</v>
      </c>
    </row>
    <row r="8" spans="1:1">
      <c r="A8" s="35"/>
    </row>
  </sheetData>
  <hyperlinks>
    <hyperlink ref="C6" r:id="rId1" display="https://www.chinabond.com.cn/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63"/>
  <sheetViews>
    <sheetView workbookViewId="0">
      <selection activeCell="P51" sqref="P51"/>
    </sheetView>
  </sheetViews>
  <sheetFormatPr defaultColWidth="8.88888888888889" defaultRowHeight="13.8"/>
  <cols>
    <col min="1" max="1" width="16.4444444444444" customWidth="1"/>
    <col min="2" max="2" width="8.22222222222222" customWidth="1"/>
    <col min="3" max="3" width="12.8888888888889"/>
    <col min="4" max="5" width="9.66666666666667"/>
    <col min="9" max="10" width="9.66666666666667"/>
    <col min="11" max="11" width="12.5555555555556" customWidth="1"/>
    <col min="12" max="12" width="9.66666666666667"/>
    <col min="13" max="14" width="10.6666666666667"/>
  </cols>
  <sheetData>
    <row r="2" spans="1:13">
      <c r="A2" s="3" t="s">
        <v>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7"/>
    </row>
    <row r="3" spans="1:13">
      <c r="A3" s="5"/>
      <c r="M3" s="31"/>
    </row>
    <row r="4" spans="1:13">
      <c r="A4" s="5" t="s">
        <v>7</v>
      </c>
      <c r="B4" t="s">
        <v>8</v>
      </c>
      <c r="C4" s="6">
        <v>0.055</v>
      </c>
      <c r="M4" s="31"/>
    </row>
    <row r="5" spans="1:13">
      <c r="A5" s="5"/>
      <c r="M5" s="31"/>
    </row>
    <row r="6" spans="1:13">
      <c r="A6" s="5"/>
      <c r="M6" s="31"/>
    </row>
    <row r="7" spans="1:13">
      <c r="A7" s="5"/>
      <c r="M7" s="31"/>
    </row>
    <row r="8" spans="1:13">
      <c r="A8" s="5"/>
      <c r="M8" s="31"/>
    </row>
    <row r="9" spans="1:13">
      <c r="A9" s="5"/>
      <c r="M9" s="31"/>
    </row>
    <row r="10" spans="1:13">
      <c r="A10" s="7" t="s">
        <v>9</v>
      </c>
      <c r="B10" t="s">
        <v>10</v>
      </c>
      <c r="C10" s="8">
        <f>C15/M15</f>
        <v>0.00690514779156595</v>
      </c>
      <c r="M10" s="31"/>
    </row>
    <row r="11" spans="1:13">
      <c r="A11" s="5"/>
      <c r="B11" t="s">
        <v>11</v>
      </c>
      <c r="C11" s="8">
        <f>K15/M15</f>
        <v>0.0853725343926222</v>
      </c>
      <c r="M11" s="31"/>
    </row>
    <row r="12" spans="1:13">
      <c r="A12" s="5"/>
      <c r="M12" s="31"/>
    </row>
    <row r="13" spans="1:13">
      <c r="A13" s="9" t="s">
        <v>12</v>
      </c>
      <c r="B13" s="10" t="s">
        <v>13</v>
      </c>
      <c r="C13" s="11" t="s">
        <v>14</v>
      </c>
      <c r="D13" s="11"/>
      <c r="E13" s="11"/>
      <c r="F13" s="11"/>
      <c r="G13" s="11"/>
      <c r="H13" s="11"/>
      <c r="I13" s="11"/>
      <c r="J13" s="11"/>
      <c r="K13" s="11"/>
      <c r="L13" s="11"/>
      <c r="M13" s="32"/>
    </row>
    <row r="14" spans="1:13">
      <c r="A14" s="12"/>
      <c r="B14" s="13"/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s="31" t="s">
        <v>25</v>
      </c>
    </row>
    <row r="15" spans="1:13">
      <c r="A15" s="5" t="s">
        <v>26</v>
      </c>
      <c r="B15" t="s">
        <v>27</v>
      </c>
      <c r="C15" s="8">
        <v>1056.91</v>
      </c>
      <c r="D15">
        <v>99468.89</v>
      </c>
      <c r="E15">
        <v>943.96</v>
      </c>
      <c r="F15">
        <v>3621.43</v>
      </c>
      <c r="G15">
        <v>1681.64</v>
      </c>
      <c r="H15">
        <v>504.8</v>
      </c>
      <c r="I15">
        <v>10957.97</v>
      </c>
      <c r="J15">
        <v>7.2</v>
      </c>
      <c r="K15" s="8">
        <v>13067.22</v>
      </c>
      <c r="L15">
        <v>21751.16</v>
      </c>
      <c r="M15" s="33">
        <v>153061.17</v>
      </c>
    </row>
    <row r="16" spans="1:13">
      <c r="A16" s="5"/>
      <c r="M16" s="31"/>
    </row>
    <row r="17" spans="1:13">
      <c r="A17" s="14" t="s">
        <v>28</v>
      </c>
      <c r="B17" s="11"/>
      <c r="C17" s="11"/>
      <c r="M17" s="31"/>
    </row>
    <row r="18" spans="1:13">
      <c r="A18" s="15"/>
      <c r="B18" s="4"/>
      <c r="C18" s="16" t="s">
        <v>29</v>
      </c>
      <c r="E18" t="s">
        <v>30</v>
      </c>
      <c r="M18" s="31"/>
    </row>
    <row r="19" spans="1:13">
      <c r="A19" s="7" t="s">
        <v>10</v>
      </c>
      <c r="B19" s="17">
        <f>C10</f>
        <v>0.00690514779156595</v>
      </c>
      <c r="C19" s="18">
        <f>1-B19</f>
        <v>0.993094852208434</v>
      </c>
      <c r="M19" s="31"/>
    </row>
    <row r="20" spans="1:13">
      <c r="A20" s="7" t="s">
        <v>31</v>
      </c>
      <c r="B20" s="19">
        <f>1-B19-B21-B22</f>
        <v>0.852722317815812</v>
      </c>
      <c r="C20" s="20">
        <f>B20/C19</f>
        <v>0.858651432861158</v>
      </c>
      <c r="M20" s="31"/>
    </row>
    <row r="21" spans="1:13">
      <c r="A21" s="7" t="s">
        <v>8</v>
      </c>
      <c r="B21" s="19">
        <f>C4</f>
        <v>0.055</v>
      </c>
      <c r="C21" s="20">
        <f>B21/C19</f>
        <v>0.0553824238215429</v>
      </c>
      <c r="M21" s="31"/>
    </row>
    <row r="22" spans="1:13">
      <c r="A22" s="21" t="s">
        <v>11</v>
      </c>
      <c r="B22" s="22">
        <f>C11</f>
        <v>0.0853725343926222</v>
      </c>
      <c r="C22" s="23">
        <f>B22/C19</f>
        <v>0.0859661433172991</v>
      </c>
      <c r="M22" s="31"/>
    </row>
    <row r="23" spans="1:1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34"/>
    </row>
    <row r="28" spans="1:13">
      <c r="A28" s="3" t="s">
        <v>32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27"/>
    </row>
    <row r="29" spans="1:13">
      <c r="A29" s="5"/>
      <c r="M29" s="31"/>
    </row>
    <row r="30" spans="1:13">
      <c r="A30" s="5" t="s">
        <v>7</v>
      </c>
      <c r="M30" s="31"/>
    </row>
    <row r="31" spans="1:13">
      <c r="A31" s="5"/>
      <c r="M31" s="31"/>
    </row>
    <row r="32" spans="1:13">
      <c r="A32" s="5"/>
      <c r="M32" s="31"/>
    </row>
    <row r="33" spans="1:13">
      <c r="A33" s="5"/>
      <c r="M33" s="31"/>
    </row>
    <row r="34" spans="1:13">
      <c r="A34" s="5"/>
      <c r="M34" s="31"/>
    </row>
    <row r="35" spans="1:13">
      <c r="A35" s="5"/>
      <c r="M35" s="31"/>
    </row>
    <row r="36" spans="1:13">
      <c r="A36" s="5"/>
      <c r="M36" s="31"/>
    </row>
    <row r="37" spans="1:13">
      <c r="A37" s="5"/>
      <c r="M37" s="31"/>
    </row>
    <row r="38" spans="1:13">
      <c r="A38" s="5"/>
      <c r="M38" s="31"/>
    </row>
    <row r="39" spans="1:13">
      <c r="A39" s="5"/>
      <c r="M39" s="31"/>
    </row>
    <row r="40" spans="1:13">
      <c r="A40" s="5"/>
      <c r="M40" s="31"/>
    </row>
    <row r="41" spans="1:13">
      <c r="A41" s="5"/>
      <c r="M41" s="31"/>
    </row>
    <row r="42" spans="1:13">
      <c r="A42" s="5"/>
      <c r="M42" s="31"/>
    </row>
    <row r="43" spans="1:13">
      <c r="A43" s="5"/>
      <c r="M43" s="31"/>
    </row>
    <row r="44" spans="1:13">
      <c r="A44" s="5"/>
      <c r="M44" s="31"/>
    </row>
    <row r="45" spans="1:13">
      <c r="A45" s="5"/>
      <c r="M45" s="31"/>
    </row>
    <row r="46" spans="1:13">
      <c r="A46" s="5"/>
      <c r="M46" s="31"/>
    </row>
    <row r="47" spans="1:13">
      <c r="A47" s="5"/>
      <c r="M47" s="31"/>
    </row>
    <row r="48" spans="1:13">
      <c r="A48" s="5"/>
      <c r="M48" s="31"/>
    </row>
    <row r="49" spans="1:13">
      <c r="A49" s="7" t="s">
        <v>9</v>
      </c>
      <c r="M49" s="31"/>
    </row>
    <row r="50" spans="1:13">
      <c r="A50" s="14" t="s">
        <v>33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32"/>
    </row>
    <row r="51" spans="1:13">
      <c r="A51" s="9" t="s">
        <v>12</v>
      </c>
      <c r="B51" s="10" t="s">
        <v>13</v>
      </c>
      <c r="C51" s="11" t="s">
        <v>14</v>
      </c>
      <c r="D51" s="11"/>
      <c r="E51" s="11"/>
      <c r="F51" s="11"/>
      <c r="G51" s="11"/>
      <c r="H51" s="11"/>
      <c r="I51" s="11"/>
      <c r="J51" s="11"/>
      <c r="K51" s="11"/>
      <c r="L51" s="11"/>
      <c r="M51" s="32"/>
    </row>
    <row r="52" spans="1:13">
      <c r="A52" s="12"/>
      <c r="B52" s="13"/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43</v>
      </c>
      <c r="M52" s="31" t="s">
        <v>44</v>
      </c>
    </row>
    <row r="53" spans="1:13">
      <c r="A53" s="5" t="s">
        <v>45</v>
      </c>
      <c r="B53" t="s">
        <v>46</v>
      </c>
      <c r="C53">
        <v>158672</v>
      </c>
      <c r="D53">
        <v>2761</v>
      </c>
      <c r="E53">
        <v>6479</v>
      </c>
      <c r="F53">
        <v>6793</v>
      </c>
      <c r="G53">
        <v>16346</v>
      </c>
      <c r="H53">
        <v>22926</v>
      </c>
      <c r="I53">
        <v>21711</v>
      </c>
      <c r="J53">
        <v>235689</v>
      </c>
      <c r="K53">
        <v>7170</v>
      </c>
      <c r="L53">
        <v>9076</v>
      </c>
      <c r="M53" s="31">
        <v>251935</v>
      </c>
    </row>
    <row r="54" spans="1:13">
      <c r="A54" s="5" t="s">
        <v>45</v>
      </c>
      <c r="B54" t="s">
        <v>47</v>
      </c>
      <c r="C54">
        <v>191363</v>
      </c>
      <c r="D54">
        <v>2921</v>
      </c>
      <c r="E54">
        <v>6636</v>
      </c>
      <c r="F54">
        <v>9530</v>
      </c>
      <c r="G54">
        <v>19002</v>
      </c>
      <c r="H54" s="8">
        <v>22911</v>
      </c>
      <c r="I54">
        <v>23442</v>
      </c>
      <c r="J54">
        <v>275805</v>
      </c>
      <c r="K54">
        <v>7589</v>
      </c>
      <c r="L54">
        <v>10074</v>
      </c>
      <c r="M54" s="33">
        <v>293468</v>
      </c>
    </row>
    <row r="55" spans="1:13">
      <c r="A55" s="5" t="s">
        <v>45</v>
      </c>
      <c r="B55" t="s">
        <v>48</v>
      </c>
      <c r="C55">
        <v>213418</v>
      </c>
      <c r="D55">
        <v>3292</v>
      </c>
      <c r="E55">
        <v>8300</v>
      </c>
      <c r="F55">
        <v>7793</v>
      </c>
      <c r="G55">
        <v>26632</v>
      </c>
      <c r="H55">
        <v>20595</v>
      </c>
      <c r="I55">
        <v>40654</v>
      </c>
      <c r="J55">
        <v>320684</v>
      </c>
      <c r="K55">
        <v>8094</v>
      </c>
      <c r="L55">
        <v>9772</v>
      </c>
      <c r="M55" s="31">
        <v>338550</v>
      </c>
    </row>
    <row r="56" spans="1:13">
      <c r="A56" s="5"/>
      <c r="M56" s="31"/>
    </row>
    <row r="57" spans="1:13">
      <c r="A57" s="14" t="s">
        <v>49</v>
      </c>
      <c r="B57" s="11"/>
      <c r="C57" s="26"/>
      <c r="M57" s="31"/>
    </row>
    <row r="58" spans="1:13">
      <c r="A58" s="15"/>
      <c r="B58" s="27" t="s">
        <v>50</v>
      </c>
      <c r="M58" s="31"/>
    </row>
    <row r="59" spans="1:13">
      <c r="A59" s="7" t="s">
        <v>10</v>
      </c>
      <c r="B59" s="28">
        <f>C50</f>
        <v>0</v>
      </c>
      <c r="M59" s="31"/>
    </row>
    <row r="60" spans="1:13">
      <c r="A60" s="7" t="s">
        <v>31</v>
      </c>
      <c r="B60" s="29">
        <f>1-B59-B61-B62</f>
        <v>0.895930159335941</v>
      </c>
      <c r="M60" s="31"/>
    </row>
    <row r="61" spans="1:13">
      <c r="A61" s="7" t="s">
        <v>8</v>
      </c>
      <c r="B61" s="29">
        <f>2.6%</f>
        <v>0.026</v>
      </c>
      <c r="M61" s="31"/>
    </row>
    <row r="62" spans="1:13">
      <c r="A62" s="21" t="s">
        <v>11</v>
      </c>
      <c r="B62" s="30">
        <f>H54/M54</f>
        <v>0.0780698406640588</v>
      </c>
      <c r="M62" s="31"/>
    </row>
    <row r="63" spans="1:13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34"/>
    </row>
  </sheetData>
  <mergeCells count="9">
    <mergeCell ref="C13:M13"/>
    <mergeCell ref="A17:C17"/>
    <mergeCell ref="A50:M50"/>
    <mergeCell ref="C51:M51"/>
    <mergeCell ref="A57:B57"/>
    <mergeCell ref="A13:A14"/>
    <mergeCell ref="A51:A52"/>
    <mergeCell ref="B13:B14"/>
    <mergeCell ref="B51:B5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B5"/>
  <sheetViews>
    <sheetView tabSelected="1" workbookViewId="0">
      <selection activeCell="G4" sqref="G4"/>
    </sheetView>
  </sheetViews>
  <sheetFormatPr defaultColWidth="9" defaultRowHeight="13.8" outlineLevelRow="4" outlineLevelCol="1"/>
  <cols>
    <col min="1" max="1" width="36.8518518518519" customWidth="1"/>
    <col min="2" max="2" width="22.4259259259259" customWidth="1"/>
  </cols>
  <sheetData>
    <row r="1" spans="1:2">
      <c r="A1" s="1" t="s">
        <v>51</v>
      </c>
      <c r="B1" s="2" t="s">
        <v>50</v>
      </c>
    </row>
    <row r="2" spans="1:2">
      <c r="A2" t="s">
        <v>10</v>
      </c>
      <c r="B2">
        <f>'Data &amp; Calcs'!B59</f>
        <v>0</v>
      </c>
    </row>
    <row r="3" spans="1:2">
      <c r="A3" t="s">
        <v>31</v>
      </c>
      <c r="B3">
        <f>'Data &amp; Calcs'!B60</f>
        <v>0.895930159335941</v>
      </c>
    </row>
    <row r="4" spans="1:2">
      <c r="A4" t="s">
        <v>8</v>
      </c>
      <c r="B4">
        <f>'Data &amp; Calcs'!B61</f>
        <v>0.026</v>
      </c>
    </row>
    <row r="5" spans="1:2">
      <c r="A5" t="s">
        <v>11</v>
      </c>
      <c r="B5">
        <f>'Data &amp; Calcs'!B62</f>
        <v>0.0780698406640588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Data &amp; Calcs</vt:lpstr>
      <vt:lpstr>PoNDHbE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夏柳钦</cp:lastModifiedBy>
  <dcterms:created xsi:type="dcterms:W3CDTF">2020-08-13T22:09:00Z</dcterms:created>
  <dcterms:modified xsi:type="dcterms:W3CDTF">2025-07-23T02:15:48Z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4BE7DFABB4A24B029E2A61E28A953008_12</vt:lpwstr>
  </property>
  <property fmtid="{D5CDD505-2E9C-101B-9397-08002B2CF9AE}" pid="3" name="KSOProductBuildVer">
    <vt:lpwstr>2052-12.1.0.19302</vt:lpwstr>
  </property>
</Properties>
</file>