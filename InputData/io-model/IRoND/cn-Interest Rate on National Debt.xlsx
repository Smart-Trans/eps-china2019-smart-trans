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About" sheetId="1" r:id="rId1"/>
    <sheet name="AvgInterestRate" sheetId="2" r:id="rId2"/>
    <sheet name="IRo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<sst xmlns="http://schemas.openxmlformats.org/spreadsheetml/2006/main" count="69" uniqueCount="37">
  <si>
    <t>IRoND Interest Rate on National Debt</t>
  </si>
  <si>
    <t>Source:</t>
  </si>
  <si>
    <t>Ministry of Finance of the People's Republic of China</t>
  </si>
  <si>
    <t>Average Interest Rates on Chinese Treasury Securities</t>
  </si>
  <si>
    <t>https://gks.mof.gov.cn/ztztz/guozaiguanli/gzfxdzs/index_3.htm</t>
  </si>
  <si>
    <t>日期</t>
  </si>
  <si>
    <t>公告名称</t>
  </si>
  <si>
    <t>第N期</t>
  </si>
  <si>
    <t>类型</t>
  </si>
  <si>
    <t>最大发行额（亿元）</t>
  </si>
  <si>
    <t>期限</t>
  </si>
  <si>
    <t>票面利率</t>
  </si>
  <si>
    <t>国债业务公告2023年第35号</t>
  </si>
  <si>
    <t>一</t>
  </si>
  <si>
    <t>凭证式</t>
  </si>
  <si>
    <t>二</t>
  </si>
  <si>
    <t>关于2023年第一期和第二期储蓄国债（电子式）发行工作有关事宜的通知</t>
  </si>
  <si>
    <t>电子式</t>
  </si>
  <si>
    <t>国债业务公告2023年第65号</t>
  </si>
  <si>
    <t>三</t>
  </si>
  <si>
    <t>四</t>
  </si>
  <si>
    <t>关于2023年第三期和第四期储蓄国债（电子式）发行工作有关事宜的通知</t>
  </si>
  <si>
    <t>关于2023年第五期和第六期储蓄国债（电子式）发行工作有关事宜的通知</t>
  </si>
  <si>
    <t>五</t>
  </si>
  <si>
    <t>六</t>
  </si>
  <si>
    <t>关于2023年第七期和第八期储蓄国债（电子式）发行工作有关事宜的通知</t>
  </si>
  <si>
    <t>七</t>
  </si>
  <si>
    <t>关于2024年第七期和第八期储蓄国债（电子式）发行工作有关事宜的通知</t>
  </si>
  <si>
    <t>八</t>
  </si>
  <si>
    <t>国债业务公告2023年第130号</t>
  </si>
  <si>
    <t>关于2023年第九期和第十期储蓄国债（电子式）发行工作有关事宜的通知</t>
  </si>
  <si>
    <t>九</t>
  </si>
  <si>
    <t>十</t>
  </si>
  <si>
    <t>国债业务公告2023年第168号</t>
  </si>
  <si>
    <t>Unit: dimensionless (%)</t>
  </si>
  <si>
    <t>Interest Rate</t>
  </si>
  <si>
    <t>Total Marketable Debt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</si>
</sst>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>
      <alignment vertical="center"/>
    </xf>
    <xf numFmtId="0" fontId="0" fillId="0" borderId="0" xfId="0" applyFill="1" applyBorder="1">
      <alignment vertical="center"/>
    </xf>
    <xf numFmtId="9" fontId="0" fillId="0" borderId="0" xfId="0" applyNumberFormat="1" applyFill="1" applyBorder="1">
      <alignment vertical="center"/>
    </xf>
    <xf numFmtId="10" fontId="0" fillId="0" borderId="0" xfId="0" applyNumberFormat="1" applyFill="1" applyBorder="1">
      <alignment vertical="center"/>
    </xf>
    <xf numFmtId="0" fontId="1" fillId="2" borderId="0" xfId="0" applyFont="1" applyFill="1">
      <alignment vertical="center"/>
    </xf>
    <xf numFmtId="10" fontId="0" fillId="0" borderId="0" xfId="0" applyNumberFormat="1" applyFill="1">
      <alignment vertical="center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5" sqref="B5"/>
    </sheetView>
  </sheetViews>
  <sheetFormatPr defaultColWidth="9" defaultRowHeight="14.4"/>
  <sheetData>
    <row r="1" spans="1:1">
      <c r="A1" s="8" t="s">
        <v>0</v>
      </c>
    </row>
    <row r="3" spans="1:9">
      <c r="A3" s="9" t="s">
        <v>1</v>
      </c>
      <c r="B3" s="9" t="s">
        <v>2</v>
      </c>
      <c r="C3" s="9"/>
      <c r="D3" s="9"/>
      <c r="E3" s="9"/>
      <c r="F3" s="9"/>
      <c r="G3" s="9"/>
      <c r="H3" s="9"/>
      <c r="I3" s="9"/>
    </row>
    <row r="4" spans="1:9">
      <c r="A4" s="9"/>
      <c r="B4" s="10">
        <v>2023</v>
      </c>
      <c r="C4" s="9"/>
      <c r="D4" s="9"/>
      <c r="E4" s="9"/>
      <c r="F4" s="9"/>
      <c r="G4" s="9"/>
      <c r="H4" s="9"/>
      <c r="I4" s="9"/>
    </row>
    <row r="5" spans="1:9">
      <c r="A5" s="9"/>
      <c r="B5" s="9" t="s">
        <v>3</v>
      </c>
      <c r="C5" s="9"/>
      <c r="D5" s="9"/>
      <c r="E5" s="9"/>
      <c r="F5" s="9"/>
      <c r="G5" s="9"/>
      <c r="H5" s="9"/>
      <c r="I5" s="9"/>
    </row>
    <row r="6" spans="1:9">
      <c r="A6" s="9"/>
      <c r="B6" s="11" t="s">
        <v>4</v>
      </c>
      <c r="C6" s="9"/>
      <c r="D6" s="9"/>
      <c r="E6" s="9"/>
      <c r="F6" s="9"/>
      <c r="G6" s="9"/>
      <c r="H6" s="9"/>
      <c r="I6" s="9"/>
    </row>
    <row r="7" spans="1:9">
      <c r="A7" s="9"/>
      <c r="B7" s="9"/>
      <c r="C7" s="9"/>
      <c r="D7" s="9"/>
      <c r="E7" s="9"/>
      <c r="F7" s="9"/>
      <c r="G7" s="9"/>
      <c r="H7" s="9"/>
      <c r="I7" s="9"/>
    </row>
    <row r="8" spans="1:9">
      <c r="A8" s="9"/>
      <c r="B8" s="9"/>
      <c r="C8" s="9"/>
      <c r="D8" s="9"/>
      <c r="E8" s="9"/>
      <c r="F8" s="9"/>
      <c r="G8" s="9"/>
      <c r="H8" s="9"/>
      <c r="I8" s="9"/>
    </row>
    <row r="9" spans="1:9">
      <c r="A9" s="8"/>
      <c r="B9" s="9"/>
      <c r="C9" s="9"/>
      <c r="D9" s="9"/>
      <c r="E9" s="9"/>
      <c r="F9" s="9"/>
      <c r="G9" s="9"/>
      <c r="H9" s="9"/>
      <c r="I9" s="9"/>
    </row>
    <row r="10" spans="1:9">
      <c r="A10" s="9"/>
      <c r="B10" s="9"/>
      <c r="C10" s="9"/>
      <c r="D10" s="9"/>
      <c r="E10" s="9"/>
      <c r="F10" s="9"/>
      <c r="G10" s="9"/>
      <c r="H10" s="9"/>
      <c r="I10" s="9"/>
    </row>
    <row r="11" spans="1:9">
      <c r="A11" s="9"/>
      <c r="B11" s="9"/>
      <c r="C11" s="9"/>
      <c r="D11" s="9"/>
      <c r="E11" s="9"/>
      <c r="F11" s="9"/>
      <c r="G11" s="9"/>
      <c r="H11" s="9"/>
      <c r="I11" s="9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9"/>
      <c r="B13" s="9"/>
      <c r="C13" s="9"/>
      <c r="D13" s="9"/>
      <c r="E13" s="9"/>
      <c r="F13" s="9"/>
      <c r="G13" s="9"/>
      <c r="H13" s="9"/>
      <c r="I13" s="9"/>
    </row>
    <row r="14" spans="1:9">
      <c r="A14" s="9"/>
      <c r="B14" s="9"/>
      <c r="C14" s="9"/>
      <c r="D14" s="9"/>
      <c r="E14" s="9"/>
      <c r="F14" s="9"/>
      <c r="G14" s="9"/>
      <c r="H14" s="9"/>
      <c r="I14" s="9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>
      <c r="A16" s="9"/>
      <c r="B16" s="9"/>
      <c r="C16" s="9"/>
      <c r="D16" s="9"/>
      <c r="E16" s="9"/>
      <c r="F16" s="9"/>
      <c r="G16" s="9"/>
      <c r="H16" s="9"/>
      <c r="I16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B26" sqref="B26"/>
    </sheetView>
  </sheetViews>
  <sheetFormatPr defaultColWidth="9" defaultRowHeight="14.4" outlineLevelCol="6"/>
  <cols>
    <col min="1" max="1" width="10.7777777777778" customWidth="1"/>
    <col min="2" max="2" width="72.6666666666667" customWidth="1"/>
    <col min="3" max="3" width="6.66666666666667" customWidth="1"/>
    <col min="4" max="4" width="7.66666666666667" customWidth="1"/>
    <col min="5" max="5" width="20.8888888888889" customWidth="1"/>
    <col min="6" max="7" width="9.66666666666667" customWidth="1"/>
  </cols>
  <sheetData>
    <row r="1" spans="1:7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s="2">
        <v>44994</v>
      </c>
      <c r="B2" t="s">
        <v>12</v>
      </c>
      <c r="C2" s="3" t="s">
        <v>13</v>
      </c>
      <c r="D2" s="3" t="s">
        <v>14</v>
      </c>
      <c r="E2" s="3">
        <v>150</v>
      </c>
      <c r="F2" s="3">
        <v>3</v>
      </c>
      <c r="G2" s="4">
        <v>0.03</v>
      </c>
    </row>
    <row r="3" spans="1:7">
      <c r="A3" s="2">
        <v>44994</v>
      </c>
      <c r="B3" t="s">
        <v>12</v>
      </c>
      <c r="C3" s="3" t="s">
        <v>15</v>
      </c>
      <c r="D3" s="3" t="s">
        <v>14</v>
      </c>
      <c r="E3" s="3">
        <v>150</v>
      </c>
      <c r="F3" s="3">
        <v>5</v>
      </c>
      <c r="G3" s="5">
        <v>0.0312</v>
      </c>
    </row>
    <row r="4" spans="1:7">
      <c r="A4" s="2">
        <v>45023</v>
      </c>
      <c r="B4" t="s">
        <v>16</v>
      </c>
      <c r="C4" s="3" t="s">
        <v>13</v>
      </c>
      <c r="D4" s="3" t="s">
        <v>17</v>
      </c>
      <c r="E4" s="3">
        <v>190</v>
      </c>
      <c r="F4" s="3">
        <v>3</v>
      </c>
      <c r="G4" s="4">
        <v>0.03</v>
      </c>
    </row>
    <row r="5" spans="1:7">
      <c r="A5" s="2">
        <v>45023</v>
      </c>
      <c r="B5" t="s">
        <v>16</v>
      </c>
      <c r="C5" s="3" t="s">
        <v>15</v>
      </c>
      <c r="D5" s="3" t="s">
        <v>17</v>
      </c>
      <c r="E5" s="3">
        <v>190</v>
      </c>
      <c r="F5" s="3">
        <v>5</v>
      </c>
      <c r="G5" s="5">
        <v>0.0312</v>
      </c>
    </row>
    <row r="6" spans="1:7">
      <c r="A6" s="2">
        <v>45054</v>
      </c>
      <c r="B6" t="s">
        <v>18</v>
      </c>
      <c r="C6" s="3" t="s">
        <v>19</v>
      </c>
      <c r="D6" s="3" t="s">
        <v>14</v>
      </c>
      <c r="E6" s="3">
        <v>100</v>
      </c>
      <c r="F6" s="3">
        <v>3</v>
      </c>
      <c r="G6" s="5">
        <v>0.0295</v>
      </c>
    </row>
    <row r="7" spans="1:7">
      <c r="A7" s="2">
        <v>45054</v>
      </c>
      <c r="B7" t="s">
        <v>18</v>
      </c>
      <c r="C7" s="3" t="s">
        <v>20</v>
      </c>
      <c r="D7" s="3" t="s">
        <v>14</v>
      </c>
      <c r="E7" s="3">
        <v>100</v>
      </c>
      <c r="F7" s="3">
        <v>5</v>
      </c>
      <c r="G7" s="5">
        <v>0.0307</v>
      </c>
    </row>
    <row r="8" spans="1:7">
      <c r="A8" s="2">
        <v>45086</v>
      </c>
      <c r="B8" t="s">
        <v>21</v>
      </c>
      <c r="C8" s="3" t="s">
        <v>19</v>
      </c>
      <c r="D8" s="3" t="s">
        <v>17</v>
      </c>
      <c r="E8" s="3">
        <v>190</v>
      </c>
      <c r="F8" s="3">
        <v>3</v>
      </c>
      <c r="G8" s="5">
        <v>0.0295</v>
      </c>
    </row>
    <row r="9" spans="1:7">
      <c r="A9" s="2">
        <v>45086</v>
      </c>
      <c r="B9" t="s">
        <v>21</v>
      </c>
      <c r="C9" s="3" t="s">
        <v>20</v>
      </c>
      <c r="D9" s="3" t="s">
        <v>17</v>
      </c>
      <c r="E9" s="3">
        <v>190</v>
      </c>
      <c r="F9" s="3">
        <v>5</v>
      </c>
      <c r="G9" s="5">
        <v>0.0307</v>
      </c>
    </row>
    <row r="10" spans="1:7">
      <c r="A10" s="2">
        <v>45117</v>
      </c>
      <c r="B10" t="s">
        <v>22</v>
      </c>
      <c r="C10" s="3" t="s">
        <v>23</v>
      </c>
      <c r="D10" s="3" t="s">
        <v>17</v>
      </c>
      <c r="E10" s="3">
        <v>190</v>
      </c>
      <c r="F10" s="3">
        <v>3</v>
      </c>
      <c r="G10" s="5">
        <v>0.0285</v>
      </c>
    </row>
    <row r="11" spans="1:7">
      <c r="A11" s="2">
        <v>45117</v>
      </c>
      <c r="B11" t="s">
        <v>22</v>
      </c>
      <c r="C11" s="3" t="s">
        <v>24</v>
      </c>
      <c r="D11" s="3" t="s">
        <v>17</v>
      </c>
      <c r="E11" s="3">
        <v>190</v>
      </c>
      <c r="F11" s="3">
        <v>5</v>
      </c>
      <c r="G11" s="5">
        <v>0.0297</v>
      </c>
    </row>
    <row r="12" spans="1:7">
      <c r="A12" s="2">
        <v>45153</v>
      </c>
      <c r="B12" t="s">
        <v>25</v>
      </c>
      <c r="C12" s="3" t="s">
        <v>26</v>
      </c>
      <c r="D12" s="3" t="s">
        <v>17</v>
      </c>
      <c r="E12" s="3">
        <v>190</v>
      </c>
      <c r="F12" s="3">
        <v>3</v>
      </c>
      <c r="G12" s="5">
        <v>0.0285</v>
      </c>
    </row>
    <row r="13" spans="1:7">
      <c r="A13" s="2">
        <v>45153</v>
      </c>
      <c r="B13" t="s">
        <v>27</v>
      </c>
      <c r="C13" s="3" t="s">
        <v>28</v>
      </c>
      <c r="D13" s="3" t="s">
        <v>17</v>
      </c>
      <c r="E13" s="3">
        <v>190</v>
      </c>
      <c r="F13" s="3">
        <v>5</v>
      </c>
      <c r="G13" s="5">
        <v>0.0297</v>
      </c>
    </row>
    <row r="14" spans="1:7">
      <c r="A14" s="2">
        <v>45175</v>
      </c>
      <c r="B14" t="s">
        <v>29</v>
      </c>
      <c r="C14" s="3" t="s">
        <v>23</v>
      </c>
      <c r="D14" s="3" t="s">
        <v>14</v>
      </c>
      <c r="E14" s="3">
        <v>190</v>
      </c>
      <c r="F14" s="3">
        <v>3</v>
      </c>
      <c r="G14" s="5">
        <v>0.0285</v>
      </c>
    </row>
    <row r="15" spans="1:7">
      <c r="A15" s="2">
        <v>45175</v>
      </c>
      <c r="B15" t="s">
        <v>29</v>
      </c>
      <c r="C15" s="3" t="s">
        <v>24</v>
      </c>
      <c r="D15" s="3" t="s">
        <v>14</v>
      </c>
      <c r="E15" s="3">
        <v>190</v>
      </c>
      <c r="F15" s="3">
        <v>5</v>
      </c>
      <c r="G15" s="5">
        <v>0.0297</v>
      </c>
    </row>
    <row r="16" spans="1:7">
      <c r="A16" s="2">
        <v>45208</v>
      </c>
      <c r="B16" t="s">
        <v>30</v>
      </c>
      <c r="C16" s="3" t="s">
        <v>31</v>
      </c>
      <c r="D16" s="3" t="s">
        <v>17</v>
      </c>
      <c r="E16" s="3">
        <v>190</v>
      </c>
      <c r="F16" s="3">
        <v>3</v>
      </c>
      <c r="G16" s="5">
        <v>0.0263</v>
      </c>
    </row>
    <row r="17" spans="1:7">
      <c r="A17" s="2">
        <v>45208</v>
      </c>
      <c r="B17" t="s">
        <v>30</v>
      </c>
      <c r="C17" s="3" t="s">
        <v>32</v>
      </c>
      <c r="D17" s="3" t="s">
        <v>17</v>
      </c>
      <c r="E17" s="3">
        <v>190</v>
      </c>
      <c r="F17" s="3">
        <v>5</v>
      </c>
      <c r="G17" s="5">
        <v>0.0275</v>
      </c>
    </row>
    <row r="18" spans="1:7">
      <c r="A18" s="2">
        <v>45239</v>
      </c>
      <c r="B18" t="s">
        <v>33</v>
      </c>
      <c r="C18" s="3" t="s">
        <v>26</v>
      </c>
      <c r="D18" s="3" t="s">
        <v>14</v>
      </c>
      <c r="E18" s="3">
        <v>100</v>
      </c>
      <c r="F18" s="3">
        <v>3</v>
      </c>
      <c r="G18" s="5">
        <v>0.0263</v>
      </c>
    </row>
    <row r="19" spans="1:7">
      <c r="A19" s="2">
        <v>45239</v>
      </c>
      <c r="B19" t="s">
        <v>33</v>
      </c>
      <c r="C19" s="3" t="s">
        <v>28</v>
      </c>
      <c r="D19" s="3" t="s">
        <v>14</v>
      </c>
      <c r="E19" s="3">
        <v>100</v>
      </c>
      <c r="F19" s="3">
        <v>5</v>
      </c>
      <c r="G19" s="5">
        <v>0.0275</v>
      </c>
    </row>
    <row r="20" spans="7:7">
      <c r="G20" s="6" cm="1">
        <f t="array" ref="G20">SUMPRODUCT(G2:G19,E2:E19)/SUM(E2:E19)</f>
        <v>0.0292087248322148</v>
      </c>
    </row>
    <row r="22" spans="7:7">
      <c r="G22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9" defaultRowHeight="14.4" outlineLevelRow="1" outlineLevelCol="1"/>
  <cols>
    <col min="1" max="1" width="26.5555555555556" customWidth="1"/>
    <col min="2" max="2" width="15.2222222222222" customWidth="1"/>
  </cols>
  <sheetData>
    <row r="1" spans="1:2">
      <c r="A1" s="1" t="s">
        <v>34</v>
      </c>
      <c r="B1" s="1" t="s">
        <v>35</v>
      </c>
    </row>
    <row r="2" spans="1:2">
      <c r="A2" s="1" t="s">
        <v>36</v>
      </c>
      <c r="B2" s="1">
        <v>0.0292087248322148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AvgInterestRate</vt:lpstr>
      <vt:lpstr>IRoND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夏柳钦</dc:creator>
  <cp:lastModifiedBy>夏柳钦</cp:lastModifiedBy>
  <dcterms:created xsi:type="dcterms:W3CDTF">2023-05-12T11:15:00Z</dcterms:created>
  <dcterms:modified xsi:type="dcterms:W3CDTF">2025-07-23T02:05:12Z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B6F52BDA91EF4D26A8CBD8F21D16F00A_12</vt:lpwstr>
  </property>
</Properties>
</file>