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add-outputs\FoHObDT\"/>
    </mc:Choice>
  </mc:AlternateContent>
  <xr:revisionPtr revIDLastSave="0" documentId="13_ncr:1_{2449CD65-0097-477F-9402-9F905493E94D}" xr6:coauthVersionLast="47" xr6:coauthVersionMax="47" xr10:uidLastSave="{00000000-0000-0000-0000-000000000000}"/>
  <bookViews>
    <workbookView xWindow="-120" yWindow="-120" windowWidth="29040" windowHeight="15840" tabRatio="918" firstSheet="7" activeTab="23" xr2:uid="{87FA3AC7-8197-491F-86E0-EA45AB58FC0B}"/>
  </bookViews>
  <sheets>
    <sheet name="Freeze" sheetId="19" r:id="rId1"/>
    <sheet name="Low_2040" sheetId="9" r:id="rId2"/>
    <sheet name="Medium_2040" sheetId="7" r:id="rId3"/>
    <sheet name="High_2040" sheetId="8" r:id="rId4"/>
    <sheet name="Low_2060" sheetId="14" r:id="rId5"/>
    <sheet name="Medium_2060" sheetId="15" r:id="rId6"/>
    <sheet name="High_2060" sheetId="16" r:id="rId7"/>
    <sheet name="Freeze_0" sheetId="20" r:id="rId8"/>
    <sheet name="Freeze_1" sheetId="21" r:id="rId9"/>
    <sheet name="Freeze_2" sheetId="22" r:id="rId10"/>
    <sheet name="Low_60" sheetId="13" r:id="rId11"/>
    <sheet name="Median_60" sheetId="12" r:id="rId12"/>
    <sheet name="High_60" sheetId="11" r:id="rId13"/>
    <sheet name="Low_40" sheetId="10" r:id="rId14"/>
    <sheet name="Median_40" sheetId="4" r:id="rId15"/>
    <sheet name="High_40" sheetId="1" r:id="rId16"/>
    <sheet name="Past" sheetId="5" r:id="rId17"/>
    <sheet name="Viz" sheetId="18" r:id="rId18"/>
    <sheet name="Population yty" sheetId="23" r:id="rId19"/>
    <sheet name="BDbDT" sheetId="24" r:id="rId20"/>
    <sheet name="FoHObDT-male" sheetId="25" r:id="rId21"/>
    <sheet name="FoHObDT-female" sheetId="29" r:id="rId22"/>
    <sheet name="FoHObDT-asian" sheetId="27" r:id="rId23"/>
    <sheet name="FoHObDT-other" sheetId="28" r:id="rId24"/>
  </sheets>
  <definedNames>
    <definedName name="ExternalData_1" localSheetId="0" hidden="1">Freeze!$A$1:$Q$22</definedName>
    <definedName name="ExternalData_1" localSheetId="3" hidden="1">High_2040!$A$1:$Q$22</definedName>
    <definedName name="ExternalData_1" localSheetId="1" hidden="1">Low_2040!$A$1:$Q$22</definedName>
    <definedName name="ExternalData_1" localSheetId="2" hidden="1">Medium_2040!$A$1:$Q$22</definedName>
    <definedName name="ExternalData_2" localSheetId="4" hidden="1">Low_2060!$A$1:$Q$22</definedName>
    <definedName name="ExternalData_3" localSheetId="5" hidden="1">Medium_2060!$A$1:$Q$22</definedName>
    <definedName name="ExternalData_4" localSheetId="6" hidden="1">High_2060!$A$1:$Q$22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9" l="1"/>
  <c r="D2" i="29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AD2" i="29"/>
  <c r="AE2" i="29"/>
  <c r="AF2" i="29"/>
  <c r="AG2" i="29"/>
  <c r="AH2" i="29"/>
  <c r="AI2" i="29"/>
  <c r="AJ2" i="29"/>
  <c r="AK2" i="29"/>
  <c r="AL2" i="29"/>
  <c r="AM2" i="29"/>
  <c r="AN2" i="29"/>
  <c r="AO2" i="29"/>
  <c r="AP2" i="29"/>
  <c r="C3" i="29"/>
  <c r="D3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K3" i="29"/>
  <c r="AL3" i="29"/>
  <c r="AM3" i="29"/>
  <c r="AN3" i="29"/>
  <c r="AO3" i="29"/>
  <c r="AP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AG4" i="29"/>
  <c r="AH4" i="29"/>
  <c r="AI4" i="29"/>
  <c r="AJ4" i="29"/>
  <c r="AK4" i="29"/>
  <c r="AL4" i="29"/>
  <c r="AM4" i="29"/>
  <c r="AN4" i="29"/>
  <c r="AO4" i="29"/>
  <c r="AP4" i="29"/>
  <c r="C5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AD5" i="29"/>
  <c r="AE5" i="29"/>
  <c r="AF5" i="29"/>
  <c r="AG5" i="29"/>
  <c r="AH5" i="29"/>
  <c r="AI5" i="29"/>
  <c r="AJ5" i="29"/>
  <c r="AK5" i="29"/>
  <c r="AL5" i="29"/>
  <c r="AM5" i="29"/>
  <c r="AN5" i="29"/>
  <c r="AO5" i="29"/>
  <c r="AP5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AG6" i="29"/>
  <c r="AH6" i="29"/>
  <c r="AI6" i="29"/>
  <c r="AJ6" i="29"/>
  <c r="AK6" i="29"/>
  <c r="AL6" i="29"/>
  <c r="AM6" i="29"/>
  <c r="AN6" i="29"/>
  <c r="AO6" i="29"/>
  <c r="AP6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AG7" i="29"/>
  <c r="AH7" i="29"/>
  <c r="AI7" i="29"/>
  <c r="AJ7" i="29"/>
  <c r="AK7" i="29"/>
  <c r="AL7" i="29"/>
  <c r="AM7" i="29"/>
  <c r="AN7" i="29"/>
  <c r="AO7" i="29"/>
  <c r="AP7" i="29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AD8" i="29"/>
  <c r="AE8" i="29"/>
  <c r="AF8" i="29"/>
  <c r="AG8" i="29"/>
  <c r="AH8" i="29"/>
  <c r="AI8" i="29"/>
  <c r="AJ8" i="29"/>
  <c r="AK8" i="29"/>
  <c r="AL8" i="29"/>
  <c r="AM8" i="29"/>
  <c r="AN8" i="29"/>
  <c r="AO8" i="29"/>
  <c r="AP8" i="29"/>
  <c r="C9" i="29"/>
  <c r="D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AD9" i="29"/>
  <c r="AE9" i="29"/>
  <c r="AF9" i="29"/>
  <c r="AG9" i="29"/>
  <c r="AH9" i="29"/>
  <c r="AI9" i="29"/>
  <c r="AJ9" i="29"/>
  <c r="AK9" i="29"/>
  <c r="AL9" i="29"/>
  <c r="AM9" i="29"/>
  <c r="AN9" i="29"/>
  <c r="AO9" i="29"/>
  <c r="AP9" i="29"/>
  <c r="B3" i="29"/>
  <c r="B4" i="29"/>
  <c r="B5" i="29"/>
  <c r="B6" i="29"/>
  <c r="B7" i="29"/>
  <c r="B8" i="29"/>
  <c r="B9" i="29"/>
  <c r="B2" i="29"/>
  <c r="C2" i="25"/>
  <c r="D2" i="25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AG2" i="25"/>
  <c r="AH2" i="25"/>
  <c r="AI2" i="25"/>
  <c r="AJ2" i="25"/>
  <c r="AK2" i="25"/>
  <c r="AL2" i="25"/>
  <c r="AM2" i="25"/>
  <c r="AN2" i="25"/>
  <c r="AO2" i="25"/>
  <c r="AP2" i="25"/>
  <c r="C3" i="25"/>
  <c r="D3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AN3" i="25"/>
  <c r="AO3" i="25"/>
  <c r="AP3" i="25"/>
  <c r="C4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AN4" i="25"/>
  <c r="AO4" i="25"/>
  <c r="AP4" i="25"/>
  <c r="C5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AN5" i="25"/>
  <c r="AO5" i="25"/>
  <c r="AP5" i="25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C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C9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B3" i="25"/>
  <c r="B4" i="25"/>
  <c r="B5" i="25"/>
  <c r="B6" i="25"/>
  <c r="B7" i="25"/>
  <c r="B8" i="25"/>
  <c r="B9" i="25"/>
  <c r="B2" i="25"/>
  <c r="C2" i="24"/>
  <c r="D2" i="24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C3" i="24"/>
  <c r="D3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C6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B6" i="24"/>
  <c r="B3" i="24"/>
  <c r="B2" i="24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H20" i="23"/>
  <c r="AI20" i="23"/>
  <c r="AJ20" i="23"/>
  <c r="AK20" i="23"/>
  <c r="AL20" i="23"/>
  <c r="AM20" i="23"/>
  <c r="AN20" i="23"/>
  <c r="AO20" i="23"/>
  <c r="AP20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C21" i="23"/>
  <c r="C20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J18" i="23"/>
  <c r="AK18" i="23"/>
  <c r="AL18" i="23"/>
  <c r="AM18" i="23"/>
  <c r="AN18" i="23"/>
  <c r="AO18" i="23"/>
  <c r="AP18" i="23"/>
  <c r="C5" i="23"/>
  <c r="D5" i="23"/>
  <c r="E5" i="23"/>
  <c r="F5" i="23"/>
  <c r="G5" i="23"/>
  <c r="H5" i="23"/>
  <c r="I5" i="23"/>
  <c r="J5" i="23"/>
  <c r="C6" i="23"/>
  <c r="D6" i="23"/>
  <c r="E6" i="23"/>
  <c r="F6" i="23"/>
  <c r="G6" i="23"/>
  <c r="H6" i="23"/>
  <c r="I6" i="23"/>
  <c r="J6" i="23"/>
  <c r="B6" i="23"/>
  <c r="B5" i="23"/>
  <c r="AM14" i="23"/>
  <c r="AN14" i="23"/>
  <c r="AO14" i="23"/>
  <c r="AP14" i="23"/>
  <c r="AM15" i="23"/>
  <c r="AN15" i="23"/>
  <c r="AO15" i="23"/>
  <c r="AP15" i="23"/>
  <c r="AL15" i="23"/>
  <c r="AL14" i="23"/>
  <c r="AH14" i="23"/>
  <c r="AI14" i="23"/>
  <c r="AJ14" i="23"/>
  <c r="AK14" i="23"/>
  <c r="AH15" i="23"/>
  <c r="AI15" i="23"/>
  <c r="AJ15" i="23"/>
  <c r="AK15" i="23"/>
  <c r="AG15" i="23"/>
  <c r="AG14" i="23"/>
  <c r="AC14" i="23"/>
  <c r="AD14" i="23"/>
  <c r="AE14" i="23"/>
  <c r="AF14" i="23"/>
  <c r="AC15" i="23"/>
  <c r="AD15" i="23"/>
  <c r="AE15" i="23"/>
  <c r="AF15" i="23"/>
  <c r="AB15" i="23"/>
  <c r="AB14" i="23"/>
  <c r="X14" i="23"/>
  <c r="Y14" i="23"/>
  <c r="Z14" i="23"/>
  <c r="AA14" i="23"/>
  <c r="X15" i="23"/>
  <c r="Y15" i="23"/>
  <c r="Z15" i="23"/>
  <c r="AA15" i="23"/>
  <c r="W15" i="23"/>
  <c r="W14" i="23"/>
  <c r="S14" i="23"/>
  <c r="T14" i="23"/>
  <c r="U14" i="23"/>
  <c r="V14" i="23"/>
  <c r="S15" i="23"/>
  <c r="T15" i="23"/>
  <c r="U15" i="23"/>
  <c r="V15" i="23"/>
  <c r="R15" i="23"/>
  <c r="R14" i="23"/>
  <c r="N14" i="23"/>
  <c r="O14" i="23"/>
  <c r="P14" i="23"/>
  <c r="Q14" i="23"/>
  <c r="N15" i="23"/>
  <c r="O15" i="23"/>
  <c r="P15" i="23"/>
  <c r="Q15" i="23"/>
  <c r="M15" i="23"/>
  <c r="M14" i="23"/>
  <c r="L15" i="23"/>
  <c r="I14" i="23"/>
  <c r="J14" i="23"/>
  <c r="K14" i="23"/>
  <c r="L14" i="23"/>
  <c r="I15" i="23"/>
  <c r="J15" i="23"/>
  <c r="K15" i="23"/>
  <c r="H15" i="23"/>
  <c r="H14" i="23"/>
  <c r="C14" i="23"/>
  <c r="D14" i="23"/>
  <c r="E14" i="23"/>
  <c r="F14" i="23"/>
  <c r="G14" i="23"/>
  <c r="C15" i="23"/>
  <c r="D15" i="23"/>
  <c r="E15" i="23"/>
  <c r="F15" i="23"/>
  <c r="G15" i="23"/>
  <c r="B15" i="23"/>
  <c r="B14" i="23"/>
  <c r="C25" i="12"/>
  <c r="D2" i="23"/>
  <c r="E2" i="23"/>
  <c r="F2" i="23"/>
  <c r="G2" i="23"/>
  <c r="H2" i="23"/>
  <c r="I2" i="23"/>
  <c r="J2" i="23"/>
  <c r="D3" i="23"/>
  <c r="E3" i="23"/>
  <c r="F3" i="23"/>
  <c r="G3" i="23"/>
  <c r="H3" i="23"/>
  <c r="I3" i="23"/>
  <c r="J3" i="23"/>
  <c r="C3" i="23"/>
  <c r="C2" i="23"/>
  <c r="C9" i="23" l="1"/>
  <c r="D9" i="23"/>
  <c r="E9" i="23"/>
  <c r="F9" i="23"/>
  <c r="G9" i="23"/>
  <c r="H9" i="23"/>
  <c r="I9" i="23"/>
  <c r="J9" i="23"/>
  <c r="B8" i="23"/>
  <c r="B9" i="23"/>
  <c r="J8" i="23" l="1"/>
  <c r="I8" i="23"/>
  <c r="H8" i="23"/>
  <c r="G8" i="23"/>
  <c r="F8" i="23"/>
  <c r="E8" i="23"/>
  <c r="D8" i="23"/>
  <c r="C8" i="23"/>
  <c r="C33" i="12"/>
  <c r="C33" i="4"/>
  <c r="AF2" i="20" a="1"/>
  <c r="AF2" i="20" s="1"/>
  <c r="AD27" i="22"/>
  <c r="Z26" i="22"/>
  <c r="AB27" i="21"/>
  <c r="AC27" i="21"/>
  <c r="AD27" i="21"/>
  <c r="Z26" i="21"/>
  <c r="AB27" i="20"/>
  <c r="AC27" i="20"/>
  <c r="AD27" i="20"/>
  <c r="V24" i="20"/>
  <c r="AA27" i="20"/>
  <c r="Z26" i="20"/>
  <c r="Y26" i="20"/>
  <c r="BP72" i="18" a="1"/>
  <c r="BP72" i="18" s="1"/>
  <c r="BO72" i="18" l="1" a="1"/>
  <c r="BO72" i="18" s="1"/>
  <c r="BF72" i="18" a="1"/>
  <c r="BF72" i="18" s="1"/>
  <c r="BE72" i="18" a="1"/>
  <c r="BE72" i="18" s="1"/>
  <c r="BD72" i="18" a="1"/>
  <c r="BD72" i="18" s="1"/>
  <c r="BC72" i="18" a="1"/>
  <c r="BC72" i="18" s="1"/>
  <c r="AT72" i="18" a="1"/>
  <c r="AT72" i="18" s="1"/>
  <c r="AS72" i="18" a="1"/>
  <c r="AS72" i="18" s="1"/>
  <c r="AR72" i="18" a="1"/>
  <c r="AR72" i="18" s="1"/>
  <c r="AQ72" i="18" a="1"/>
  <c r="AQ72" i="18" s="1"/>
  <c r="AI72" i="18" a="1"/>
  <c r="AI72" i="18" s="1"/>
  <c r="AH72" i="18" a="1"/>
  <c r="AH72" i="18" s="1"/>
  <c r="AG72" i="18" a="1"/>
  <c r="AG72" i="18" s="1"/>
  <c r="AF72" i="18" a="1"/>
  <c r="AF72" i="18" s="1"/>
  <c r="W72" i="18" a="1"/>
  <c r="W72" i="18" s="1"/>
  <c r="V72" i="18" a="1"/>
  <c r="V72" i="18" s="1"/>
  <c r="U72" i="18" a="1"/>
  <c r="U72" i="18" s="1"/>
  <c r="K72" i="18" a="1"/>
  <c r="K72" i="18" s="1"/>
  <c r="J72" i="18" a="1"/>
  <c r="J72" i="18" s="1"/>
  <c r="I72" i="18" a="1"/>
  <c r="I72" i="18" s="1"/>
  <c r="Y26" i="22"/>
  <c r="AB27" i="22"/>
  <c r="AC27" i="22"/>
  <c r="AA27" i="22"/>
  <c r="AA16" i="21"/>
  <c r="Z9" i="21"/>
  <c r="AC3" i="21"/>
  <c r="AD10" i="21"/>
  <c r="J37" i="21"/>
  <c r="G37" i="21"/>
  <c r="F38" i="21"/>
  <c r="I38" i="21"/>
  <c r="J38" i="21"/>
  <c r="G38" i="21"/>
  <c r="M91" i="22"/>
  <c r="L91" i="22"/>
  <c r="K91" i="22"/>
  <c r="J91" i="22"/>
  <c r="I91" i="22"/>
  <c r="H91" i="22"/>
  <c r="G91" i="22"/>
  <c r="F91" i="22"/>
  <c r="E91" i="22"/>
  <c r="D91" i="22"/>
  <c r="C91" i="22"/>
  <c r="B91" i="22"/>
  <c r="M90" i="22"/>
  <c r="L90" i="22"/>
  <c r="K90" i="22"/>
  <c r="J90" i="22"/>
  <c r="I90" i="22"/>
  <c r="H90" i="22"/>
  <c r="G90" i="22"/>
  <c r="F90" i="22"/>
  <c r="E90" i="22"/>
  <c r="D90" i="22"/>
  <c r="C90" i="22"/>
  <c r="B90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V78" i="22"/>
  <c r="U78" i="22"/>
  <c r="T78" i="22"/>
  <c r="S78" i="22"/>
  <c r="R78" i="22"/>
  <c r="Q78" i="22"/>
  <c r="P78" i="22"/>
  <c r="O78" i="22"/>
  <c r="N78" i="22"/>
  <c r="N77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V73" i="22"/>
  <c r="U73" i="22"/>
  <c r="T73" i="22"/>
  <c r="S73" i="22"/>
  <c r="R73" i="22"/>
  <c r="Q73" i="22"/>
  <c r="P73" i="22"/>
  <c r="O73" i="22"/>
  <c r="N73" i="22"/>
  <c r="N72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B69" i="22"/>
  <c r="V68" i="22"/>
  <c r="U68" i="22"/>
  <c r="T68" i="22"/>
  <c r="S68" i="22"/>
  <c r="R68" i="22"/>
  <c r="Q68" i="22"/>
  <c r="P68" i="22"/>
  <c r="O68" i="22"/>
  <c r="N68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B64" i="22"/>
  <c r="V63" i="22"/>
  <c r="U63" i="22"/>
  <c r="T63" i="22"/>
  <c r="S63" i="22"/>
  <c r="R63" i="22"/>
  <c r="Q63" i="22"/>
  <c r="P63" i="22"/>
  <c r="O63" i="22"/>
  <c r="N63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B59" i="22"/>
  <c r="V58" i="22"/>
  <c r="U58" i="22"/>
  <c r="T58" i="22"/>
  <c r="S58" i="22"/>
  <c r="R58" i="22"/>
  <c r="Q58" i="22"/>
  <c r="P58" i="22"/>
  <c r="O58" i="22"/>
  <c r="N58" i="22"/>
  <c r="P38" i="22"/>
  <c r="K38" i="22"/>
  <c r="B38" i="22"/>
  <c r="B40" i="22" s="1"/>
  <c r="K37" i="22"/>
  <c r="C37" i="22"/>
  <c r="B37" i="22"/>
  <c r="N90" i="22" s="1"/>
  <c r="K36" i="22"/>
  <c r="D36" i="22"/>
  <c r="B36" i="22"/>
  <c r="N89" i="22" s="1"/>
  <c r="B26" i="22"/>
  <c r="N62" i="22" s="1"/>
  <c r="K25" i="22"/>
  <c r="B28" i="22" s="1"/>
  <c r="B25" i="22"/>
  <c r="B29" i="22" s="1"/>
  <c r="V22" i="22"/>
  <c r="V21" i="22"/>
  <c r="V20" i="22"/>
  <c r="V19" i="22"/>
  <c r="V18" i="22"/>
  <c r="V17" i="22"/>
  <c r="V16" i="22"/>
  <c r="V15" i="22"/>
  <c r="S38" i="22"/>
  <c r="R38" i="22"/>
  <c r="Q38" i="22"/>
  <c r="O38" i="22"/>
  <c r="N38" i="22"/>
  <c r="M38" i="22"/>
  <c r="L38" i="22"/>
  <c r="J38" i="22"/>
  <c r="I38" i="22"/>
  <c r="H38" i="22"/>
  <c r="G38" i="22"/>
  <c r="F38" i="22"/>
  <c r="E38" i="22"/>
  <c r="D38" i="22"/>
  <c r="C38" i="22"/>
  <c r="V14" i="22"/>
  <c r="AC21" i="22"/>
  <c r="V13" i="22"/>
  <c r="S37" i="22"/>
  <c r="AD12" i="22"/>
  <c r="V12" i="22"/>
  <c r="V11" i="22"/>
  <c r="X2" i="22"/>
  <c r="V10" i="22"/>
  <c r="V9" i="22"/>
  <c r="AA16" i="22"/>
  <c r="Z16" i="22"/>
  <c r="V8" i="22"/>
  <c r="V24" i="22" s="1"/>
  <c r="V23" i="22" s="1"/>
  <c r="AA7" i="22"/>
  <c r="V7" i="22"/>
  <c r="AC14" i="22"/>
  <c r="AB14" i="22"/>
  <c r="V6" i="22"/>
  <c r="AC5" i="22"/>
  <c r="V5" i="22"/>
  <c r="Q37" i="22"/>
  <c r="P37" i="22"/>
  <c r="O37" i="22"/>
  <c r="N37" i="22"/>
  <c r="M37" i="22"/>
  <c r="L37" i="22"/>
  <c r="J37" i="22"/>
  <c r="I37" i="22"/>
  <c r="H37" i="22"/>
  <c r="G37" i="22"/>
  <c r="F37" i="22"/>
  <c r="E37" i="22"/>
  <c r="Q90" i="22" s="1"/>
  <c r="D37" i="22"/>
  <c r="V4" i="22"/>
  <c r="X11" i="22"/>
  <c r="W11" i="22"/>
  <c r="V3" i="22"/>
  <c r="N25" i="22"/>
  <c r="M25" i="22"/>
  <c r="C33" i="22"/>
  <c r="O77" i="22" s="1"/>
  <c r="V2" i="22"/>
  <c r="S25" i="22"/>
  <c r="R36" i="22"/>
  <c r="Q36" i="22"/>
  <c r="P36" i="22"/>
  <c r="O36" i="22"/>
  <c r="N36" i="22"/>
  <c r="M36" i="22"/>
  <c r="L36" i="22"/>
  <c r="AD10" i="22"/>
  <c r="AC19" i="22"/>
  <c r="AB12" i="22"/>
  <c r="AA21" i="22"/>
  <c r="Z14" i="22"/>
  <c r="Y7" i="22"/>
  <c r="X16" i="22"/>
  <c r="C32" i="22"/>
  <c r="O72" i="22" s="1"/>
  <c r="M91" i="21"/>
  <c r="L91" i="21"/>
  <c r="K91" i="21"/>
  <c r="J91" i="21"/>
  <c r="I91" i="21"/>
  <c r="H91" i="21"/>
  <c r="G91" i="21"/>
  <c r="F91" i="21"/>
  <c r="E91" i="21"/>
  <c r="D91" i="21"/>
  <c r="C91" i="21"/>
  <c r="B91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V78" i="21"/>
  <c r="U78" i="21"/>
  <c r="T78" i="21"/>
  <c r="S78" i="21"/>
  <c r="R78" i="21"/>
  <c r="Q78" i="21"/>
  <c r="P78" i="21"/>
  <c r="O78" i="21"/>
  <c r="N78" i="21"/>
  <c r="N77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V73" i="21"/>
  <c r="U73" i="21"/>
  <c r="T73" i="21"/>
  <c r="S73" i="21"/>
  <c r="R73" i="21"/>
  <c r="Q73" i="21"/>
  <c r="P73" i="21"/>
  <c r="O73" i="21"/>
  <c r="N73" i="21"/>
  <c r="N72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V68" i="21"/>
  <c r="U68" i="21"/>
  <c r="T68" i="21"/>
  <c r="S68" i="21"/>
  <c r="R68" i="21"/>
  <c r="Q68" i="21"/>
  <c r="P68" i="21"/>
  <c r="O68" i="21"/>
  <c r="N68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V63" i="21"/>
  <c r="U63" i="21"/>
  <c r="T63" i="21"/>
  <c r="S63" i="21"/>
  <c r="R63" i="21"/>
  <c r="Q63" i="21"/>
  <c r="P63" i="21"/>
  <c r="O63" i="21"/>
  <c r="N63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V58" i="21"/>
  <c r="U58" i="21"/>
  <c r="T58" i="21"/>
  <c r="S58" i="21"/>
  <c r="R58" i="21"/>
  <c r="Q58" i="21"/>
  <c r="P58" i="21"/>
  <c r="O58" i="21"/>
  <c r="N58" i="21"/>
  <c r="P38" i="21"/>
  <c r="K38" i="21"/>
  <c r="B38" i="21"/>
  <c r="N91" i="21" s="1"/>
  <c r="K37" i="21"/>
  <c r="B37" i="21"/>
  <c r="B40" i="21" s="1"/>
  <c r="K36" i="21"/>
  <c r="D36" i="21"/>
  <c r="P89" i="21" s="1"/>
  <c r="B36" i="21"/>
  <c r="N89" i="21" s="1"/>
  <c r="B29" i="21"/>
  <c r="K25" i="21"/>
  <c r="B28" i="21" s="1"/>
  <c r="B25" i="21"/>
  <c r="N67" i="21" s="1"/>
  <c r="V22" i="21"/>
  <c r="V21" i="21"/>
  <c r="V20" i="21"/>
  <c r="V19" i="21"/>
  <c r="V18" i="21"/>
  <c r="V17" i="21"/>
  <c r="O38" i="21"/>
  <c r="V16" i="21"/>
  <c r="AA7" i="21"/>
  <c r="V15" i="21"/>
  <c r="S38" i="21"/>
  <c r="R38" i="21"/>
  <c r="Q38" i="21"/>
  <c r="N38" i="21"/>
  <c r="M38" i="21"/>
  <c r="L38" i="21"/>
  <c r="H38" i="21"/>
  <c r="E38" i="21"/>
  <c r="D38" i="21"/>
  <c r="C38" i="21"/>
  <c r="V14" i="21"/>
  <c r="V13" i="21"/>
  <c r="C37" i="21"/>
  <c r="V12" i="21"/>
  <c r="V11" i="21"/>
  <c r="X18" i="21"/>
  <c r="V10" i="21"/>
  <c r="V9" i="21"/>
  <c r="V8" i="21"/>
  <c r="V24" i="21" s="1"/>
  <c r="V23" i="21" s="1"/>
  <c r="V7" i="21"/>
  <c r="AB14" i="21"/>
  <c r="V6" i="21"/>
  <c r="S37" i="21"/>
  <c r="R37" i="21"/>
  <c r="Q37" i="21"/>
  <c r="V5" i="21"/>
  <c r="P37" i="21"/>
  <c r="O37" i="21"/>
  <c r="N37" i="21"/>
  <c r="M37" i="21"/>
  <c r="L37" i="21"/>
  <c r="H37" i="21"/>
  <c r="F37" i="21"/>
  <c r="E37" i="21"/>
  <c r="D37" i="21"/>
  <c r="V4" i="21"/>
  <c r="S36" i="21"/>
  <c r="X11" i="21"/>
  <c r="W4" i="21"/>
  <c r="V3" i="21"/>
  <c r="N25" i="21"/>
  <c r="X2" i="21"/>
  <c r="L25" i="21"/>
  <c r="C33" i="21"/>
  <c r="O77" i="21" s="1"/>
  <c r="V2" i="21"/>
  <c r="S25" i="21"/>
  <c r="R36" i="21"/>
  <c r="Q36" i="21"/>
  <c r="P36" i="21"/>
  <c r="O36" i="21"/>
  <c r="N36" i="21"/>
  <c r="M36" i="21"/>
  <c r="L36" i="21"/>
  <c r="AB12" i="21"/>
  <c r="Y7" i="21"/>
  <c r="X16" i="21"/>
  <c r="C32" i="21"/>
  <c r="O72" i="21" s="1"/>
  <c r="T72" i="18" a="1"/>
  <c r="T72" i="18" s="1"/>
  <c r="H72" i="18" a="1"/>
  <c r="H72" i="18" s="1"/>
  <c r="L3" i="20"/>
  <c r="M3" i="20"/>
  <c r="N3" i="20"/>
  <c r="O3" i="20"/>
  <c r="P3" i="20"/>
  <c r="Q3" i="20"/>
  <c r="R3" i="20"/>
  <c r="S3" i="20"/>
  <c r="L4" i="20"/>
  <c r="M4" i="20"/>
  <c r="N4" i="20"/>
  <c r="O4" i="20"/>
  <c r="P4" i="20"/>
  <c r="Q4" i="20"/>
  <c r="R4" i="20"/>
  <c r="S4" i="20"/>
  <c r="AD21" i="20" s="1"/>
  <c r="L5" i="20"/>
  <c r="M5" i="20"/>
  <c r="N5" i="20"/>
  <c r="O5" i="20"/>
  <c r="O37" i="20" s="1"/>
  <c r="P5" i="20"/>
  <c r="Q5" i="20"/>
  <c r="R5" i="20"/>
  <c r="S5" i="20"/>
  <c r="L6" i="20"/>
  <c r="M6" i="20"/>
  <c r="N6" i="20"/>
  <c r="O6" i="20"/>
  <c r="P6" i="20"/>
  <c r="Q6" i="20"/>
  <c r="R6" i="20"/>
  <c r="S6" i="20"/>
  <c r="S37" i="20" s="1"/>
  <c r="L7" i="20"/>
  <c r="M7" i="20"/>
  <c r="N7" i="20"/>
  <c r="O7" i="20"/>
  <c r="P7" i="20"/>
  <c r="Q7" i="20"/>
  <c r="R7" i="20"/>
  <c r="S7" i="20"/>
  <c r="L8" i="20"/>
  <c r="M8" i="20"/>
  <c r="N8" i="20"/>
  <c r="O8" i="20"/>
  <c r="P8" i="20"/>
  <c r="P37" i="20" s="1"/>
  <c r="Q8" i="20"/>
  <c r="R8" i="20"/>
  <c r="S8" i="20"/>
  <c r="L9" i="20"/>
  <c r="M9" i="20"/>
  <c r="N9" i="20"/>
  <c r="O9" i="20"/>
  <c r="P9" i="20"/>
  <c r="Q9" i="20"/>
  <c r="R9" i="20"/>
  <c r="S9" i="20"/>
  <c r="L10" i="20"/>
  <c r="M10" i="20"/>
  <c r="N10" i="20"/>
  <c r="O10" i="20"/>
  <c r="P10" i="20"/>
  <c r="Q10" i="20"/>
  <c r="R10" i="20"/>
  <c r="S10" i="20"/>
  <c r="L11" i="20"/>
  <c r="M11" i="20"/>
  <c r="N11" i="20"/>
  <c r="O11" i="20"/>
  <c r="P11" i="20"/>
  <c r="Q11" i="20"/>
  <c r="R11" i="20"/>
  <c r="S11" i="20"/>
  <c r="L12" i="20"/>
  <c r="M12" i="20"/>
  <c r="N12" i="20"/>
  <c r="O12" i="20"/>
  <c r="P12" i="20"/>
  <c r="Q12" i="20"/>
  <c r="R12" i="20"/>
  <c r="S12" i="20"/>
  <c r="L13" i="20"/>
  <c r="M13" i="20"/>
  <c r="N13" i="20"/>
  <c r="O13" i="20"/>
  <c r="P13" i="20"/>
  <c r="Q13" i="20"/>
  <c r="R13" i="20"/>
  <c r="S13" i="20"/>
  <c r="L14" i="20"/>
  <c r="M14" i="20"/>
  <c r="N14" i="20"/>
  <c r="O14" i="20"/>
  <c r="P14" i="20"/>
  <c r="Q14" i="20"/>
  <c r="R14" i="20"/>
  <c r="S14" i="20"/>
  <c r="L15" i="20"/>
  <c r="M15" i="20"/>
  <c r="N15" i="20"/>
  <c r="O15" i="20"/>
  <c r="O38" i="20" s="1"/>
  <c r="P15" i="20"/>
  <c r="Q15" i="20"/>
  <c r="Q38" i="20" s="1"/>
  <c r="R15" i="20"/>
  <c r="S15" i="20"/>
  <c r="L16" i="20"/>
  <c r="M16" i="20"/>
  <c r="N16" i="20"/>
  <c r="O16" i="20"/>
  <c r="P16" i="20"/>
  <c r="Q16" i="20"/>
  <c r="R16" i="20"/>
  <c r="S16" i="20"/>
  <c r="S38" i="20" s="1"/>
  <c r="L17" i="20"/>
  <c r="M17" i="20"/>
  <c r="N17" i="20"/>
  <c r="O17" i="20"/>
  <c r="P17" i="20"/>
  <c r="P38" i="20" s="1"/>
  <c r="Q17" i="20"/>
  <c r="R17" i="20"/>
  <c r="S17" i="20"/>
  <c r="L18" i="20"/>
  <c r="M18" i="20"/>
  <c r="N18" i="20"/>
  <c r="O18" i="20"/>
  <c r="P18" i="20"/>
  <c r="Q18" i="20"/>
  <c r="R18" i="20"/>
  <c r="S18" i="20"/>
  <c r="L19" i="20"/>
  <c r="M19" i="20"/>
  <c r="N19" i="20"/>
  <c r="O19" i="20"/>
  <c r="P19" i="20"/>
  <c r="Q19" i="20"/>
  <c r="R19" i="20"/>
  <c r="S19" i="20"/>
  <c r="L20" i="20"/>
  <c r="M20" i="20"/>
  <c r="N20" i="20"/>
  <c r="O20" i="20"/>
  <c r="P20" i="20"/>
  <c r="Q20" i="20"/>
  <c r="R20" i="20"/>
  <c r="S20" i="20"/>
  <c r="L21" i="20"/>
  <c r="M21" i="20"/>
  <c r="N21" i="20"/>
  <c r="O21" i="20"/>
  <c r="P21" i="20"/>
  <c r="Q21" i="20"/>
  <c r="R21" i="20"/>
  <c r="S21" i="20"/>
  <c r="L22" i="20"/>
  <c r="M22" i="20"/>
  <c r="N22" i="20"/>
  <c r="O22" i="20"/>
  <c r="P22" i="20"/>
  <c r="Q22" i="20"/>
  <c r="R22" i="20"/>
  <c r="S22" i="20"/>
  <c r="M2" i="20"/>
  <c r="N2" i="20"/>
  <c r="O2" i="20"/>
  <c r="P2" i="20"/>
  <c r="AA10" i="20" s="1"/>
  <c r="Q2" i="20"/>
  <c r="Q36" i="20" s="1"/>
  <c r="R2" i="20"/>
  <c r="S2" i="20"/>
  <c r="L2" i="20"/>
  <c r="L37" i="20"/>
  <c r="C3" i="20"/>
  <c r="D3" i="20"/>
  <c r="E3" i="20"/>
  <c r="F3" i="20"/>
  <c r="Z14" i="20" s="1"/>
  <c r="G3" i="20"/>
  <c r="H3" i="20"/>
  <c r="I3" i="20"/>
  <c r="J3" i="20"/>
  <c r="C4" i="20"/>
  <c r="D4" i="20"/>
  <c r="E4" i="20"/>
  <c r="F4" i="20"/>
  <c r="G4" i="20"/>
  <c r="H4" i="20"/>
  <c r="I4" i="20"/>
  <c r="J4" i="20"/>
  <c r="C5" i="20"/>
  <c r="D5" i="20"/>
  <c r="D37" i="20" s="1"/>
  <c r="E5" i="20"/>
  <c r="E37" i="20" s="1"/>
  <c r="Q90" i="20" s="1"/>
  <c r="F5" i="20"/>
  <c r="F37" i="20" s="1"/>
  <c r="G5" i="20"/>
  <c r="H5" i="20"/>
  <c r="I5" i="20"/>
  <c r="J5" i="20"/>
  <c r="C6" i="20"/>
  <c r="D6" i="20"/>
  <c r="E6" i="20"/>
  <c r="F6" i="20"/>
  <c r="G6" i="20"/>
  <c r="H6" i="20"/>
  <c r="H37" i="20" s="1"/>
  <c r="I6" i="20"/>
  <c r="I37" i="20" s="1"/>
  <c r="J6" i="20"/>
  <c r="J37" i="20" s="1"/>
  <c r="C7" i="20"/>
  <c r="D7" i="20"/>
  <c r="E7" i="20"/>
  <c r="F7" i="20"/>
  <c r="G7" i="20"/>
  <c r="H7" i="20"/>
  <c r="I7" i="20"/>
  <c r="J7" i="20"/>
  <c r="C8" i="20"/>
  <c r="D8" i="20"/>
  <c r="E8" i="20"/>
  <c r="F8" i="20"/>
  <c r="G8" i="20"/>
  <c r="H8" i="20"/>
  <c r="I8" i="20"/>
  <c r="J8" i="20"/>
  <c r="C9" i="20"/>
  <c r="D9" i="20"/>
  <c r="E9" i="20"/>
  <c r="F9" i="20"/>
  <c r="G9" i="20"/>
  <c r="H9" i="20"/>
  <c r="I9" i="20"/>
  <c r="J9" i="20"/>
  <c r="C10" i="20"/>
  <c r="D10" i="20"/>
  <c r="E10" i="20"/>
  <c r="F10" i="20"/>
  <c r="G10" i="20"/>
  <c r="H10" i="20"/>
  <c r="I10" i="20"/>
  <c r="J10" i="20"/>
  <c r="C11" i="20"/>
  <c r="D11" i="20"/>
  <c r="E11" i="20"/>
  <c r="F11" i="20"/>
  <c r="G11" i="20"/>
  <c r="H11" i="20"/>
  <c r="I11" i="20"/>
  <c r="J11" i="20"/>
  <c r="C12" i="20"/>
  <c r="D12" i="20"/>
  <c r="E12" i="20"/>
  <c r="F12" i="20"/>
  <c r="G12" i="20"/>
  <c r="H12" i="20"/>
  <c r="I12" i="20"/>
  <c r="J12" i="20"/>
  <c r="C13" i="20"/>
  <c r="D13" i="20"/>
  <c r="E13" i="20"/>
  <c r="F13" i="20"/>
  <c r="G13" i="20"/>
  <c r="H13" i="20"/>
  <c r="I13" i="20"/>
  <c r="J13" i="20"/>
  <c r="C14" i="20"/>
  <c r="D14" i="20"/>
  <c r="E14" i="20"/>
  <c r="F14" i="20"/>
  <c r="G14" i="20"/>
  <c r="H14" i="20"/>
  <c r="I14" i="20"/>
  <c r="J14" i="20"/>
  <c r="C15" i="20"/>
  <c r="C38" i="20" s="1"/>
  <c r="D15" i="20"/>
  <c r="E15" i="20"/>
  <c r="F15" i="20"/>
  <c r="G15" i="20"/>
  <c r="H15" i="20"/>
  <c r="I15" i="20"/>
  <c r="J15" i="20"/>
  <c r="C16" i="20"/>
  <c r="D16" i="20"/>
  <c r="E16" i="20"/>
  <c r="F16" i="20"/>
  <c r="G16" i="20"/>
  <c r="H16" i="20"/>
  <c r="H38" i="20" s="1"/>
  <c r="I16" i="20"/>
  <c r="J16" i="20"/>
  <c r="C17" i="20"/>
  <c r="D17" i="20"/>
  <c r="E17" i="20"/>
  <c r="F17" i="20"/>
  <c r="G17" i="20"/>
  <c r="H17" i="20"/>
  <c r="I17" i="20"/>
  <c r="J17" i="20"/>
  <c r="C18" i="20"/>
  <c r="D18" i="20"/>
  <c r="E18" i="20"/>
  <c r="F18" i="20"/>
  <c r="G18" i="20"/>
  <c r="H18" i="20"/>
  <c r="I18" i="20"/>
  <c r="J18" i="20"/>
  <c r="C19" i="20"/>
  <c r="D19" i="20"/>
  <c r="E19" i="20"/>
  <c r="F19" i="20"/>
  <c r="G19" i="20"/>
  <c r="H19" i="20"/>
  <c r="I19" i="20"/>
  <c r="J19" i="20"/>
  <c r="C20" i="20"/>
  <c r="D20" i="20"/>
  <c r="E20" i="20"/>
  <c r="F20" i="20"/>
  <c r="G20" i="20"/>
  <c r="H20" i="20"/>
  <c r="I20" i="20"/>
  <c r="J20" i="20"/>
  <c r="C21" i="20"/>
  <c r="D21" i="20"/>
  <c r="E21" i="20"/>
  <c r="F21" i="20"/>
  <c r="G21" i="20"/>
  <c r="H21" i="20"/>
  <c r="I21" i="20"/>
  <c r="J21" i="20"/>
  <c r="C22" i="20"/>
  <c r="D22" i="20"/>
  <c r="E22" i="20"/>
  <c r="F22" i="20"/>
  <c r="G22" i="20"/>
  <c r="H22" i="20"/>
  <c r="I22" i="20"/>
  <c r="I38" i="20" s="1"/>
  <c r="J22" i="20"/>
  <c r="D2" i="20"/>
  <c r="E2" i="20"/>
  <c r="F2" i="20"/>
  <c r="G2" i="20"/>
  <c r="AA16" i="20" s="1"/>
  <c r="H2" i="20"/>
  <c r="I2" i="20"/>
  <c r="J2" i="20"/>
  <c r="C2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V78" i="20"/>
  <c r="U78" i="20"/>
  <c r="T78" i="20"/>
  <c r="S78" i="20"/>
  <c r="R78" i="20"/>
  <c r="Q78" i="20"/>
  <c r="P78" i="20"/>
  <c r="O78" i="20"/>
  <c r="N78" i="20"/>
  <c r="N77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V73" i="20"/>
  <c r="U73" i="20"/>
  <c r="T73" i="20"/>
  <c r="S73" i="20"/>
  <c r="R73" i="20"/>
  <c r="Q73" i="20"/>
  <c r="P73" i="20"/>
  <c r="O73" i="20"/>
  <c r="N73" i="20"/>
  <c r="N72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V68" i="20"/>
  <c r="U68" i="20"/>
  <c r="T68" i="20"/>
  <c r="S68" i="20"/>
  <c r="R68" i="20"/>
  <c r="Q68" i="20"/>
  <c r="P68" i="20"/>
  <c r="O68" i="20"/>
  <c r="N68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V63" i="20"/>
  <c r="U63" i="20"/>
  <c r="T63" i="20"/>
  <c r="S63" i="20"/>
  <c r="R63" i="20"/>
  <c r="Q63" i="20"/>
  <c r="P63" i="20"/>
  <c r="O63" i="20"/>
  <c r="N63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V58" i="20"/>
  <c r="U58" i="20"/>
  <c r="T58" i="20"/>
  <c r="S58" i="20"/>
  <c r="R58" i="20"/>
  <c r="Q58" i="20"/>
  <c r="P58" i="20"/>
  <c r="O58" i="20"/>
  <c r="N58" i="20"/>
  <c r="K38" i="20"/>
  <c r="B38" i="20"/>
  <c r="B40" i="20" s="1"/>
  <c r="K37" i="20"/>
  <c r="B37" i="20"/>
  <c r="N90" i="20" s="1"/>
  <c r="K36" i="20"/>
  <c r="B36" i="20"/>
  <c r="N89" i="20" s="1"/>
  <c r="B29" i="20"/>
  <c r="K25" i="20"/>
  <c r="B28" i="20" s="1"/>
  <c r="B25" i="20"/>
  <c r="N67" i="20" s="1"/>
  <c r="V22" i="20"/>
  <c r="V21" i="20"/>
  <c r="V20" i="20"/>
  <c r="V19" i="20"/>
  <c r="V18" i="20"/>
  <c r="V17" i="20"/>
  <c r="V16" i="20"/>
  <c r="V15" i="20"/>
  <c r="R38" i="20"/>
  <c r="N38" i="20"/>
  <c r="M38" i="20"/>
  <c r="L38" i="20"/>
  <c r="J38" i="20"/>
  <c r="G38" i="20"/>
  <c r="F38" i="20"/>
  <c r="E38" i="20"/>
  <c r="D38" i="20"/>
  <c r="V14" i="20"/>
  <c r="V13" i="20"/>
  <c r="V12" i="20"/>
  <c r="V11" i="20"/>
  <c r="V10" i="20"/>
  <c r="V9" i="20"/>
  <c r="V8" i="20"/>
  <c r="V23" i="20" s="1"/>
  <c r="V7" i="20"/>
  <c r="V6" i="20"/>
  <c r="V5" i="20"/>
  <c r="R37" i="20"/>
  <c r="Q37" i="20"/>
  <c r="N37" i="20"/>
  <c r="M37" i="20"/>
  <c r="G37" i="20"/>
  <c r="C37" i="20"/>
  <c r="V4" i="20"/>
  <c r="X5" i="20"/>
  <c r="V3" i="20"/>
  <c r="V2" i="20"/>
  <c r="R36" i="20"/>
  <c r="P36" i="20"/>
  <c r="N36" i="20"/>
  <c r="M36" i="20"/>
  <c r="L36" i="20"/>
  <c r="Y7" i="20"/>
  <c r="X16" i="20"/>
  <c r="C32" i="20"/>
  <c r="O72" i="20" s="1"/>
  <c r="BN72" i="18" a="1"/>
  <c r="BN72" i="18" s="1"/>
  <c r="BM72" i="18" a="1"/>
  <c r="BM72" i="18" s="1"/>
  <c r="BL72" i="18" a="1"/>
  <c r="BL72" i="18" s="1"/>
  <c r="BK72" i="18" a="1"/>
  <c r="BK72" i="18" s="1"/>
  <c r="BJ72" i="18" a="1"/>
  <c r="BJ72" i="18" s="1"/>
  <c r="AD28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" i="10"/>
  <c r="AD3" i="10"/>
  <c r="AD4" i="10"/>
  <c r="AD5" i="10"/>
  <c r="AD6" i="10"/>
  <c r="AD7" i="10"/>
  <c r="AD8" i="10"/>
  <c r="AD9" i="10"/>
  <c r="AD10" i="10"/>
  <c r="AD11" i="10"/>
  <c r="AD12" i="10"/>
  <c r="AD28" i="10" s="1"/>
  <c r="AD23" i="10" s="1"/>
  <c r="AD13" i="10"/>
  <c r="AD14" i="10"/>
  <c r="AD15" i="10"/>
  <c r="AD16" i="10"/>
  <c r="AD17" i="10"/>
  <c r="AD18" i="10"/>
  <c r="AD19" i="10"/>
  <c r="AD20" i="10"/>
  <c r="AD21" i="10"/>
  <c r="AD22" i="10"/>
  <c r="AD2" i="11"/>
  <c r="AD3" i="11"/>
  <c r="AD4" i="11"/>
  <c r="AD5" i="11"/>
  <c r="AD6" i="11"/>
  <c r="AD7" i="11"/>
  <c r="AD8" i="11"/>
  <c r="AD9" i="11"/>
  <c r="AD10" i="11"/>
  <c r="AD11" i="11"/>
  <c r="AD26" i="11" s="1"/>
  <c r="AD23" i="11" s="1"/>
  <c r="AD12" i="11"/>
  <c r="AD13" i="11"/>
  <c r="AD14" i="11"/>
  <c r="AD15" i="11"/>
  <c r="AD16" i="11"/>
  <c r="AD17" i="11"/>
  <c r="AD18" i="11"/>
  <c r="AD19" i="11"/>
  <c r="AD20" i="11"/>
  <c r="AD21" i="11"/>
  <c r="AD22" i="11"/>
  <c r="AD2" i="12"/>
  <c r="AD3" i="12"/>
  <c r="AD4" i="12"/>
  <c r="AD5" i="12"/>
  <c r="AD6" i="12"/>
  <c r="AD7" i="12"/>
  <c r="AD8" i="12"/>
  <c r="AD9" i="12"/>
  <c r="AD10" i="12"/>
  <c r="AD11" i="12"/>
  <c r="AD12" i="12"/>
  <c r="AD27" i="12" s="1"/>
  <c r="AD23" i="12" s="1"/>
  <c r="AD13" i="12"/>
  <c r="AD14" i="12"/>
  <c r="AD15" i="12"/>
  <c r="AD16" i="12"/>
  <c r="AD17" i="12"/>
  <c r="AD18" i="12"/>
  <c r="AD19" i="12"/>
  <c r="AD20" i="12"/>
  <c r="AD21" i="12"/>
  <c r="AD22" i="12"/>
  <c r="AD2" i="13"/>
  <c r="AD3" i="13"/>
  <c r="AD4" i="13"/>
  <c r="AD5" i="13"/>
  <c r="AD6" i="13"/>
  <c r="AD7" i="13"/>
  <c r="AD8" i="13"/>
  <c r="AD9" i="13"/>
  <c r="AD10" i="13"/>
  <c r="AD11" i="13"/>
  <c r="AD12" i="13"/>
  <c r="AD28" i="13" s="1"/>
  <c r="AD23" i="13" s="1"/>
  <c r="AD13" i="13"/>
  <c r="AD14" i="13"/>
  <c r="AD15" i="13"/>
  <c r="AD16" i="13"/>
  <c r="AD17" i="13"/>
  <c r="AD18" i="13"/>
  <c r="AD19" i="13"/>
  <c r="AD20" i="13"/>
  <c r="AD21" i="13"/>
  <c r="AD22" i="13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7" i="1"/>
  <c r="V3" i="1"/>
  <c r="AC23" i="1"/>
  <c r="AB23" i="1"/>
  <c r="AA23" i="1"/>
  <c r="Z23" i="1"/>
  <c r="Y23" i="1"/>
  <c r="X23" i="1"/>
  <c r="W23" i="1"/>
  <c r="V23" i="1"/>
  <c r="AC23" i="4"/>
  <c r="AB23" i="4"/>
  <c r="AA23" i="4"/>
  <c r="Z23" i="4"/>
  <c r="Y23" i="4"/>
  <c r="X23" i="4"/>
  <c r="W23" i="4"/>
  <c r="V23" i="4"/>
  <c r="AC23" i="10"/>
  <c r="AB23" i="10"/>
  <c r="AA23" i="10"/>
  <c r="Z23" i="10"/>
  <c r="Y23" i="10"/>
  <c r="X23" i="10"/>
  <c r="W23" i="10"/>
  <c r="V23" i="10"/>
  <c r="AC23" i="11"/>
  <c r="AB23" i="11"/>
  <c r="AA23" i="11"/>
  <c r="Z23" i="11"/>
  <c r="Y23" i="11"/>
  <c r="X23" i="11"/>
  <c r="W23" i="11"/>
  <c r="V23" i="11"/>
  <c r="AC23" i="12"/>
  <c r="AB23" i="12"/>
  <c r="AA23" i="12"/>
  <c r="Z23" i="12"/>
  <c r="Y23" i="12"/>
  <c r="X23" i="12"/>
  <c r="W23" i="12"/>
  <c r="V23" i="12"/>
  <c r="W23" i="13"/>
  <c r="X23" i="13"/>
  <c r="Y23" i="13"/>
  <c r="Z23" i="13"/>
  <c r="AA23" i="13"/>
  <c r="AB23" i="13"/>
  <c r="AC23" i="13"/>
  <c r="V23" i="13"/>
  <c r="AB27" i="1"/>
  <c r="AC27" i="1"/>
  <c r="AA27" i="1"/>
  <c r="AC22" i="1"/>
  <c r="AB22" i="1"/>
  <c r="AA22" i="1"/>
  <c r="Z22" i="1"/>
  <c r="Y22" i="1"/>
  <c r="X22" i="1"/>
  <c r="W22" i="1"/>
  <c r="V22" i="1"/>
  <c r="AC21" i="1"/>
  <c r="AB21" i="1"/>
  <c r="AA21" i="1"/>
  <c r="Z21" i="1"/>
  <c r="Y21" i="1"/>
  <c r="X21" i="1"/>
  <c r="W21" i="1"/>
  <c r="V21" i="1"/>
  <c r="AC20" i="1"/>
  <c r="AB20" i="1"/>
  <c r="AA20" i="1"/>
  <c r="Z20" i="1"/>
  <c r="Y20" i="1"/>
  <c r="X20" i="1"/>
  <c r="W20" i="1"/>
  <c r="V20" i="1"/>
  <c r="AC19" i="1"/>
  <c r="AB19" i="1"/>
  <c r="AA19" i="1"/>
  <c r="Z19" i="1"/>
  <c r="Y19" i="1"/>
  <c r="X19" i="1"/>
  <c r="W19" i="1"/>
  <c r="V19" i="1"/>
  <c r="AC18" i="1"/>
  <c r="AB18" i="1"/>
  <c r="AA18" i="1"/>
  <c r="Z18" i="1"/>
  <c r="Y18" i="1"/>
  <c r="X18" i="1"/>
  <c r="W18" i="1"/>
  <c r="V18" i="1"/>
  <c r="AC17" i="1"/>
  <c r="AB17" i="1"/>
  <c r="AA17" i="1"/>
  <c r="Z17" i="1"/>
  <c r="Y17" i="1"/>
  <c r="X17" i="1"/>
  <c r="W17" i="1"/>
  <c r="V17" i="1"/>
  <c r="AC16" i="1"/>
  <c r="AB16" i="1"/>
  <c r="AA16" i="1"/>
  <c r="Z16" i="1"/>
  <c r="Y16" i="1"/>
  <c r="X16" i="1"/>
  <c r="W16" i="1"/>
  <c r="V16" i="1"/>
  <c r="AC15" i="1"/>
  <c r="AB15" i="1"/>
  <c r="AA15" i="1"/>
  <c r="Z15" i="1"/>
  <c r="Y15" i="1"/>
  <c r="X15" i="1"/>
  <c r="W15" i="1"/>
  <c r="V15" i="1"/>
  <c r="AC14" i="1"/>
  <c r="AB14" i="1"/>
  <c r="AA14" i="1"/>
  <c r="Z14" i="1"/>
  <c r="Y14" i="1"/>
  <c r="X14" i="1"/>
  <c r="W14" i="1"/>
  <c r="V14" i="1"/>
  <c r="AC13" i="1"/>
  <c r="AB13" i="1"/>
  <c r="AA13" i="1"/>
  <c r="Z13" i="1"/>
  <c r="Y13" i="1"/>
  <c r="X13" i="1"/>
  <c r="W13" i="1"/>
  <c r="V13" i="1"/>
  <c r="AC12" i="1"/>
  <c r="AB12" i="1"/>
  <c r="AA12" i="1"/>
  <c r="Z12" i="1"/>
  <c r="Y12" i="1"/>
  <c r="X12" i="1"/>
  <c r="W12" i="1"/>
  <c r="V12" i="1"/>
  <c r="AC11" i="1"/>
  <c r="AB11" i="1"/>
  <c r="AA11" i="1"/>
  <c r="Z11" i="1"/>
  <c r="Y11" i="1"/>
  <c r="X11" i="1"/>
  <c r="W11" i="1"/>
  <c r="V11" i="1"/>
  <c r="AC10" i="1"/>
  <c r="AB10" i="1"/>
  <c r="AA10" i="1"/>
  <c r="Z10" i="1"/>
  <c r="Z26" i="1" s="1"/>
  <c r="Y10" i="1"/>
  <c r="Y26" i="1" s="1"/>
  <c r="X10" i="1"/>
  <c r="W10" i="1"/>
  <c r="V10" i="1"/>
  <c r="AC9" i="1"/>
  <c r="AB9" i="1"/>
  <c r="AA9" i="1"/>
  <c r="Z9" i="1"/>
  <c r="Y9" i="1"/>
  <c r="X9" i="1"/>
  <c r="X25" i="1" s="1"/>
  <c r="W9" i="1"/>
  <c r="W25" i="1" s="1"/>
  <c r="V9" i="1"/>
  <c r="AC8" i="1"/>
  <c r="AB8" i="1"/>
  <c r="AA8" i="1"/>
  <c r="Z8" i="1"/>
  <c r="Y8" i="1"/>
  <c r="X8" i="1"/>
  <c r="W8" i="1"/>
  <c r="V8" i="1"/>
  <c r="V24" i="1" s="1"/>
  <c r="AC7" i="1"/>
  <c r="AB7" i="1"/>
  <c r="AA7" i="1"/>
  <c r="Z7" i="1"/>
  <c r="Y7" i="1"/>
  <c r="X7" i="1"/>
  <c r="W7" i="1"/>
  <c r="V7" i="1"/>
  <c r="AC6" i="1"/>
  <c r="AB6" i="1"/>
  <c r="AA6" i="1"/>
  <c r="Z6" i="1"/>
  <c r="Y6" i="1"/>
  <c r="X6" i="1"/>
  <c r="W6" i="1"/>
  <c r="V6" i="1"/>
  <c r="AC5" i="1"/>
  <c r="AB5" i="1"/>
  <c r="AA5" i="1"/>
  <c r="Z5" i="1"/>
  <c r="Y5" i="1"/>
  <c r="X5" i="1"/>
  <c r="W5" i="1"/>
  <c r="V5" i="1"/>
  <c r="AC4" i="1"/>
  <c r="AB4" i="1"/>
  <c r="AA4" i="1"/>
  <c r="Z4" i="1"/>
  <c r="Y4" i="1"/>
  <c r="X4" i="1"/>
  <c r="W4" i="1"/>
  <c r="V4" i="1"/>
  <c r="AC3" i="1"/>
  <c r="AB3" i="1"/>
  <c r="AA3" i="1"/>
  <c r="Z3" i="1"/>
  <c r="Y3" i="1"/>
  <c r="X3" i="1"/>
  <c r="W3" i="1"/>
  <c r="AC2" i="1"/>
  <c r="AB2" i="1"/>
  <c r="AA2" i="1"/>
  <c r="Z2" i="1"/>
  <c r="Y2" i="1"/>
  <c r="X2" i="1"/>
  <c r="W2" i="1"/>
  <c r="V2" i="1"/>
  <c r="AC22" i="4"/>
  <c r="AB22" i="4"/>
  <c r="AA22" i="4"/>
  <c r="Z22" i="4"/>
  <c r="Y22" i="4"/>
  <c r="X22" i="4"/>
  <c r="W22" i="4"/>
  <c r="V22" i="4"/>
  <c r="AC21" i="4"/>
  <c r="AB21" i="4"/>
  <c r="AA21" i="4"/>
  <c r="Z21" i="4"/>
  <c r="Y21" i="4"/>
  <c r="X21" i="4"/>
  <c r="W21" i="4"/>
  <c r="V21" i="4"/>
  <c r="AC20" i="4"/>
  <c r="AB20" i="4"/>
  <c r="AA20" i="4"/>
  <c r="Z20" i="4"/>
  <c r="Y20" i="4"/>
  <c r="X20" i="4"/>
  <c r="W20" i="4"/>
  <c r="V20" i="4"/>
  <c r="AC19" i="4"/>
  <c r="AB19" i="4"/>
  <c r="AA19" i="4"/>
  <c r="Z19" i="4"/>
  <c r="Y19" i="4"/>
  <c r="X19" i="4"/>
  <c r="W19" i="4"/>
  <c r="V19" i="4"/>
  <c r="AC18" i="4"/>
  <c r="AB18" i="4"/>
  <c r="AA18" i="4"/>
  <c r="Z18" i="4"/>
  <c r="Y18" i="4"/>
  <c r="X18" i="4"/>
  <c r="W18" i="4"/>
  <c r="V18" i="4"/>
  <c r="AC17" i="4"/>
  <c r="AB17" i="4"/>
  <c r="AA17" i="4"/>
  <c r="Z17" i="4"/>
  <c r="Y17" i="4"/>
  <c r="X17" i="4"/>
  <c r="W17" i="4"/>
  <c r="V17" i="4"/>
  <c r="AC16" i="4"/>
  <c r="AB16" i="4"/>
  <c r="AA16" i="4"/>
  <c r="Z16" i="4"/>
  <c r="Y16" i="4"/>
  <c r="X16" i="4"/>
  <c r="W16" i="4"/>
  <c r="V16" i="4"/>
  <c r="AC15" i="4"/>
  <c r="AB15" i="4"/>
  <c r="AA15" i="4"/>
  <c r="Z15" i="4"/>
  <c r="Y15" i="4"/>
  <c r="X15" i="4"/>
  <c r="W15" i="4"/>
  <c r="V15" i="4"/>
  <c r="AC14" i="4"/>
  <c r="AB14" i="4"/>
  <c r="AA14" i="4"/>
  <c r="Z14" i="4"/>
  <c r="Y14" i="4"/>
  <c r="X14" i="4"/>
  <c r="W14" i="4"/>
  <c r="V14" i="4"/>
  <c r="AC13" i="4"/>
  <c r="AB13" i="4"/>
  <c r="AA13" i="4"/>
  <c r="Z13" i="4"/>
  <c r="Y13" i="4"/>
  <c r="X13" i="4"/>
  <c r="W13" i="4"/>
  <c r="V13" i="4"/>
  <c r="AC12" i="4"/>
  <c r="AB12" i="4"/>
  <c r="AA12" i="4"/>
  <c r="Z12" i="4"/>
  <c r="Y12" i="4"/>
  <c r="X12" i="4"/>
  <c r="W12" i="4"/>
  <c r="V12" i="4"/>
  <c r="AC11" i="4"/>
  <c r="AC27" i="4" s="1"/>
  <c r="AB11" i="4"/>
  <c r="AB27" i="4" s="1"/>
  <c r="AA11" i="4"/>
  <c r="AA27" i="4" s="1"/>
  <c r="Z11" i="4"/>
  <c r="Z27" i="4" s="1"/>
  <c r="Y11" i="4"/>
  <c r="X11" i="4"/>
  <c r="W11" i="4"/>
  <c r="V11" i="4"/>
  <c r="AC10" i="4"/>
  <c r="AB10" i="4"/>
  <c r="AA10" i="4"/>
  <c r="Z10" i="4"/>
  <c r="Y10" i="4"/>
  <c r="Y26" i="4" s="1"/>
  <c r="X10" i="4"/>
  <c r="W10" i="4"/>
  <c r="V10" i="4"/>
  <c r="AC9" i="4"/>
  <c r="AB9" i="4"/>
  <c r="AA9" i="4"/>
  <c r="Z9" i="4"/>
  <c r="Y9" i="4"/>
  <c r="X9" i="4"/>
  <c r="X25" i="4" s="1"/>
  <c r="W9" i="4"/>
  <c r="W25" i="4" s="1"/>
  <c r="V9" i="4"/>
  <c r="AC8" i="4"/>
  <c r="AB8" i="4"/>
  <c r="AA8" i="4"/>
  <c r="Z8" i="4"/>
  <c r="Y8" i="4"/>
  <c r="X8" i="4"/>
  <c r="W8" i="4"/>
  <c r="V8" i="4"/>
  <c r="V24" i="4" s="1"/>
  <c r="AC7" i="4"/>
  <c r="AB7" i="4"/>
  <c r="AA7" i="4"/>
  <c r="Z7" i="4"/>
  <c r="Y7" i="4"/>
  <c r="X7" i="4"/>
  <c r="W7" i="4"/>
  <c r="V7" i="4"/>
  <c r="AC6" i="4"/>
  <c r="AB6" i="4"/>
  <c r="AA6" i="4"/>
  <c r="Z6" i="4"/>
  <c r="Y6" i="4"/>
  <c r="X6" i="4"/>
  <c r="W6" i="4"/>
  <c r="V6" i="4"/>
  <c r="AC5" i="4"/>
  <c r="AB5" i="4"/>
  <c r="AA5" i="4"/>
  <c r="Z5" i="4"/>
  <c r="Y5" i="4"/>
  <c r="X5" i="4"/>
  <c r="W5" i="4"/>
  <c r="V5" i="4"/>
  <c r="AC4" i="4"/>
  <c r="AB4" i="4"/>
  <c r="AA4" i="4"/>
  <c r="Z4" i="4"/>
  <c r="Y4" i="4"/>
  <c r="X4" i="4"/>
  <c r="W4" i="4"/>
  <c r="V4" i="4"/>
  <c r="AC3" i="4"/>
  <c r="AB3" i="4"/>
  <c r="AA3" i="4"/>
  <c r="Z3" i="4"/>
  <c r="Y3" i="4"/>
  <c r="X3" i="4"/>
  <c r="W3" i="4"/>
  <c r="V3" i="4"/>
  <c r="AC2" i="4"/>
  <c r="AB2" i="4"/>
  <c r="AA2" i="4"/>
  <c r="Z2" i="4"/>
  <c r="Y2" i="4"/>
  <c r="X2" i="4"/>
  <c r="W2" i="4"/>
  <c r="V2" i="4"/>
  <c r="AC22" i="10"/>
  <c r="AB22" i="10"/>
  <c r="AA22" i="10"/>
  <c r="Z22" i="10"/>
  <c r="Y22" i="10"/>
  <c r="X22" i="10"/>
  <c r="W22" i="10"/>
  <c r="V22" i="10"/>
  <c r="AC21" i="10"/>
  <c r="AB21" i="10"/>
  <c r="AA21" i="10"/>
  <c r="Z21" i="10"/>
  <c r="Y21" i="10"/>
  <c r="X21" i="10"/>
  <c r="W21" i="10"/>
  <c r="V21" i="10"/>
  <c r="AC20" i="10"/>
  <c r="AB20" i="10"/>
  <c r="AA20" i="10"/>
  <c r="Z20" i="10"/>
  <c r="Y20" i="10"/>
  <c r="X20" i="10"/>
  <c r="W20" i="10"/>
  <c r="V20" i="10"/>
  <c r="AC19" i="10"/>
  <c r="AB19" i="10"/>
  <c r="AA19" i="10"/>
  <c r="Z19" i="10"/>
  <c r="Y19" i="10"/>
  <c r="X19" i="10"/>
  <c r="W19" i="10"/>
  <c r="V19" i="10"/>
  <c r="AC18" i="10"/>
  <c r="AB18" i="10"/>
  <c r="AA18" i="10"/>
  <c r="Z18" i="10"/>
  <c r="Y18" i="10"/>
  <c r="X18" i="10"/>
  <c r="W18" i="10"/>
  <c r="V18" i="10"/>
  <c r="AC17" i="10"/>
  <c r="AB17" i="10"/>
  <c r="AA17" i="10"/>
  <c r="Z17" i="10"/>
  <c r="Y17" i="10"/>
  <c r="X17" i="10"/>
  <c r="W17" i="10"/>
  <c r="V17" i="10"/>
  <c r="AC16" i="10"/>
  <c r="AB16" i="10"/>
  <c r="AA16" i="10"/>
  <c r="Z16" i="10"/>
  <c r="Y16" i="10"/>
  <c r="X16" i="10"/>
  <c r="W16" i="10"/>
  <c r="V16" i="10"/>
  <c r="AC15" i="10"/>
  <c r="AB15" i="10"/>
  <c r="AA15" i="10"/>
  <c r="Z15" i="10"/>
  <c r="Y15" i="10"/>
  <c r="X15" i="10"/>
  <c r="W15" i="10"/>
  <c r="V15" i="10"/>
  <c r="AC14" i="10"/>
  <c r="AB14" i="10"/>
  <c r="AA14" i="10"/>
  <c r="Z14" i="10"/>
  <c r="Y14" i="10"/>
  <c r="X14" i="10"/>
  <c r="W14" i="10"/>
  <c r="V14" i="10"/>
  <c r="AC13" i="10"/>
  <c r="AB13" i="10"/>
  <c r="AA13" i="10"/>
  <c r="Z13" i="10"/>
  <c r="Y13" i="10"/>
  <c r="X13" i="10"/>
  <c r="W13" i="10"/>
  <c r="V13" i="10"/>
  <c r="AC12" i="10"/>
  <c r="AC28" i="10" s="1"/>
  <c r="AB12" i="10"/>
  <c r="AB28" i="10" s="1"/>
  <c r="AA12" i="10"/>
  <c r="Z12" i="10"/>
  <c r="Y12" i="10"/>
  <c r="X12" i="10"/>
  <c r="W12" i="10"/>
  <c r="V12" i="10"/>
  <c r="AC11" i="10"/>
  <c r="AB11" i="10"/>
  <c r="AA11" i="10"/>
  <c r="AA27" i="10" s="1"/>
  <c r="Z11" i="10"/>
  <c r="Z27" i="10" s="1"/>
  <c r="Y11" i="10"/>
  <c r="X11" i="10"/>
  <c r="W11" i="10"/>
  <c r="V11" i="10"/>
  <c r="AC10" i="10"/>
  <c r="AB10" i="10"/>
  <c r="AA10" i="10"/>
  <c r="Z10" i="10"/>
  <c r="Y10" i="10"/>
  <c r="Y26" i="10" s="1"/>
  <c r="X10" i="10"/>
  <c r="W10" i="10"/>
  <c r="V10" i="10"/>
  <c r="AC9" i="10"/>
  <c r="AB9" i="10"/>
  <c r="AA9" i="10"/>
  <c r="Z9" i="10"/>
  <c r="Y9" i="10"/>
  <c r="X9" i="10"/>
  <c r="X25" i="10" s="1"/>
  <c r="W9" i="10"/>
  <c r="W25" i="10" s="1"/>
  <c r="V9" i="10"/>
  <c r="AC8" i="10"/>
  <c r="AB8" i="10"/>
  <c r="AA8" i="10"/>
  <c r="Z8" i="10"/>
  <c r="Y8" i="10"/>
  <c r="X8" i="10"/>
  <c r="W8" i="10"/>
  <c r="V8" i="10"/>
  <c r="V24" i="10" s="1"/>
  <c r="AC7" i="10"/>
  <c r="AB7" i="10"/>
  <c r="AA7" i="10"/>
  <c r="Z7" i="10"/>
  <c r="Y7" i="10"/>
  <c r="X7" i="10"/>
  <c r="W7" i="10"/>
  <c r="V7" i="10"/>
  <c r="AC6" i="10"/>
  <c r="AB6" i="10"/>
  <c r="AA6" i="10"/>
  <c r="Z6" i="10"/>
  <c r="Y6" i="10"/>
  <c r="X6" i="10"/>
  <c r="W6" i="10"/>
  <c r="V6" i="10"/>
  <c r="AC5" i="10"/>
  <c r="AB5" i="10"/>
  <c r="AA5" i="10"/>
  <c r="Z5" i="10"/>
  <c r="Y5" i="10"/>
  <c r="X5" i="10"/>
  <c r="W5" i="10"/>
  <c r="V5" i="10"/>
  <c r="AC4" i="10"/>
  <c r="AB4" i="10"/>
  <c r="AA4" i="10"/>
  <c r="Z4" i="10"/>
  <c r="Y4" i="10"/>
  <c r="X4" i="10"/>
  <c r="W4" i="10"/>
  <c r="V4" i="10"/>
  <c r="AC3" i="10"/>
  <c r="AB3" i="10"/>
  <c r="AA3" i="10"/>
  <c r="Z3" i="10"/>
  <c r="Y3" i="10"/>
  <c r="X3" i="10"/>
  <c r="W3" i="10"/>
  <c r="V3" i="10"/>
  <c r="AC2" i="10"/>
  <c r="AB2" i="10"/>
  <c r="AA2" i="10"/>
  <c r="Z2" i="10"/>
  <c r="Y2" i="10"/>
  <c r="X2" i="10"/>
  <c r="W2" i="10"/>
  <c r="V2" i="10"/>
  <c r="AC26" i="11"/>
  <c r="Z26" i="11"/>
  <c r="AA26" i="11"/>
  <c r="AB26" i="11"/>
  <c r="AC22" i="11"/>
  <c r="AB22" i="11"/>
  <c r="AA22" i="11"/>
  <c r="Z22" i="11"/>
  <c r="Y22" i="11"/>
  <c r="X22" i="11"/>
  <c r="W22" i="11"/>
  <c r="V22" i="11"/>
  <c r="AC21" i="11"/>
  <c r="AB21" i="11"/>
  <c r="AA21" i="11"/>
  <c r="Z21" i="11"/>
  <c r="Y21" i="11"/>
  <c r="X21" i="11"/>
  <c r="W21" i="11"/>
  <c r="V21" i="11"/>
  <c r="AC20" i="11"/>
  <c r="AB20" i="11"/>
  <c r="AA20" i="11"/>
  <c r="Z20" i="11"/>
  <c r="Y20" i="11"/>
  <c r="X20" i="11"/>
  <c r="W20" i="11"/>
  <c r="V20" i="11"/>
  <c r="AC19" i="11"/>
  <c r="AB19" i="11"/>
  <c r="AA19" i="11"/>
  <c r="Z19" i="11"/>
  <c r="Y19" i="11"/>
  <c r="X19" i="11"/>
  <c r="W19" i="11"/>
  <c r="V19" i="11"/>
  <c r="AC18" i="11"/>
  <c r="AB18" i="11"/>
  <c r="AA18" i="11"/>
  <c r="Z18" i="11"/>
  <c r="Y18" i="11"/>
  <c r="X18" i="11"/>
  <c r="W18" i="11"/>
  <c r="V18" i="11"/>
  <c r="AC17" i="11"/>
  <c r="AB17" i="11"/>
  <c r="AA17" i="11"/>
  <c r="Z17" i="11"/>
  <c r="Y17" i="11"/>
  <c r="X17" i="11"/>
  <c r="W17" i="11"/>
  <c r="V17" i="11"/>
  <c r="AC16" i="11"/>
  <c r="AB16" i="11"/>
  <c r="AA16" i="11"/>
  <c r="Z16" i="11"/>
  <c r="Y16" i="11"/>
  <c r="X16" i="11"/>
  <c r="W16" i="11"/>
  <c r="V16" i="11"/>
  <c r="AC15" i="11"/>
  <c r="AB15" i="11"/>
  <c r="AA15" i="11"/>
  <c r="Z15" i="11"/>
  <c r="Y15" i="11"/>
  <c r="X15" i="11"/>
  <c r="W15" i="11"/>
  <c r="V15" i="11"/>
  <c r="AC14" i="11"/>
  <c r="AB14" i="11"/>
  <c r="AA14" i="11"/>
  <c r="Z14" i="11"/>
  <c r="Y14" i="11"/>
  <c r="X14" i="11"/>
  <c r="W14" i="11"/>
  <c r="V14" i="11"/>
  <c r="AC13" i="11"/>
  <c r="AB13" i="11"/>
  <c r="AA13" i="11"/>
  <c r="Z13" i="11"/>
  <c r="Y13" i="11"/>
  <c r="X13" i="11"/>
  <c r="W13" i="11"/>
  <c r="V13" i="11"/>
  <c r="AC12" i="11"/>
  <c r="AB12" i="11"/>
  <c r="AA12" i="11"/>
  <c r="Z12" i="11"/>
  <c r="Y12" i="11"/>
  <c r="X12" i="11"/>
  <c r="W12" i="11"/>
  <c r="V12" i="11"/>
  <c r="AC11" i="11"/>
  <c r="AB11" i="11"/>
  <c r="AA11" i="11"/>
  <c r="Z11" i="11"/>
  <c r="Y11" i="11"/>
  <c r="X11" i="11"/>
  <c r="W11" i="11"/>
  <c r="V11" i="11"/>
  <c r="AC10" i="11"/>
  <c r="AB10" i="11"/>
  <c r="AA10" i="11"/>
  <c r="Z10" i="11"/>
  <c r="Y10" i="11"/>
  <c r="Y26" i="11" s="1"/>
  <c r="X10" i="11"/>
  <c r="W10" i="11"/>
  <c r="V10" i="11"/>
  <c r="AC9" i="11"/>
  <c r="AB9" i="11"/>
  <c r="AA9" i="11"/>
  <c r="Z9" i="11"/>
  <c r="Y9" i="11"/>
  <c r="X9" i="11"/>
  <c r="X25" i="11" s="1"/>
  <c r="W9" i="11"/>
  <c r="W25" i="11" s="1"/>
  <c r="V9" i="11"/>
  <c r="AC8" i="11"/>
  <c r="AB8" i="11"/>
  <c r="AA8" i="11"/>
  <c r="Z8" i="11"/>
  <c r="Y8" i="11"/>
  <c r="X8" i="11"/>
  <c r="W8" i="11"/>
  <c r="V8" i="11"/>
  <c r="V24" i="11" s="1"/>
  <c r="AC7" i="11"/>
  <c r="AB7" i="11"/>
  <c r="AA7" i="11"/>
  <c r="Z7" i="11"/>
  <c r="Y7" i="11"/>
  <c r="X7" i="11"/>
  <c r="W7" i="11"/>
  <c r="V7" i="11"/>
  <c r="AC6" i="11"/>
  <c r="AB6" i="11"/>
  <c r="AA6" i="11"/>
  <c r="Z6" i="11"/>
  <c r="Y6" i="11"/>
  <c r="X6" i="11"/>
  <c r="W6" i="11"/>
  <c r="V6" i="11"/>
  <c r="AC5" i="11"/>
  <c r="AB5" i="11"/>
  <c r="AA5" i="11"/>
  <c r="Z5" i="11"/>
  <c r="Y5" i="11"/>
  <c r="X5" i="11"/>
  <c r="W5" i="11"/>
  <c r="V5" i="11"/>
  <c r="AC4" i="11"/>
  <c r="AB4" i="11"/>
  <c r="AA4" i="11"/>
  <c r="Z4" i="11"/>
  <c r="Y4" i="11"/>
  <c r="X4" i="11"/>
  <c r="W4" i="11"/>
  <c r="V4" i="11"/>
  <c r="AC3" i="11"/>
  <c r="AB3" i="11"/>
  <c r="AA3" i="11"/>
  <c r="Z3" i="11"/>
  <c r="Y3" i="11"/>
  <c r="X3" i="11"/>
  <c r="W3" i="11"/>
  <c r="V3" i="11"/>
  <c r="AC2" i="11"/>
  <c r="AB2" i="11"/>
  <c r="AA2" i="11"/>
  <c r="Z2" i="11"/>
  <c r="Y2" i="11"/>
  <c r="X2" i="11"/>
  <c r="W2" i="11"/>
  <c r="V2" i="11"/>
  <c r="AB27" i="12"/>
  <c r="AC27" i="12"/>
  <c r="AC22" i="12"/>
  <c r="AB22" i="12"/>
  <c r="AA22" i="12"/>
  <c r="Z22" i="12"/>
  <c r="Y22" i="12"/>
  <c r="X22" i="12"/>
  <c r="W22" i="12"/>
  <c r="V22" i="12"/>
  <c r="AC21" i="12"/>
  <c r="AB21" i="12"/>
  <c r="AA21" i="12"/>
  <c r="Z21" i="12"/>
  <c r="Y21" i="12"/>
  <c r="X21" i="12"/>
  <c r="W21" i="12"/>
  <c r="V21" i="12"/>
  <c r="AC20" i="12"/>
  <c r="AB20" i="12"/>
  <c r="AA20" i="12"/>
  <c r="Z20" i="12"/>
  <c r="Y20" i="12"/>
  <c r="X20" i="12"/>
  <c r="W20" i="12"/>
  <c r="V20" i="12"/>
  <c r="AC19" i="12"/>
  <c r="AB19" i="12"/>
  <c r="AA19" i="12"/>
  <c r="Z19" i="12"/>
  <c r="Y19" i="12"/>
  <c r="X19" i="12"/>
  <c r="W19" i="12"/>
  <c r="V19" i="12"/>
  <c r="AC18" i="12"/>
  <c r="AB18" i="12"/>
  <c r="AA18" i="12"/>
  <c r="Z18" i="12"/>
  <c r="Y18" i="12"/>
  <c r="X18" i="12"/>
  <c r="W18" i="12"/>
  <c r="V18" i="12"/>
  <c r="AC17" i="12"/>
  <c r="AB17" i="12"/>
  <c r="AA17" i="12"/>
  <c r="Z17" i="12"/>
  <c r="Y17" i="12"/>
  <c r="X17" i="12"/>
  <c r="W17" i="12"/>
  <c r="V17" i="12"/>
  <c r="AC16" i="12"/>
  <c r="AB16" i="12"/>
  <c r="AA16" i="12"/>
  <c r="Z16" i="12"/>
  <c r="Y16" i="12"/>
  <c r="X16" i="12"/>
  <c r="W16" i="12"/>
  <c r="V16" i="12"/>
  <c r="AC15" i="12"/>
  <c r="AB15" i="12"/>
  <c r="AA15" i="12"/>
  <c r="Z15" i="12"/>
  <c r="Y15" i="12"/>
  <c r="X15" i="12"/>
  <c r="W15" i="12"/>
  <c r="V15" i="12"/>
  <c r="AC14" i="12"/>
  <c r="AB14" i="12"/>
  <c r="AA14" i="12"/>
  <c r="Z14" i="12"/>
  <c r="Y14" i="12"/>
  <c r="X14" i="12"/>
  <c r="W14" i="12"/>
  <c r="V14" i="12"/>
  <c r="AC13" i="12"/>
  <c r="AB13" i="12"/>
  <c r="AA13" i="12"/>
  <c r="Z13" i="12"/>
  <c r="Y13" i="12"/>
  <c r="X13" i="12"/>
  <c r="W13" i="12"/>
  <c r="V13" i="12"/>
  <c r="AC12" i="12"/>
  <c r="AB12" i="12"/>
  <c r="AA12" i="12"/>
  <c r="Z12" i="12"/>
  <c r="Y12" i="12"/>
  <c r="X12" i="12"/>
  <c r="W12" i="12"/>
  <c r="V12" i="12"/>
  <c r="AC11" i="12"/>
  <c r="AB11" i="12"/>
  <c r="AA11" i="12"/>
  <c r="AA27" i="12" s="1"/>
  <c r="Z11" i="12"/>
  <c r="Z27" i="12" s="1"/>
  <c r="Y11" i="12"/>
  <c r="X11" i="12"/>
  <c r="W11" i="12"/>
  <c r="V11" i="12"/>
  <c r="AC10" i="12"/>
  <c r="AB10" i="12"/>
  <c r="AA10" i="12"/>
  <c r="Z10" i="12"/>
  <c r="Y10" i="12"/>
  <c r="Y26" i="12" s="1"/>
  <c r="X10" i="12"/>
  <c r="W10" i="12"/>
  <c r="V10" i="12"/>
  <c r="AC9" i="12"/>
  <c r="AB9" i="12"/>
  <c r="AA9" i="12"/>
  <c r="Z9" i="12"/>
  <c r="Y9" i="12"/>
  <c r="X9" i="12"/>
  <c r="X25" i="12" s="1"/>
  <c r="W9" i="12"/>
  <c r="W25" i="12" s="1"/>
  <c r="V9" i="12"/>
  <c r="AC8" i="12"/>
  <c r="AB8" i="12"/>
  <c r="AA8" i="12"/>
  <c r="Z8" i="12"/>
  <c r="Y8" i="12"/>
  <c r="X8" i="12"/>
  <c r="W8" i="12"/>
  <c r="V8" i="12"/>
  <c r="V24" i="12" s="1"/>
  <c r="AC7" i="12"/>
  <c r="AB7" i="12"/>
  <c r="AA7" i="12"/>
  <c r="Z7" i="12"/>
  <c r="Y7" i="12"/>
  <c r="X7" i="12"/>
  <c r="W7" i="12"/>
  <c r="V7" i="12"/>
  <c r="AC6" i="12"/>
  <c r="AB6" i="12"/>
  <c r="AA6" i="12"/>
  <c r="Z6" i="12"/>
  <c r="Y6" i="12"/>
  <c r="X6" i="12"/>
  <c r="W6" i="12"/>
  <c r="V6" i="12"/>
  <c r="AC5" i="12"/>
  <c r="AB5" i="12"/>
  <c r="AA5" i="12"/>
  <c r="Z5" i="12"/>
  <c r="Y5" i="12"/>
  <c r="X5" i="12"/>
  <c r="W5" i="12"/>
  <c r="V5" i="12"/>
  <c r="AC4" i="12"/>
  <c r="AB4" i="12"/>
  <c r="AA4" i="12"/>
  <c r="Z4" i="12"/>
  <c r="Y4" i="12"/>
  <c r="X4" i="12"/>
  <c r="W4" i="12"/>
  <c r="V4" i="12"/>
  <c r="AC3" i="12"/>
  <c r="AB3" i="12"/>
  <c r="AA3" i="12"/>
  <c r="Z3" i="12"/>
  <c r="Y3" i="12"/>
  <c r="X3" i="12"/>
  <c r="W3" i="12"/>
  <c r="V3" i="12"/>
  <c r="AC2" i="12"/>
  <c r="AB2" i="12"/>
  <c r="AA2" i="12"/>
  <c r="Z2" i="12"/>
  <c r="Y2" i="12"/>
  <c r="X2" i="12"/>
  <c r="W2" i="12"/>
  <c r="V2" i="12"/>
  <c r="Z27" i="13"/>
  <c r="AA27" i="13"/>
  <c r="AB28" i="13"/>
  <c r="AC28" i="13"/>
  <c r="W25" i="13"/>
  <c r="X25" i="13"/>
  <c r="Y26" i="13"/>
  <c r="V24" i="13"/>
  <c r="Z5" i="13"/>
  <c r="AB7" i="13"/>
  <c r="Y12" i="13"/>
  <c r="AA14" i="13"/>
  <c r="AC16" i="13"/>
  <c r="Z21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" i="13"/>
  <c r="BB72" i="18" a="1"/>
  <c r="BB72" i="18" s="1"/>
  <c r="BA72" i="18" a="1"/>
  <c r="BA72" i="18" s="1"/>
  <c r="AZ72" i="18" a="1"/>
  <c r="AZ72" i="18" s="1"/>
  <c r="AY72" i="18" a="1"/>
  <c r="AY72" i="18" s="1"/>
  <c r="AW42" i="18" a="1"/>
  <c r="AW42" i="18" s="1"/>
  <c r="AW39" i="18"/>
  <c r="AW34" i="18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AP72" i="18" s="1" a="1"/>
  <c r="AP72" i="18" s="1"/>
  <c r="C39" i="4"/>
  <c r="B39" i="4"/>
  <c r="J40" i="10"/>
  <c r="I40" i="10"/>
  <c r="H40" i="10"/>
  <c r="G40" i="10"/>
  <c r="F40" i="10"/>
  <c r="E40" i="10"/>
  <c r="D40" i="10"/>
  <c r="C40" i="10"/>
  <c r="B40" i="10"/>
  <c r="J39" i="10"/>
  <c r="I39" i="10"/>
  <c r="H39" i="10"/>
  <c r="G39" i="10"/>
  <c r="F39" i="10"/>
  <c r="E39" i="10"/>
  <c r="D39" i="10"/>
  <c r="AO72" i="18" s="1" a="1"/>
  <c r="AO72" i="18" s="1"/>
  <c r="C39" i="10"/>
  <c r="B39" i="10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AN72" i="18" s="1" a="1"/>
  <c r="AN72" i="18" s="1"/>
  <c r="C39" i="11"/>
  <c r="B39" i="11"/>
  <c r="J40" i="12"/>
  <c r="I40" i="12"/>
  <c r="H40" i="12"/>
  <c r="G40" i="12"/>
  <c r="F40" i="12"/>
  <c r="E40" i="12"/>
  <c r="D40" i="12"/>
  <c r="C40" i="12"/>
  <c r="B40" i="12"/>
  <c r="J39" i="12"/>
  <c r="I39" i="12"/>
  <c r="H39" i="12"/>
  <c r="G39" i="12"/>
  <c r="F39" i="12"/>
  <c r="E39" i="12"/>
  <c r="D39" i="12"/>
  <c r="AM72" i="18" s="1" a="1"/>
  <c r="AM72" i="18" s="1"/>
  <c r="C39" i="12"/>
  <c r="B39" i="12"/>
  <c r="AK42" i="18" a="1"/>
  <c r="AK42" i="18" s="1"/>
  <c r="AK39" i="18"/>
  <c r="AK34" i="18"/>
  <c r="Z2" i="18" a="1"/>
  <c r="Z2" i="18" s="1"/>
  <c r="AE72" i="18" a="1"/>
  <c r="AE72" i="18" s="1"/>
  <c r="AD72" i="18" a="1"/>
  <c r="AD72" i="18" s="1"/>
  <c r="AC72" i="18" a="1"/>
  <c r="AC72" i="18" s="1"/>
  <c r="AB72" i="18" a="1"/>
  <c r="AB72" i="18" s="1"/>
  <c r="N2" i="18" a="1"/>
  <c r="N2" i="18" s="1"/>
  <c r="C32" i="12"/>
  <c r="C32" i="11"/>
  <c r="Q72" i="18" a="1"/>
  <c r="Q72" i="18" s="1"/>
  <c r="C32" i="1"/>
  <c r="S72" i="18" a="1"/>
  <c r="S72" i="18" s="1"/>
  <c r="R72" i="18" a="1"/>
  <c r="R72" i="18" s="1"/>
  <c r="P72" i="18" a="1"/>
  <c r="P72" i="18" s="1"/>
  <c r="B2" i="18" a="1"/>
  <c r="B2" i="18" s="1"/>
  <c r="G72" i="18" a="1"/>
  <c r="G72" i="18" s="1"/>
  <c r="F72" i="18" a="1"/>
  <c r="F72" i="18" s="1"/>
  <c r="E72" i="18" a="1"/>
  <c r="E72" i="18" s="1"/>
  <c r="L3" i="12"/>
  <c r="M3" i="12"/>
  <c r="N3" i="12"/>
  <c r="O3" i="12"/>
  <c r="P3" i="12"/>
  <c r="Q3" i="12"/>
  <c r="R3" i="12"/>
  <c r="S3" i="12"/>
  <c r="L4" i="12"/>
  <c r="M4" i="12"/>
  <c r="N4" i="12"/>
  <c r="O4" i="12"/>
  <c r="P4" i="12"/>
  <c r="Q4" i="12"/>
  <c r="R4" i="12"/>
  <c r="S4" i="12"/>
  <c r="S36" i="12" s="1"/>
  <c r="L5" i="12"/>
  <c r="M5" i="12"/>
  <c r="N5" i="12"/>
  <c r="O5" i="12"/>
  <c r="P5" i="12"/>
  <c r="Q5" i="12"/>
  <c r="R5" i="12"/>
  <c r="S5" i="12"/>
  <c r="S37" i="12" s="1"/>
  <c r="L6" i="12"/>
  <c r="M6" i="12"/>
  <c r="N6" i="12"/>
  <c r="O6" i="12"/>
  <c r="P6" i="12"/>
  <c r="Q6" i="12"/>
  <c r="R6" i="12"/>
  <c r="S6" i="12"/>
  <c r="L7" i="12"/>
  <c r="M7" i="12"/>
  <c r="N7" i="12"/>
  <c r="O7" i="12"/>
  <c r="P7" i="12"/>
  <c r="Q7" i="12"/>
  <c r="R7" i="12"/>
  <c r="S7" i="12"/>
  <c r="L8" i="12"/>
  <c r="M8" i="12"/>
  <c r="N8" i="12"/>
  <c r="O8" i="12"/>
  <c r="P8" i="12"/>
  <c r="Q8" i="12"/>
  <c r="R8" i="12"/>
  <c r="S8" i="12"/>
  <c r="L9" i="12"/>
  <c r="M9" i="12"/>
  <c r="N9" i="12"/>
  <c r="O9" i="12"/>
  <c r="P9" i="12"/>
  <c r="Q9" i="12"/>
  <c r="R9" i="12"/>
  <c r="S9" i="12"/>
  <c r="L10" i="12"/>
  <c r="M10" i="12"/>
  <c r="N10" i="12"/>
  <c r="O10" i="12"/>
  <c r="P10" i="12"/>
  <c r="Q10" i="12"/>
  <c r="R10" i="12"/>
  <c r="S10" i="12"/>
  <c r="L11" i="12"/>
  <c r="M11" i="12"/>
  <c r="N11" i="12"/>
  <c r="O11" i="12"/>
  <c r="P11" i="12"/>
  <c r="Q11" i="12"/>
  <c r="R11" i="12"/>
  <c r="S11" i="12"/>
  <c r="L12" i="12"/>
  <c r="M12" i="12"/>
  <c r="N12" i="12"/>
  <c r="O12" i="12"/>
  <c r="P12" i="12"/>
  <c r="Q12" i="12"/>
  <c r="R12" i="12"/>
  <c r="S12" i="12"/>
  <c r="L13" i="12"/>
  <c r="M13" i="12"/>
  <c r="N13" i="12"/>
  <c r="O13" i="12"/>
  <c r="P13" i="12"/>
  <c r="Q13" i="12"/>
  <c r="R13" i="12"/>
  <c r="S13" i="12"/>
  <c r="L14" i="12"/>
  <c r="M14" i="12"/>
  <c r="N14" i="12"/>
  <c r="O14" i="12"/>
  <c r="P14" i="12"/>
  <c r="Q14" i="12"/>
  <c r="R14" i="12"/>
  <c r="S14" i="12"/>
  <c r="L15" i="12"/>
  <c r="M15" i="12"/>
  <c r="N15" i="12"/>
  <c r="O15" i="12"/>
  <c r="P15" i="12"/>
  <c r="Q15" i="12"/>
  <c r="R15" i="12"/>
  <c r="S15" i="12"/>
  <c r="S38" i="12" s="1"/>
  <c r="L16" i="12"/>
  <c r="M16" i="12"/>
  <c r="N16" i="12"/>
  <c r="O16" i="12"/>
  <c r="P16" i="12"/>
  <c r="Q16" i="12"/>
  <c r="R16" i="12"/>
  <c r="S16" i="12"/>
  <c r="L17" i="12"/>
  <c r="M17" i="12"/>
  <c r="N17" i="12"/>
  <c r="O17" i="12"/>
  <c r="P17" i="12"/>
  <c r="Q17" i="12"/>
  <c r="R17" i="12"/>
  <c r="S17" i="12"/>
  <c r="L18" i="12"/>
  <c r="M18" i="12"/>
  <c r="N18" i="12"/>
  <c r="O18" i="12"/>
  <c r="P18" i="12"/>
  <c r="Q18" i="12"/>
  <c r="R18" i="12"/>
  <c r="S18" i="12"/>
  <c r="L19" i="12"/>
  <c r="M19" i="12"/>
  <c r="N19" i="12"/>
  <c r="O19" i="12"/>
  <c r="P19" i="12"/>
  <c r="Q19" i="12"/>
  <c r="R19" i="12"/>
  <c r="S19" i="12"/>
  <c r="L20" i="12"/>
  <c r="M20" i="12"/>
  <c r="N20" i="12"/>
  <c r="O20" i="12"/>
  <c r="P20" i="12"/>
  <c r="Q20" i="12"/>
  <c r="R20" i="12"/>
  <c r="S20" i="12"/>
  <c r="L21" i="12"/>
  <c r="M21" i="12"/>
  <c r="N21" i="12"/>
  <c r="O21" i="12"/>
  <c r="P21" i="12"/>
  <c r="Q21" i="12"/>
  <c r="R21" i="12"/>
  <c r="S21" i="12"/>
  <c r="L22" i="12"/>
  <c r="M22" i="12"/>
  <c r="N22" i="12"/>
  <c r="O22" i="12"/>
  <c r="P22" i="12"/>
  <c r="Q22" i="12"/>
  <c r="R22" i="12"/>
  <c r="S22" i="12"/>
  <c r="M2" i="12"/>
  <c r="N2" i="12"/>
  <c r="O2" i="12"/>
  <c r="P2" i="12"/>
  <c r="Q2" i="12"/>
  <c r="R2" i="12"/>
  <c r="S2" i="12"/>
  <c r="L2" i="12"/>
  <c r="L36" i="12" s="1"/>
  <c r="O77" i="12"/>
  <c r="L38" i="12"/>
  <c r="L3" i="11"/>
  <c r="M3" i="11"/>
  <c r="N3" i="11"/>
  <c r="O3" i="11"/>
  <c r="P3" i="11"/>
  <c r="Q3" i="11"/>
  <c r="R3" i="11"/>
  <c r="S3" i="11"/>
  <c r="L4" i="11"/>
  <c r="M4" i="11"/>
  <c r="E33" i="11" s="1"/>
  <c r="Q77" i="11" s="1"/>
  <c r="N4" i="11"/>
  <c r="O4" i="11"/>
  <c r="P4" i="11"/>
  <c r="Q4" i="11"/>
  <c r="R4" i="11"/>
  <c r="S4" i="11"/>
  <c r="S25" i="11" s="1"/>
  <c r="L5" i="11"/>
  <c r="M5" i="11"/>
  <c r="N5" i="11"/>
  <c r="O5" i="11"/>
  <c r="P5" i="11"/>
  <c r="Q5" i="11"/>
  <c r="R5" i="11"/>
  <c r="S5" i="11"/>
  <c r="L6" i="11"/>
  <c r="M6" i="11"/>
  <c r="M37" i="11" s="1"/>
  <c r="N6" i="11"/>
  <c r="O6" i="11"/>
  <c r="P6" i="11"/>
  <c r="Q6" i="11"/>
  <c r="R6" i="11"/>
  <c r="S6" i="11"/>
  <c r="S37" i="11" s="1"/>
  <c r="L7" i="11"/>
  <c r="M7" i="11"/>
  <c r="N7" i="11"/>
  <c r="O7" i="11"/>
  <c r="P7" i="11"/>
  <c r="Q7" i="11"/>
  <c r="R7" i="11"/>
  <c r="S7" i="11"/>
  <c r="L8" i="11"/>
  <c r="M8" i="11"/>
  <c r="N8" i="11"/>
  <c r="O8" i="11"/>
  <c r="P8" i="11"/>
  <c r="Q8" i="11"/>
  <c r="R8" i="11"/>
  <c r="S8" i="11"/>
  <c r="L9" i="11"/>
  <c r="M9" i="11"/>
  <c r="N9" i="11"/>
  <c r="O9" i="11"/>
  <c r="P9" i="11"/>
  <c r="Q9" i="11"/>
  <c r="R9" i="11"/>
  <c r="S9" i="11"/>
  <c r="L10" i="11"/>
  <c r="M10" i="11"/>
  <c r="N10" i="11"/>
  <c r="O10" i="11"/>
  <c r="P10" i="11"/>
  <c r="Q10" i="11"/>
  <c r="R10" i="11"/>
  <c r="S10" i="11"/>
  <c r="L11" i="11"/>
  <c r="M11" i="11"/>
  <c r="N11" i="11"/>
  <c r="O11" i="11"/>
  <c r="P11" i="11"/>
  <c r="Q11" i="11"/>
  <c r="R11" i="11"/>
  <c r="S11" i="11"/>
  <c r="L12" i="11"/>
  <c r="M12" i="11"/>
  <c r="N12" i="11"/>
  <c r="O12" i="11"/>
  <c r="P12" i="11"/>
  <c r="Q12" i="11"/>
  <c r="R12" i="11"/>
  <c r="S12" i="11"/>
  <c r="L13" i="11"/>
  <c r="M13" i="11"/>
  <c r="N13" i="11"/>
  <c r="O13" i="11"/>
  <c r="P13" i="11"/>
  <c r="Q13" i="11"/>
  <c r="R13" i="11"/>
  <c r="S13" i="11"/>
  <c r="L14" i="11"/>
  <c r="M14" i="11"/>
  <c r="N14" i="11"/>
  <c r="O14" i="11"/>
  <c r="P14" i="11"/>
  <c r="Q14" i="11"/>
  <c r="R14" i="11"/>
  <c r="S14" i="11"/>
  <c r="L15" i="11"/>
  <c r="M15" i="11"/>
  <c r="N15" i="11"/>
  <c r="O15" i="11"/>
  <c r="P15" i="11"/>
  <c r="Q15" i="11"/>
  <c r="R15" i="11"/>
  <c r="S15" i="11"/>
  <c r="L16" i="11"/>
  <c r="M16" i="11"/>
  <c r="M38" i="11" s="1"/>
  <c r="N16" i="11"/>
  <c r="O16" i="11"/>
  <c r="P16" i="11"/>
  <c r="Q16" i="11"/>
  <c r="R16" i="11"/>
  <c r="S16" i="11"/>
  <c r="S38" i="11" s="1"/>
  <c r="L17" i="11"/>
  <c r="M17" i="11"/>
  <c r="N17" i="11"/>
  <c r="O17" i="11"/>
  <c r="P17" i="11"/>
  <c r="Q17" i="11"/>
  <c r="R17" i="11"/>
  <c r="S17" i="11"/>
  <c r="L18" i="11"/>
  <c r="M18" i="11"/>
  <c r="N18" i="11"/>
  <c r="O18" i="11"/>
  <c r="P18" i="11"/>
  <c r="Q18" i="11"/>
  <c r="R18" i="11"/>
  <c r="S18" i="11"/>
  <c r="L19" i="11"/>
  <c r="M19" i="11"/>
  <c r="N19" i="11"/>
  <c r="O19" i="11"/>
  <c r="P19" i="11"/>
  <c r="Q19" i="11"/>
  <c r="R19" i="11"/>
  <c r="S19" i="11"/>
  <c r="L20" i="11"/>
  <c r="M20" i="11"/>
  <c r="N20" i="11"/>
  <c r="O20" i="11"/>
  <c r="P20" i="11"/>
  <c r="Q20" i="11"/>
  <c r="R20" i="11"/>
  <c r="S20" i="11"/>
  <c r="L21" i="11"/>
  <c r="M21" i="11"/>
  <c r="N21" i="11"/>
  <c r="O21" i="11"/>
  <c r="P21" i="11"/>
  <c r="Q21" i="11"/>
  <c r="R21" i="11"/>
  <c r="S21" i="11"/>
  <c r="L22" i="11"/>
  <c r="M22" i="11"/>
  <c r="N22" i="11"/>
  <c r="O22" i="11"/>
  <c r="P22" i="11"/>
  <c r="Q22" i="11"/>
  <c r="R22" i="11"/>
  <c r="S22" i="11"/>
  <c r="M2" i="11"/>
  <c r="N2" i="11"/>
  <c r="O2" i="11"/>
  <c r="P2" i="11"/>
  <c r="Q2" i="11"/>
  <c r="R2" i="11"/>
  <c r="S2" i="11"/>
  <c r="L2" i="11"/>
  <c r="C33" i="11"/>
  <c r="O77" i="11" s="1"/>
  <c r="C3" i="11"/>
  <c r="D3" i="11"/>
  <c r="E3" i="11"/>
  <c r="F3" i="11"/>
  <c r="G3" i="11"/>
  <c r="H3" i="11"/>
  <c r="I3" i="11"/>
  <c r="J3" i="11"/>
  <c r="C4" i="11"/>
  <c r="D4" i="11"/>
  <c r="E4" i="11"/>
  <c r="F4" i="11"/>
  <c r="G4" i="11"/>
  <c r="H4" i="11"/>
  <c r="I4" i="11"/>
  <c r="I36" i="11" s="1"/>
  <c r="J4" i="11"/>
  <c r="J36" i="11" s="1"/>
  <c r="C5" i="11"/>
  <c r="D5" i="11"/>
  <c r="E5" i="11"/>
  <c r="F5" i="11"/>
  <c r="G5" i="11"/>
  <c r="H5" i="11"/>
  <c r="I5" i="11"/>
  <c r="J5" i="11"/>
  <c r="C6" i="11"/>
  <c r="D6" i="11"/>
  <c r="E6" i="11"/>
  <c r="F6" i="11"/>
  <c r="G6" i="11"/>
  <c r="H6" i="11"/>
  <c r="I6" i="11"/>
  <c r="I37" i="11" s="1"/>
  <c r="J6" i="11"/>
  <c r="J37" i="11" s="1"/>
  <c r="C7" i="11"/>
  <c r="D7" i="11"/>
  <c r="E7" i="11"/>
  <c r="F7" i="11"/>
  <c r="G7" i="11"/>
  <c r="H7" i="11"/>
  <c r="I7" i="11"/>
  <c r="J7" i="11"/>
  <c r="C8" i="11"/>
  <c r="D8" i="11"/>
  <c r="E8" i="11"/>
  <c r="F8" i="11"/>
  <c r="G8" i="11"/>
  <c r="H8" i="11"/>
  <c r="I8" i="11"/>
  <c r="J8" i="11"/>
  <c r="C9" i="11"/>
  <c r="D9" i="11"/>
  <c r="E9" i="11"/>
  <c r="F9" i="11"/>
  <c r="G9" i="11"/>
  <c r="H9" i="11"/>
  <c r="I9" i="11"/>
  <c r="J9" i="11"/>
  <c r="C10" i="11"/>
  <c r="D10" i="11"/>
  <c r="E10" i="11"/>
  <c r="F10" i="11"/>
  <c r="G10" i="11"/>
  <c r="H10" i="11"/>
  <c r="I10" i="11"/>
  <c r="J10" i="11"/>
  <c r="C11" i="11"/>
  <c r="D11" i="11"/>
  <c r="E11" i="11"/>
  <c r="F11" i="11"/>
  <c r="G11" i="11"/>
  <c r="H11" i="11"/>
  <c r="I11" i="11"/>
  <c r="J11" i="11"/>
  <c r="C12" i="11"/>
  <c r="D12" i="11"/>
  <c r="E12" i="11"/>
  <c r="F12" i="11"/>
  <c r="G12" i="11"/>
  <c r="H12" i="11"/>
  <c r="I12" i="11"/>
  <c r="J12" i="11"/>
  <c r="C13" i="11"/>
  <c r="D13" i="11"/>
  <c r="E13" i="11"/>
  <c r="F13" i="11"/>
  <c r="G13" i="11"/>
  <c r="H13" i="11"/>
  <c r="I13" i="11"/>
  <c r="J13" i="11"/>
  <c r="C14" i="11"/>
  <c r="D14" i="11"/>
  <c r="E14" i="11"/>
  <c r="F14" i="11"/>
  <c r="G14" i="11"/>
  <c r="H14" i="11"/>
  <c r="I14" i="11"/>
  <c r="J14" i="11"/>
  <c r="C15" i="11"/>
  <c r="D15" i="11"/>
  <c r="E15" i="11"/>
  <c r="F15" i="11"/>
  <c r="G15" i="11"/>
  <c r="H15" i="11"/>
  <c r="I15" i="11"/>
  <c r="J15" i="11"/>
  <c r="C16" i="11"/>
  <c r="D16" i="11"/>
  <c r="E16" i="11"/>
  <c r="F16" i="11"/>
  <c r="G16" i="11"/>
  <c r="H16" i="11"/>
  <c r="I16" i="11"/>
  <c r="I38" i="11" s="1"/>
  <c r="J16" i="11"/>
  <c r="J38" i="11" s="1"/>
  <c r="C17" i="11"/>
  <c r="D17" i="11"/>
  <c r="E17" i="11"/>
  <c r="F17" i="11"/>
  <c r="G17" i="11"/>
  <c r="H17" i="11"/>
  <c r="I17" i="11"/>
  <c r="J17" i="11"/>
  <c r="C18" i="11"/>
  <c r="D18" i="11"/>
  <c r="E18" i="11"/>
  <c r="F18" i="11"/>
  <c r="G18" i="11"/>
  <c r="H18" i="11"/>
  <c r="I18" i="11"/>
  <c r="J18" i="11"/>
  <c r="C19" i="11"/>
  <c r="D19" i="11"/>
  <c r="E19" i="11"/>
  <c r="F19" i="11"/>
  <c r="G19" i="11"/>
  <c r="H19" i="11"/>
  <c r="I19" i="11"/>
  <c r="J19" i="11"/>
  <c r="C20" i="11"/>
  <c r="D20" i="11"/>
  <c r="E20" i="11"/>
  <c r="F20" i="11"/>
  <c r="G20" i="11"/>
  <c r="H20" i="11"/>
  <c r="I20" i="11"/>
  <c r="J20" i="11"/>
  <c r="C21" i="11"/>
  <c r="D21" i="11"/>
  <c r="E21" i="11"/>
  <c r="F21" i="11"/>
  <c r="G21" i="11"/>
  <c r="H21" i="11"/>
  <c r="I21" i="11"/>
  <c r="J21" i="11"/>
  <c r="C22" i="11"/>
  <c r="D22" i="11"/>
  <c r="E22" i="11"/>
  <c r="F22" i="11"/>
  <c r="G22" i="11"/>
  <c r="H22" i="11"/>
  <c r="I22" i="11"/>
  <c r="J22" i="11"/>
  <c r="D2" i="11"/>
  <c r="E2" i="11"/>
  <c r="F2" i="11"/>
  <c r="G2" i="11"/>
  <c r="H2" i="11"/>
  <c r="I2" i="11"/>
  <c r="J2" i="11"/>
  <c r="C2" i="11"/>
  <c r="E33" i="12"/>
  <c r="Q77" i="12" s="1"/>
  <c r="M37" i="12"/>
  <c r="M38" i="12"/>
  <c r="Q38" i="12"/>
  <c r="C3" i="12"/>
  <c r="D3" i="12"/>
  <c r="E3" i="12"/>
  <c r="F3" i="12"/>
  <c r="G3" i="12"/>
  <c r="H3" i="12"/>
  <c r="I3" i="12"/>
  <c r="J3" i="12"/>
  <c r="C4" i="12"/>
  <c r="D4" i="12"/>
  <c r="E4" i="12"/>
  <c r="F4" i="12"/>
  <c r="G4" i="12"/>
  <c r="H4" i="12"/>
  <c r="I4" i="12"/>
  <c r="J4" i="12"/>
  <c r="J36" i="12" s="1"/>
  <c r="C5" i="12"/>
  <c r="D5" i="12"/>
  <c r="E5" i="12"/>
  <c r="F5" i="12"/>
  <c r="G5" i="12"/>
  <c r="H5" i="12"/>
  <c r="I5" i="12"/>
  <c r="J5" i="12"/>
  <c r="C6" i="12"/>
  <c r="D6" i="12"/>
  <c r="E6" i="12"/>
  <c r="F6" i="12"/>
  <c r="G6" i="12"/>
  <c r="H6" i="12"/>
  <c r="I6" i="12"/>
  <c r="I37" i="12" s="1"/>
  <c r="J6" i="12"/>
  <c r="C7" i="12"/>
  <c r="D7" i="12"/>
  <c r="E7" i="12"/>
  <c r="F7" i="12"/>
  <c r="G7" i="12"/>
  <c r="H7" i="12"/>
  <c r="I7" i="12"/>
  <c r="J7" i="12"/>
  <c r="C8" i="12"/>
  <c r="D8" i="12"/>
  <c r="E8" i="12"/>
  <c r="F8" i="12"/>
  <c r="G8" i="12"/>
  <c r="H8" i="12"/>
  <c r="I8" i="12"/>
  <c r="J8" i="12"/>
  <c r="C9" i="12"/>
  <c r="D9" i="12"/>
  <c r="E9" i="12"/>
  <c r="F9" i="12"/>
  <c r="G9" i="12"/>
  <c r="H9" i="12"/>
  <c r="I9" i="12"/>
  <c r="J9" i="12"/>
  <c r="C10" i="12"/>
  <c r="D10" i="12"/>
  <c r="E10" i="12"/>
  <c r="F10" i="12"/>
  <c r="G10" i="12"/>
  <c r="H10" i="12"/>
  <c r="I10" i="12"/>
  <c r="J10" i="12"/>
  <c r="C11" i="12"/>
  <c r="D11" i="12"/>
  <c r="E11" i="12"/>
  <c r="F11" i="12"/>
  <c r="G11" i="12"/>
  <c r="H11" i="12"/>
  <c r="I11" i="12"/>
  <c r="J11" i="12"/>
  <c r="C12" i="12"/>
  <c r="D12" i="12"/>
  <c r="E12" i="12"/>
  <c r="F12" i="12"/>
  <c r="G12" i="12"/>
  <c r="H12" i="12"/>
  <c r="I12" i="12"/>
  <c r="J12" i="12"/>
  <c r="C13" i="12"/>
  <c r="D13" i="12"/>
  <c r="E13" i="12"/>
  <c r="F13" i="12"/>
  <c r="G13" i="12"/>
  <c r="H13" i="12"/>
  <c r="I13" i="12"/>
  <c r="J13" i="12"/>
  <c r="C14" i="12"/>
  <c r="D14" i="12"/>
  <c r="E14" i="12"/>
  <c r="F14" i="12"/>
  <c r="G14" i="12"/>
  <c r="H14" i="12"/>
  <c r="I14" i="12"/>
  <c r="J14" i="12"/>
  <c r="C15" i="12"/>
  <c r="D15" i="12"/>
  <c r="E15" i="12"/>
  <c r="F15" i="12"/>
  <c r="G15" i="12"/>
  <c r="H15" i="12"/>
  <c r="I15" i="12"/>
  <c r="J15" i="12"/>
  <c r="C16" i="12"/>
  <c r="D16" i="12"/>
  <c r="E16" i="12"/>
  <c r="F16" i="12"/>
  <c r="G16" i="12"/>
  <c r="H16" i="12"/>
  <c r="I16" i="12"/>
  <c r="I38" i="12" s="1"/>
  <c r="J16" i="12"/>
  <c r="J38" i="12" s="1"/>
  <c r="C17" i="12"/>
  <c r="D17" i="12"/>
  <c r="E17" i="12"/>
  <c r="F17" i="12"/>
  <c r="G17" i="12"/>
  <c r="H17" i="12"/>
  <c r="I17" i="12"/>
  <c r="J17" i="12"/>
  <c r="C18" i="12"/>
  <c r="D18" i="12"/>
  <c r="E18" i="12"/>
  <c r="F18" i="12"/>
  <c r="G18" i="12"/>
  <c r="H18" i="12"/>
  <c r="I18" i="12"/>
  <c r="J18" i="12"/>
  <c r="C19" i="12"/>
  <c r="D19" i="12"/>
  <c r="E19" i="12"/>
  <c r="F19" i="12"/>
  <c r="G19" i="12"/>
  <c r="H19" i="12"/>
  <c r="I19" i="12"/>
  <c r="J19" i="12"/>
  <c r="C20" i="12"/>
  <c r="D20" i="12"/>
  <c r="E20" i="12"/>
  <c r="F20" i="12"/>
  <c r="G20" i="12"/>
  <c r="H20" i="12"/>
  <c r="I20" i="12"/>
  <c r="J20" i="12"/>
  <c r="C21" i="12"/>
  <c r="D21" i="12"/>
  <c r="E21" i="12"/>
  <c r="F21" i="12"/>
  <c r="G21" i="12"/>
  <c r="H21" i="12"/>
  <c r="I21" i="12"/>
  <c r="J21" i="12"/>
  <c r="C22" i="12"/>
  <c r="D22" i="12"/>
  <c r="E22" i="12"/>
  <c r="F22" i="12"/>
  <c r="G22" i="12"/>
  <c r="H22" i="12"/>
  <c r="I22" i="12"/>
  <c r="J22" i="12"/>
  <c r="D2" i="12"/>
  <c r="E2" i="12"/>
  <c r="F2" i="12"/>
  <c r="G2" i="12"/>
  <c r="H2" i="12"/>
  <c r="I2" i="12"/>
  <c r="J2" i="12"/>
  <c r="C2" i="12"/>
  <c r="C38" i="12"/>
  <c r="L3" i="13"/>
  <c r="M3" i="13"/>
  <c r="N3" i="13"/>
  <c r="O3" i="13"/>
  <c r="P3" i="13"/>
  <c r="Q3" i="13"/>
  <c r="R3" i="13"/>
  <c r="S3" i="13"/>
  <c r="L4" i="13"/>
  <c r="M4" i="13"/>
  <c r="N4" i="13"/>
  <c r="O4" i="13"/>
  <c r="P4" i="13"/>
  <c r="Q4" i="13"/>
  <c r="R4" i="13"/>
  <c r="S4" i="13"/>
  <c r="L5" i="13"/>
  <c r="L37" i="13" s="1"/>
  <c r="M5" i="13"/>
  <c r="N5" i="13"/>
  <c r="O5" i="13"/>
  <c r="P5" i="13"/>
  <c r="Q5" i="13"/>
  <c r="R5" i="13"/>
  <c r="S5" i="13"/>
  <c r="L6" i="13"/>
  <c r="M6" i="13"/>
  <c r="N6" i="13"/>
  <c r="O6" i="13"/>
  <c r="P6" i="13"/>
  <c r="Q6" i="13"/>
  <c r="R6" i="13"/>
  <c r="S6" i="13"/>
  <c r="L7" i="13"/>
  <c r="M7" i="13"/>
  <c r="N7" i="13"/>
  <c r="O7" i="13"/>
  <c r="P7" i="13"/>
  <c r="Q7" i="13"/>
  <c r="R7" i="13"/>
  <c r="S7" i="13"/>
  <c r="L8" i="13"/>
  <c r="M8" i="13"/>
  <c r="N8" i="13"/>
  <c r="O8" i="13"/>
  <c r="P8" i="13"/>
  <c r="Q8" i="13"/>
  <c r="R8" i="13"/>
  <c r="S8" i="13"/>
  <c r="L9" i="13"/>
  <c r="M9" i="13"/>
  <c r="N9" i="13"/>
  <c r="O9" i="13"/>
  <c r="P9" i="13"/>
  <c r="Q9" i="13"/>
  <c r="R9" i="13"/>
  <c r="S9" i="13"/>
  <c r="L10" i="13"/>
  <c r="M10" i="13"/>
  <c r="N10" i="13"/>
  <c r="O10" i="13"/>
  <c r="P10" i="13"/>
  <c r="Q10" i="13"/>
  <c r="R10" i="13"/>
  <c r="S10" i="13"/>
  <c r="L11" i="13"/>
  <c r="M11" i="13"/>
  <c r="N11" i="13"/>
  <c r="O11" i="13"/>
  <c r="P11" i="13"/>
  <c r="Q11" i="13"/>
  <c r="R11" i="13"/>
  <c r="S11" i="13"/>
  <c r="L12" i="13"/>
  <c r="M12" i="13"/>
  <c r="N12" i="13"/>
  <c r="O12" i="13"/>
  <c r="P12" i="13"/>
  <c r="Q12" i="13"/>
  <c r="R12" i="13"/>
  <c r="S12" i="13"/>
  <c r="L13" i="13"/>
  <c r="M13" i="13"/>
  <c r="N13" i="13"/>
  <c r="O13" i="13"/>
  <c r="P13" i="13"/>
  <c r="Q13" i="13"/>
  <c r="R13" i="13"/>
  <c r="S13" i="13"/>
  <c r="L14" i="13"/>
  <c r="M14" i="13"/>
  <c r="N14" i="13"/>
  <c r="O14" i="13"/>
  <c r="P14" i="13"/>
  <c r="Q14" i="13"/>
  <c r="R14" i="13"/>
  <c r="S14" i="13"/>
  <c r="L15" i="13"/>
  <c r="L38" i="13" s="1"/>
  <c r="M15" i="13"/>
  <c r="N15" i="13"/>
  <c r="O15" i="13"/>
  <c r="P15" i="13"/>
  <c r="Q15" i="13"/>
  <c r="R15" i="13"/>
  <c r="S15" i="13"/>
  <c r="L16" i="13"/>
  <c r="M16" i="13"/>
  <c r="N16" i="13"/>
  <c r="O16" i="13"/>
  <c r="P16" i="13"/>
  <c r="Q16" i="13"/>
  <c r="R16" i="13"/>
  <c r="S16" i="13"/>
  <c r="L17" i="13"/>
  <c r="M17" i="13"/>
  <c r="N17" i="13"/>
  <c r="O17" i="13"/>
  <c r="P17" i="13"/>
  <c r="Q17" i="13"/>
  <c r="R17" i="13"/>
  <c r="S17" i="13"/>
  <c r="L18" i="13"/>
  <c r="M18" i="13"/>
  <c r="N18" i="13"/>
  <c r="O18" i="13"/>
  <c r="P18" i="13"/>
  <c r="Q18" i="13"/>
  <c r="R18" i="13"/>
  <c r="S18" i="13"/>
  <c r="L19" i="13"/>
  <c r="M19" i="13"/>
  <c r="N19" i="13"/>
  <c r="O19" i="13"/>
  <c r="P19" i="13"/>
  <c r="Q19" i="13"/>
  <c r="R19" i="13"/>
  <c r="S19" i="13"/>
  <c r="L20" i="13"/>
  <c r="M20" i="13"/>
  <c r="N20" i="13"/>
  <c r="O20" i="13"/>
  <c r="P20" i="13"/>
  <c r="Q20" i="13"/>
  <c r="R20" i="13"/>
  <c r="S20" i="13"/>
  <c r="L21" i="13"/>
  <c r="M21" i="13"/>
  <c r="N21" i="13"/>
  <c r="O21" i="13"/>
  <c r="P21" i="13"/>
  <c r="Q21" i="13"/>
  <c r="R21" i="13"/>
  <c r="S21" i="13"/>
  <c r="L22" i="13"/>
  <c r="M22" i="13"/>
  <c r="N22" i="13"/>
  <c r="O22" i="13"/>
  <c r="P22" i="13"/>
  <c r="Q22" i="13"/>
  <c r="R22" i="13"/>
  <c r="S22" i="13"/>
  <c r="M2" i="13"/>
  <c r="X19" i="13" s="1"/>
  <c r="N2" i="13"/>
  <c r="O2" i="13"/>
  <c r="P2" i="13"/>
  <c r="Q2" i="13"/>
  <c r="R2" i="13"/>
  <c r="S2" i="13"/>
  <c r="L2" i="13"/>
  <c r="C3" i="13"/>
  <c r="D3" i="13"/>
  <c r="E3" i="13"/>
  <c r="F3" i="13"/>
  <c r="G3" i="13"/>
  <c r="H3" i="13"/>
  <c r="I3" i="13"/>
  <c r="J3" i="13"/>
  <c r="C4" i="13"/>
  <c r="D4" i="13"/>
  <c r="E4" i="13"/>
  <c r="F4" i="13"/>
  <c r="G4" i="13"/>
  <c r="H4" i="13"/>
  <c r="I4" i="13"/>
  <c r="J4" i="13"/>
  <c r="C5" i="13"/>
  <c r="D5" i="13"/>
  <c r="E5" i="13"/>
  <c r="F5" i="13"/>
  <c r="G5" i="13"/>
  <c r="H5" i="13"/>
  <c r="I5" i="13"/>
  <c r="J5" i="13"/>
  <c r="C6" i="13"/>
  <c r="D6" i="13"/>
  <c r="E6" i="13"/>
  <c r="F6" i="13"/>
  <c r="G6" i="13"/>
  <c r="H6" i="13"/>
  <c r="I6" i="13"/>
  <c r="J6" i="13"/>
  <c r="C7" i="13"/>
  <c r="D7" i="13"/>
  <c r="E7" i="13"/>
  <c r="F7" i="13"/>
  <c r="G7" i="13"/>
  <c r="H7" i="13"/>
  <c r="I7" i="13"/>
  <c r="J7" i="13"/>
  <c r="C8" i="13"/>
  <c r="D8" i="13"/>
  <c r="E8" i="13"/>
  <c r="F8" i="13"/>
  <c r="G8" i="13"/>
  <c r="H8" i="13"/>
  <c r="I8" i="13"/>
  <c r="J8" i="13"/>
  <c r="C9" i="13"/>
  <c r="D9" i="13"/>
  <c r="E9" i="13"/>
  <c r="F9" i="13"/>
  <c r="G9" i="13"/>
  <c r="H9" i="13"/>
  <c r="I9" i="13"/>
  <c r="J9" i="13"/>
  <c r="C10" i="13"/>
  <c r="D10" i="13"/>
  <c r="E10" i="13"/>
  <c r="F10" i="13"/>
  <c r="G10" i="13"/>
  <c r="H10" i="13"/>
  <c r="I10" i="13"/>
  <c r="J10" i="13"/>
  <c r="C11" i="13"/>
  <c r="D11" i="13"/>
  <c r="E11" i="13"/>
  <c r="F11" i="13"/>
  <c r="G11" i="13"/>
  <c r="H11" i="13"/>
  <c r="I11" i="13"/>
  <c r="J11" i="13"/>
  <c r="C12" i="13"/>
  <c r="D12" i="13"/>
  <c r="E12" i="13"/>
  <c r="F12" i="13"/>
  <c r="G12" i="13"/>
  <c r="H12" i="13"/>
  <c r="I12" i="13"/>
  <c r="J12" i="13"/>
  <c r="C13" i="13"/>
  <c r="D13" i="13"/>
  <c r="E13" i="13"/>
  <c r="F13" i="13"/>
  <c r="G13" i="13"/>
  <c r="H13" i="13"/>
  <c r="I13" i="13"/>
  <c r="J13" i="13"/>
  <c r="C14" i="13"/>
  <c r="D14" i="13"/>
  <c r="E14" i="13"/>
  <c r="F14" i="13"/>
  <c r="G14" i="13"/>
  <c r="H14" i="13"/>
  <c r="I14" i="13"/>
  <c r="J14" i="13"/>
  <c r="C15" i="13"/>
  <c r="D15" i="13"/>
  <c r="E15" i="13"/>
  <c r="F15" i="13"/>
  <c r="G15" i="13"/>
  <c r="H15" i="13"/>
  <c r="I15" i="13"/>
  <c r="J15" i="13"/>
  <c r="C16" i="13"/>
  <c r="D16" i="13"/>
  <c r="E16" i="13"/>
  <c r="F16" i="13"/>
  <c r="G16" i="13"/>
  <c r="H16" i="13"/>
  <c r="I16" i="13"/>
  <c r="J16" i="13"/>
  <c r="C17" i="13"/>
  <c r="D17" i="13"/>
  <c r="E17" i="13"/>
  <c r="F17" i="13"/>
  <c r="G17" i="13"/>
  <c r="H17" i="13"/>
  <c r="I17" i="13"/>
  <c r="J17" i="13"/>
  <c r="C18" i="13"/>
  <c r="D18" i="13"/>
  <c r="E18" i="13"/>
  <c r="F18" i="13"/>
  <c r="G18" i="13"/>
  <c r="H18" i="13"/>
  <c r="I18" i="13"/>
  <c r="J18" i="13"/>
  <c r="C19" i="13"/>
  <c r="D19" i="13"/>
  <c r="E19" i="13"/>
  <c r="F19" i="13"/>
  <c r="G19" i="13"/>
  <c r="H19" i="13"/>
  <c r="I19" i="13"/>
  <c r="J19" i="13"/>
  <c r="C20" i="13"/>
  <c r="D20" i="13"/>
  <c r="E20" i="13"/>
  <c r="F20" i="13"/>
  <c r="G20" i="13"/>
  <c r="H20" i="13"/>
  <c r="I20" i="13"/>
  <c r="J20" i="13"/>
  <c r="C21" i="13"/>
  <c r="D21" i="13"/>
  <c r="E21" i="13"/>
  <c r="F21" i="13"/>
  <c r="G21" i="13"/>
  <c r="H21" i="13"/>
  <c r="I21" i="13"/>
  <c r="J21" i="13"/>
  <c r="C22" i="13"/>
  <c r="D22" i="13"/>
  <c r="E22" i="13"/>
  <c r="F22" i="13"/>
  <c r="G22" i="13"/>
  <c r="H22" i="13"/>
  <c r="I22" i="13"/>
  <c r="J22" i="13"/>
  <c r="D2" i="13"/>
  <c r="X10" i="13" s="1"/>
  <c r="E2" i="13"/>
  <c r="Y3" i="13" s="1"/>
  <c r="F2" i="13"/>
  <c r="Z12" i="13" s="1"/>
  <c r="G2" i="13"/>
  <c r="AA5" i="13" s="1"/>
  <c r="H2" i="13"/>
  <c r="AB14" i="13" s="1"/>
  <c r="I2" i="13"/>
  <c r="AC7" i="13" s="1"/>
  <c r="J2" i="13"/>
  <c r="C2" i="13"/>
  <c r="W17" i="13" s="1"/>
  <c r="M91" i="13"/>
  <c r="L91" i="13"/>
  <c r="K91" i="13"/>
  <c r="J91" i="13"/>
  <c r="I91" i="13"/>
  <c r="H91" i="13"/>
  <c r="G91" i="13"/>
  <c r="F91" i="13"/>
  <c r="E91" i="13"/>
  <c r="D91" i="13"/>
  <c r="C91" i="13"/>
  <c r="B91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V78" i="13"/>
  <c r="U78" i="13"/>
  <c r="T78" i="13"/>
  <c r="S78" i="13"/>
  <c r="R78" i="13"/>
  <c r="Q78" i="13"/>
  <c r="P78" i="13"/>
  <c r="O78" i="13"/>
  <c r="N78" i="13"/>
  <c r="N77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V73" i="13"/>
  <c r="U73" i="13"/>
  <c r="T73" i="13"/>
  <c r="S73" i="13"/>
  <c r="R73" i="13"/>
  <c r="Q73" i="13"/>
  <c r="P73" i="13"/>
  <c r="O73" i="13"/>
  <c r="N73" i="13"/>
  <c r="N72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V68" i="13"/>
  <c r="U68" i="13"/>
  <c r="T68" i="13"/>
  <c r="S68" i="13"/>
  <c r="R68" i="13"/>
  <c r="Q68" i="13"/>
  <c r="P68" i="13"/>
  <c r="O68" i="13"/>
  <c r="N68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V63" i="13"/>
  <c r="U63" i="13"/>
  <c r="T63" i="13"/>
  <c r="S63" i="13"/>
  <c r="R63" i="13"/>
  <c r="Q63" i="13"/>
  <c r="P63" i="13"/>
  <c r="O63" i="13"/>
  <c r="N63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V58" i="13"/>
  <c r="U58" i="13"/>
  <c r="T58" i="13"/>
  <c r="S58" i="13"/>
  <c r="R58" i="13"/>
  <c r="Q58" i="13"/>
  <c r="P58" i="13"/>
  <c r="O58" i="13"/>
  <c r="N58" i="13"/>
  <c r="N38" i="13"/>
  <c r="K38" i="13"/>
  <c r="B38" i="13"/>
  <c r="B40" i="13" s="1"/>
  <c r="R37" i="13"/>
  <c r="N37" i="13"/>
  <c r="K37" i="13"/>
  <c r="G37" i="13"/>
  <c r="B37" i="13"/>
  <c r="K36" i="13"/>
  <c r="B36" i="13"/>
  <c r="K25" i="13"/>
  <c r="B25" i="13"/>
  <c r="B29" i="13" s="1"/>
  <c r="R38" i="13"/>
  <c r="H38" i="13"/>
  <c r="D38" i="13"/>
  <c r="Q37" i="13"/>
  <c r="D37" i="13"/>
  <c r="H33" i="13"/>
  <c r="T77" i="13" s="1"/>
  <c r="J32" i="13"/>
  <c r="V72" i="13" s="1"/>
  <c r="M91" i="12"/>
  <c r="L91" i="12"/>
  <c r="K91" i="12"/>
  <c r="J91" i="12"/>
  <c r="I91" i="12"/>
  <c r="H91" i="12"/>
  <c r="G91" i="12"/>
  <c r="F91" i="12"/>
  <c r="E91" i="12"/>
  <c r="D91" i="12"/>
  <c r="C91" i="12"/>
  <c r="B91" i="12"/>
  <c r="M90" i="12"/>
  <c r="L90" i="12"/>
  <c r="K90" i="12"/>
  <c r="J90" i="12"/>
  <c r="I90" i="12"/>
  <c r="H90" i="12"/>
  <c r="G90" i="12"/>
  <c r="F90" i="12"/>
  <c r="E90" i="12"/>
  <c r="D90" i="12"/>
  <c r="C90" i="12"/>
  <c r="B90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V78" i="12"/>
  <c r="U78" i="12"/>
  <c r="T78" i="12"/>
  <c r="S78" i="12"/>
  <c r="R78" i="12"/>
  <c r="Q78" i="12"/>
  <c r="P78" i="12"/>
  <c r="O78" i="12"/>
  <c r="N78" i="12"/>
  <c r="N77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V73" i="12"/>
  <c r="U73" i="12"/>
  <c r="T73" i="12"/>
  <c r="S73" i="12"/>
  <c r="R73" i="12"/>
  <c r="Q73" i="12"/>
  <c r="P73" i="12"/>
  <c r="O73" i="12"/>
  <c r="N73" i="12"/>
  <c r="N72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V68" i="12"/>
  <c r="U68" i="12"/>
  <c r="T68" i="12"/>
  <c r="S68" i="12"/>
  <c r="R68" i="12"/>
  <c r="Q68" i="12"/>
  <c r="P68" i="12"/>
  <c r="O68" i="12"/>
  <c r="N68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V63" i="12"/>
  <c r="U63" i="12"/>
  <c r="T63" i="12"/>
  <c r="S63" i="12"/>
  <c r="R63" i="12"/>
  <c r="Q63" i="12"/>
  <c r="P63" i="12"/>
  <c r="O63" i="12"/>
  <c r="N63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V58" i="12"/>
  <c r="U58" i="12"/>
  <c r="T58" i="12"/>
  <c r="S58" i="12"/>
  <c r="R58" i="12"/>
  <c r="Q58" i="12"/>
  <c r="P58" i="12"/>
  <c r="O58" i="12"/>
  <c r="N58" i="12"/>
  <c r="K38" i="12"/>
  <c r="B38" i="12"/>
  <c r="N91" i="12" s="1"/>
  <c r="O37" i="12"/>
  <c r="K37" i="12"/>
  <c r="B37" i="12"/>
  <c r="N90" i="12" s="1"/>
  <c r="Q36" i="12"/>
  <c r="K36" i="12"/>
  <c r="B36" i="12"/>
  <c r="N89" i="12" s="1"/>
  <c r="B26" i="12"/>
  <c r="N62" i="12" s="1"/>
  <c r="R25" i="12"/>
  <c r="R29" i="12" s="1"/>
  <c r="I30" i="12" s="1"/>
  <c r="K25" i="12"/>
  <c r="K29" i="12" s="1"/>
  <c r="B30" i="12" s="1"/>
  <c r="B25" i="12"/>
  <c r="B29" i="12" s="1"/>
  <c r="R38" i="12"/>
  <c r="P38" i="12"/>
  <c r="O38" i="12"/>
  <c r="N38" i="12"/>
  <c r="H38" i="12"/>
  <c r="G38" i="12"/>
  <c r="F38" i="12"/>
  <c r="E38" i="12"/>
  <c r="D38" i="12"/>
  <c r="R37" i="12"/>
  <c r="Q37" i="12"/>
  <c r="P37" i="12"/>
  <c r="N37" i="12"/>
  <c r="J37" i="12"/>
  <c r="H37" i="12"/>
  <c r="G37" i="12"/>
  <c r="F37" i="12"/>
  <c r="R90" i="12" s="1"/>
  <c r="E37" i="12"/>
  <c r="D37" i="12"/>
  <c r="R36" i="12"/>
  <c r="Q25" i="12"/>
  <c r="P36" i="12"/>
  <c r="O36" i="12"/>
  <c r="N36" i="12"/>
  <c r="I36" i="12"/>
  <c r="H33" i="12"/>
  <c r="T77" i="12" s="1"/>
  <c r="G33" i="12"/>
  <c r="S77" i="12" s="1"/>
  <c r="F33" i="12"/>
  <c r="R77" i="12" s="1"/>
  <c r="M91" i="11"/>
  <c r="L91" i="11"/>
  <c r="K91" i="11"/>
  <c r="J91" i="11"/>
  <c r="I91" i="11"/>
  <c r="H91" i="11"/>
  <c r="G91" i="11"/>
  <c r="F91" i="11"/>
  <c r="E91" i="11"/>
  <c r="D91" i="11"/>
  <c r="C91" i="11"/>
  <c r="B91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V78" i="11"/>
  <c r="U78" i="11"/>
  <c r="T78" i="11"/>
  <c r="S78" i="11"/>
  <c r="R78" i="11"/>
  <c r="Q78" i="11"/>
  <c r="P78" i="11"/>
  <c r="O78" i="11"/>
  <c r="N78" i="11"/>
  <c r="N77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V73" i="11"/>
  <c r="U73" i="11"/>
  <c r="T73" i="11"/>
  <c r="S73" i="11"/>
  <c r="R73" i="11"/>
  <c r="Q73" i="11"/>
  <c r="P73" i="11"/>
  <c r="O73" i="11"/>
  <c r="N73" i="11"/>
  <c r="N72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V68" i="11"/>
  <c r="U68" i="11"/>
  <c r="T68" i="11"/>
  <c r="S68" i="11"/>
  <c r="R68" i="11"/>
  <c r="Q68" i="11"/>
  <c r="P68" i="11"/>
  <c r="O68" i="11"/>
  <c r="N68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V63" i="11"/>
  <c r="U63" i="11"/>
  <c r="T63" i="11"/>
  <c r="S63" i="11"/>
  <c r="R63" i="11"/>
  <c r="Q63" i="11"/>
  <c r="P63" i="11"/>
  <c r="O63" i="11"/>
  <c r="N63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V58" i="11"/>
  <c r="U58" i="11"/>
  <c r="T58" i="11"/>
  <c r="S58" i="11"/>
  <c r="R58" i="11"/>
  <c r="Q58" i="11"/>
  <c r="P58" i="11"/>
  <c r="O58" i="11"/>
  <c r="N58" i="11"/>
  <c r="N38" i="11"/>
  <c r="L38" i="11"/>
  <c r="K38" i="11"/>
  <c r="B38" i="11"/>
  <c r="N91" i="11" s="1"/>
  <c r="P37" i="11"/>
  <c r="O37" i="11"/>
  <c r="K37" i="11"/>
  <c r="B37" i="11"/>
  <c r="N90" i="11" s="1"/>
  <c r="R36" i="11"/>
  <c r="Q36" i="11"/>
  <c r="K36" i="11"/>
  <c r="B36" i="11"/>
  <c r="N89" i="11" s="1"/>
  <c r="R25" i="11"/>
  <c r="R29" i="11" s="1"/>
  <c r="I30" i="11" s="1"/>
  <c r="K25" i="11"/>
  <c r="K29" i="11" s="1"/>
  <c r="B30" i="11" s="1"/>
  <c r="B25" i="11"/>
  <c r="B29" i="11" s="1"/>
  <c r="R38" i="11"/>
  <c r="Q38" i="11"/>
  <c r="P38" i="11"/>
  <c r="O38" i="11"/>
  <c r="H38" i="11"/>
  <c r="G38" i="11"/>
  <c r="F38" i="11"/>
  <c r="E38" i="11"/>
  <c r="Q91" i="11" s="1"/>
  <c r="D38" i="11"/>
  <c r="C38" i="11"/>
  <c r="R37" i="11"/>
  <c r="Q37" i="11"/>
  <c r="N37" i="11"/>
  <c r="L37" i="11"/>
  <c r="H37" i="11"/>
  <c r="G37" i="11"/>
  <c r="S90" i="11" s="1"/>
  <c r="F37" i="11"/>
  <c r="R90" i="11" s="1"/>
  <c r="E37" i="11"/>
  <c r="D37" i="11"/>
  <c r="C37" i="11"/>
  <c r="Q25" i="11"/>
  <c r="P36" i="11"/>
  <c r="O36" i="11"/>
  <c r="N36" i="11"/>
  <c r="L36" i="11"/>
  <c r="H33" i="11"/>
  <c r="T77" i="11" s="1"/>
  <c r="G33" i="11"/>
  <c r="S77" i="11" s="1"/>
  <c r="F33" i="11"/>
  <c r="R77" i="11" s="1"/>
  <c r="O72" i="11"/>
  <c r="R90" i="22" l="1"/>
  <c r="S90" i="22"/>
  <c r="T90" i="22"/>
  <c r="Q90" i="21"/>
  <c r="R90" i="21"/>
  <c r="S90" i="21"/>
  <c r="V90" i="21"/>
  <c r="AA5" i="21"/>
  <c r="AC14" i="21"/>
  <c r="Z14" i="21"/>
  <c r="AA21" i="21"/>
  <c r="AC19" i="21"/>
  <c r="AC5" i="21"/>
  <c r="AC21" i="21"/>
  <c r="V91" i="22"/>
  <c r="J40" i="22"/>
  <c r="U90" i="22"/>
  <c r="D28" i="22"/>
  <c r="D26" i="22"/>
  <c r="P62" i="22" s="1"/>
  <c r="M29" i="22"/>
  <c r="D30" i="22" s="1"/>
  <c r="V90" i="22"/>
  <c r="E26" i="22"/>
  <c r="Q62" i="22" s="1"/>
  <c r="N29" i="22"/>
  <c r="E30" i="22" s="1"/>
  <c r="P89" i="22"/>
  <c r="O90" i="22"/>
  <c r="S29" i="22"/>
  <c r="J30" i="22" s="1"/>
  <c r="J26" i="22"/>
  <c r="V62" i="22" s="1"/>
  <c r="C40" i="22"/>
  <c r="O91" i="22"/>
  <c r="P91" i="22"/>
  <c r="D40" i="22"/>
  <c r="Q91" i="22"/>
  <c r="E40" i="22"/>
  <c r="R91" i="22"/>
  <c r="F40" i="22"/>
  <c r="S91" i="22"/>
  <c r="G40" i="22"/>
  <c r="P90" i="22"/>
  <c r="T91" i="22"/>
  <c r="H40" i="22"/>
  <c r="U91" i="22"/>
  <c r="X18" i="22"/>
  <c r="R37" i="22"/>
  <c r="I40" i="22" s="1"/>
  <c r="F32" i="22"/>
  <c r="R72" i="22" s="1"/>
  <c r="W2" i="22"/>
  <c r="AD3" i="22"/>
  <c r="AB5" i="22"/>
  <c r="Z7" i="22"/>
  <c r="X9" i="22"/>
  <c r="AC12" i="22"/>
  <c r="AA14" i="22"/>
  <c r="Y16" i="22"/>
  <c r="W18" i="22"/>
  <c r="AD19" i="22"/>
  <c r="AB21" i="22"/>
  <c r="L25" i="22"/>
  <c r="D32" i="22"/>
  <c r="P72" i="22" s="1"/>
  <c r="C36" i="22"/>
  <c r="S36" i="22"/>
  <c r="Y2" i="22"/>
  <c r="W4" i="22"/>
  <c r="AD5" i="22"/>
  <c r="AB7" i="22"/>
  <c r="Z9" i="22"/>
  <c r="Y18" i="22"/>
  <c r="W20" i="22"/>
  <c r="AD21" i="22"/>
  <c r="Z2" i="22"/>
  <c r="X4" i="22"/>
  <c r="AC7" i="22"/>
  <c r="AA9" i="22"/>
  <c r="Y11" i="22"/>
  <c r="W13" i="22"/>
  <c r="AD14" i="22"/>
  <c r="AB16" i="22"/>
  <c r="Z18" i="22"/>
  <c r="X20" i="22"/>
  <c r="O25" i="22"/>
  <c r="G32" i="22"/>
  <c r="S72" i="22" s="1"/>
  <c r="F36" i="22"/>
  <c r="AA2" i="22"/>
  <c r="Y4" i="22"/>
  <c r="W6" i="22"/>
  <c r="AD7" i="22"/>
  <c r="AB9" i="22"/>
  <c r="Z11" i="22"/>
  <c r="X13" i="22"/>
  <c r="AC16" i="22"/>
  <c r="AA18" i="22"/>
  <c r="Y20" i="22"/>
  <c r="W22" i="22"/>
  <c r="P25" i="22"/>
  <c r="B27" i="22"/>
  <c r="K29" i="22"/>
  <c r="B30" i="22" s="1"/>
  <c r="H32" i="22"/>
  <c r="T72" i="22" s="1"/>
  <c r="G36" i="22"/>
  <c r="AB2" i="22"/>
  <c r="Z4" i="22"/>
  <c r="X6" i="22"/>
  <c r="AC9" i="22"/>
  <c r="AA11" i="22"/>
  <c r="Y13" i="22"/>
  <c r="W15" i="22"/>
  <c r="AD16" i="22"/>
  <c r="AB18" i="22"/>
  <c r="Z20" i="22"/>
  <c r="X22" i="22"/>
  <c r="Q25" i="22"/>
  <c r="I32" i="22"/>
  <c r="U72" i="22" s="1"/>
  <c r="H36" i="22"/>
  <c r="B39" i="22"/>
  <c r="N67" i="22"/>
  <c r="Y9" i="22"/>
  <c r="AC2" i="22"/>
  <c r="AA4" i="22"/>
  <c r="Y6" i="22"/>
  <c r="W8" i="22"/>
  <c r="AD9" i="22"/>
  <c r="AB11" i="22"/>
  <c r="Z13" i="22"/>
  <c r="X15" i="22"/>
  <c r="AC18" i="22"/>
  <c r="AA20" i="22"/>
  <c r="Y22" i="22"/>
  <c r="R25" i="22"/>
  <c r="J32" i="22"/>
  <c r="V72" i="22" s="1"/>
  <c r="I36" i="22"/>
  <c r="AD2" i="22"/>
  <c r="AB4" i="22"/>
  <c r="Z6" i="22"/>
  <c r="X8" i="22"/>
  <c r="AC11" i="22"/>
  <c r="AA13" i="22"/>
  <c r="Y15" i="22"/>
  <c r="W17" i="22"/>
  <c r="AD18" i="22"/>
  <c r="AB20" i="22"/>
  <c r="Z22" i="22"/>
  <c r="C25" i="22"/>
  <c r="J36" i="22"/>
  <c r="D39" i="22"/>
  <c r="N91" i="22"/>
  <c r="AC4" i="22"/>
  <c r="AA6" i="22"/>
  <c r="Y8" i="22"/>
  <c r="W10" i="22"/>
  <c r="AD11" i="22"/>
  <c r="AB13" i="22"/>
  <c r="AB23" i="22" s="1"/>
  <c r="Z15" i="22"/>
  <c r="X17" i="22"/>
  <c r="AC20" i="22"/>
  <c r="AA22" i="22"/>
  <c r="D25" i="22"/>
  <c r="D33" i="22"/>
  <c r="P77" i="22" s="1"/>
  <c r="W3" i="22"/>
  <c r="AD4" i="22"/>
  <c r="AB6" i="22"/>
  <c r="Z8" i="22"/>
  <c r="X10" i="22"/>
  <c r="AC13" i="22"/>
  <c r="AA15" i="22"/>
  <c r="Y17" i="22"/>
  <c r="W19" i="22"/>
  <c r="AD20" i="22"/>
  <c r="AB22" i="22"/>
  <c r="E25" i="22"/>
  <c r="E28" i="22" s="1"/>
  <c r="E33" i="22"/>
  <c r="Q77" i="22" s="1"/>
  <c r="E36" i="22"/>
  <c r="X3" i="22"/>
  <c r="AC6" i="22"/>
  <c r="AA8" i="22"/>
  <c r="Y10" i="22"/>
  <c r="W12" i="22"/>
  <c r="AD13" i="22"/>
  <c r="AD23" i="22" s="1"/>
  <c r="AB15" i="22"/>
  <c r="Z17" i="22"/>
  <c r="X19" i="22"/>
  <c r="AC22" i="22"/>
  <c r="F25" i="22"/>
  <c r="F33" i="22"/>
  <c r="R77" i="22" s="1"/>
  <c r="Y3" i="22"/>
  <c r="W5" i="22"/>
  <c r="AD6" i="22"/>
  <c r="AB8" i="22"/>
  <c r="Z10" i="22"/>
  <c r="X12" i="22"/>
  <c r="AC15" i="22"/>
  <c r="AA17" i="22"/>
  <c r="Y19" i="22"/>
  <c r="W21" i="22"/>
  <c r="AD22" i="22"/>
  <c r="G25" i="22"/>
  <c r="G33" i="22"/>
  <c r="S77" i="22" s="1"/>
  <c r="Z3" i="22"/>
  <c r="X5" i="22"/>
  <c r="AC8" i="22"/>
  <c r="AA10" i="22"/>
  <c r="Y12" i="22"/>
  <c r="W14" i="22"/>
  <c r="AD15" i="22"/>
  <c r="AB17" i="22"/>
  <c r="Z19" i="22"/>
  <c r="X21" i="22"/>
  <c r="H25" i="22"/>
  <c r="H33" i="22"/>
  <c r="T77" i="22" s="1"/>
  <c r="E32" i="22"/>
  <c r="Q72" i="22" s="1"/>
  <c r="AA3" i="22"/>
  <c r="Y5" i="22"/>
  <c r="W7" i="22"/>
  <c r="AD8" i="22"/>
  <c r="AB10" i="22"/>
  <c r="Z12" i="22"/>
  <c r="X14" i="22"/>
  <c r="AC17" i="22"/>
  <c r="AA19" i="22"/>
  <c r="Y21" i="22"/>
  <c r="I25" i="22"/>
  <c r="I33" i="22"/>
  <c r="U77" i="22" s="1"/>
  <c r="AB3" i="22"/>
  <c r="Z5" i="22"/>
  <c r="X7" i="22"/>
  <c r="AC10" i="22"/>
  <c r="AA12" i="22"/>
  <c r="Y14" i="22"/>
  <c r="W16" i="22"/>
  <c r="AD17" i="22"/>
  <c r="AB19" i="22"/>
  <c r="Z21" i="22"/>
  <c r="J25" i="22"/>
  <c r="J28" i="22" s="1"/>
  <c r="J33" i="22"/>
  <c r="V77" i="22" s="1"/>
  <c r="AC3" i="22"/>
  <c r="AA5" i="22"/>
  <c r="W9" i="22"/>
  <c r="P90" i="21"/>
  <c r="U91" i="21"/>
  <c r="V91" i="21"/>
  <c r="J40" i="21"/>
  <c r="T90" i="21"/>
  <c r="C26" i="21"/>
  <c r="O62" i="21" s="1"/>
  <c r="L29" i="21"/>
  <c r="C30" i="21" s="1"/>
  <c r="E26" i="21"/>
  <c r="Q62" i="21" s="1"/>
  <c r="N29" i="21"/>
  <c r="E30" i="21" s="1"/>
  <c r="O90" i="21"/>
  <c r="C40" i="21"/>
  <c r="O91" i="21"/>
  <c r="S29" i="21"/>
  <c r="J30" i="21" s="1"/>
  <c r="J26" i="21"/>
  <c r="V62" i="21" s="1"/>
  <c r="P91" i="21"/>
  <c r="D40" i="21"/>
  <c r="Q91" i="21"/>
  <c r="E40" i="21"/>
  <c r="R91" i="21"/>
  <c r="F40" i="21"/>
  <c r="S91" i="21"/>
  <c r="G40" i="21"/>
  <c r="T91" i="21"/>
  <c r="H40" i="21"/>
  <c r="W2" i="21"/>
  <c r="AD3" i="21"/>
  <c r="AB5" i="21"/>
  <c r="Z7" i="21"/>
  <c r="X9" i="21"/>
  <c r="AC12" i="21"/>
  <c r="AA14" i="21"/>
  <c r="Y16" i="21"/>
  <c r="W18" i="21"/>
  <c r="AD19" i="21"/>
  <c r="AB21" i="21"/>
  <c r="D32" i="21"/>
  <c r="P72" i="21" s="1"/>
  <c r="C36" i="21"/>
  <c r="W11" i="21"/>
  <c r="M25" i="21"/>
  <c r="W20" i="21"/>
  <c r="E36" i="21"/>
  <c r="Z2" i="21"/>
  <c r="X4" i="21"/>
  <c r="AC7" i="21"/>
  <c r="AA9" i="21"/>
  <c r="Y11" i="21"/>
  <c r="W13" i="21"/>
  <c r="AD14" i="21"/>
  <c r="AB16" i="21"/>
  <c r="Z18" i="21"/>
  <c r="X20" i="21"/>
  <c r="O25" i="21"/>
  <c r="G32" i="21"/>
  <c r="S72" i="21" s="1"/>
  <c r="F36" i="21"/>
  <c r="Z16" i="21"/>
  <c r="E32" i="21"/>
  <c r="Q72" i="21" s="1"/>
  <c r="AB7" i="21"/>
  <c r="N90" i="21"/>
  <c r="AA2" i="21"/>
  <c r="Y4" i="21"/>
  <c r="W6" i="21"/>
  <c r="AD7" i="21"/>
  <c r="AB9" i="21"/>
  <c r="Z11" i="21"/>
  <c r="X13" i="21"/>
  <c r="AC16" i="21"/>
  <c r="AA18" i="21"/>
  <c r="Y20" i="21"/>
  <c r="W22" i="21"/>
  <c r="P25" i="21"/>
  <c r="K29" i="21"/>
  <c r="B30" i="21" s="1"/>
  <c r="H32" i="21"/>
  <c r="T72" i="21" s="1"/>
  <c r="G36" i="21"/>
  <c r="Y9" i="21"/>
  <c r="AD5" i="21"/>
  <c r="AD21" i="21"/>
  <c r="F32" i="21"/>
  <c r="R72" i="21" s="1"/>
  <c r="AB2" i="21"/>
  <c r="Z4" i="21"/>
  <c r="X6" i="21"/>
  <c r="AC9" i="21"/>
  <c r="AA11" i="21"/>
  <c r="Y13" i="21"/>
  <c r="W15" i="21"/>
  <c r="AD16" i="21"/>
  <c r="AB18" i="21"/>
  <c r="Z20" i="21"/>
  <c r="X22" i="21"/>
  <c r="Q25" i="21"/>
  <c r="I32" i="21"/>
  <c r="U72" i="21" s="1"/>
  <c r="H36" i="21"/>
  <c r="B39" i="21"/>
  <c r="AD12" i="21"/>
  <c r="Y18" i="21"/>
  <c r="AC2" i="21"/>
  <c r="AA4" i="21"/>
  <c r="Y6" i="21"/>
  <c r="W8" i="21"/>
  <c r="AD9" i="21"/>
  <c r="AB11" i="21"/>
  <c r="Z13" i="21"/>
  <c r="X15" i="21"/>
  <c r="AC18" i="21"/>
  <c r="AA20" i="21"/>
  <c r="Y22" i="21"/>
  <c r="R25" i="21"/>
  <c r="J32" i="21"/>
  <c r="V72" i="21" s="1"/>
  <c r="I36" i="21"/>
  <c r="Y2" i="21"/>
  <c r="AD2" i="21"/>
  <c r="AB4" i="21"/>
  <c r="Z6" i="21"/>
  <c r="X8" i="21"/>
  <c r="AC11" i="21"/>
  <c r="AA13" i="21"/>
  <c r="Y15" i="21"/>
  <c r="W17" i="21"/>
  <c r="AD18" i="21"/>
  <c r="AB20" i="21"/>
  <c r="Z22" i="21"/>
  <c r="C25" i="21"/>
  <c r="J36" i="21"/>
  <c r="D39" i="21"/>
  <c r="AC4" i="21"/>
  <c r="AA6" i="21"/>
  <c r="Y8" i="21"/>
  <c r="W10" i="21"/>
  <c r="AD11" i="21"/>
  <c r="AB13" i="21"/>
  <c r="AB23" i="21" s="1"/>
  <c r="Z15" i="21"/>
  <c r="X17" i="21"/>
  <c r="AC20" i="21"/>
  <c r="AA22" i="21"/>
  <c r="D25" i="21"/>
  <c r="D33" i="21"/>
  <c r="P77" i="21" s="1"/>
  <c r="I37" i="21"/>
  <c r="U90" i="21" s="1"/>
  <c r="W3" i="21"/>
  <c r="AD4" i="21"/>
  <c r="AB6" i="21"/>
  <c r="Z8" i="21"/>
  <c r="X10" i="21"/>
  <c r="AC13" i="21"/>
  <c r="AA15" i="21"/>
  <c r="Y17" i="21"/>
  <c r="W19" i="21"/>
  <c r="AD20" i="21"/>
  <c r="AB22" i="21"/>
  <c r="E25" i="21"/>
  <c r="E28" i="21" s="1"/>
  <c r="E33" i="21"/>
  <c r="Q77" i="21" s="1"/>
  <c r="X3" i="21"/>
  <c r="AC6" i="21"/>
  <c r="AA8" i="21"/>
  <c r="Y10" i="21"/>
  <c r="W12" i="21"/>
  <c r="AD13" i="21"/>
  <c r="AB15" i="21"/>
  <c r="Z17" i="21"/>
  <c r="X19" i="21"/>
  <c r="AC22" i="21"/>
  <c r="F25" i="21"/>
  <c r="B26" i="21"/>
  <c r="N62" i="21" s="1"/>
  <c r="F33" i="21"/>
  <c r="R77" i="21" s="1"/>
  <c r="Y3" i="21"/>
  <c r="W5" i="21"/>
  <c r="AD6" i="21"/>
  <c r="AB8" i="21"/>
  <c r="Z10" i="21"/>
  <c r="X12" i="21"/>
  <c r="AC15" i="21"/>
  <c r="AA17" i="21"/>
  <c r="Y19" i="21"/>
  <c r="W21" i="21"/>
  <c r="AD22" i="21"/>
  <c r="G25" i="21"/>
  <c r="G33" i="21"/>
  <c r="S77" i="21" s="1"/>
  <c r="Z3" i="21"/>
  <c r="X5" i="21"/>
  <c r="AC8" i="21"/>
  <c r="AA10" i="21"/>
  <c r="Y12" i="21"/>
  <c r="W14" i="21"/>
  <c r="AD15" i="21"/>
  <c r="AB17" i="21"/>
  <c r="Z19" i="21"/>
  <c r="X21" i="21"/>
  <c r="H25" i="21"/>
  <c r="H33" i="21"/>
  <c r="T77" i="21" s="1"/>
  <c r="AA3" i="21"/>
  <c r="Y5" i="21"/>
  <c r="W7" i="21"/>
  <c r="AD8" i="21"/>
  <c r="AB10" i="21"/>
  <c r="Z12" i="21"/>
  <c r="X14" i="21"/>
  <c r="AC17" i="21"/>
  <c r="AA19" i="21"/>
  <c r="Y21" i="21"/>
  <c r="I25" i="21"/>
  <c r="I33" i="21"/>
  <c r="U77" i="21" s="1"/>
  <c r="AB3" i="21"/>
  <c r="Z5" i="21"/>
  <c r="X7" i="21"/>
  <c r="AC10" i="21"/>
  <c r="AA12" i="21"/>
  <c r="Y14" i="21"/>
  <c r="W16" i="21"/>
  <c r="AD17" i="21"/>
  <c r="AB19" i="21"/>
  <c r="Z21" i="21"/>
  <c r="J25" i="21"/>
  <c r="J33" i="21"/>
  <c r="V77" i="21" s="1"/>
  <c r="W9" i="21"/>
  <c r="R90" i="20"/>
  <c r="S25" i="20"/>
  <c r="V90" i="20"/>
  <c r="AD10" i="20"/>
  <c r="U90" i="20"/>
  <c r="O36" i="20"/>
  <c r="Y18" i="20"/>
  <c r="AC19" i="20"/>
  <c r="AB17" i="20"/>
  <c r="Y2" i="20"/>
  <c r="W14" i="20"/>
  <c r="C33" i="20"/>
  <c r="O77" i="20" s="1"/>
  <c r="W4" i="20"/>
  <c r="O90" i="20"/>
  <c r="AC8" i="20"/>
  <c r="AB12" i="20"/>
  <c r="AA21" i="20"/>
  <c r="AB3" i="20"/>
  <c r="AB14" i="20"/>
  <c r="AB7" i="20"/>
  <c r="P90" i="20"/>
  <c r="V91" i="20"/>
  <c r="J40" i="20"/>
  <c r="S90" i="20"/>
  <c r="T90" i="20"/>
  <c r="U91" i="20"/>
  <c r="I40" i="20"/>
  <c r="C40" i="20"/>
  <c r="O91" i="20"/>
  <c r="S29" i="20"/>
  <c r="J30" i="20" s="1"/>
  <c r="J26" i="20"/>
  <c r="V62" i="20" s="1"/>
  <c r="P91" i="20"/>
  <c r="D40" i="20"/>
  <c r="Q91" i="20"/>
  <c r="E40" i="20"/>
  <c r="R91" i="20"/>
  <c r="F40" i="20"/>
  <c r="S91" i="20"/>
  <c r="G40" i="20"/>
  <c r="T91" i="20"/>
  <c r="H40" i="20"/>
  <c r="W2" i="20"/>
  <c r="AD3" i="20"/>
  <c r="AB5" i="20"/>
  <c r="Z7" i="20"/>
  <c r="X9" i="20"/>
  <c r="AC12" i="20"/>
  <c r="AA14" i="20"/>
  <c r="Y16" i="20"/>
  <c r="W18" i="20"/>
  <c r="AD19" i="20"/>
  <c r="AB21" i="20"/>
  <c r="L25" i="20"/>
  <c r="D32" i="20"/>
  <c r="P72" i="20" s="1"/>
  <c r="C36" i="20"/>
  <c r="S36" i="20"/>
  <c r="X2" i="20"/>
  <c r="AC5" i="20"/>
  <c r="AA7" i="20"/>
  <c r="Y9" i="20"/>
  <c r="W11" i="20"/>
  <c r="AD12" i="20"/>
  <c r="Z16" i="20"/>
  <c r="X18" i="20"/>
  <c r="AC21" i="20"/>
  <c r="M25" i="20"/>
  <c r="E32" i="20"/>
  <c r="Q72" i="20" s="1"/>
  <c r="D36" i="20"/>
  <c r="N25" i="20"/>
  <c r="F32" i="20"/>
  <c r="R72" i="20" s="1"/>
  <c r="E36" i="20"/>
  <c r="AD5" i="20"/>
  <c r="Z9" i="20"/>
  <c r="Z2" i="20"/>
  <c r="X4" i="20"/>
  <c r="AC7" i="20"/>
  <c r="AA9" i="20"/>
  <c r="Y11" i="20"/>
  <c r="W13" i="20"/>
  <c r="AD14" i="20"/>
  <c r="AB16" i="20"/>
  <c r="Z18" i="20"/>
  <c r="X20" i="20"/>
  <c r="O25" i="20"/>
  <c r="G32" i="20"/>
  <c r="S72" i="20" s="1"/>
  <c r="F36" i="20"/>
  <c r="X11" i="20"/>
  <c r="AC14" i="20"/>
  <c r="AA2" i="20"/>
  <c r="Y4" i="20"/>
  <c r="W6" i="20"/>
  <c r="AD7" i="20"/>
  <c r="AB9" i="20"/>
  <c r="Z11" i="20"/>
  <c r="X13" i="20"/>
  <c r="AC16" i="20"/>
  <c r="AA18" i="20"/>
  <c r="Y20" i="20"/>
  <c r="W22" i="20"/>
  <c r="P25" i="20"/>
  <c r="K29" i="20"/>
  <c r="B30" i="20" s="1"/>
  <c r="H32" i="20"/>
  <c r="T72" i="20" s="1"/>
  <c r="G36" i="20"/>
  <c r="W20" i="20"/>
  <c r="AB2" i="20"/>
  <c r="Z4" i="20"/>
  <c r="X6" i="20"/>
  <c r="AC9" i="20"/>
  <c r="AA11" i="20"/>
  <c r="Y13" i="20"/>
  <c r="W15" i="20"/>
  <c r="AD16" i="20"/>
  <c r="AB18" i="20"/>
  <c r="Z20" i="20"/>
  <c r="X22" i="20"/>
  <c r="Q25" i="20"/>
  <c r="I32" i="20"/>
  <c r="U72" i="20" s="1"/>
  <c r="H36" i="20"/>
  <c r="B39" i="20"/>
  <c r="AC2" i="20"/>
  <c r="AA4" i="20"/>
  <c r="Y6" i="20"/>
  <c r="W8" i="20"/>
  <c r="AD9" i="20"/>
  <c r="AB11" i="20"/>
  <c r="Z13" i="20"/>
  <c r="X15" i="20"/>
  <c r="AC18" i="20"/>
  <c r="AA20" i="20"/>
  <c r="Y22" i="20"/>
  <c r="R25" i="20"/>
  <c r="J32" i="20"/>
  <c r="V72" i="20" s="1"/>
  <c r="I36" i="20"/>
  <c r="AD2" i="20"/>
  <c r="AB4" i="20"/>
  <c r="Z6" i="20"/>
  <c r="X8" i="20"/>
  <c r="AC11" i="20"/>
  <c r="AA13" i="20"/>
  <c r="Y15" i="20"/>
  <c r="W17" i="20"/>
  <c r="AD18" i="20"/>
  <c r="AB20" i="20"/>
  <c r="Z22" i="20"/>
  <c r="C25" i="20"/>
  <c r="J36" i="20"/>
  <c r="N91" i="20"/>
  <c r="AC4" i="20"/>
  <c r="AA6" i="20"/>
  <c r="Y8" i="20"/>
  <c r="W10" i="20"/>
  <c r="AD11" i="20"/>
  <c r="AB13" i="20"/>
  <c r="Z15" i="20"/>
  <c r="X17" i="20"/>
  <c r="AC20" i="20"/>
  <c r="AA22" i="20"/>
  <c r="D25" i="20"/>
  <c r="D33" i="20"/>
  <c r="P77" i="20" s="1"/>
  <c r="W3" i="20"/>
  <c r="AD4" i="20"/>
  <c r="AB6" i="20"/>
  <c r="Z8" i="20"/>
  <c r="X10" i="20"/>
  <c r="AC13" i="20"/>
  <c r="AA15" i="20"/>
  <c r="Y17" i="20"/>
  <c r="W19" i="20"/>
  <c r="AD20" i="20"/>
  <c r="AB22" i="20"/>
  <c r="E25" i="20"/>
  <c r="E33" i="20"/>
  <c r="Q77" i="20" s="1"/>
  <c r="X3" i="20"/>
  <c r="AC6" i="20"/>
  <c r="AA8" i="20"/>
  <c r="Y10" i="20"/>
  <c r="W12" i="20"/>
  <c r="AD13" i="20"/>
  <c r="AB15" i="20"/>
  <c r="Z17" i="20"/>
  <c r="X19" i="20"/>
  <c r="AC22" i="20"/>
  <c r="F25" i="20"/>
  <c r="B26" i="20"/>
  <c r="F33" i="20"/>
  <c r="R77" i="20" s="1"/>
  <c r="Y3" i="20"/>
  <c r="W5" i="20"/>
  <c r="AD6" i="20"/>
  <c r="AB8" i="20"/>
  <c r="Z10" i="20"/>
  <c r="X12" i="20"/>
  <c r="AC15" i="20"/>
  <c r="AA17" i="20"/>
  <c r="Y19" i="20"/>
  <c r="W21" i="20"/>
  <c r="AD22" i="20"/>
  <c r="G25" i="20"/>
  <c r="G33" i="20"/>
  <c r="S77" i="20" s="1"/>
  <c r="Z3" i="20"/>
  <c r="Y12" i="20"/>
  <c r="AD15" i="20"/>
  <c r="Z19" i="20"/>
  <c r="X21" i="20"/>
  <c r="H25" i="20"/>
  <c r="H33" i="20"/>
  <c r="T77" i="20" s="1"/>
  <c r="AA3" i="20"/>
  <c r="Y5" i="20"/>
  <c r="W7" i="20"/>
  <c r="AD8" i="20"/>
  <c r="AB10" i="20"/>
  <c r="Z12" i="20"/>
  <c r="X14" i="20"/>
  <c r="AC17" i="20"/>
  <c r="AA19" i="20"/>
  <c r="Y21" i="20"/>
  <c r="I25" i="20"/>
  <c r="I33" i="20"/>
  <c r="U77" i="20" s="1"/>
  <c r="Z5" i="20"/>
  <c r="X7" i="20"/>
  <c r="AC10" i="20"/>
  <c r="AA12" i="20"/>
  <c r="Y14" i="20"/>
  <c r="W16" i="20"/>
  <c r="AD17" i="20"/>
  <c r="AB19" i="20"/>
  <c r="Z21" i="20"/>
  <c r="J25" i="20"/>
  <c r="J28" i="20" s="1"/>
  <c r="J33" i="20"/>
  <c r="V77" i="20" s="1"/>
  <c r="AC3" i="20"/>
  <c r="AA5" i="20"/>
  <c r="W9" i="20"/>
  <c r="W25" i="20" s="1"/>
  <c r="W23" i="20" s="1"/>
  <c r="AD23" i="4"/>
  <c r="X3" i="13"/>
  <c r="B28" i="13"/>
  <c r="Y21" i="13"/>
  <c r="W19" i="13"/>
  <c r="AB16" i="13"/>
  <c r="Z14" i="13"/>
  <c r="X12" i="13"/>
  <c r="AC9" i="13"/>
  <c r="AA7" i="13"/>
  <c r="Y5" i="13"/>
  <c r="W3" i="13"/>
  <c r="X21" i="13"/>
  <c r="AC18" i="13"/>
  <c r="AA16" i="13"/>
  <c r="Y14" i="13"/>
  <c r="W12" i="13"/>
  <c r="AB9" i="13"/>
  <c r="Z7" i="13"/>
  <c r="X5" i="13"/>
  <c r="AC2" i="13"/>
  <c r="W21" i="13"/>
  <c r="AB18" i="13"/>
  <c r="Z16" i="13"/>
  <c r="X14" i="13"/>
  <c r="AC11" i="13"/>
  <c r="AA9" i="13"/>
  <c r="Y7" i="13"/>
  <c r="W5" i="13"/>
  <c r="AB2" i="13"/>
  <c r="F38" i="13"/>
  <c r="AC20" i="13"/>
  <c r="AA18" i="13"/>
  <c r="Y16" i="13"/>
  <c r="W14" i="13"/>
  <c r="AB11" i="13"/>
  <c r="Z9" i="13"/>
  <c r="X7" i="13"/>
  <c r="AC4" i="13"/>
  <c r="AA2" i="13"/>
  <c r="AB20" i="13"/>
  <c r="Z18" i="13"/>
  <c r="X16" i="13"/>
  <c r="AC13" i="13"/>
  <c r="AA11" i="13"/>
  <c r="Y9" i="13"/>
  <c r="W7" i="13"/>
  <c r="AB4" i="13"/>
  <c r="Z2" i="13"/>
  <c r="AC22" i="13"/>
  <c r="AA20" i="13"/>
  <c r="Y18" i="13"/>
  <c r="W16" i="13"/>
  <c r="AB13" i="13"/>
  <c r="Z11" i="13"/>
  <c r="X9" i="13"/>
  <c r="AC6" i="13"/>
  <c r="AA4" i="13"/>
  <c r="Y2" i="13"/>
  <c r="AB22" i="13"/>
  <c r="Z20" i="13"/>
  <c r="X18" i="13"/>
  <c r="AC15" i="13"/>
  <c r="AA13" i="13"/>
  <c r="Y11" i="13"/>
  <c r="W9" i="13"/>
  <c r="AB6" i="13"/>
  <c r="Z4" i="13"/>
  <c r="X2" i="13"/>
  <c r="AA22" i="13"/>
  <c r="Y20" i="13"/>
  <c r="W18" i="13"/>
  <c r="AB15" i="13"/>
  <c r="Z13" i="13"/>
  <c r="X11" i="13"/>
  <c r="AC8" i="13"/>
  <c r="AA6" i="13"/>
  <c r="Y4" i="13"/>
  <c r="W2" i="13"/>
  <c r="L36" i="13"/>
  <c r="Z22" i="13"/>
  <c r="X20" i="13"/>
  <c r="AC17" i="13"/>
  <c r="AA15" i="13"/>
  <c r="Y13" i="13"/>
  <c r="W11" i="13"/>
  <c r="AB8" i="13"/>
  <c r="Z6" i="13"/>
  <c r="X4" i="13"/>
  <c r="Y22" i="13"/>
  <c r="W20" i="13"/>
  <c r="AB17" i="13"/>
  <c r="Z15" i="13"/>
  <c r="X13" i="13"/>
  <c r="AC10" i="13"/>
  <c r="AA8" i="13"/>
  <c r="Y6" i="13"/>
  <c r="W4" i="13"/>
  <c r="X22" i="13"/>
  <c r="AC19" i="13"/>
  <c r="AA17" i="13"/>
  <c r="Y15" i="13"/>
  <c r="W13" i="13"/>
  <c r="AB10" i="13"/>
  <c r="Z8" i="13"/>
  <c r="X6" i="13"/>
  <c r="AC3" i="13"/>
  <c r="W22" i="13"/>
  <c r="AB19" i="13"/>
  <c r="Z17" i="13"/>
  <c r="X15" i="13"/>
  <c r="AC12" i="13"/>
  <c r="AA10" i="13"/>
  <c r="Y8" i="13"/>
  <c r="W6" i="13"/>
  <c r="AB3" i="13"/>
  <c r="AC21" i="13"/>
  <c r="AA19" i="13"/>
  <c r="Y17" i="13"/>
  <c r="W15" i="13"/>
  <c r="AB12" i="13"/>
  <c r="Z10" i="13"/>
  <c r="X8" i="13"/>
  <c r="AC5" i="13"/>
  <c r="AA3" i="13"/>
  <c r="AB21" i="13"/>
  <c r="Z19" i="13"/>
  <c r="X17" i="13"/>
  <c r="AC14" i="13"/>
  <c r="AA12" i="13"/>
  <c r="Y10" i="13"/>
  <c r="W8" i="13"/>
  <c r="AB5" i="13"/>
  <c r="Z3" i="13"/>
  <c r="W10" i="13"/>
  <c r="C33" i="13"/>
  <c r="O77" i="13" s="1"/>
  <c r="E32" i="13"/>
  <c r="Q72" i="13" s="1"/>
  <c r="M38" i="13"/>
  <c r="M37" i="13"/>
  <c r="M36" i="13"/>
  <c r="AA21" i="13"/>
  <c r="Y19" i="13"/>
  <c r="D40" i="13"/>
  <c r="N89" i="13"/>
  <c r="N36" i="13"/>
  <c r="C32" i="13"/>
  <c r="O72" i="13" s="1"/>
  <c r="N25" i="13"/>
  <c r="E26" i="13" s="1"/>
  <c r="Q62" i="13" s="1"/>
  <c r="B39" i="13"/>
  <c r="E38" i="13"/>
  <c r="E37" i="13"/>
  <c r="Q90" i="13" s="1"/>
  <c r="O38" i="13"/>
  <c r="O37" i="13"/>
  <c r="C38" i="13"/>
  <c r="I38" i="13"/>
  <c r="I37" i="13"/>
  <c r="U90" i="13" s="1"/>
  <c r="G38" i="13"/>
  <c r="G36" i="13"/>
  <c r="R36" i="13"/>
  <c r="Q38" i="13"/>
  <c r="H40" i="13" s="1"/>
  <c r="Q36" i="13"/>
  <c r="F33" i="13"/>
  <c r="R77" i="13" s="1"/>
  <c r="E25" i="13"/>
  <c r="R25" i="13"/>
  <c r="R29" i="13" s="1"/>
  <c r="I30" i="13" s="1"/>
  <c r="N91" i="13"/>
  <c r="K29" i="13"/>
  <c r="B30" i="13" s="1"/>
  <c r="E29" i="13"/>
  <c r="J38" i="13"/>
  <c r="V91" i="13" s="1"/>
  <c r="J25" i="13"/>
  <c r="V67" i="13" s="1"/>
  <c r="J37" i="13"/>
  <c r="J36" i="13"/>
  <c r="Q25" i="13"/>
  <c r="Q29" i="13" s="1"/>
  <c r="H30" i="13" s="1"/>
  <c r="G33" i="13"/>
  <c r="S77" i="13" s="1"/>
  <c r="P38" i="13"/>
  <c r="S91" i="13" s="1"/>
  <c r="P37" i="13"/>
  <c r="S90" i="13" s="1"/>
  <c r="N90" i="13"/>
  <c r="P25" i="13"/>
  <c r="P29" i="13" s="1"/>
  <c r="G30" i="13" s="1"/>
  <c r="O25" i="13"/>
  <c r="O29" i="13" s="1"/>
  <c r="F30" i="13" s="1"/>
  <c r="S38" i="13"/>
  <c r="S37" i="13"/>
  <c r="S25" i="13"/>
  <c r="S29" i="13" s="1"/>
  <c r="J30" i="13" s="1"/>
  <c r="H37" i="13"/>
  <c r="T90" i="13" s="1"/>
  <c r="G25" i="13"/>
  <c r="S67" i="13" s="1"/>
  <c r="F37" i="13"/>
  <c r="R90" i="13" s="1"/>
  <c r="R91" i="12"/>
  <c r="L37" i="12"/>
  <c r="M36" i="11"/>
  <c r="P91" i="11"/>
  <c r="R91" i="11"/>
  <c r="O90" i="11"/>
  <c r="P90" i="11"/>
  <c r="Q90" i="11"/>
  <c r="U89" i="11"/>
  <c r="O91" i="11"/>
  <c r="J33" i="11"/>
  <c r="V77" i="11" s="1"/>
  <c r="I33" i="11"/>
  <c r="U77" i="11" s="1"/>
  <c r="M36" i="12"/>
  <c r="P91" i="12"/>
  <c r="V91" i="12"/>
  <c r="P90" i="12"/>
  <c r="V90" i="12"/>
  <c r="O91" i="12"/>
  <c r="V89" i="12"/>
  <c r="I33" i="12"/>
  <c r="U77" i="12" s="1"/>
  <c r="D33" i="12"/>
  <c r="P77" i="12" s="1"/>
  <c r="J33" i="12"/>
  <c r="V77" i="12" s="1"/>
  <c r="C37" i="12"/>
  <c r="P90" i="13"/>
  <c r="I33" i="13"/>
  <c r="U77" i="13" s="1"/>
  <c r="P91" i="13"/>
  <c r="O36" i="13"/>
  <c r="P36" i="13"/>
  <c r="O91" i="13"/>
  <c r="E33" i="13"/>
  <c r="Q77" i="13" s="1"/>
  <c r="J33" i="13"/>
  <c r="V77" i="13" s="1"/>
  <c r="I36" i="13"/>
  <c r="I39" i="13" s="1"/>
  <c r="G32" i="13"/>
  <c r="S72" i="13" s="1"/>
  <c r="C37" i="13"/>
  <c r="O90" i="13" s="1"/>
  <c r="D33" i="13"/>
  <c r="P77" i="13" s="1"/>
  <c r="U91" i="13"/>
  <c r="N29" i="13"/>
  <c r="E30" i="13" s="1"/>
  <c r="E28" i="13"/>
  <c r="C25" i="13"/>
  <c r="D25" i="13"/>
  <c r="B26" i="13"/>
  <c r="N62" i="13" s="1"/>
  <c r="G29" i="13"/>
  <c r="D32" i="13"/>
  <c r="P72" i="13" s="1"/>
  <c r="C36" i="13"/>
  <c r="S36" i="13"/>
  <c r="F25" i="13"/>
  <c r="F32" i="13"/>
  <c r="R72" i="13" s="1"/>
  <c r="E36" i="13"/>
  <c r="E39" i="13" s="1"/>
  <c r="F36" i="13"/>
  <c r="N67" i="13"/>
  <c r="H25" i="13"/>
  <c r="F26" i="13"/>
  <c r="R62" i="13" s="1"/>
  <c r="H32" i="13"/>
  <c r="T72" i="13" s="1"/>
  <c r="I25" i="13"/>
  <c r="I32" i="13"/>
  <c r="U72" i="13" s="1"/>
  <c r="H36" i="13"/>
  <c r="Q67" i="13"/>
  <c r="D36" i="13"/>
  <c r="D39" i="13" s="1"/>
  <c r="I26" i="13"/>
  <c r="U62" i="13" s="1"/>
  <c r="L25" i="13"/>
  <c r="M25" i="13"/>
  <c r="Q90" i="12"/>
  <c r="Q91" i="12"/>
  <c r="S90" i="12"/>
  <c r="T90" i="12"/>
  <c r="T91" i="12"/>
  <c r="U89" i="12"/>
  <c r="U90" i="12"/>
  <c r="U91" i="12"/>
  <c r="S91" i="12"/>
  <c r="Q29" i="12"/>
  <c r="H30" i="12" s="1"/>
  <c r="H26" i="12"/>
  <c r="T62" i="12" s="1"/>
  <c r="S25" i="12"/>
  <c r="O72" i="12"/>
  <c r="D25" i="12"/>
  <c r="D32" i="12"/>
  <c r="P72" i="12" s="1"/>
  <c r="C36" i="12"/>
  <c r="O89" i="12" s="1"/>
  <c r="E25" i="12"/>
  <c r="E32" i="12"/>
  <c r="Q72" i="12" s="1"/>
  <c r="D36" i="12"/>
  <c r="P89" i="12" s="1"/>
  <c r="F25" i="12"/>
  <c r="B28" i="12"/>
  <c r="F32" i="12"/>
  <c r="R72" i="12" s="1"/>
  <c r="E36" i="12"/>
  <c r="Q89" i="12" s="1"/>
  <c r="G25" i="12"/>
  <c r="G32" i="12"/>
  <c r="S72" i="12" s="1"/>
  <c r="F36" i="12"/>
  <c r="R89" i="12" s="1"/>
  <c r="N67" i="12"/>
  <c r="H25" i="12"/>
  <c r="H32" i="12"/>
  <c r="T72" i="12" s="1"/>
  <c r="G36" i="12"/>
  <c r="S89" i="12" s="1"/>
  <c r="I25" i="12"/>
  <c r="I28" i="12" s="1"/>
  <c r="I32" i="12"/>
  <c r="U72" i="12" s="1"/>
  <c r="H36" i="12"/>
  <c r="T89" i="12" s="1"/>
  <c r="J25" i="12"/>
  <c r="J32" i="12"/>
  <c r="V72" i="12" s="1"/>
  <c r="I26" i="12"/>
  <c r="U62" i="12" s="1"/>
  <c r="L25" i="12"/>
  <c r="M25" i="12"/>
  <c r="B27" i="12"/>
  <c r="N25" i="12"/>
  <c r="O25" i="12"/>
  <c r="P25" i="12"/>
  <c r="S91" i="11"/>
  <c r="T90" i="11"/>
  <c r="T91" i="11"/>
  <c r="U90" i="11"/>
  <c r="V90" i="11"/>
  <c r="U91" i="11"/>
  <c r="V91" i="11"/>
  <c r="Q29" i="11"/>
  <c r="H30" i="11" s="1"/>
  <c r="H26" i="11"/>
  <c r="T62" i="11" s="1"/>
  <c r="S29" i="11"/>
  <c r="J30" i="11" s="1"/>
  <c r="J26" i="11"/>
  <c r="V62" i="11" s="1"/>
  <c r="D25" i="11"/>
  <c r="B26" i="11"/>
  <c r="N62" i="11" s="1"/>
  <c r="D32" i="11"/>
  <c r="P72" i="11" s="1"/>
  <c r="C36" i="11"/>
  <c r="O89" i="11" s="1"/>
  <c r="S36" i="11"/>
  <c r="V89" i="11" s="1"/>
  <c r="E25" i="11"/>
  <c r="E32" i="11"/>
  <c r="Q72" i="11" s="1"/>
  <c r="D36" i="11"/>
  <c r="P89" i="11" s="1"/>
  <c r="F25" i="11"/>
  <c r="B28" i="11"/>
  <c r="F32" i="11"/>
  <c r="R72" i="11" s="1"/>
  <c r="E36" i="11"/>
  <c r="Q89" i="11" s="1"/>
  <c r="G25" i="11"/>
  <c r="G32" i="11"/>
  <c r="S72" i="11" s="1"/>
  <c r="F36" i="11"/>
  <c r="R89" i="11" s="1"/>
  <c r="N67" i="11"/>
  <c r="H25" i="11"/>
  <c r="H32" i="11"/>
  <c r="T72" i="11" s="1"/>
  <c r="G36" i="11"/>
  <c r="S89" i="11" s="1"/>
  <c r="I25" i="11"/>
  <c r="I28" i="11" s="1"/>
  <c r="I32" i="11"/>
  <c r="U72" i="11" s="1"/>
  <c r="H36" i="11"/>
  <c r="T89" i="11" s="1"/>
  <c r="J25" i="11"/>
  <c r="J28" i="11" s="1"/>
  <c r="J32" i="11"/>
  <c r="V72" i="11" s="1"/>
  <c r="I26" i="11"/>
  <c r="U62" i="11" s="1"/>
  <c r="L25" i="11"/>
  <c r="D33" i="11"/>
  <c r="P77" i="11" s="1"/>
  <c r="M25" i="11"/>
  <c r="N25" i="11"/>
  <c r="C25" i="11"/>
  <c r="O25" i="11"/>
  <c r="P25" i="11"/>
  <c r="AC23" i="22" l="1"/>
  <c r="Z23" i="21"/>
  <c r="AC23" i="21"/>
  <c r="Y26" i="21"/>
  <c r="Y23" i="21" s="1"/>
  <c r="E39" i="22"/>
  <c r="Q89" i="22"/>
  <c r="W25" i="22"/>
  <c r="W23" i="22" s="1"/>
  <c r="U67" i="22"/>
  <c r="I29" i="22"/>
  <c r="D29" i="22"/>
  <c r="P67" i="22"/>
  <c r="D27" i="22"/>
  <c r="E29" i="22"/>
  <c r="Q67" i="22"/>
  <c r="E27" i="22"/>
  <c r="Z23" i="22"/>
  <c r="BS72" i="18" s="1" a="1"/>
  <c r="BS72" i="18" s="1"/>
  <c r="V67" i="22"/>
  <c r="J27" i="22"/>
  <c r="J29" i="22"/>
  <c r="AA23" i="22"/>
  <c r="F29" i="22"/>
  <c r="R67" i="22"/>
  <c r="X25" i="22"/>
  <c r="X23" i="22" s="1"/>
  <c r="C26" i="22"/>
  <c r="O62" i="22" s="1"/>
  <c r="L29" i="22"/>
  <c r="C30" i="22" s="1"/>
  <c r="C28" i="22"/>
  <c r="S67" i="22"/>
  <c r="G27" i="22"/>
  <c r="G29" i="22"/>
  <c r="G39" i="22"/>
  <c r="S89" i="22"/>
  <c r="F39" i="22"/>
  <c r="R89" i="22"/>
  <c r="I39" i="22"/>
  <c r="U89" i="22"/>
  <c r="H39" i="22"/>
  <c r="T89" i="22"/>
  <c r="F26" i="22"/>
  <c r="R62" i="22" s="1"/>
  <c r="O29" i="22"/>
  <c r="F30" i="22" s="1"/>
  <c r="F28" i="22"/>
  <c r="I26" i="22"/>
  <c r="U62" i="22" s="1"/>
  <c r="R29" i="22"/>
  <c r="I30" i="22" s="1"/>
  <c r="I28" i="22"/>
  <c r="N57" i="22"/>
  <c r="B31" i="22"/>
  <c r="T67" i="22"/>
  <c r="H29" i="22"/>
  <c r="Y23" i="22"/>
  <c r="J39" i="22"/>
  <c r="V89" i="22"/>
  <c r="Q29" i="22"/>
  <c r="H30" i="22" s="1"/>
  <c r="H28" i="22"/>
  <c r="H26" i="22"/>
  <c r="T62" i="22" s="1"/>
  <c r="G26" i="22"/>
  <c r="S62" i="22" s="1"/>
  <c r="P29" i="22"/>
  <c r="G30" i="22" s="1"/>
  <c r="G28" i="22"/>
  <c r="C29" i="22"/>
  <c r="O67" i="22"/>
  <c r="O89" i="22"/>
  <c r="C39" i="22"/>
  <c r="T67" i="21"/>
  <c r="H29" i="21"/>
  <c r="J39" i="21"/>
  <c r="V89" i="21"/>
  <c r="R29" i="21"/>
  <c r="I30" i="21" s="1"/>
  <c r="I28" i="21"/>
  <c r="I26" i="21"/>
  <c r="U62" i="21" s="1"/>
  <c r="E39" i="21"/>
  <c r="Q89" i="21"/>
  <c r="U67" i="21"/>
  <c r="I29" i="21"/>
  <c r="D29" i="21"/>
  <c r="P67" i="21"/>
  <c r="B27" i="21"/>
  <c r="D26" i="21"/>
  <c r="P62" i="21" s="1"/>
  <c r="M29" i="21"/>
  <c r="D30" i="21" s="1"/>
  <c r="D28" i="21"/>
  <c r="G39" i="21"/>
  <c r="S89" i="21"/>
  <c r="G26" i="21"/>
  <c r="S62" i="21" s="1"/>
  <c r="P29" i="21"/>
  <c r="G30" i="21" s="1"/>
  <c r="G28" i="21"/>
  <c r="C29" i="21"/>
  <c r="O67" i="21"/>
  <c r="C27" i="21"/>
  <c r="F39" i="21"/>
  <c r="R89" i="21"/>
  <c r="W25" i="21"/>
  <c r="W23" i="21" s="1"/>
  <c r="E29" i="21"/>
  <c r="Q67" i="21"/>
  <c r="E27" i="21"/>
  <c r="O89" i="21"/>
  <c r="C39" i="21"/>
  <c r="C28" i="21"/>
  <c r="F26" i="21"/>
  <c r="R62" i="21" s="1"/>
  <c r="O29" i="21"/>
  <c r="F30" i="21" s="1"/>
  <c r="F28" i="21"/>
  <c r="Q29" i="21"/>
  <c r="H30" i="21" s="1"/>
  <c r="H28" i="21"/>
  <c r="H26" i="21"/>
  <c r="T62" i="21" s="1"/>
  <c r="V67" i="21"/>
  <c r="J27" i="21"/>
  <c r="J29" i="21"/>
  <c r="AA27" i="21"/>
  <c r="AA23" i="21" s="1"/>
  <c r="F29" i="21"/>
  <c r="R67" i="21"/>
  <c r="S67" i="21"/>
  <c r="G29" i="21"/>
  <c r="AD23" i="21"/>
  <c r="I40" i="21"/>
  <c r="I39" i="21"/>
  <c r="U89" i="21"/>
  <c r="X25" i="21"/>
  <c r="X23" i="21" s="1"/>
  <c r="J28" i="21"/>
  <c r="H39" i="21"/>
  <c r="T89" i="21"/>
  <c r="AB23" i="20"/>
  <c r="Y23" i="20"/>
  <c r="J39" i="20"/>
  <c r="V89" i="20"/>
  <c r="D26" i="20"/>
  <c r="P62" i="20" s="1"/>
  <c r="M29" i="20"/>
  <c r="D30" i="20" s="1"/>
  <c r="D28" i="20"/>
  <c r="C29" i="20"/>
  <c r="O67" i="20"/>
  <c r="AC23" i="20"/>
  <c r="D29" i="20"/>
  <c r="P67" i="20"/>
  <c r="Z23" i="20"/>
  <c r="AD23" i="20"/>
  <c r="X25" i="20"/>
  <c r="X23" i="20" s="1"/>
  <c r="AA23" i="20"/>
  <c r="T67" i="20"/>
  <c r="H29" i="20"/>
  <c r="E29" i="20"/>
  <c r="Q67" i="20"/>
  <c r="U67" i="20"/>
  <c r="I29" i="20"/>
  <c r="N62" i="20"/>
  <c r="B27" i="20"/>
  <c r="F29" i="20"/>
  <c r="R67" i="20"/>
  <c r="G39" i="20"/>
  <c r="S89" i="20"/>
  <c r="E39" i="20"/>
  <c r="Q89" i="20"/>
  <c r="O89" i="20"/>
  <c r="C39" i="20"/>
  <c r="H39" i="20"/>
  <c r="T89" i="20"/>
  <c r="F39" i="20"/>
  <c r="R89" i="20"/>
  <c r="S67" i="20"/>
  <c r="G29" i="20"/>
  <c r="I39" i="20"/>
  <c r="U89" i="20"/>
  <c r="E26" i="20"/>
  <c r="Q62" i="20" s="1"/>
  <c r="N29" i="20"/>
  <c r="E30" i="20" s="1"/>
  <c r="E28" i="20"/>
  <c r="C26" i="20"/>
  <c r="O62" i="20" s="1"/>
  <c r="L29" i="20"/>
  <c r="C30" i="20" s="1"/>
  <c r="C28" i="20"/>
  <c r="Q29" i="20"/>
  <c r="H30" i="20" s="1"/>
  <c r="H28" i="20"/>
  <c r="H26" i="20"/>
  <c r="T62" i="20" s="1"/>
  <c r="G26" i="20"/>
  <c r="S62" i="20" s="1"/>
  <c r="P29" i="20"/>
  <c r="G30" i="20" s="1"/>
  <c r="G28" i="20"/>
  <c r="F26" i="20"/>
  <c r="R62" i="20" s="1"/>
  <c r="O29" i="20"/>
  <c r="F30" i="20" s="1"/>
  <c r="F28" i="20"/>
  <c r="P89" i="20"/>
  <c r="D39" i="20"/>
  <c r="V67" i="20"/>
  <c r="J27" i="20"/>
  <c r="J29" i="20"/>
  <c r="R29" i="20"/>
  <c r="I30" i="20" s="1"/>
  <c r="I28" i="20"/>
  <c r="I26" i="20"/>
  <c r="U62" i="20" s="1"/>
  <c r="T91" i="13"/>
  <c r="J28" i="13"/>
  <c r="J39" i="13"/>
  <c r="J29" i="13"/>
  <c r="V90" i="13"/>
  <c r="C39" i="13"/>
  <c r="AL72" i="18" s="1" a="1"/>
  <c r="AL72" i="18" s="1"/>
  <c r="F40" i="13"/>
  <c r="J26" i="13"/>
  <c r="J27" i="13" s="1"/>
  <c r="C40" i="13"/>
  <c r="H39" i="13"/>
  <c r="G39" i="13"/>
  <c r="G40" i="13"/>
  <c r="Q91" i="13"/>
  <c r="E40" i="13"/>
  <c r="G26" i="13"/>
  <c r="S62" i="13" s="1"/>
  <c r="J40" i="13"/>
  <c r="S89" i="13"/>
  <c r="AA72" i="18" a="1"/>
  <c r="AA72" i="18" s="1"/>
  <c r="R91" i="13"/>
  <c r="I40" i="13"/>
  <c r="F39" i="13"/>
  <c r="Q89" i="13"/>
  <c r="H26" i="13"/>
  <c r="T62" i="13" s="1"/>
  <c r="G28" i="13"/>
  <c r="V89" i="13"/>
  <c r="O89" i="13"/>
  <c r="P89" i="13"/>
  <c r="T89" i="13"/>
  <c r="O72" i="18" a="1"/>
  <c r="O72" i="18" s="1"/>
  <c r="U89" i="13"/>
  <c r="O90" i="12"/>
  <c r="R89" i="13"/>
  <c r="D29" i="13"/>
  <c r="P67" i="13"/>
  <c r="U67" i="13"/>
  <c r="I29" i="13"/>
  <c r="I27" i="13"/>
  <c r="C29" i="13"/>
  <c r="O67" i="13"/>
  <c r="I28" i="13"/>
  <c r="T67" i="13"/>
  <c r="H29" i="13"/>
  <c r="H27" i="13"/>
  <c r="B27" i="13"/>
  <c r="M29" i="13"/>
  <c r="D30" i="13" s="1"/>
  <c r="D28" i="13"/>
  <c r="D26" i="13"/>
  <c r="P62" i="13" s="1"/>
  <c r="C26" i="13"/>
  <c r="O62" i="13" s="1"/>
  <c r="L29" i="13"/>
  <c r="C30" i="13" s="1"/>
  <c r="C28" i="13"/>
  <c r="F27" i="13"/>
  <c r="R67" i="13"/>
  <c r="F29" i="13"/>
  <c r="E27" i="13"/>
  <c r="H28" i="13"/>
  <c r="F28" i="13"/>
  <c r="D29" i="12"/>
  <c r="P67" i="12"/>
  <c r="T67" i="12"/>
  <c r="H29" i="12"/>
  <c r="H27" i="12"/>
  <c r="S29" i="12"/>
  <c r="J30" i="12" s="1"/>
  <c r="J28" i="12"/>
  <c r="J26" i="12"/>
  <c r="V62" i="12" s="1"/>
  <c r="P29" i="12"/>
  <c r="G30" i="12" s="1"/>
  <c r="G28" i="12"/>
  <c r="G26" i="12"/>
  <c r="S62" i="12" s="1"/>
  <c r="C29" i="12"/>
  <c r="O67" i="12"/>
  <c r="O29" i="12"/>
  <c r="F30" i="12" s="1"/>
  <c r="F28" i="12"/>
  <c r="F26" i="12"/>
  <c r="R62" i="12" s="1"/>
  <c r="N29" i="12"/>
  <c r="E30" i="12" s="1"/>
  <c r="E28" i="12"/>
  <c r="E26" i="12"/>
  <c r="Q62" i="12" s="1"/>
  <c r="H28" i="12"/>
  <c r="S67" i="12"/>
  <c r="G27" i="12"/>
  <c r="G29" i="12"/>
  <c r="B31" i="12"/>
  <c r="N57" i="12"/>
  <c r="M29" i="12"/>
  <c r="D30" i="12" s="1"/>
  <c r="D28" i="12"/>
  <c r="D26" i="12"/>
  <c r="P62" i="12" s="1"/>
  <c r="L29" i="12"/>
  <c r="C30" i="12" s="1"/>
  <c r="C28" i="12"/>
  <c r="C26" i="12"/>
  <c r="O62" i="12" s="1"/>
  <c r="R67" i="12"/>
  <c r="F29" i="12"/>
  <c r="V67" i="12"/>
  <c r="J29" i="12"/>
  <c r="E29" i="12"/>
  <c r="Q67" i="12"/>
  <c r="U67" i="12"/>
  <c r="I29" i="12"/>
  <c r="I27" i="12"/>
  <c r="O29" i="11"/>
  <c r="F30" i="11" s="1"/>
  <c r="F28" i="11"/>
  <c r="F26" i="11"/>
  <c r="R62" i="11" s="1"/>
  <c r="H27" i="11"/>
  <c r="T67" i="11"/>
  <c r="H29" i="11"/>
  <c r="D29" i="11"/>
  <c r="P67" i="11"/>
  <c r="C29" i="11"/>
  <c r="O67" i="11"/>
  <c r="P29" i="11"/>
  <c r="G30" i="11" s="1"/>
  <c r="G28" i="11"/>
  <c r="G26" i="11"/>
  <c r="S62" i="11" s="1"/>
  <c r="N29" i="11"/>
  <c r="E30" i="11" s="1"/>
  <c r="E28" i="11"/>
  <c r="E26" i="11"/>
  <c r="Q62" i="11" s="1"/>
  <c r="B27" i="11"/>
  <c r="S67" i="11"/>
  <c r="G29" i="11"/>
  <c r="M29" i="11"/>
  <c r="D30" i="11" s="1"/>
  <c r="D28" i="11"/>
  <c r="D26" i="11"/>
  <c r="P62" i="11" s="1"/>
  <c r="H28" i="11"/>
  <c r="L29" i="11"/>
  <c r="C30" i="11" s="1"/>
  <c r="C28" i="11"/>
  <c r="C26" i="11"/>
  <c r="O62" i="11" s="1"/>
  <c r="F27" i="11"/>
  <c r="F29" i="11"/>
  <c r="R67" i="11"/>
  <c r="V67" i="11"/>
  <c r="J29" i="11"/>
  <c r="J27" i="11"/>
  <c r="E29" i="11"/>
  <c r="Q67" i="11"/>
  <c r="U67" i="11"/>
  <c r="I29" i="11"/>
  <c r="I27" i="11"/>
  <c r="BR72" i="18" l="1" a="1"/>
  <c r="BR72" i="18" s="1"/>
  <c r="BQ72" i="18" a="1"/>
  <c r="BQ72" i="18" s="1"/>
  <c r="C27" i="22"/>
  <c r="O57" i="22" s="1"/>
  <c r="H27" i="21"/>
  <c r="T57" i="21" s="1"/>
  <c r="F27" i="21"/>
  <c r="H27" i="22"/>
  <c r="V57" i="22"/>
  <c r="J31" i="22"/>
  <c r="Q57" i="22"/>
  <c r="E31" i="22"/>
  <c r="S57" i="22"/>
  <c r="G31" i="22"/>
  <c r="P57" i="22"/>
  <c r="D31" i="22"/>
  <c r="I27" i="22"/>
  <c r="F27" i="22"/>
  <c r="H31" i="21"/>
  <c r="V57" i="21"/>
  <c r="J31" i="21"/>
  <c r="R57" i="21"/>
  <c r="F31" i="21"/>
  <c r="O57" i="21"/>
  <c r="C31" i="21"/>
  <c r="I27" i="21"/>
  <c r="N57" i="21"/>
  <c r="B31" i="21"/>
  <c r="Q57" i="21"/>
  <c r="E31" i="21"/>
  <c r="D27" i="21"/>
  <c r="G27" i="21"/>
  <c r="H27" i="20"/>
  <c r="T57" i="20" s="1"/>
  <c r="G27" i="20"/>
  <c r="S57" i="20" s="1"/>
  <c r="V57" i="20"/>
  <c r="J31" i="20"/>
  <c r="F27" i="20"/>
  <c r="D27" i="20"/>
  <c r="N57" i="20"/>
  <c r="B31" i="20"/>
  <c r="I27" i="20"/>
  <c r="C27" i="20"/>
  <c r="E27" i="20"/>
  <c r="V62" i="13"/>
  <c r="AX72" i="18" a="1"/>
  <c r="AX72" i="18" s="1"/>
  <c r="G27" i="13"/>
  <c r="E27" i="11"/>
  <c r="E31" i="11" s="1"/>
  <c r="F27" i="12"/>
  <c r="F31" i="12" s="1"/>
  <c r="E27" i="12"/>
  <c r="E31" i="12" s="1"/>
  <c r="C27" i="13"/>
  <c r="E31" i="13"/>
  <c r="Q57" i="13"/>
  <c r="F31" i="13"/>
  <c r="R57" i="13"/>
  <c r="I31" i="13"/>
  <c r="U57" i="13"/>
  <c r="H31" i="13"/>
  <c r="T57" i="13"/>
  <c r="V57" i="13"/>
  <c r="J31" i="13"/>
  <c r="G31" i="13"/>
  <c r="S57" i="13"/>
  <c r="B31" i="13"/>
  <c r="N57" i="13"/>
  <c r="D27" i="13"/>
  <c r="I31" i="12"/>
  <c r="U57" i="12"/>
  <c r="C27" i="12"/>
  <c r="D72" i="18" s="1" a="1"/>
  <c r="D72" i="18" s="1"/>
  <c r="H31" i="12"/>
  <c r="T57" i="12"/>
  <c r="G31" i="12"/>
  <c r="S57" i="12"/>
  <c r="J27" i="12"/>
  <c r="D27" i="12"/>
  <c r="F31" i="11"/>
  <c r="R57" i="11"/>
  <c r="C27" i="11"/>
  <c r="I31" i="11"/>
  <c r="U57" i="11"/>
  <c r="D27" i="11"/>
  <c r="V57" i="11"/>
  <c r="J31" i="11"/>
  <c r="B31" i="11"/>
  <c r="N57" i="11"/>
  <c r="G27" i="11"/>
  <c r="H31" i="11"/>
  <c r="T57" i="11"/>
  <c r="L3" i="10"/>
  <c r="M3" i="10"/>
  <c r="N3" i="10"/>
  <c r="O3" i="10"/>
  <c r="P3" i="10"/>
  <c r="P25" i="10" s="1"/>
  <c r="Q3" i="10"/>
  <c r="R3" i="10"/>
  <c r="S3" i="10"/>
  <c r="L4" i="10"/>
  <c r="M4" i="10"/>
  <c r="M36" i="10" s="1"/>
  <c r="N4" i="10"/>
  <c r="O4" i="10"/>
  <c r="P4" i="10"/>
  <c r="Q4" i="10"/>
  <c r="R4" i="10"/>
  <c r="S4" i="10"/>
  <c r="S36" i="10" s="1"/>
  <c r="L5" i="10"/>
  <c r="M5" i="10"/>
  <c r="N5" i="10"/>
  <c r="O5" i="10"/>
  <c r="P5" i="10"/>
  <c r="P37" i="10" s="1"/>
  <c r="Q5" i="10"/>
  <c r="R5" i="10"/>
  <c r="S5" i="10"/>
  <c r="S37" i="10" s="1"/>
  <c r="L6" i="10"/>
  <c r="M6" i="10"/>
  <c r="M37" i="10" s="1"/>
  <c r="N6" i="10"/>
  <c r="O6" i="10"/>
  <c r="P6" i="10"/>
  <c r="Q6" i="10"/>
  <c r="R6" i="10"/>
  <c r="S6" i="10"/>
  <c r="L7" i="10"/>
  <c r="M7" i="10"/>
  <c r="N7" i="10"/>
  <c r="O7" i="10"/>
  <c r="P7" i="10"/>
  <c r="Q7" i="10"/>
  <c r="R7" i="10"/>
  <c r="S7" i="10"/>
  <c r="L8" i="10"/>
  <c r="M8" i="10"/>
  <c r="N8" i="10"/>
  <c r="O8" i="10"/>
  <c r="P8" i="10"/>
  <c r="Q8" i="10"/>
  <c r="R8" i="10"/>
  <c r="S8" i="10"/>
  <c r="L9" i="10"/>
  <c r="M9" i="10"/>
  <c r="N9" i="10"/>
  <c r="O9" i="10"/>
  <c r="P9" i="10"/>
  <c r="Q9" i="10"/>
  <c r="R9" i="10"/>
  <c r="S9" i="10"/>
  <c r="L10" i="10"/>
  <c r="M10" i="10"/>
  <c r="N10" i="10"/>
  <c r="O10" i="10"/>
  <c r="P10" i="10"/>
  <c r="Q10" i="10"/>
  <c r="Q37" i="10" s="1"/>
  <c r="R10" i="10"/>
  <c r="S10" i="10"/>
  <c r="L11" i="10"/>
  <c r="M11" i="10"/>
  <c r="N11" i="10"/>
  <c r="O11" i="10"/>
  <c r="P11" i="10"/>
  <c r="Q11" i="10"/>
  <c r="R11" i="10"/>
  <c r="S11" i="10"/>
  <c r="L12" i="10"/>
  <c r="M12" i="10"/>
  <c r="N12" i="10"/>
  <c r="O12" i="10"/>
  <c r="P12" i="10"/>
  <c r="Q12" i="10"/>
  <c r="R12" i="10"/>
  <c r="S12" i="10"/>
  <c r="L13" i="10"/>
  <c r="M13" i="10"/>
  <c r="N13" i="10"/>
  <c r="O13" i="10"/>
  <c r="P13" i="10"/>
  <c r="Q13" i="10"/>
  <c r="R13" i="10"/>
  <c r="S13" i="10"/>
  <c r="L14" i="10"/>
  <c r="M14" i="10"/>
  <c r="N14" i="10"/>
  <c r="O14" i="10"/>
  <c r="P14" i="10"/>
  <c r="Q14" i="10"/>
  <c r="R14" i="10"/>
  <c r="S14" i="10"/>
  <c r="L15" i="10"/>
  <c r="M15" i="10"/>
  <c r="N15" i="10"/>
  <c r="N38" i="10" s="1"/>
  <c r="O15" i="10"/>
  <c r="O38" i="10" s="1"/>
  <c r="P15" i="10"/>
  <c r="Q15" i="10"/>
  <c r="Q38" i="10" s="1"/>
  <c r="R15" i="10"/>
  <c r="S15" i="10"/>
  <c r="S38" i="10" s="1"/>
  <c r="L16" i="10"/>
  <c r="M16" i="10"/>
  <c r="M38" i="10" s="1"/>
  <c r="N16" i="10"/>
  <c r="O16" i="10"/>
  <c r="P16" i="10"/>
  <c r="Q16" i="10"/>
  <c r="R16" i="10"/>
  <c r="S16" i="10"/>
  <c r="L17" i="10"/>
  <c r="M17" i="10"/>
  <c r="N17" i="10"/>
  <c r="O17" i="10"/>
  <c r="P17" i="10"/>
  <c r="Q17" i="10"/>
  <c r="R17" i="10"/>
  <c r="S17" i="10"/>
  <c r="L18" i="10"/>
  <c r="M18" i="10"/>
  <c r="N18" i="10"/>
  <c r="O18" i="10"/>
  <c r="P18" i="10"/>
  <c r="Q18" i="10"/>
  <c r="R18" i="10"/>
  <c r="S18" i="10"/>
  <c r="L19" i="10"/>
  <c r="M19" i="10"/>
  <c r="N19" i="10"/>
  <c r="O19" i="10"/>
  <c r="P19" i="10"/>
  <c r="Q19" i="10"/>
  <c r="R19" i="10"/>
  <c r="S19" i="10"/>
  <c r="L20" i="10"/>
  <c r="M20" i="10"/>
  <c r="N20" i="10"/>
  <c r="O20" i="10"/>
  <c r="P20" i="10"/>
  <c r="Q20" i="10"/>
  <c r="R20" i="10"/>
  <c r="S20" i="10"/>
  <c r="L21" i="10"/>
  <c r="M21" i="10"/>
  <c r="N21" i="10"/>
  <c r="O21" i="10"/>
  <c r="P21" i="10"/>
  <c r="Q21" i="10"/>
  <c r="R21" i="10"/>
  <c r="S21" i="10"/>
  <c r="L22" i="10"/>
  <c r="M22" i="10"/>
  <c r="N22" i="10"/>
  <c r="O22" i="10"/>
  <c r="P22" i="10"/>
  <c r="Q22" i="10"/>
  <c r="R22" i="10"/>
  <c r="S22" i="10"/>
  <c r="M2" i="10"/>
  <c r="N2" i="10"/>
  <c r="O2" i="10"/>
  <c r="P2" i="10"/>
  <c r="Q2" i="10"/>
  <c r="Q36" i="10" s="1"/>
  <c r="R2" i="10"/>
  <c r="R36" i="10" s="1"/>
  <c r="S2" i="10"/>
  <c r="L2" i="10"/>
  <c r="L36" i="10" s="1"/>
  <c r="L37" i="10"/>
  <c r="C33" i="10"/>
  <c r="O77" i="10" s="1"/>
  <c r="L38" i="10"/>
  <c r="C3" i="10"/>
  <c r="D3" i="10"/>
  <c r="E3" i="10"/>
  <c r="F3" i="10"/>
  <c r="G3" i="10"/>
  <c r="H3" i="10"/>
  <c r="I3" i="10"/>
  <c r="J3" i="10"/>
  <c r="C4" i="10"/>
  <c r="D4" i="10"/>
  <c r="E4" i="10"/>
  <c r="F4" i="10"/>
  <c r="G4" i="10"/>
  <c r="H4" i="10"/>
  <c r="I4" i="10"/>
  <c r="J4" i="10"/>
  <c r="C5" i="10"/>
  <c r="D5" i="10"/>
  <c r="D37" i="10" s="1"/>
  <c r="E5" i="10"/>
  <c r="F5" i="10"/>
  <c r="G5" i="10"/>
  <c r="G37" i="10" s="1"/>
  <c r="H5" i="10"/>
  <c r="H37" i="10" s="1"/>
  <c r="I5" i="10"/>
  <c r="J5" i="10"/>
  <c r="C6" i="10"/>
  <c r="D6" i="10"/>
  <c r="E6" i="10"/>
  <c r="F6" i="10"/>
  <c r="G6" i="10"/>
  <c r="H6" i="10"/>
  <c r="I6" i="10"/>
  <c r="J6" i="10"/>
  <c r="J37" i="10" s="1"/>
  <c r="C7" i="10"/>
  <c r="D7" i="10"/>
  <c r="E7" i="10"/>
  <c r="F7" i="10"/>
  <c r="G7" i="10"/>
  <c r="H7" i="10"/>
  <c r="I7" i="10"/>
  <c r="J7" i="10"/>
  <c r="C8" i="10"/>
  <c r="D8" i="10"/>
  <c r="E8" i="10"/>
  <c r="F8" i="10"/>
  <c r="G8" i="10"/>
  <c r="H8" i="10"/>
  <c r="I8" i="10"/>
  <c r="J8" i="10"/>
  <c r="C9" i="10"/>
  <c r="D9" i="10"/>
  <c r="E9" i="10"/>
  <c r="F9" i="10"/>
  <c r="G9" i="10"/>
  <c r="H9" i="10"/>
  <c r="I9" i="10"/>
  <c r="J9" i="10"/>
  <c r="C10" i="10"/>
  <c r="D10" i="10"/>
  <c r="E10" i="10"/>
  <c r="F10" i="10"/>
  <c r="G10" i="10"/>
  <c r="H10" i="10"/>
  <c r="I10" i="10"/>
  <c r="J10" i="10"/>
  <c r="C11" i="10"/>
  <c r="D11" i="10"/>
  <c r="E11" i="10"/>
  <c r="F11" i="10"/>
  <c r="G11" i="10"/>
  <c r="H11" i="10"/>
  <c r="I11" i="10"/>
  <c r="J11" i="10"/>
  <c r="C12" i="10"/>
  <c r="D12" i="10"/>
  <c r="E12" i="10"/>
  <c r="F12" i="10"/>
  <c r="G12" i="10"/>
  <c r="H12" i="10"/>
  <c r="I12" i="10"/>
  <c r="J12" i="10"/>
  <c r="C13" i="10"/>
  <c r="D13" i="10"/>
  <c r="E13" i="10"/>
  <c r="F13" i="10"/>
  <c r="G13" i="10"/>
  <c r="H13" i="10"/>
  <c r="I13" i="10"/>
  <c r="J13" i="10"/>
  <c r="C14" i="10"/>
  <c r="D14" i="10"/>
  <c r="E14" i="10"/>
  <c r="F14" i="10"/>
  <c r="G14" i="10"/>
  <c r="H14" i="10"/>
  <c r="I14" i="10"/>
  <c r="J14" i="10"/>
  <c r="C15" i="10"/>
  <c r="D15" i="10"/>
  <c r="D38" i="10" s="1"/>
  <c r="E15" i="10"/>
  <c r="F15" i="10"/>
  <c r="G15" i="10"/>
  <c r="G38" i="10" s="1"/>
  <c r="H15" i="10"/>
  <c r="I15" i="10"/>
  <c r="J15" i="10"/>
  <c r="J38" i="10" s="1"/>
  <c r="C16" i="10"/>
  <c r="D16" i="10"/>
  <c r="E16" i="10"/>
  <c r="F16" i="10"/>
  <c r="G16" i="10"/>
  <c r="H16" i="10"/>
  <c r="I16" i="10"/>
  <c r="J16" i="10"/>
  <c r="C17" i="10"/>
  <c r="D17" i="10"/>
  <c r="E17" i="10"/>
  <c r="F17" i="10"/>
  <c r="G17" i="10"/>
  <c r="H17" i="10"/>
  <c r="I17" i="10"/>
  <c r="J17" i="10"/>
  <c r="C18" i="10"/>
  <c r="D18" i="10"/>
  <c r="E18" i="10"/>
  <c r="F18" i="10"/>
  <c r="G18" i="10"/>
  <c r="H18" i="10"/>
  <c r="I18" i="10"/>
  <c r="J18" i="10"/>
  <c r="C19" i="10"/>
  <c r="D19" i="10"/>
  <c r="E19" i="10"/>
  <c r="F19" i="10"/>
  <c r="G19" i="10"/>
  <c r="H19" i="10"/>
  <c r="I19" i="10"/>
  <c r="J19" i="10"/>
  <c r="C20" i="10"/>
  <c r="D20" i="10"/>
  <c r="E20" i="10"/>
  <c r="F20" i="10"/>
  <c r="G20" i="10"/>
  <c r="H20" i="10"/>
  <c r="I20" i="10"/>
  <c r="J20" i="10"/>
  <c r="C21" i="10"/>
  <c r="D21" i="10"/>
  <c r="E21" i="10"/>
  <c r="F21" i="10"/>
  <c r="G21" i="10"/>
  <c r="H21" i="10"/>
  <c r="I21" i="10"/>
  <c r="J21" i="10"/>
  <c r="C22" i="10"/>
  <c r="D22" i="10"/>
  <c r="E22" i="10"/>
  <c r="F22" i="10"/>
  <c r="G22" i="10"/>
  <c r="H22" i="10"/>
  <c r="I22" i="10"/>
  <c r="J22" i="10"/>
  <c r="D2" i="10"/>
  <c r="E2" i="10"/>
  <c r="F2" i="10"/>
  <c r="G2" i="10"/>
  <c r="H2" i="10"/>
  <c r="I2" i="10"/>
  <c r="I36" i="10" s="1"/>
  <c r="J2" i="10"/>
  <c r="C2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V78" i="10"/>
  <c r="U78" i="10"/>
  <c r="T78" i="10"/>
  <c r="S78" i="10"/>
  <c r="R78" i="10"/>
  <c r="Q78" i="10"/>
  <c r="P78" i="10"/>
  <c r="O78" i="10"/>
  <c r="N78" i="10"/>
  <c r="N77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V73" i="10"/>
  <c r="U73" i="10"/>
  <c r="T73" i="10"/>
  <c r="S73" i="10"/>
  <c r="R73" i="10"/>
  <c r="Q73" i="10"/>
  <c r="P73" i="10"/>
  <c r="O73" i="10"/>
  <c r="N73" i="10"/>
  <c r="N72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V68" i="10"/>
  <c r="U68" i="10"/>
  <c r="T68" i="10"/>
  <c r="S68" i="10"/>
  <c r="R68" i="10"/>
  <c r="Q68" i="10"/>
  <c r="P68" i="10"/>
  <c r="O68" i="10"/>
  <c r="N68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V63" i="10"/>
  <c r="U63" i="10"/>
  <c r="T63" i="10"/>
  <c r="S63" i="10"/>
  <c r="R63" i="10"/>
  <c r="Q63" i="10"/>
  <c r="P63" i="10"/>
  <c r="O63" i="10"/>
  <c r="N63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V58" i="10"/>
  <c r="U58" i="10"/>
  <c r="T58" i="10"/>
  <c r="S58" i="10"/>
  <c r="R58" i="10"/>
  <c r="Q58" i="10"/>
  <c r="P58" i="10"/>
  <c r="O58" i="10"/>
  <c r="N58" i="10"/>
  <c r="K38" i="10"/>
  <c r="B38" i="10"/>
  <c r="N91" i="10" s="1"/>
  <c r="O37" i="10"/>
  <c r="N37" i="10"/>
  <c r="K37" i="10"/>
  <c r="B37" i="10"/>
  <c r="N90" i="10" s="1"/>
  <c r="P36" i="10"/>
  <c r="K36" i="10"/>
  <c r="B36" i="10"/>
  <c r="N89" i="10" s="1"/>
  <c r="B26" i="10"/>
  <c r="N62" i="10" s="1"/>
  <c r="Q25" i="10"/>
  <c r="Q29" i="10" s="1"/>
  <c r="H30" i="10" s="1"/>
  <c r="K25" i="10"/>
  <c r="K29" i="10" s="1"/>
  <c r="B30" i="10" s="1"/>
  <c r="B25" i="10"/>
  <c r="B29" i="10" s="1"/>
  <c r="R38" i="10"/>
  <c r="P38" i="10"/>
  <c r="I38" i="10"/>
  <c r="H38" i="10"/>
  <c r="F38" i="10"/>
  <c r="E38" i="10"/>
  <c r="C38" i="10"/>
  <c r="R37" i="10"/>
  <c r="I37" i="10"/>
  <c r="F37" i="10"/>
  <c r="R90" i="10" s="1"/>
  <c r="E37" i="10"/>
  <c r="N36" i="10"/>
  <c r="J36" i="10"/>
  <c r="H36" i="10"/>
  <c r="H33" i="10"/>
  <c r="T77" i="10" s="1"/>
  <c r="L3" i="1"/>
  <c r="M3" i="1"/>
  <c r="N3" i="1"/>
  <c r="O3" i="1"/>
  <c r="P3" i="1"/>
  <c r="Q3" i="1"/>
  <c r="R3" i="1"/>
  <c r="S3" i="1"/>
  <c r="L4" i="1"/>
  <c r="M4" i="1"/>
  <c r="N4" i="1"/>
  <c r="O4" i="1"/>
  <c r="P4" i="1"/>
  <c r="Q4" i="1"/>
  <c r="R4" i="1"/>
  <c r="S4" i="1"/>
  <c r="L5" i="1"/>
  <c r="M5" i="1"/>
  <c r="N5" i="1"/>
  <c r="O5" i="1"/>
  <c r="P5" i="1"/>
  <c r="Q5" i="1"/>
  <c r="R5" i="1"/>
  <c r="S5" i="1"/>
  <c r="L6" i="1"/>
  <c r="M6" i="1"/>
  <c r="N6" i="1"/>
  <c r="O6" i="1"/>
  <c r="P6" i="1"/>
  <c r="Q6" i="1"/>
  <c r="R6" i="1"/>
  <c r="S6" i="1"/>
  <c r="L7" i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L10" i="1"/>
  <c r="M10" i="1"/>
  <c r="N10" i="1"/>
  <c r="O10" i="1"/>
  <c r="P10" i="1"/>
  <c r="Q10" i="1"/>
  <c r="R10" i="1"/>
  <c r="S10" i="1"/>
  <c r="L11" i="1"/>
  <c r="M11" i="1"/>
  <c r="N11" i="1"/>
  <c r="O11" i="1"/>
  <c r="P11" i="1"/>
  <c r="Q11" i="1"/>
  <c r="R11" i="1"/>
  <c r="S11" i="1"/>
  <c r="L12" i="1"/>
  <c r="M12" i="1"/>
  <c r="N12" i="1"/>
  <c r="O12" i="1"/>
  <c r="P12" i="1"/>
  <c r="Q12" i="1"/>
  <c r="R12" i="1"/>
  <c r="S12" i="1"/>
  <c r="L13" i="1"/>
  <c r="M13" i="1"/>
  <c r="N13" i="1"/>
  <c r="O13" i="1"/>
  <c r="P13" i="1"/>
  <c r="Q13" i="1"/>
  <c r="R13" i="1"/>
  <c r="S13" i="1"/>
  <c r="L14" i="1"/>
  <c r="M14" i="1"/>
  <c r="N14" i="1"/>
  <c r="O14" i="1"/>
  <c r="P14" i="1"/>
  <c r="Q14" i="1"/>
  <c r="R14" i="1"/>
  <c r="S14" i="1"/>
  <c r="L15" i="1"/>
  <c r="M15" i="1"/>
  <c r="N15" i="1"/>
  <c r="O15" i="1"/>
  <c r="P15" i="1"/>
  <c r="Q15" i="1"/>
  <c r="R15" i="1"/>
  <c r="S15" i="1"/>
  <c r="L16" i="1"/>
  <c r="M16" i="1"/>
  <c r="N16" i="1"/>
  <c r="O16" i="1"/>
  <c r="P16" i="1"/>
  <c r="Q16" i="1"/>
  <c r="R16" i="1"/>
  <c r="S16" i="1"/>
  <c r="L17" i="1"/>
  <c r="M17" i="1"/>
  <c r="N17" i="1"/>
  <c r="O17" i="1"/>
  <c r="P17" i="1"/>
  <c r="Q17" i="1"/>
  <c r="R17" i="1"/>
  <c r="S17" i="1"/>
  <c r="L18" i="1"/>
  <c r="M18" i="1"/>
  <c r="N18" i="1"/>
  <c r="O18" i="1"/>
  <c r="P18" i="1"/>
  <c r="Q18" i="1"/>
  <c r="R18" i="1"/>
  <c r="S18" i="1"/>
  <c r="L19" i="1"/>
  <c r="M19" i="1"/>
  <c r="N19" i="1"/>
  <c r="O19" i="1"/>
  <c r="P19" i="1"/>
  <c r="Q19" i="1"/>
  <c r="R19" i="1"/>
  <c r="S19" i="1"/>
  <c r="L20" i="1"/>
  <c r="M20" i="1"/>
  <c r="N20" i="1"/>
  <c r="O20" i="1"/>
  <c r="P20" i="1"/>
  <c r="Q20" i="1"/>
  <c r="R20" i="1"/>
  <c r="S20" i="1"/>
  <c r="L21" i="1"/>
  <c r="M21" i="1"/>
  <c r="N21" i="1"/>
  <c r="O21" i="1"/>
  <c r="P21" i="1"/>
  <c r="Q21" i="1"/>
  <c r="R21" i="1"/>
  <c r="S21" i="1"/>
  <c r="L22" i="1"/>
  <c r="M22" i="1"/>
  <c r="N22" i="1"/>
  <c r="O22" i="1"/>
  <c r="P22" i="1"/>
  <c r="Q22" i="1"/>
  <c r="R22" i="1"/>
  <c r="S22" i="1"/>
  <c r="M2" i="1"/>
  <c r="N2" i="1"/>
  <c r="O2" i="1"/>
  <c r="P2" i="1"/>
  <c r="Q2" i="1"/>
  <c r="R2" i="1"/>
  <c r="S2" i="1"/>
  <c r="L2" i="1"/>
  <c r="C3" i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C12" i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C21" i="1"/>
  <c r="D21" i="1"/>
  <c r="E21" i="1"/>
  <c r="F21" i="1"/>
  <c r="G21" i="1"/>
  <c r="H21" i="1"/>
  <c r="I21" i="1"/>
  <c r="J21" i="1"/>
  <c r="C22" i="1"/>
  <c r="D22" i="1"/>
  <c r="E22" i="1"/>
  <c r="F22" i="1"/>
  <c r="G22" i="1"/>
  <c r="H22" i="1"/>
  <c r="I22" i="1"/>
  <c r="J22" i="1"/>
  <c r="D2" i="1"/>
  <c r="E2" i="1"/>
  <c r="F2" i="1"/>
  <c r="G2" i="1"/>
  <c r="H2" i="1"/>
  <c r="I2" i="1"/>
  <c r="J2" i="1"/>
  <c r="C2" i="1"/>
  <c r="L3" i="4"/>
  <c r="M3" i="4"/>
  <c r="N3" i="4"/>
  <c r="O3" i="4"/>
  <c r="P3" i="4"/>
  <c r="Q3" i="4"/>
  <c r="R3" i="4"/>
  <c r="S3" i="4"/>
  <c r="L4" i="4"/>
  <c r="M4" i="4"/>
  <c r="N4" i="4"/>
  <c r="O4" i="4"/>
  <c r="P4" i="4"/>
  <c r="Q4" i="4"/>
  <c r="R4" i="4"/>
  <c r="S4" i="4"/>
  <c r="L5" i="4"/>
  <c r="M5" i="4"/>
  <c r="N5" i="4"/>
  <c r="O5" i="4"/>
  <c r="P5" i="4"/>
  <c r="Q5" i="4"/>
  <c r="R5" i="4"/>
  <c r="S5" i="4"/>
  <c r="L6" i="4"/>
  <c r="M6" i="4"/>
  <c r="N6" i="4"/>
  <c r="O6" i="4"/>
  <c r="P6" i="4"/>
  <c r="Q6" i="4"/>
  <c r="R6" i="4"/>
  <c r="S6" i="4"/>
  <c r="L7" i="4"/>
  <c r="M7" i="4"/>
  <c r="N7" i="4"/>
  <c r="O7" i="4"/>
  <c r="P7" i="4"/>
  <c r="Q7" i="4"/>
  <c r="R7" i="4"/>
  <c r="S7" i="4"/>
  <c r="L8" i="4"/>
  <c r="M8" i="4"/>
  <c r="N8" i="4"/>
  <c r="O8" i="4"/>
  <c r="P8" i="4"/>
  <c r="Q8" i="4"/>
  <c r="R8" i="4"/>
  <c r="S8" i="4"/>
  <c r="L9" i="4"/>
  <c r="M9" i="4"/>
  <c r="N9" i="4"/>
  <c r="O9" i="4"/>
  <c r="P9" i="4"/>
  <c r="Q9" i="4"/>
  <c r="R9" i="4"/>
  <c r="S9" i="4"/>
  <c r="L10" i="4"/>
  <c r="M10" i="4"/>
  <c r="N10" i="4"/>
  <c r="O10" i="4"/>
  <c r="P10" i="4"/>
  <c r="Q10" i="4"/>
  <c r="R10" i="4"/>
  <c r="S10" i="4"/>
  <c r="L11" i="4"/>
  <c r="M11" i="4"/>
  <c r="N11" i="4"/>
  <c r="O11" i="4"/>
  <c r="P11" i="4"/>
  <c r="Q11" i="4"/>
  <c r="R11" i="4"/>
  <c r="S11" i="4"/>
  <c r="L12" i="4"/>
  <c r="M12" i="4"/>
  <c r="N12" i="4"/>
  <c r="O12" i="4"/>
  <c r="P12" i="4"/>
  <c r="Q12" i="4"/>
  <c r="R12" i="4"/>
  <c r="S12" i="4"/>
  <c r="L13" i="4"/>
  <c r="M13" i="4"/>
  <c r="N13" i="4"/>
  <c r="O13" i="4"/>
  <c r="P13" i="4"/>
  <c r="Q13" i="4"/>
  <c r="R13" i="4"/>
  <c r="S13" i="4"/>
  <c r="L14" i="4"/>
  <c r="M14" i="4"/>
  <c r="N14" i="4"/>
  <c r="O14" i="4"/>
  <c r="P14" i="4"/>
  <c r="Q14" i="4"/>
  <c r="R14" i="4"/>
  <c r="S14" i="4"/>
  <c r="L15" i="4"/>
  <c r="M15" i="4"/>
  <c r="N15" i="4"/>
  <c r="O15" i="4"/>
  <c r="P15" i="4"/>
  <c r="Q15" i="4"/>
  <c r="R15" i="4"/>
  <c r="S15" i="4"/>
  <c r="L16" i="4"/>
  <c r="M16" i="4"/>
  <c r="N16" i="4"/>
  <c r="O16" i="4"/>
  <c r="P16" i="4"/>
  <c r="Q16" i="4"/>
  <c r="R16" i="4"/>
  <c r="S16" i="4"/>
  <c r="L17" i="4"/>
  <c r="M17" i="4"/>
  <c r="N17" i="4"/>
  <c r="O17" i="4"/>
  <c r="P17" i="4"/>
  <c r="Q17" i="4"/>
  <c r="R17" i="4"/>
  <c r="S17" i="4"/>
  <c r="L18" i="4"/>
  <c r="M18" i="4"/>
  <c r="N18" i="4"/>
  <c r="O18" i="4"/>
  <c r="P18" i="4"/>
  <c r="Q18" i="4"/>
  <c r="R18" i="4"/>
  <c r="S18" i="4"/>
  <c r="L19" i="4"/>
  <c r="M19" i="4"/>
  <c r="N19" i="4"/>
  <c r="O19" i="4"/>
  <c r="P19" i="4"/>
  <c r="Q19" i="4"/>
  <c r="R19" i="4"/>
  <c r="S19" i="4"/>
  <c r="L20" i="4"/>
  <c r="M20" i="4"/>
  <c r="N20" i="4"/>
  <c r="O20" i="4"/>
  <c r="P20" i="4"/>
  <c r="Q20" i="4"/>
  <c r="R20" i="4"/>
  <c r="S20" i="4"/>
  <c r="L21" i="4"/>
  <c r="M21" i="4"/>
  <c r="N21" i="4"/>
  <c r="O21" i="4"/>
  <c r="P21" i="4"/>
  <c r="Q21" i="4"/>
  <c r="R21" i="4"/>
  <c r="S21" i="4"/>
  <c r="L22" i="4"/>
  <c r="M22" i="4"/>
  <c r="N22" i="4"/>
  <c r="O22" i="4"/>
  <c r="P22" i="4"/>
  <c r="Q22" i="4"/>
  <c r="R22" i="4"/>
  <c r="S22" i="4"/>
  <c r="M2" i="4"/>
  <c r="N2" i="4"/>
  <c r="O2" i="4"/>
  <c r="P2" i="4"/>
  <c r="Q2" i="4"/>
  <c r="R2" i="4"/>
  <c r="S2" i="4"/>
  <c r="L2" i="4"/>
  <c r="C3" i="4"/>
  <c r="D3" i="4"/>
  <c r="E3" i="4"/>
  <c r="F3" i="4"/>
  <c r="G3" i="4"/>
  <c r="H3" i="4"/>
  <c r="I3" i="4"/>
  <c r="J3" i="4"/>
  <c r="C4" i="4"/>
  <c r="D4" i="4"/>
  <c r="E4" i="4"/>
  <c r="F4" i="4"/>
  <c r="G4" i="4"/>
  <c r="H4" i="4"/>
  <c r="I4" i="4"/>
  <c r="J4" i="4"/>
  <c r="C5" i="4"/>
  <c r="D5" i="4"/>
  <c r="E5" i="4"/>
  <c r="F5" i="4"/>
  <c r="G5" i="4"/>
  <c r="H5" i="4"/>
  <c r="I5" i="4"/>
  <c r="J5" i="4"/>
  <c r="C6" i="4"/>
  <c r="D6" i="4"/>
  <c r="E6" i="4"/>
  <c r="F6" i="4"/>
  <c r="G6" i="4"/>
  <c r="H6" i="4"/>
  <c r="I6" i="4"/>
  <c r="J6" i="4"/>
  <c r="C7" i="4"/>
  <c r="D7" i="4"/>
  <c r="E7" i="4"/>
  <c r="F7" i="4"/>
  <c r="G7" i="4"/>
  <c r="H7" i="4"/>
  <c r="I7" i="4"/>
  <c r="J7" i="4"/>
  <c r="C8" i="4"/>
  <c r="D8" i="4"/>
  <c r="E8" i="4"/>
  <c r="F8" i="4"/>
  <c r="G8" i="4"/>
  <c r="H8" i="4"/>
  <c r="I8" i="4"/>
  <c r="J8" i="4"/>
  <c r="C9" i="4"/>
  <c r="D9" i="4"/>
  <c r="E9" i="4"/>
  <c r="F9" i="4"/>
  <c r="G9" i="4"/>
  <c r="H9" i="4"/>
  <c r="I9" i="4"/>
  <c r="J9" i="4"/>
  <c r="C10" i="4"/>
  <c r="D10" i="4"/>
  <c r="E10" i="4"/>
  <c r="F10" i="4"/>
  <c r="G10" i="4"/>
  <c r="H10" i="4"/>
  <c r="I10" i="4"/>
  <c r="J10" i="4"/>
  <c r="C11" i="4"/>
  <c r="D11" i="4"/>
  <c r="E11" i="4"/>
  <c r="F11" i="4"/>
  <c r="G11" i="4"/>
  <c r="H11" i="4"/>
  <c r="I11" i="4"/>
  <c r="J11" i="4"/>
  <c r="C12" i="4"/>
  <c r="D12" i="4"/>
  <c r="E12" i="4"/>
  <c r="F12" i="4"/>
  <c r="G12" i="4"/>
  <c r="H12" i="4"/>
  <c r="I12" i="4"/>
  <c r="J12" i="4"/>
  <c r="C13" i="4"/>
  <c r="D13" i="4"/>
  <c r="E13" i="4"/>
  <c r="F13" i="4"/>
  <c r="G13" i="4"/>
  <c r="H13" i="4"/>
  <c r="I13" i="4"/>
  <c r="J13" i="4"/>
  <c r="C14" i="4"/>
  <c r="D14" i="4"/>
  <c r="E14" i="4"/>
  <c r="F14" i="4"/>
  <c r="G14" i="4"/>
  <c r="H14" i="4"/>
  <c r="I14" i="4"/>
  <c r="J14" i="4"/>
  <c r="C15" i="4"/>
  <c r="D15" i="4"/>
  <c r="E15" i="4"/>
  <c r="F15" i="4"/>
  <c r="G15" i="4"/>
  <c r="H15" i="4"/>
  <c r="I15" i="4"/>
  <c r="J15" i="4"/>
  <c r="C16" i="4"/>
  <c r="D16" i="4"/>
  <c r="E16" i="4"/>
  <c r="F16" i="4"/>
  <c r="G16" i="4"/>
  <c r="H16" i="4"/>
  <c r="I16" i="4"/>
  <c r="J16" i="4"/>
  <c r="C17" i="4"/>
  <c r="D17" i="4"/>
  <c r="E17" i="4"/>
  <c r="F17" i="4"/>
  <c r="G17" i="4"/>
  <c r="H17" i="4"/>
  <c r="I17" i="4"/>
  <c r="J17" i="4"/>
  <c r="C18" i="4"/>
  <c r="D18" i="4"/>
  <c r="E18" i="4"/>
  <c r="F18" i="4"/>
  <c r="G18" i="4"/>
  <c r="H18" i="4"/>
  <c r="I18" i="4"/>
  <c r="J18" i="4"/>
  <c r="C19" i="4"/>
  <c r="D19" i="4"/>
  <c r="E19" i="4"/>
  <c r="F19" i="4"/>
  <c r="G19" i="4"/>
  <c r="H19" i="4"/>
  <c r="I19" i="4"/>
  <c r="J19" i="4"/>
  <c r="C20" i="4"/>
  <c r="D20" i="4"/>
  <c r="E20" i="4"/>
  <c r="F20" i="4"/>
  <c r="G20" i="4"/>
  <c r="H20" i="4"/>
  <c r="I20" i="4"/>
  <c r="J20" i="4"/>
  <c r="C21" i="4"/>
  <c r="D21" i="4"/>
  <c r="E21" i="4"/>
  <c r="F21" i="4"/>
  <c r="G21" i="4"/>
  <c r="H21" i="4"/>
  <c r="I21" i="4"/>
  <c r="J21" i="4"/>
  <c r="C22" i="4"/>
  <c r="D22" i="4"/>
  <c r="E22" i="4"/>
  <c r="F22" i="4"/>
  <c r="G22" i="4"/>
  <c r="H22" i="4"/>
  <c r="I22" i="4"/>
  <c r="J22" i="4"/>
  <c r="D2" i="4"/>
  <c r="E2" i="4"/>
  <c r="F2" i="4"/>
  <c r="G2" i="4"/>
  <c r="H2" i="4"/>
  <c r="I2" i="4"/>
  <c r="J2" i="4"/>
  <c r="C2" i="4"/>
  <c r="C31" i="22" l="1"/>
  <c r="R57" i="22"/>
  <c r="F31" i="22"/>
  <c r="U57" i="22"/>
  <c r="I31" i="22"/>
  <c r="T57" i="22"/>
  <c r="H31" i="22"/>
  <c r="P57" i="21"/>
  <c r="D31" i="21"/>
  <c r="S57" i="21"/>
  <c r="G31" i="21"/>
  <c r="U57" i="21"/>
  <c r="I31" i="21"/>
  <c r="G31" i="20"/>
  <c r="H31" i="20"/>
  <c r="Q57" i="20"/>
  <c r="E31" i="20"/>
  <c r="O57" i="20"/>
  <c r="C31" i="20"/>
  <c r="U57" i="20"/>
  <c r="I31" i="20"/>
  <c r="P57" i="20"/>
  <c r="D31" i="20"/>
  <c r="R57" i="20"/>
  <c r="F31" i="20"/>
  <c r="O57" i="13"/>
  <c r="C31" i="13"/>
  <c r="C72" i="18" a="1"/>
  <c r="C72" i="18" s="1"/>
  <c r="R57" i="12"/>
  <c r="Q57" i="11"/>
  <c r="Q57" i="12"/>
  <c r="D31" i="13"/>
  <c r="P57" i="13"/>
  <c r="D31" i="12"/>
  <c r="P57" i="12"/>
  <c r="V57" i="12"/>
  <c r="J31" i="12"/>
  <c r="C31" i="12"/>
  <c r="O57" i="12"/>
  <c r="G31" i="11"/>
  <c r="S57" i="11"/>
  <c r="D31" i="11"/>
  <c r="P57" i="11"/>
  <c r="C31" i="11"/>
  <c r="O57" i="11"/>
  <c r="S90" i="10"/>
  <c r="E33" i="10"/>
  <c r="Q77" i="10" s="1"/>
  <c r="Q91" i="10"/>
  <c r="P91" i="10"/>
  <c r="Q90" i="10"/>
  <c r="O36" i="10"/>
  <c r="F33" i="10"/>
  <c r="R77" i="10" s="1"/>
  <c r="R25" i="10"/>
  <c r="R29" i="10" s="1"/>
  <c r="I30" i="10" s="1"/>
  <c r="T89" i="10"/>
  <c r="U89" i="10"/>
  <c r="I33" i="10"/>
  <c r="U77" i="10" s="1"/>
  <c r="G33" i="10"/>
  <c r="S77" i="10" s="1"/>
  <c r="O91" i="10"/>
  <c r="J33" i="10"/>
  <c r="V77" i="10" s="1"/>
  <c r="C37" i="10"/>
  <c r="O90" i="10" s="1"/>
  <c r="C25" i="10"/>
  <c r="P29" i="10"/>
  <c r="G30" i="10" s="1"/>
  <c r="G26" i="10"/>
  <c r="S62" i="10" s="1"/>
  <c r="C29" i="10"/>
  <c r="O67" i="10"/>
  <c r="P90" i="10"/>
  <c r="R91" i="10"/>
  <c r="S91" i="10"/>
  <c r="T90" i="10"/>
  <c r="T91" i="10"/>
  <c r="U90" i="10"/>
  <c r="U91" i="10"/>
  <c r="V89" i="10"/>
  <c r="V90" i="10"/>
  <c r="V91" i="10"/>
  <c r="S25" i="10"/>
  <c r="C32" i="10"/>
  <c r="O72" i="10" s="1"/>
  <c r="D25" i="10"/>
  <c r="D32" i="10"/>
  <c r="P72" i="10" s="1"/>
  <c r="C36" i="10"/>
  <c r="O89" i="10" s="1"/>
  <c r="E25" i="10"/>
  <c r="E32" i="10"/>
  <c r="Q72" i="10" s="1"/>
  <c r="D36" i="10"/>
  <c r="P89" i="10" s="1"/>
  <c r="F25" i="10"/>
  <c r="B28" i="10"/>
  <c r="F32" i="10"/>
  <c r="R72" i="10" s="1"/>
  <c r="E36" i="10"/>
  <c r="Q89" i="10" s="1"/>
  <c r="G25" i="10"/>
  <c r="G32" i="10"/>
  <c r="S72" i="10" s="1"/>
  <c r="F36" i="10"/>
  <c r="N67" i="10"/>
  <c r="H25" i="10"/>
  <c r="H32" i="10"/>
  <c r="T72" i="10" s="1"/>
  <c r="G36" i="10"/>
  <c r="S89" i="10" s="1"/>
  <c r="I25" i="10"/>
  <c r="I28" i="10" s="1"/>
  <c r="I32" i="10"/>
  <c r="U72" i="10" s="1"/>
  <c r="J25" i="10"/>
  <c r="H26" i="10"/>
  <c r="T62" i="10" s="1"/>
  <c r="J32" i="10"/>
  <c r="V72" i="10" s="1"/>
  <c r="L25" i="10"/>
  <c r="H28" i="10"/>
  <c r="D33" i="10"/>
  <c r="P77" i="10" s="1"/>
  <c r="M25" i="10"/>
  <c r="B27" i="10"/>
  <c r="N25" i="10"/>
  <c r="O25" i="10"/>
  <c r="O90" i="4"/>
  <c r="T91" i="4"/>
  <c r="V91" i="4"/>
  <c r="N90" i="4"/>
  <c r="N91" i="4"/>
  <c r="N89" i="4"/>
  <c r="C89" i="4"/>
  <c r="D89" i="4"/>
  <c r="E89" i="4"/>
  <c r="F89" i="4"/>
  <c r="G89" i="4"/>
  <c r="H89" i="4"/>
  <c r="I89" i="4"/>
  <c r="J89" i="4"/>
  <c r="K89" i="4"/>
  <c r="L89" i="4"/>
  <c r="M89" i="4"/>
  <c r="C90" i="4"/>
  <c r="D90" i="4"/>
  <c r="E90" i="4"/>
  <c r="F90" i="4"/>
  <c r="G90" i="4"/>
  <c r="H90" i="4"/>
  <c r="I90" i="4"/>
  <c r="J90" i="4"/>
  <c r="K90" i="4"/>
  <c r="L90" i="4"/>
  <c r="M90" i="4"/>
  <c r="C91" i="4"/>
  <c r="D91" i="4"/>
  <c r="E91" i="4"/>
  <c r="F91" i="4"/>
  <c r="G91" i="4"/>
  <c r="H91" i="4"/>
  <c r="I91" i="4"/>
  <c r="J91" i="4"/>
  <c r="K91" i="4"/>
  <c r="L91" i="4"/>
  <c r="M91" i="4"/>
  <c r="B91" i="4"/>
  <c r="B90" i="4"/>
  <c r="B89" i="4"/>
  <c r="B59" i="4"/>
  <c r="O77" i="4"/>
  <c r="N78" i="4"/>
  <c r="N77" i="4"/>
  <c r="C79" i="4"/>
  <c r="D79" i="4"/>
  <c r="E79" i="4"/>
  <c r="F79" i="4"/>
  <c r="G79" i="4"/>
  <c r="H79" i="4"/>
  <c r="I79" i="4"/>
  <c r="J79" i="4"/>
  <c r="K79" i="4"/>
  <c r="L79" i="4"/>
  <c r="M79" i="4"/>
  <c r="N79" i="4"/>
  <c r="C74" i="4"/>
  <c r="D74" i="4"/>
  <c r="E74" i="4"/>
  <c r="F74" i="4"/>
  <c r="G74" i="4"/>
  <c r="H74" i="4"/>
  <c r="I74" i="4"/>
  <c r="J74" i="4"/>
  <c r="K74" i="4"/>
  <c r="L74" i="4"/>
  <c r="M74" i="4"/>
  <c r="N74" i="4"/>
  <c r="B74" i="4"/>
  <c r="T72" i="4"/>
  <c r="O73" i="4"/>
  <c r="T73" i="4"/>
  <c r="U73" i="4"/>
  <c r="N73" i="4"/>
  <c r="N72" i="4"/>
  <c r="C69" i="4"/>
  <c r="D69" i="4"/>
  <c r="E69" i="4"/>
  <c r="F69" i="4"/>
  <c r="G69" i="4"/>
  <c r="H69" i="4"/>
  <c r="I69" i="4"/>
  <c r="J69" i="4"/>
  <c r="K69" i="4"/>
  <c r="L69" i="4"/>
  <c r="M69" i="4"/>
  <c r="N69" i="4"/>
  <c r="T68" i="4"/>
  <c r="N68" i="4"/>
  <c r="N67" i="4"/>
  <c r="N57" i="4"/>
  <c r="N58" i="4"/>
  <c r="B69" i="4"/>
  <c r="N64" i="4"/>
  <c r="C64" i="4"/>
  <c r="D64" i="4"/>
  <c r="E64" i="4"/>
  <c r="F64" i="4"/>
  <c r="G64" i="4"/>
  <c r="H64" i="4"/>
  <c r="I64" i="4"/>
  <c r="J64" i="4"/>
  <c r="K64" i="4"/>
  <c r="L64" i="4"/>
  <c r="M64" i="4"/>
  <c r="B64" i="4"/>
  <c r="N63" i="4"/>
  <c r="N62" i="4"/>
  <c r="C59" i="4"/>
  <c r="D59" i="4"/>
  <c r="E59" i="4"/>
  <c r="F59" i="4"/>
  <c r="G59" i="4"/>
  <c r="H59" i="4"/>
  <c r="I59" i="4"/>
  <c r="J59" i="4"/>
  <c r="K59" i="4"/>
  <c r="L59" i="4"/>
  <c r="M59" i="4"/>
  <c r="N59" i="4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C36" i="4"/>
  <c r="D36" i="4"/>
  <c r="P89" i="4" s="1"/>
  <c r="E36" i="4"/>
  <c r="Q89" i="4" s="1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C37" i="4"/>
  <c r="D37" i="4"/>
  <c r="E37" i="4"/>
  <c r="F37" i="4"/>
  <c r="G37" i="4"/>
  <c r="H37" i="4"/>
  <c r="T90" i="4" s="1"/>
  <c r="I37" i="4"/>
  <c r="J37" i="4"/>
  <c r="K37" i="4"/>
  <c r="L37" i="4"/>
  <c r="M37" i="4"/>
  <c r="P90" i="4" s="1"/>
  <c r="N37" i="4"/>
  <c r="Q90" i="4" s="1"/>
  <c r="O37" i="4"/>
  <c r="R90" i="4" s="1"/>
  <c r="P37" i="4"/>
  <c r="Q37" i="4"/>
  <c r="R37" i="4"/>
  <c r="S37" i="4"/>
  <c r="C38" i="4"/>
  <c r="O91" i="4" s="1"/>
  <c r="D38" i="4"/>
  <c r="E38" i="4"/>
  <c r="F38" i="4"/>
  <c r="G38" i="4"/>
  <c r="S91" i="4" s="1"/>
  <c r="H38" i="4"/>
  <c r="I38" i="4"/>
  <c r="J38" i="4"/>
  <c r="K38" i="4"/>
  <c r="L38" i="4"/>
  <c r="M38" i="4"/>
  <c r="N38" i="4"/>
  <c r="O38" i="4"/>
  <c r="P38" i="4"/>
  <c r="Q38" i="4"/>
  <c r="R38" i="4"/>
  <c r="S38" i="4"/>
  <c r="B38" i="4"/>
  <c r="B37" i="4"/>
  <c r="B36" i="4"/>
  <c r="J33" i="1"/>
  <c r="V78" i="4" s="1"/>
  <c r="I33" i="1"/>
  <c r="U78" i="4" s="1"/>
  <c r="H33" i="1"/>
  <c r="T78" i="4" s="1"/>
  <c r="G33" i="1"/>
  <c r="S78" i="4" s="1"/>
  <c r="F33" i="1"/>
  <c r="R78" i="4" s="1"/>
  <c r="E33" i="1"/>
  <c r="Q78" i="4" s="1"/>
  <c r="D33" i="1"/>
  <c r="P78" i="4" s="1"/>
  <c r="C33" i="1"/>
  <c r="O78" i="4" s="1"/>
  <c r="J32" i="1"/>
  <c r="V73" i="4" s="1"/>
  <c r="I32" i="1"/>
  <c r="H32" i="1"/>
  <c r="G32" i="1"/>
  <c r="S73" i="4" s="1"/>
  <c r="F32" i="1"/>
  <c r="R73" i="4" s="1"/>
  <c r="E32" i="1"/>
  <c r="Q73" i="4" s="1"/>
  <c r="D32" i="1"/>
  <c r="P73" i="4" s="1"/>
  <c r="M29" i="1"/>
  <c r="D30" i="1" s="1"/>
  <c r="K29" i="1"/>
  <c r="B30" i="1" s="1"/>
  <c r="B29" i="1"/>
  <c r="B26" i="1"/>
  <c r="S25" i="1"/>
  <c r="S29" i="1" s="1"/>
  <c r="J30" i="1" s="1"/>
  <c r="R25" i="1"/>
  <c r="R29" i="1" s="1"/>
  <c r="I30" i="1" s="1"/>
  <c r="Q25" i="1"/>
  <c r="Q29" i="1" s="1"/>
  <c r="H30" i="1" s="1"/>
  <c r="P25" i="1"/>
  <c r="O25" i="1"/>
  <c r="O29" i="1" s="1"/>
  <c r="F30" i="1" s="1"/>
  <c r="N25" i="1"/>
  <c r="E26" i="1" s="1"/>
  <c r="Q63" i="4" s="1"/>
  <c r="M25" i="1"/>
  <c r="D26" i="1" s="1"/>
  <c r="P63" i="4" s="1"/>
  <c r="L25" i="1"/>
  <c r="L29" i="1" s="1"/>
  <c r="C30" i="1" s="1"/>
  <c r="K25" i="1"/>
  <c r="B28" i="1" s="1"/>
  <c r="J25" i="1"/>
  <c r="V68" i="4" s="1"/>
  <c r="I25" i="1"/>
  <c r="U68" i="4" s="1"/>
  <c r="H25" i="1"/>
  <c r="G25" i="1"/>
  <c r="S68" i="4" s="1"/>
  <c r="F25" i="1"/>
  <c r="R68" i="4" s="1"/>
  <c r="E25" i="1"/>
  <c r="E29" i="1" s="1"/>
  <c r="D25" i="1"/>
  <c r="C25" i="1"/>
  <c r="C29" i="1" s="1"/>
  <c r="B25" i="1"/>
  <c r="B27" i="1" s="1"/>
  <c r="B31" i="1" s="1"/>
  <c r="D33" i="4"/>
  <c r="P77" i="4" s="1"/>
  <c r="E33" i="4"/>
  <c r="Q77" i="4" s="1"/>
  <c r="F33" i="4"/>
  <c r="R77" i="4" s="1"/>
  <c r="G33" i="4"/>
  <c r="S77" i="4" s="1"/>
  <c r="H33" i="4"/>
  <c r="T77" i="4" s="1"/>
  <c r="I33" i="4"/>
  <c r="U77" i="4" s="1"/>
  <c r="J33" i="4"/>
  <c r="V77" i="4" s="1"/>
  <c r="C25" i="4"/>
  <c r="C29" i="4" s="1"/>
  <c r="D25" i="4"/>
  <c r="P67" i="4" s="1"/>
  <c r="E25" i="4"/>
  <c r="E29" i="4" s="1"/>
  <c r="F25" i="4"/>
  <c r="R67" i="4" s="1"/>
  <c r="G25" i="4"/>
  <c r="S67" i="4" s="1"/>
  <c r="H25" i="4"/>
  <c r="T67" i="4" s="1"/>
  <c r="I25" i="4"/>
  <c r="I29" i="4" s="1"/>
  <c r="J25" i="4"/>
  <c r="V67" i="4" s="1"/>
  <c r="J29" i="4"/>
  <c r="D32" i="4"/>
  <c r="P72" i="4" s="1"/>
  <c r="E32" i="4"/>
  <c r="Q72" i="4" s="1"/>
  <c r="F32" i="4"/>
  <c r="R72" i="4" s="1"/>
  <c r="G32" i="4"/>
  <c r="S72" i="4" s="1"/>
  <c r="H32" i="4"/>
  <c r="I32" i="4"/>
  <c r="U72" i="4" s="1"/>
  <c r="J32" i="4"/>
  <c r="V72" i="4" s="1"/>
  <c r="C32" i="4"/>
  <c r="O72" i="4" s="1"/>
  <c r="B29" i="4"/>
  <c r="R25" i="4"/>
  <c r="R29" i="4" s="1"/>
  <c r="I30" i="4" s="1"/>
  <c r="S25" i="4"/>
  <c r="J28" i="4" s="1"/>
  <c r="B25" i="4"/>
  <c r="Q25" i="4"/>
  <c r="Q29" i="4" s="1"/>
  <c r="H30" i="4" s="1"/>
  <c r="P25" i="4"/>
  <c r="G26" i="4" s="1"/>
  <c r="S62" i="4" s="1"/>
  <c r="O25" i="4"/>
  <c r="F26" i="4" s="1"/>
  <c r="R62" i="4" s="1"/>
  <c r="N25" i="4"/>
  <c r="E26" i="4" s="1"/>
  <c r="Q62" i="4" s="1"/>
  <c r="M25" i="4"/>
  <c r="L25" i="4"/>
  <c r="C26" i="4" s="1"/>
  <c r="C27" i="4" s="1"/>
  <c r="C31" i="4" s="1"/>
  <c r="K25" i="4"/>
  <c r="K29" i="4" s="1"/>
  <c r="B30" i="4" s="1"/>
  <c r="R89" i="10" l="1"/>
  <c r="I26" i="10"/>
  <c r="U62" i="10" s="1"/>
  <c r="S67" i="10"/>
  <c r="G27" i="10"/>
  <c r="G29" i="10"/>
  <c r="L29" i="10"/>
  <c r="C30" i="10" s="1"/>
  <c r="C28" i="10"/>
  <c r="C26" i="10"/>
  <c r="R67" i="10"/>
  <c r="F29" i="10"/>
  <c r="B31" i="10"/>
  <c r="N57" i="10"/>
  <c r="V67" i="10"/>
  <c r="J29" i="10"/>
  <c r="E27" i="10"/>
  <c r="Q67" i="10"/>
  <c r="E29" i="10"/>
  <c r="M29" i="10"/>
  <c r="D30" i="10" s="1"/>
  <c r="D28" i="10"/>
  <c r="D26" i="10"/>
  <c r="P62" i="10" s="1"/>
  <c r="U67" i="10"/>
  <c r="I29" i="10"/>
  <c r="P67" i="10"/>
  <c r="D29" i="10"/>
  <c r="O29" i="10"/>
  <c r="F30" i="10" s="1"/>
  <c r="F28" i="10"/>
  <c r="F26" i="10"/>
  <c r="R62" i="10" s="1"/>
  <c r="T67" i="10"/>
  <c r="H29" i="10"/>
  <c r="H27" i="10"/>
  <c r="S29" i="10"/>
  <c r="J30" i="10" s="1"/>
  <c r="J28" i="10"/>
  <c r="J26" i="10"/>
  <c r="V62" i="10" s="1"/>
  <c r="G28" i="10"/>
  <c r="N29" i="10"/>
  <c r="E30" i="10" s="1"/>
  <c r="E28" i="10"/>
  <c r="E26" i="10"/>
  <c r="Q62" i="10" s="1"/>
  <c r="C26" i="1"/>
  <c r="O63" i="4" s="1"/>
  <c r="N29" i="1"/>
  <c r="E30" i="1" s="1"/>
  <c r="H26" i="1"/>
  <c r="T63" i="4" s="1"/>
  <c r="I26" i="1"/>
  <c r="U63" i="4" s="1"/>
  <c r="D27" i="1"/>
  <c r="D31" i="1" s="1"/>
  <c r="H27" i="1"/>
  <c r="H31" i="1" s="1"/>
  <c r="P68" i="4"/>
  <c r="G29" i="1"/>
  <c r="H29" i="1"/>
  <c r="E28" i="1"/>
  <c r="I29" i="1"/>
  <c r="I27" i="1"/>
  <c r="J29" i="1"/>
  <c r="G28" i="1"/>
  <c r="I28" i="1"/>
  <c r="Q68" i="4"/>
  <c r="O68" i="4"/>
  <c r="C28" i="1"/>
  <c r="U91" i="4"/>
  <c r="V90" i="4"/>
  <c r="U90" i="4"/>
  <c r="R91" i="4"/>
  <c r="S90" i="4"/>
  <c r="Q91" i="4"/>
  <c r="S89" i="4"/>
  <c r="P91" i="4"/>
  <c r="R89" i="4"/>
  <c r="O29" i="4"/>
  <c r="F30" i="4" s="1"/>
  <c r="I26" i="4"/>
  <c r="U62" i="4" s="1"/>
  <c r="P29" i="4"/>
  <c r="G30" i="4" s="1"/>
  <c r="V89" i="4"/>
  <c r="U89" i="4"/>
  <c r="T89" i="4"/>
  <c r="O62" i="4"/>
  <c r="O89" i="4"/>
  <c r="E27" i="4"/>
  <c r="E31" i="4" s="1"/>
  <c r="G27" i="4"/>
  <c r="G29" i="4"/>
  <c r="F29" i="4"/>
  <c r="O57" i="4"/>
  <c r="F27" i="4"/>
  <c r="F31" i="4" s="1"/>
  <c r="I28" i="4"/>
  <c r="Q67" i="4"/>
  <c r="R57" i="4"/>
  <c r="D29" i="4"/>
  <c r="U67" i="4"/>
  <c r="D28" i="4"/>
  <c r="C28" i="4"/>
  <c r="O67" i="4"/>
  <c r="S29" i="4"/>
  <c r="J30" i="4" s="1"/>
  <c r="H29" i="4"/>
  <c r="J26" i="4"/>
  <c r="H26" i="4"/>
  <c r="N29" i="4"/>
  <c r="E30" i="4" s="1"/>
  <c r="M29" i="4"/>
  <c r="D30" i="4" s="1"/>
  <c r="D26" i="4"/>
  <c r="L29" i="4"/>
  <c r="C30" i="4" s="1"/>
  <c r="G28" i="4"/>
  <c r="F28" i="4"/>
  <c r="H28" i="4"/>
  <c r="B26" i="4"/>
  <c r="E28" i="4"/>
  <c r="B28" i="4"/>
  <c r="F29" i="1"/>
  <c r="F26" i="1"/>
  <c r="G26" i="1"/>
  <c r="S63" i="4" s="1"/>
  <c r="D28" i="1"/>
  <c r="F28" i="1"/>
  <c r="J26" i="1"/>
  <c r="H28" i="1"/>
  <c r="P29" i="1"/>
  <c r="G30" i="1" s="1"/>
  <c r="C27" i="1"/>
  <c r="J28" i="1"/>
  <c r="D29" i="1"/>
  <c r="E27" i="1"/>
  <c r="B27" i="4"/>
  <c r="B31" i="4" s="1"/>
  <c r="J27" i="10" l="1"/>
  <c r="D27" i="10"/>
  <c r="I27" i="10"/>
  <c r="U57" i="10" s="1"/>
  <c r="H31" i="10"/>
  <c r="T57" i="10"/>
  <c r="J31" i="10"/>
  <c r="V57" i="10"/>
  <c r="F27" i="10"/>
  <c r="D31" i="10"/>
  <c r="P57" i="10"/>
  <c r="O62" i="10"/>
  <c r="C27" i="10"/>
  <c r="E31" i="10"/>
  <c r="Q57" i="10"/>
  <c r="G31" i="10"/>
  <c r="S57" i="10"/>
  <c r="T58" i="4"/>
  <c r="P58" i="4"/>
  <c r="G27" i="1"/>
  <c r="G31" i="1" s="1"/>
  <c r="J27" i="1"/>
  <c r="V58" i="4" s="1"/>
  <c r="V63" i="4"/>
  <c r="F27" i="1"/>
  <c r="F31" i="1" s="1"/>
  <c r="R63" i="4"/>
  <c r="J31" i="1"/>
  <c r="E31" i="1"/>
  <c r="Q58" i="4"/>
  <c r="I31" i="1"/>
  <c r="U58" i="4"/>
  <c r="C31" i="1"/>
  <c r="O58" i="4"/>
  <c r="Q57" i="4"/>
  <c r="H27" i="4"/>
  <c r="H31" i="4" s="1"/>
  <c r="T62" i="4"/>
  <c r="I27" i="4"/>
  <c r="I31" i="4" s="1"/>
  <c r="D27" i="4"/>
  <c r="P57" i="4" s="1"/>
  <c r="P62" i="4"/>
  <c r="J27" i="4"/>
  <c r="V57" i="4" s="1"/>
  <c r="V62" i="4"/>
  <c r="G31" i="4"/>
  <c r="S57" i="4"/>
  <c r="U57" i="4"/>
  <c r="I31" i="10" l="1"/>
  <c r="C31" i="10"/>
  <c r="O57" i="10"/>
  <c r="F31" i="10"/>
  <c r="R57" i="10"/>
  <c r="S58" i="4"/>
  <c r="R58" i="4"/>
  <c r="D31" i="4"/>
  <c r="J31" i="4"/>
  <c r="T5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04A7C-FA4F-4BEC-97FD-7D7EE335AE82}" keepAlive="1" name="查询 - Freeze" description="与工作簿中“Freeze”查询的连接。" type="5" refreshedVersion="8" background="1" saveData="1">
    <dbPr connection="Provider=Microsoft.Mashup.OleDb.1;Data Source=$Workbook$;Location=Freeze;Extended Properties=&quot;&quot;" command="SELECT * FROM [Freeze]"/>
  </connection>
  <connection id="2" xr16:uid="{C0C7954D-8843-4A14-8EBC-A7FEA823D87C}" keepAlive="1" name="查询 - High_2040" description="与工作簿中“High_2040”查询的连接。" type="5" refreshedVersion="8" background="1" saveData="1">
    <dbPr connection="Provider=Microsoft.Mashup.OleDb.1;Data Source=$Workbook$;Location=High_2040;Extended Properties=&quot;&quot;" command="SELECT * FROM [High_2040]"/>
  </connection>
  <connection id="3" xr16:uid="{3C0D7655-9C4E-47FC-AAF1-660AA291F583}" keepAlive="1" name="查询 - High_2060" description="与工作簿中“High_2060”查询的连接。" type="5" refreshedVersion="8" background="1" saveData="1">
    <dbPr connection="Provider=Microsoft.Mashup.OleDb.1;Data Source=$Workbook$;Location=High_2060;Extended Properties=&quot;&quot;" command="SELECT * FROM [High_2060]"/>
  </connection>
  <connection id="4" xr16:uid="{79E536F4-4620-4A60-82FF-6BA0C895BC6C}" keepAlive="1" name="查询 - Low_2040" description="与工作簿中“Low_2040”查询的连接。" type="5" refreshedVersion="8" background="1" saveData="1">
    <dbPr connection="Provider=Microsoft.Mashup.OleDb.1;Data Source=$Workbook$;Location=Low_2040;Extended Properties=&quot;&quot;" command="SELECT * FROM [Low_2040]"/>
  </connection>
  <connection id="5" xr16:uid="{12EBB3C4-FD1C-4F58-A9F4-C82F4DCB520C}" keepAlive="1" name="查询 - Low_2060" description="与工作簿中“Low_2060”查询的连接。" type="5" refreshedVersion="8" background="1" saveData="1">
    <dbPr connection="Provider=Microsoft.Mashup.OleDb.1;Data Source=$Workbook$;Location=Low_2060;Extended Properties=&quot;&quot;" command="SELECT * FROM [Low_2060]"/>
  </connection>
  <connection id="6" xr16:uid="{5BC5538E-EBED-486F-9A6F-F7E6CB4063C4}" keepAlive="1" name="查询 - Medium_2040" description="与工作簿中“Medium_2040”查询的连接。" type="5" refreshedVersion="8" background="1" saveData="1">
    <dbPr connection="Provider=Microsoft.Mashup.OleDb.1;Data Source=$Workbook$;Location=Medium_2040;Extended Properties=&quot;&quot;" command="SELECT * FROM [Medium_2040]"/>
  </connection>
  <connection id="7" xr16:uid="{4899B5C1-6B6F-4558-88DA-28AB3CBAA8CB}" keepAlive="1" name="查询 - Medium_2060" description="与工作簿中“Medium_2060”查询的连接。" type="5" refreshedVersion="8" background="1" saveData="1">
    <dbPr connection="Provider=Microsoft.Mashup.OleDb.1;Data Source=$Workbook$;Location=Medium_2060;Extended Properties=&quot;&quot;" command="SELECT * FROM [Medium_206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<sst xmlns="http://schemas.openxmlformats.org/spreadsheetml/2006/main" count="1038" uniqueCount="129">
  <si>
    <t>Column1</t>
  </si>
  <si>
    <t>2025女</t>
  </si>
  <si>
    <t>2030女</t>
  </si>
  <si>
    <t>2035女</t>
  </si>
  <si>
    <t>2040女</t>
  </si>
  <si>
    <t>2045女</t>
  </si>
  <si>
    <t>2050女</t>
  </si>
  <si>
    <t>2055女</t>
  </si>
  <si>
    <t>2060女</t>
  </si>
  <si>
    <t>2025男</t>
  </si>
  <si>
    <t>2030男</t>
  </si>
  <si>
    <t>2035男</t>
  </si>
  <si>
    <t>2040男</t>
  </si>
  <si>
    <t>2045男</t>
  </si>
  <si>
    <t>2050男</t>
  </si>
  <si>
    <t>2055男</t>
  </si>
  <si>
    <t>2060男</t>
  </si>
  <si>
    <t>0-4岁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</si>
  <si>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</si>
  <si>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</si>
  <si>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</si>
  <si>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</si>
  <si>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</si>
  <si>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</si>
  <si>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</si>
  <si>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</si>
  <si>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</si>
  <si>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</si>
  <si>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</si>
  <si>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</si>
  <si>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</si>
  <si>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</si>
  <si>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</si>
  <si>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</si>
  <si>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85-89岁</t>
  </si>
  <si>
    <t>90-94岁</t>
  </si>
  <si>
    <t>95-99岁</t>
  </si>
  <si>
    <t>100岁及以上</t>
  </si>
  <si>
    <t>女性人口</t>
    <phoneticPr fontId="1" type="noConversion"/>
  </si>
  <si>
    <t>男性人口</t>
    <phoneticPr fontId="1" type="noConversion"/>
  </si>
  <si>
    <t>总人口</t>
    <phoneticPr fontId="1" type="noConversion"/>
  </si>
  <si>
    <t>男女比例</t>
    <phoneticPr fontId="1" type="noConversion"/>
  </si>
  <si>
    <t>女性65+比例</t>
    <phoneticPr fontId="1" type="noConversion"/>
  </si>
  <si>
    <t>男性65+比例</t>
    <phoneticPr fontId="1" type="noConversion"/>
  </si>
  <si>
    <t>总65+比例</t>
    <phoneticPr fontId="1" type="noConversion"/>
  </si>
  <si>
    <t>平均出生人口</t>
    <phoneticPr fontId="1" type="noConversion"/>
  </si>
  <si>
    <t>平均死亡人口</t>
    <phoneticPr fontId="1" type="noConversion"/>
  </si>
  <si>
    <t>Column2</t>
  </si>
  <si>
    <t>2020男</t>
    <phoneticPr fontId="1" type="noConversion"/>
  </si>
  <si>
    <t>0-14</t>
    <phoneticPr fontId="1" type="noConversion"/>
  </si>
  <si>
    <t>15-64</t>
    <phoneticPr fontId="1" type="noConversion"/>
  </si>
  <si>
    <t>65+</t>
    <phoneticPr fontId="1" type="noConversion"/>
  </si>
  <si>
    <t>总人口-median</t>
    <phoneticPr fontId="1" type="noConversion"/>
  </si>
  <si>
    <t>总人口-high</t>
    <phoneticPr fontId="1" type="noConversion"/>
  </si>
  <si>
    <t>指标</t>
  </si>
  <si>
    <t>年末总人口(万人)</t>
  </si>
  <si>
    <t>男性人口(万人)</t>
  </si>
  <si>
    <t>女性人口(万人)</t>
  </si>
  <si>
    <t>0-14岁人口(万人)</t>
  </si>
  <si>
    <t>15-64岁人口(万人)</t>
  </si>
  <si>
    <t>65岁及以上人口(万人)</t>
  </si>
  <si>
    <t>总抚养比(%)</t>
  </si>
  <si>
    <t>少儿抚养比(%)</t>
  </si>
  <si>
    <t>老年抚养比(%)</t>
  </si>
  <si>
    <t>人口出生率(‰)</t>
  </si>
  <si>
    <t>人口死亡率(‰)</t>
  </si>
  <si>
    <t>人口自然增长率(‰)</t>
  </si>
  <si>
    <t>出生人口</t>
  </si>
  <si>
    <t>死亡人口</t>
  </si>
  <si>
    <t>总人口-past</t>
    <phoneticPr fontId="1" type="noConversion"/>
  </si>
  <si>
    <t>男性-past</t>
    <phoneticPr fontId="1" type="noConversion"/>
  </si>
  <si>
    <t>男性-high</t>
    <phoneticPr fontId="1" type="noConversion"/>
  </si>
  <si>
    <t>男性-median</t>
    <phoneticPr fontId="1" type="noConversion"/>
  </si>
  <si>
    <t>女性-median</t>
    <phoneticPr fontId="1" type="noConversion"/>
  </si>
  <si>
    <t>女性-high</t>
    <phoneticPr fontId="1" type="noConversion"/>
  </si>
  <si>
    <t>女性-past</t>
    <phoneticPr fontId="1" type="noConversion"/>
  </si>
  <si>
    <t>出生人数-median</t>
    <phoneticPr fontId="1" type="noConversion"/>
  </si>
  <si>
    <t>出生人数-high</t>
    <phoneticPr fontId="1" type="noConversion"/>
  </si>
  <si>
    <t>出生人数-past</t>
    <phoneticPr fontId="1" type="noConversion"/>
  </si>
  <si>
    <t>死亡-median</t>
    <phoneticPr fontId="1" type="noConversion"/>
  </si>
  <si>
    <t>死亡-high</t>
    <phoneticPr fontId="1" type="noConversion"/>
  </si>
  <si>
    <t>死亡-past</t>
    <phoneticPr fontId="1" type="noConversion"/>
  </si>
  <si>
    <t>Past</t>
    <phoneticPr fontId="1" type="noConversion"/>
  </si>
  <si>
    <t>Low-60</t>
    <phoneticPr fontId="1" type="noConversion"/>
  </si>
  <si>
    <t>Mid-60</t>
    <phoneticPr fontId="1" type="noConversion"/>
  </si>
  <si>
    <t>High-60</t>
    <phoneticPr fontId="1" type="noConversion"/>
  </si>
  <si>
    <t>Low-40</t>
    <phoneticPr fontId="1" type="noConversion"/>
  </si>
  <si>
    <t>Mid-40</t>
    <phoneticPr fontId="1" type="noConversion"/>
  </si>
  <si>
    <t>High-40</t>
    <phoneticPr fontId="1" type="noConversion"/>
  </si>
  <si>
    <t>少儿抚养比</t>
    <phoneticPr fontId="1" type="noConversion"/>
  </si>
  <si>
    <t>老人抚养比</t>
    <phoneticPr fontId="1" type="noConversion"/>
  </si>
  <si>
    <t>中位年龄</t>
    <phoneticPr fontId="1" type="noConversion"/>
  </si>
  <si>
    <t>平均新生儿人数（万人）</t>
    <phoneticPr fontId="1" type="noConversion"/>
  </si>
  <si>
    <t>平均死亡人数（万人）</t>
    <phoneticPr fontId="1" type="noConversion"/>
  </si>
  <si>
    <t>少儿抚养比（%）</t>
    <phoneticPr fontId="1" type="noConversion"/>
  </si>
  <si>
    <t>老人抚养比（%）</t>
    <phoneticPr fontId="1" type="noConversion"/>
  </si>
  <si>
    <t>中位数年龄（岁）</t>
    <phoneticPr fontId="1" type="noConversion"/>
  </si>
  <si>
    <t>Freeze</t>
    <phoneticPr fontId="1" type="noConversion"/>
  </si>
  <si>
    <t>Freeze_sex1</t>
    <phoneticPr fontId="1" type="noConversion"/>
  </si>
  <si>
    <t>Freeze_sex2</t>
    <phoneticPr fontId="1" type="noConversion"/>
  </si>
  <si>
    <t>Past and Projection of China's Population by Scenario</t>
    <phoneticPr fontId="1" type="noConversion"/>
  </si>
  <si>
    <t>Female Death</t>
    <phoneticPr fontId="1" type="noConversion"/>
  </si>
  <si>
    <t>Male Death</t>
    <phoneticPr fontId="1" type="noConversion"/>
  </si>
  <si>
    <t>Scenario Median - 2060</t>
    <phoneticPr fontId="1" type="noConversion"/>
  </si>
  <si>
    <t>Female Pop</t>
    <phoneticPr fontId="1" type="noConversion"/>
  </si>
  <si>
    <t>Male Pop</t>
    <phoneticPr fontId="1" type="noConversion"/>
  </si>
  <si>
    <t>Sex Ratio</t>
    <phoneticPr fontId="1" type="noConversion"/>
  </si>
  <si>
    <t>Birth_Female</t>
    <phoneticPr fontId="1" type="noConversion"/>
  </si>
  <si>
    <t>Population_Female</t>
    <phoneticPr fontId="1" type="noConversion"/>
  </si>
  <si>
    <t>Population_Male</t>
    <phoneticPr fontId="1" type="noConversion"/>
  </si>
  <si>
    <t>Death_Female</t>
    <phoneticPr fontId="1" type="noConversion"/>
  </si>
  <si>
    <t>Death_Male</t>
    <phoneticPr fontId="1" type="noConversion"/>
  </si>
  <si>
    <t>Birth_Male</t>
    <phoneticPr fontId="1" type="noConversion"/>
  </si>
  <si>
    <t>male</t>
  </si>
  <si>
    <t>female</t>
  </si>
  <si>
    <t>white</t>
  </si>
  <si>
    <t>black</t>
  </si>
  <si>
    <t>asian</t>
  </si>
  <si>
    <t>other race</t>
  </si>
  <si>
    <t>hispanic</t>
  </si>
  <si>
    <t>nonhispanic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</si>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</sst>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0.00_ "/>
    <numFmt numFmtId="178" formatCode="0.00_);[Red]\(0.00\)"/>
    <numFmt numFmtId="179" formatCode="0_);[Red]\(0\)"/>
    <numFmt numFmtId="180" formatCode="0.0_);[Red]\(0.0\)"/>
    <numFmt numFmtId="181" formatCode="0.0_ "/>
    <numFmt numFmtId="182" formatCode="#,##0_ "/>
    <numFmt numFmtId="183" formatCode="0.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2" fillId="2" borderId="0" xfId="0" applyNumberFormat="1" applyFont="1" applyFill="1" applyAlignment="1">
      <alignment horizontal="right" vertical="center"/>
    </xf>
    <xf numFmtId="179" fontId="2" fillId="2" borderId="1" xfId="0" applyNumberFormat="1" applyFont="1" applyFill="1" applyBorder="1" applyAlignment="1">
      <alignment horizontal="right" vertical="center"/>
    </xf>
    <xf numFmtId="10" fontId="0" fillId="0" borderId="0" xfId="0" applyNumberFormat="1">
      <alignment vertical="center"/>
    </xf>
    <xf numFmtId="0" fontId="0" fillId="0" borderId="0" xfId="0" applyAlignment="1"/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3">
    <cellStyle name="常规" xfId="0" builtinId="0"/>
    <cellStyle name="常规 3" xfId="1" xr:uid="{308552C6-E02E-4AE0-8F79-B72C5D49D3D1}"/>
    <cellStyle name="常规 5" xfId="2" xr:uid="{72658398-25A8-42A4-AA56-575DBAFAE551}"/>
  </cellStyles>
  <dxfs count="205"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179" formatCode="0_);[Red]\(0\)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179" formatCode="0_);[Red]\(0\)"/>
    </dxf>
    <dxf>
      <numFmt numFmtId="0" formatCode="General"/>
    </dxf>
    <dxf>
      <font>
        <b/>
        <sz val="10"/>
        <color auto="1"/>
        <name val="Arial"/>
        <family val="2"/>
        <scheme val="none"/>
      </font>
      <numFmt numFmtId="179" formatCode="0_);[Red]\(0\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79" formatCode="0_);[Red]\(0\)"/>
    </dxf>
    <dxf>
      <numFmt numFmtId="179" formatCode="0_);[Red]\(0\)"/>
    </dxf>
    <dxf>
      <numFmt numFmtId="179" formatCode="0_);[Red]\(0\)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14.182604530158084</c:v>
                </c:pt>
                <c:pt idx="15">
                  <c:v>13.993563734865461</c:v>
                </c:pt>
                <c:pt idx="16">
                  <c:v>13.698677540959409</c:v>
                </c:pt>
                <c:pt idx="17">
                  <c:v>13.30121411720064</c:v>
                </c:pt>
                <c:pt idx="18">
                  <c:v>12.781399056747393</c:v>
                </c:pt>
                <c:pt idx="19">
                  <c:v>12.14089842715466</c:v>
                </c:pt>
                <c:pt idx="20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B6-4DAB-8E04-29659096E00F}"/>
            </c:ext>
          </c:extLst>
        </c:ser>
        <c:ser>
          <c:idx val="1"/>
          <c:order val="1"/>
          <c:tx>
            <c:strRef>
              <c:f>Freeze_0!$A$58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B6-4DAB-8E04-29659096E00F}"/>
            </c:ext>
          </c:extLst>
        </c:ser>
        <c:ser>
          <c:idx val="2"/>
          <c:order val="2"/>
          <c:tx>
            <c:strRef>
              <c:f>Freeze_0!$A$59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B6-4DAB-8E04-29659096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14.182604530158084</c:v>
                </c:pt>
                <c:pt idx="15">
                  <c:v>13.993563734865461</c:v>
                </c:pt>
                <c:pt idx="16">
                  <c:v>13.698677540959409</c:v>
                </c:pt>
                <c:pt idx="17">
                  <c:v>13.30121411720064</c:v>
                </c:pt>
                <c:pt idx="18">
                  <c:v>12.781399056747393</c:v>
                </c:pt>
                <c:pt idx="19">
                  <c:v>12.14089842715466</c:v>
                </c:pt>
                <c:pt idx="20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9-407C-B658-5DA902C9239D}"/>
            </c:ext>
          </c:extLst>
        </c:ser>
        <c:ser>
          <c:idx val="1"/>
          <c:order val="1"/>
          <c:tx>
            <c:strRef>
              <c:f>Freeze_0!$A$58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99-407C-B658-5DA902C9239D}"/>
            </c:ext>
          </c:extLst>
        </c:ser>
        <c:ser>
          <c:idx val="2"/>
          <c:order val="2"/>
          <c:tx>
            <c:strRef>
              <c:f>Freeze_0!$A$59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99-407C-B658-5DA902C92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7.1912646963309301</c:v>
                </c:pt>
                <c:pt idx="15">
                  <c:v>7.0605167330214105</c:v>
                </c:pt>
                <c:pt idx="16">
                  <c:v>6.879340573051838</c:v>
                </c:pt>
                <c:pt idx="17">
                  <c:v>6.6525510732884463</c:v>
                </c:pt>
                <c:pt idx="18">
                  <c:v>6.3710470072779248</c:v>
                </c:pt>
                <c:pt idx="19">
                  <c:v>6.0364817530767318</c:v>
                </c:pt>
                <c:pt idx="20">
                  <c:v>5.6714565050818955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D7-471B-A05C-D037AA1FC58C}"/>
            </c:ext>
          </c:extLst>
        </c:ser>
        <c:ser>
          <c:idx val="1"/>
          <c:order val="1"/>
          <c:tx>
            <c:strRef>
              <c:f>Freeze_0!$A$63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D7-471B-A05C-D037AA1FC58C}"/>
            </c:ext>
          </c:extLst>
        </c:ser>
        <c:ser>
          <c:idx val="2"/>
          <c:order val="2"/>
          <c:tx>
            <c:strRef>
              <c:f>Freeze_0!$A$64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D7-471B-A05C-D037AA1F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6.9913398338271531</c:v>
                </c:pt>
                <c:pt idx="15">
                  <c:v>6.9330470018440513</c:v>
                </c:pt>
                <c:pt idx="16">
                  <c:v>6.8193369679075708</c:v>
                </c:pt>
                <c:pt idx="17">
                  <c:v>6.6486630439121948</c:v>
                </c:pt>
                <c:pt idx="18">
                  <c:v>6.4103520494694672</c:v>
                </c:pt>
                <c:pt idx="19">
                  <c:v>6.1044166740779282</c:v>
                </c:pt>
                <c:pt idx="20">
                  <c:v>5.7515466237304604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4-4CDE-99DA-A1E76BF43726}"/>
            </c:ext>
          </c:extLst>
        </c:ser>
        <c:ser>
          <c:idx val="1"/>
          <c:order val="1"/>
          <c:tx>
            <c:strRef>
              <c:f>Freeze_0!$A$68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C4-4CDE-99DA-A1E76BF43726}"/>
            </c:ext>
          </c:extLst>
        </c:ser>
        <c:ser>
          <c:idx val="2"/>
          <c:order val="2"/>
          <c:tx>
            <c:strRef>
              <c:f>Freeze_0!$A$69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C4-4CDE-99DA-A1E76BF4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1031.8866964301465</c:v>
                </c:pt>
                <c:pt idx="15">
                  <c:v>962.84743647961955</c:v>
                </c:pt>
                <c:pt idx="16">
                  <c:v>980.47598834600581</c:v>
                </c:pt>
                <c:pt idx="17">
                  <c:v>988.41993260619745</c:v>
                </c:pt>
                <c:pt idx="18">
                  <c:v>920.1116977289247</c:v>
                </c:pt>
                <c:pt idx="19">
                  <c:v>802.34493856117899</c:v>
                </c:pt>
                <c:pt idx="20">
                  <c:v>697.74425884826894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31-48C4-ADAC-542365C9D899}"/>
            </c:ext>
          </c:extLst>
        </c:ser>
        <c:ser>
          <c:idx val="1"/>
          <c:order val="1"/>
          <c:tx>
            <c:strRef>
              <c:f>Freeze_0!$A$73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31-48C4-ADAC-542365C9D899}"/>
            </c:ext>
          </c:extLst>
        </c:ser>
        <c:ser>
          <c:idx val="2"/>
          <c:order val="2"/>
          <c:tx>
            <c:strRef>
              <c:f>Freeze_0!$A$74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31-48C4-ADAC-542365C9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1121.3837566623758</c:v>
                </c:pt>
                <c:pt idx="15">
                  <c:v>1340.9290270648598</c:v>
                </c:pt>
                <c:pt idx="16">
                  <c:v>1570.2483761581111</c:v>
                </c:pt>
                <c:pt idx="17">
                  <c:v>1783.3467801237298</c:v>
                </c:pt>
                <c:pt idx="18">
                  <c:v>1959.7418186354232</c:v>
                </c:pt>
                <c:pt idx="19">
                  <c:v>2083.3461977466441</c:v>
                </c:pt>
                <c:pt idx="20">
                  <c:v>2133.5348555328774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8B-4CF4-AE4F-769D0CAAD46B}"/>
            </c:ext>
          </c:extLst>
        </c:ser>
        <c:ser>
          <c:idx val="1"/>
          <c:order val="1"/>
          <c:tx>
            <c:strRef>
              <c:f>Freeze_0!$A$78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8B-4CF4-AE4F-769D0CAAD46B}"/>
            </c:ext>
          </c:extLst>
        </c:ser>
        <c:ser>
          <c:idx val="2"/>
          <c:order val="2"/>
          <c:tx>
            <c:strRef>
              <c:f>Freeze_0!$A$79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8B-4CF4-AE4F-769D0CAA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18799.36011833146</c:v>
                </c:pt>
                <c:pt idx="9" formatCode="0">
                  <c:v>15835.34215434279</c:v>
                </c:pt>
                <c:pt idx="10" formatCode="0">
                  <c:v>14839.671845964151</c:v>
                </c:pt>
                <c:pt idx="11" formatCode="0">
                  <c:v>14623.456198165353</c:v>
                </c:pt>
                <c:pt idx="12" formatCode="0">
                  <c:v>14409.292410370635</c:v>
                </c:pt>
                <c:pt idx="13" formatCode="0">
                  <c:v>13519.571402003949</c:v>
                </c:pt>
                <c:pt idx="14" formatCode="0">
                  <c:v>12069.467649795772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9-4A16-A4E9-BBA63BBADDC0}"/>
            </c:ext>
          </c:extLst>
        </c:ser>
        <c:ser>
          <c:idx val="1"/>
          <c:order val="1"/>
          <c:tx>
            <c:strRef>
              <c:f>Freeze_0!$A$90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95165.267605389789</c:v>
                </c:pt>
                <c:pt idx="9" formatCode="0">
                  <c:v>90542.688939170504</c:v>
                </c:pt>
                <c:pt idx="10" formatCode="0">
                  <c:v>84890.18141785443</c:v>
                </c:pt>
                <c:pt idx="11" formatCode="0">
                  <c:v>80560.648401858256</c:v>
                </c:pt>
                <c:pt idx="12" formatCode="0">
                  <c:v>75379.057126219297</c:v>
                </c:pt>
                <c:pt idx="13" formatCode="0">
                  <c:v>68106.29147800713</c:v>
                </c:pt>
                <c:pt idx="14" formatCode="0">
                  <c:v>63937.605928427161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9-4A16-A4E9-BBA63BBADDC0}"/>
            </c:ext>
          </c:extLst>
        </c:ser>
        <c:ser>
          <c:idx val="2"/>
          <c:order val="2"/>
          <c:tx>
            <c:strRef>
              <c:f>Freeze_0!$A$91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27861.417577859589</c:v>
                </c:pt>
                <c:pt idx="9" formatCode="0">
                  <c:v>33557.606255141305</c:v>
                </c:pt>
                <c:pt idx="10" formatCode="0">
                  <c:v>37256.922145775497</c:v>
                </c:pt>
                <c:pt idx="11" formatCode="0">
                  <c:v>37828.036571982797</c:v>
                </c:pt>
                <c:pt idx="12" formatCode="0">
                  <c:v>38025.641030883962</c:v>
                </c:pt>
                <c:pt idx="13" formatCode="0">
                  <c:v>39783.121391535518</c:v>
                </c:pt>
                <c:pt idx="14" formatCode="0">
                  <c:v>38222.957709900613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9-4A16-A4E9-BBA63BBA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9733.6306710620665</c:v>
                </c:pt>
                <c:pt idx="3">
                  <c:v>8108.6865204019859</c:v>
                </c:pt>
                <c:pt idx="4">
                  <c:v>7598.9275378840866</c:v>
                </c:pt>
                <c:pt idx="5">
                  <c:v>7488.2472204224523</c:v>
                </c:pt>
                <c:pt idx="6">
                  <c:v>7378.5278306516575</c:v>
                </c:pt>
                <c:pt idx="7">
                  <c:v>6922.8593539357335</c:v>
                </c:pt>
                <c:pt idx="8">
                  <c:v>6180.2882338653635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0-4208-BD4C-5CF3EE364656}"/>
            </c:ext>
          </c:extLst>
        </c:ser>
        <c:ser>
          <c:idx val="1"/>
          <c:order val="1"/>
          <c:tx>
            <c:strRef>
              <c:f>Freeze_0!$A$37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46956.139781799546</c:v>
                </c:pt>
                <c:pt idx="4">
                  <c:v>44065.29022158197</c:v>
                </c:pt>
                <c:pt idx="5">
                  <c:v>41808.855856722002</c:v>
                </c:pt>
                <c:pt idx="6">
                  <c:v>39115.494111970926</c:v>
                </c:pt>
                <c:pt idx="7">
                  <c:v>35405.878843893814</c:v>
                </c:pt>
                <c:pt idx="8">
                  <c:v>33174.988573637303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0-4208-BD4C-5CF3EE364656}"/>
            </c:ext>
          </c:extLst>
        </c:ser>
        <c:ser>
          <c:idx val="2"/>
          <c:order val="2"/>
          <c:tx>
            <c:strRef>
              <c:f>Freeze_0!$A$38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12999.021190553098</c:v>
                </c:pt>
                <c:pt idx="3">
                  <c:v>15540.341028012574</c:v>
                </c:pt>
                <c:pt idx="4">
                  <c:v>17129.187971052317</c:v>
                </c:pt>
                <c:pt idx="5">
                  <c:v>17228.40765574</c:v>
                </c:pt>
                <c:pt idx="6">
                  <c:v>17216.448130156656</c:v>
                </c:pt>
                <c:pt idx="7">
                  <c:v>18036.079332937767</c:v>
                </c:pt>
                <c:pt idx="8">
                  <c:v>17359.288243316274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A0-4208-BD4C-5CF3EE364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9065.7294472693957</c:v>
                </c:pt>
                <c:pt idx="3">
                  <c:v>7726.6556339408053</c:v>
                </c:pt>
                <c:pt idx="4">
                  <c:v>7240.744308080064</c:v>
                </c:pt>
                <c:pt idx="5">
                  <c:v>7135.2089777429001</c:v>
                </c:pt>
                <c:pt idx="6">
                  <c:v>7030.7645797189771</c:v>
                </c:pt>
                <c:pt idx="7">
                  <c:v>6596.7120480682152</c:v>
                </c:pt>
                <c:pt idx="8">
                  <c:v>5889.1794159304081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F-4C52-996B-ECBD44CD68AD}"/>
            </c:ext>
          </c:extLst>
        </c:ser>
        <c:ser>
          <c:idx val="1"/>
          <c:order val="1"/>
          <c:tx>
            <c:strRef>
              <c:f>Freeze_0!$A$37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45985.27250369564</c:v>
                </c:pt>
                <c:pt idx="3">
                  <c:v>43586.549157370959</c:v>
                </c:pt>
                <c:pt idx="4">
                  <c:v>40824.89119627246</c:v>
                </c:pt>
                <c:pt idx="5">
                  <c:v>38751.792545136253</c:v>
                </c:pt>
                <c:pt idx="6">
                  <c:v>36263.563014248371</c:v>
                </c:pt>
                <c:pt idx="7">
                  <c:v>32700.412634113316</c:v>
                </c:pt>
                <c:pt idx="8">
                  <c:v>30762.617354789854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F-4C52-996B-ECBD44CD68AD}"/>
            </c:ext>
          </c:extLst>
        </c:ser>
        <c:ser>
          <c:idx val="2"/>
          <c:order val="2"/>
          <c:tx>
            <c:strRef>
              <c:f>Freeze_0!$A$38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14862.396387306493</c:v>
                </c:pt>
                <c:pt idx="3">
                  <c:v>18017.265227128733</c:v>
                </c:pt>
                <c:pt idx="4">
                  <c:v>20127.73417472318</c:v>
                </c:pt>
                <c:pt idx="5">
                  <c:v>20599.628916242793</c:v>
                </c:pt>
                <c:pt idx="6">
                  <c:v>20809.192900727307</c:v>
                </c:pt>
                <c:pt idx="7">
                  <c:v>21747.042058597748</c:v>
                </c:pt>
                <c:pt idx="8">
                  <c:v>20863.669466584335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F-4C52-996B-ECBD44CD6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14.182597477743004</c:v>
                </c:pt>
                <c:pt idx="15">
                  <c:v>13.993547008592643</c:v>
                </c:pt>
                <c:pt idx="16">
                  <c:v>13.698641760829592</c:v>
                </c:pt>
                <c:pt idx="17">
                  <c:v>13.300461648643896</c:v>
                </c:pt>
                <c:pt idx="18">
                  <c:v>12.776650765103168</c:v>
                </c:pt>
                <c:pt idx="19">
                  <c:v>12.127404388142098</c:v>
                </c:pt>
                <c:pt idx="20">
                  <c:v>11.397933121259307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8C-45B2-A698-BAE99214E731}"/>
            </c:ext>
          </c:extLst>
        </c:ser>
        <c:ser>
          <c:idx val="1"/>
          <c:order val="1"/>
          <c:tx>
            <c:strRef>
              <c:f>Freeze_1!$A$58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8C-45B2-A698-BAE99214E731}"/>
            </c:ext>
          </c:extLst>
        </c:ser>
        <c:ser>
          <c:idx val="2"/>
          <c:order val="2"/>
          <c:tx>
            <c:strRef>
              <c:f>Freeze_1!$A$59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8C-45B2-A698-BAE99214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14.182597477743004</c:v>
                </c:pt>
                <c:pt idx="15">
                  <c:v>13.993547008592643</c:v>
                </c:pt>
                <c:pt idx="16">
                  <c:v>13.698641760829592</c:v>
                </c:pt>
                <c:pt idx="17">
                  <c:v>13.300461648643896</c:v>
                </c:pt>
                <c:pt idx="18">
                  <c:v>12.776650765103168</c:v>
                </c:pt>
                <c:pt idx="19">
                  <c:v>12.127404388142098</c:v>
                </c:pt>
                <c:pt idx="20">
                  <c:v>11.397933121259307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B-44C6-9636-8DA83F7503F9}"/>
            </c:ext>
          </c:extLst>
        </c:ser>
        <c:ser>
          <c:idx val="1"/>
          <c:order val="1"/>
          <c:tx>
            <c:strRef>
              <c:f>Freeze_1!$A$58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5B-44C6-9636-8DA83F7503F9}"/>
            </c:ext>
          </c:extLst>
        </c:ser>
        <c:ser>
          <c:idx val="2"/>
          <c:order val="2"/>
          <c:tx>
            <c:strRef>
              <c:f>Freeze_1!$A$59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5B-44C6-9636-8DA83F75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7.2600387152446224</c:v>
                </c:pt>
                <c:pt idx="14">
                  <c:v>7.2132524634117354</c:v>
                </c:pt>
                <c:pt idx="15">
                  <c:v>7.0920442564849333</c:v>
                </c:pt>
                <c:pt idx="16">
                  <c:v>6.9205684721260941</c:v>
                </c:pt>
                <c:pt idx="17">
                  <c:v>6.7031688823096971</c:v>
                </c:pt>
                <c:pt idx="18">
                  <c:v>6.4286098907796987</c:v>
                </c:pt>
                <c:pt idx="19">
                  <c:v>6.0972694147284878</c:v>
                </c:pt>
                <c:pt idx="20">
                  <c:v>5.7328953684019419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8-4079-940D-A377A689D4C8}"/>
            </c:ext>
          </c:extLst>
        </c:ser>
        <c:ser>
          <c:idx val="1"/>
          <c:order val="1"/>
          <c:tx>
            <c:strRef>
              <c:f>Freeze_1!$A$63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E8-4079-940D-A377A689D4C8}"/>
            </c:ext>
          </c:extLst>
        </c:ser>
        <c:ser>
          <c:idx val="2"/>
          <c:order val="2"/>
          <c:tx>
            <c:strRef>
              <c:f>Freeze_1!$A$64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E8-4079-940D-A377A689D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6.9673143450295774</c:v>
                </c:pt>
                <c:pt idx="14">
                  <c:v>6.9693450143312683</c:v>
                </c:pt>
                <c:pt idx="15">
                  <c:v>6.9015027521077092</c:v>
                </c:pt>
                <c:pt idx="16">
                  <c:v>6.7780732887034985</c:v>
                </c:pt>
                <c:pt idx="17">
                  <c:v>6.5972927663342</c:v>
                </c:pt>
                <c:pt idx="18">
                  <c:v>6.3480408743234698</c:v>
                </c:pt>
                <c:pt idx="19">
                  <c:v>6.0301349734136105</c:v>
                </c:pt>
                <c:pt idx="20">
                  <c:v>5.6650377528573657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8B-42EE-B994-22772B79169B}"/>
            </c:ext>
          </c:extLst>
        </c:ser>
        <c:ser>
          <c:idx val="1"/>
          <c:order val="1"/>
          <c:tx>
            <c:strRef>
              <c:f>Freeze_1!$A$68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8B-42EE-B994-22772B79169B}"/>
            </c:ext>
          </c:extLst>
        </c:ser>
        <c:ser>
          <c:idx val="2"/>
          <c:order val="2"/>
          <c:tx>
            <c:strRef>
              <c:f>Freeze_1!$A$69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8B-42EE-B994-22772B791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</c:v>
                </c:pt>
                <c:pt idx="14">
                  <c:v>1031.8866964301478</c:v>
                </c:pt>
                <c:pt idx="15">
                  <c:v>962.84743647962</c:v>
                </c:pt>
                <c:pt idx="16">
                  <c:v>980.46251985132608</c:v>
                </c:pt>
                <c:pt idx="17">
                  <c:v>987.0357463362659</c:v>
                </c:pt>
                <c:pt idx="18">
                  <c:v>912.19395270963196</c:v>
                </c:pt>
                <c:pt idx="19">
                  <c:v>784.94292022545392</c:v>
                </c:pt>
                <c:pt idx="20">
                  <c:v>674.69292610629793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C0-4D32-A9C6-8FFD961C5096}"/>
            </c:ext>
          </c:extLst>
        </c:ser>
        <c:ser>
          <c:idx val="1"/>
          <c:order val="1"/>
          <c:tx>
            <c:strRef>
              <c:f>Freeze_1!$A$73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C0-4D32-A9C6-8FFD961C5096}"/>
            </c:ext>
          </c:extLst>
        </c:ser>
        <c:ser>
          <c:idx val="2"/>
          <c:order val="2"/>
          <c:tx>
            <c:strRef>
              <c:f>Freeze_1!$A$74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C0-4D32-A9C6-8FFD961C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Freeze_1!$A$77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1121.3978614925384</c:v>
                </c:pt>
                <c:pt idx="15">
                  <c:v>1340.9483747803426</c:v>
                </c:pt>
                <c:pt idx="16">
                  <c:v>1570.2730153774262</c:v>
                </c:pt>
                <c:pt idx="17">
                  <c:v>1783.3959707076597</c:v>
                </c:pt>
                <c:pt idx="18">
                  <c:v>1959.8157197910882</c:v>
                </c:pt>
                <c:pt idx="19">
                  <c:v>2083.435674147594</c:v>
                </c:pt>
                <c:pt idx="20">
                  <c:v>2133.6354598718785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B-492C-A733-E7D132FECE70}"/>
            </c:ext>
          </c:extLst>
        </c:ser>
        <c:ser>
          <c:idx val="1"/>
          <c:order val="1"/>
          <c:tx>
            <c:strRef>
              <c:f>Freeze_1!$A$78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5B-492C-A733-E7D132FECE70}"/>
            </c:ext>
          </c:extLst>
        </c:ser>
        <c:ser>
          <c:idx val="2"/>
          <c:order val="2"/>
          <c:tx>
            <c:strRef>
              <c:f>Freeze_1!$A$79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Freeze_1!$B$76:$V$76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Freeze_1!$B$79:$V$79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5B-492C-A733-E7D132FE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18799.289594180671</c:v>
                </c:pt>
                <c:pt idx="9" formatCode="0">
                  <c:v>15835.174891614561</c:v>
                </c:pt>
                <c:pt idx="10" formatCode="0">
                  <c:v>14839.454656014059</c:v>
                </c:pt>
                <c:pt idx="11" formatCode="0">
                  <c:v>14616.323417396159</c:v>
                </c:pt>
                <c:pt idx="12" formatCode="0">
                  <c:v>14362.591190692619</c:v>
                </c:pt>
                <c:pt idx="13" formatCode="0">
                  <c:v>13386.06390553715</c:v>
                </c:pt>
                <c:pt idx="14" formatCode="0">
                  <c:v>11827.92338713945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9-4B49-A4AE-F826D8C15383}"/>
            </c:ext>
          </c:extLst>
        </c:ser>
        <c:ser>
          <c:idx val="1"/>
          <c:order val="1"/>
          <c:tx>
            <c:strRef>
              <c:f>Freeze_1!$A$90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95165.267605389759</c:v>
                </c:pt>
                <c:pt idx="9" formatCode="0">
                  <c:v>90542.688939170519</c:v>
                </c:pt>
                <c:pt idx="10" formatCode="0">
                  <c:v>84890.040806506382</c:v>
                </c:pt>
                <c:pt idx="11" formatCode="0">
                  <c:v>80560.256497060036</c:v>
                </c:pt>
                <c:pt idx="12" formatCode="0">
                  <c:v>75378.275429455127</c:v>
                </c:pt>
                <c:pt idx="13" formatCode="0">
                  <c:v>68104.858584348302</c:v>
                </c:pt>
                <c:pt idx="14" formatCode="0">
                  <c:v>63928.450115553045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9-4B49-A4AE-F826D8C15383}"/>
            </c:ext>
          </c:extLst>
        </c:ser>
        <c:ser>
          <c:idx val="2"/>
          <c:order val="2"/>
          <c:tx>
            <c:strRef>
              <c:f>Freeze_1!$A$91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Freeze_1!$H$91:$V$91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27861.417577859593</c:v>
                </c:pt>
                <c:pt idx="9" formatCode="0">
                  <c:v>33557.60625514132</c:v>
                </c:pt>
                <c:pt idx="10" formatCode="0">
                  <c:v>37256.92214577549</c:v>
                </c:pt>
                <c:pt idx="11" formatCode="0">
                  <c:v>37828.036571982782</c:v>
                </c:pt>
                <c:pt idx="12" formatCode="0">
                  <c:v>38025.64103088394</c:v>
                </c:pt>
                <c:pt idx="13" formatCode="0">
                  <c:v>39783.121391535518</c:v>
                </c:pt>
                <c:pt idx="14" formatCode="0">
                  <c:v>38222.957709900584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99-4B49-A4AE-F826D8C1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12020.14163105622</c:v>
                </c:pt>
                <c:pt idx="2">
                  <c:v>9953.5083418701197</c:v>
                </c:pt>
                <c:pt idx="3">
                  <c:v>8423.9617550372004</c:v>
                </c:pt>
                <c:pt idx="4">
                  <c:v>7894.3469122882098</c:v>
                </c:pt>
                <c:pt idx="5">
                  <c:v>7775.6806439222391</c:v>
                </c:pt>
                <c:pt idx="6">
                  <c:v>7640.6426095317693</c:v>
                </c:pt>
                <c:pt idx="7">
                  <c:v>7121.0713516945098</c:v>
                </c:pt>
                <c:pt idx="8">
                  <c:v>6292.1481627674502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9-4ED4-97C5-4D98EDD7846F}"/>
            </c:ext>
          </c:extLst>
        </c:ser>
        <c:ser>
          <c:idx val="1"/>
          <c:order val="1"/>
          <c:tx>
            <c:strRef>
              <c:f>Freeze_1!$A$37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46956.139781799538</c:v>
                </c:pt>
                <c:pt idx="4">
                  <c:v>44182.149837920406</c:v>
                </c:pt>
                <c:pt idx="5">
                  <c:v>42027.600523434747</c:v>
                </c:pt>
                <c:pt idx="6">
                  <c:v>39429.008168108579</c:v>
                </c:pt>
                <c:pt idx="7">
                  <c:v>35815.543462652582</c:v>
                </c:pt>
                <c:pt idx="8">
                  <c:v>33677.517277935716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9-4ED4-97C5-4D98EDD7846F}"/>
            </c:ext>
          </c:extLst>
        </c:ser>
        <c:ser>
          <c:idx val="2"/>
          <c:order val="2"/>
          <c:tx>
            <c:strRef>
              <c:f>Freeze_1!$A$38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12999.021190553101</c:v>
                </c:pt>
                <c:pt idx="3">
                  <c:v>15540.341028012577</c:v>
                </c:pt>
                <c:pt idx="4">
                  <c:v>17129.18797105231</c:v>
                </c:pt>
                <c:pt idx="5">
                  <c:v>17228.407655739986</c:v>
                </c:pt>
                <c:pt idx="6">
                  <c:v>17216.448130156645</c:v>
                </c:pt>
                <c:pt idx="7">
                  <c:v>18036.079332937774</c:v>
                </c:pt>
                <c:pt idx="8">
                  <c:v>17359.288243316259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9-4ED4-97C5-4D98EDD78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Freeze_1!$A$36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10662.022252305778</c:v>
                </c:pt>
                <c:pt idx="2">
                  <c:v>8845.7812523105495</c:v>
                </c:pt>
                <c:pt idx="3">
                  <c:v>7411.2131365773603</c:v>
                </c:pt>
                <c:pt idx="4">
                  <c:v>6945.10774372585</c:v>
                </c:pt>
                <c:pt idx="5">
                  <c:v>6840.64277347392</c:v>
                </c:pt>
                <c:pt idx="6">
                  <c:v>6721.9485811608511</c:v>
                </c:pt>
                <c:pt idx="7">
                  <c:v>6264.9925538426396</c:v>
                </c:pt>
                <c:pt idx="8">
                  <c:v>5535.7752243719997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8-461B-8B8F-85169E8136FB}"/>
            </c:ext>
          </c:extLst>
        </c:ser>
        <c:ser>
          <c:idx val="1"/>
          <c:order val="1"/>
          <c:tx>
            <c:strRef>
              <c:f>Freeze_1!$A$37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45985.272503695625</c:v>
                </c:pt>
                <c:pt idx="3">
                  <c:v>43586.549157370981</c:v>
                </c:pt>
                <c:pt idx="4">
                  <c:v>40707.890968585984</c:v>
                </c:pt>
                <c:pt idx="5">
                  <c:v>38532.655973625282</c:v>
                </c:pt>
                <c:pt idx="6">
                  <c:v>35949.26726134654</c:v>
                </c:pt>
                <c:pt idx="7">
                  <c:v>32289.315121695719</c:v>
                </c:pt>
                <c:pt idx="8">
                  <c:v>30250.932837617333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8-461B-8B8F-85169E8136FB}"/>
            </c:ext>
          </c:extLst>
        </c:ser>
        <c:ser>
          <c:idx val="2"/>
          <c:order val="2"/>
          <c:tx>
            <c:strRef>
              <c:f>Freeze_1!$A$38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Freeze_1!$B$35:$J$35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Freeze_1!$B$38:$J$38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14862.396387306491</c:v>
                </c:pt>
                <c:pt idx="3">
                  <c:v>18017.265227128741</c:v>
                </c:pt>
                <c:pt idx="4">
                  <c:v>20127.734174723177</c:v>
                </c:pt>
                <c:pt idx="5">
                  <c:v>20599.628916242793</c:v>
                </c:pt>
                <c:pt idx="6">
                  <c:v>20809.192900727296</c:v>
                </c:pt>
                <c:pt idx="7">
                  <c:v>21747.042058597741</c:v>
                </c:pt>
                <c:pt idx="8">
                  <c:v>20863.669466584324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8-461B-8B8F-85169E81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14.182591874336239</c:v>
                </c:pt>
                <c:pt idx="15">
                  <c:v>13.993533718945159</c:v>
                </c:pt>
                <c:pt idx="16">
                  <c:v>13.698613332182216</c:v>
                </c:pt>
                <c:pt idx="17">
                  <c:v>13.299863784430688</c:v>
                </c:pt>
                <c:pt idx="18">
                  <c:v>12.77287808229069</c:v>
                </c:pt>
                <c:pt idx="19">
                  <c:v>12.116682956396357</c:v>
                </c:pt>
                <c:pt idx="20">
                  <c:v>11.378014361119405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5-4531-9DA7-CA8A12DEA6EA}"/>
            </c:ext>
          </c:extLst>
        </c:ser>
        <c:ser>
          <c:idx val="1"/>
          <c:order val="1"/>
          <c:tx>
            <c:strRef>
              <c:f>Freeze_2!$A$58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5-4531-9DA7-CA8A12DEA6EA}"/>
            </c:ext>
          </c:extLst>
        </c:ser>
        <c:ser>
          <c:idx val="2"/>
          <c:order val="2"/>
          <c:tx>
            <c:strRef>
              <c:f>Freeze_2!$A$59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5-4531-9DA7-CA8A12DE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14.227353060274201</c:v>
                </c:pt>
                <c:pt idx="14">
                  <c:v>14.182591874336239</c:v>
                </c:pt>
                <c:pt idx="15">
                  <c:v>13.993533718945159</c:v>
                </c:pt>
                <c:pt idx="16">
                  <c:v>13.698613332182216</c:v>
                </c:pt>
                <c:pt idx="17">
                  <c:v>13.299863784430688</c:v>
                </c:pt>
                <c:pt idx="18">
                  <c:v>12.77287808229069</c:v>
                </c:pt>
                <c:pt idx="19">
                  <c:v>12.116682956396357</c:v>
                </c:pt>
                <c:pt idx="20">
                  <c:v>11.378014361119405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F7-4119-9B2A-B9954297CF00}"/>
            </c:ext>
          </c:extLst>
        </c:ser>
        <c:ser>
          <c:idx val="1"/>
          <c:order val="1"/>
          <c:tx>
            <c:strRef>
              <c:f>Freeze_2!$A$58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F7-4119-9B2A-B9954297CF00}"/>
            </c:ext>
          </c:extLst>
        </c:ser>
        <c:ser>
          <c:idx val="2"/>
          <c:order val="2"/>
          <c:tx>
            <c:strRef>
              <c:f>Freeze_2!$A$59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F7-4119-9B2A-B9954297C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7.2693777265212276</c:v>
                </c:pt>
                <c:pt idx="14">
                  <c:v>7.2307225642829014</c:v>
                </c:pt>
                <c:pt idx="15">
                  <c:v>7.1170940495403876</c:v>
                </c:pt>
                <c:pt idx="16">
                  <c:v>6.9533253841131888</c:v>
                </c:pt>
                <c:pt idx="17">
                  <c:v>6.7433667765991343</c:v>
                </c:pt>
                <c:pt idx="18">
                  <c:v>6.4742135625956765</c:v>
                </c:pt>
                <c:pt idx="19">
                  <c:v>6.1451886413945447</c:v>
                </c:pt>
                <c:pt idx="20">
                  <c:v>5.7810057429205512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D-4786-84B8-4D74757F097A}"/>
            </c:ext>
          </c:extLst>
        </c:ser>
        <c:ser>
          <c:idx val="1"/>
          <c:order val="1"/>
          <c:tx>
            <c:strRef>
              <c:f>Freeze_2!$A$63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D-4786-84B8-4D74757F097A}"/>
            </c:ext>
          </c:extLst>
        </c:ser>
        <c:ser>
          <c:idx val="2"/>
          <c:order val="2"/>
          <c:tx>
            <c:strRef>
              <c:f>Freeze_2!$A$64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D-4786-84B8-4D74757F0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6.9579753337529722</c:v>
                </c:pt>
                <c:pt idx="14">
                  <c:v>6.951869310053338</c:v>
                </c:pt>
                <c:pt idx="15">
                  <c:v>6.8764396694047702</c:v>
                </c:pt>
                <c:pt idx="16">
                  <c:v>6.7452879480690262</c:v>
                </c:pt>
                <c:pt idx="17">
                  <c:v>6.5564970078315534</c:v>
                </c:pt>
                <c:pt idx="18">
                  <c:v>6.2986645196950137</c:v>
                </c:pt>
                <c:pt idx="19">
                  <c:v>5.9714943150018129</c:v>
                </c:pt>
                <c:pt idx="20">
                  <c:v>5.5970086181988536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D-4570-B08A-CA8093D316BA}"/>
            </c:ext>
          </c:extLst>
        </c:ser>
        <c:ser>
          <c:idx val="1"/>
          <c:order val="1"/>
          <c:tx>
            <c:strRef>
              <c:f>Freeze_2!$A$68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0D-4570-B08A-CA8093D316BA}"/>
            </c:ext>
          </c:extLst>
        </c:ser>
        <c:ser>
          <c:idx val="2"/>
          <c:order val="2"/>
          <c:tx>
            <c:strRef>
              <c:f>Freeze_2!$A$69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0D-4570-B08A-CA8093D31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</c:v>
                </c:pt>
                <c:pt idx="14">
                  <c:v>1031.886696430148</c:v>
                </c:pt>
                <c:pt idx="15">
                  <c:v>962.84743647962</c:v>
                </c:pt>
                <c:pt idx="16">
                  <c:v>980.45181863006394</c:v>
                </c:pt>
                <c:pt idx="17">
                  <c:v>985.9359587283941</c:v>
                </c:pt>
                <c:pt idx="18">
                  <c:v>905.90300903850402</c:v>
                </c:pt>
                <c:pt idx="19">
                  <c:v>771.11636795428012</c:v>
                </c:pt>
                <c:pt idx="20">
                  <c:v>656.37782750226404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6-40FE-A5F2-F50DA0C60EAC}"/>
            </c:ext>
          </c:extLst>
        </c:ser>
        <c:ser>
          <c:idx val="1"/>
          <c:order val="1"/>
          <c:tx>
            <c:strRef>
              <c:f>Freeze_2!$A$73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06-40FE-A5F2-F50DA0C60EAC}"/>
            </c:ext>
          </c:extLst>
        </c:ser>
        <c:ser>
          <c:idx val="2"/>
          <c:order val="2"/>
          <c:tx>
            <c:strRef>
              <c:f>Freeze_2!$A$74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06-40FE-A5F2-F50DA0C60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Freeze_2!$A$77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1121.409068306067</c:v>
                </c:pt>
                <c:pt idx="15">
                  <c:v>1340.9637472617817</c:v>
                </c:pt>
                <c:pt idx="16">
                  <c:v>1570.2925921559524</c:v>
                </c:pt>
                <c:pt idx="17">
                  <c:v>1783.4350542314482</c:v>
                </c:pt>
                <c:pt idx="18">
                  <c:v>1959.8744133184982</c:v>
                </c:pt>
                <c:pt idx="19">
                  <c:v>2083.5066197429442</c:v>
                </c:pt>
                <c:pt idx="20">
                  <c:v>2133.7150180561684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37-4FC8-A608-C5805D8A4C69}"/>
            </c:ext>
          </c:extLst>
        </c:ser>
        <c:ser>
          <c:idx val="1"/>
          <c:order val="1"/>
          <c:tx>
            <c:strRef>
              <c:f>Freeze_2!$A$78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37-4FC8-A608-C5805D8A4C69}"/>
            </c:ext>
          </c:extLst>
        </c:ser>
        <c:ser>
          <c:idx val="2"/>
          <c:order val="2"/>
          <c:tx>
            <c:strRef>
              <c:f>Freeze_2!$A$79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Freeze_2!$B$76:$V$76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Freeze_2!$B$79:$V$79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37-4FC8-A608-C5805D8A4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22682.163883362002</c:v>
                </c:pt>
                <c:pt idx="8" formatCode="0">
                  <c:v>18799.233560113022</c:v>
                </c:pt>
                <c:pt idx="9" formatCode="0">
                  <c:v>15835.04199513972</c:v>
                </c:pt>
                <c:pt idx="10" formatCode="0">
                  <c:v>14839.282090499721</c:v>
                </c:pt>
                <c:pt idx="11" formatCode="0">
                  <c:v>14610.65615824041</c:v>
                </c:pt>
                <c:pt idx="12" formatCode="0">
                  <c:v>14325.485449796492</c:v>
                </c:pt>
                <c:pt idx="13" formatCode="0">
                  <c:v>13279.988073236858</c:v>
                </c:pt>
                <c:pt idx="14" formatCode="0">
                  <c:v>11636.010181020731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5-4BBB-9599-F19A8750B3C4}"/>
            </c:ext>
          </c:extLst>
        </c:ser>
        <c:ser>
          <c:idx val="1"/>
          <c:order val="1"/>
          <c:tx>
            <c:strRef>
              <c:f>Freeze_2!$A$90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95165.267605389759</c:v>
                </c:pt>
                <c:pt idx="9" formatCode="0">
                  <c:v>90542.688939170519</c:v>
                </c:pt>
                <c:pt idx="10" formatCode="0">
                  <c:v>84889.92908554693</c:v>
                </c:pt>
                <c:pt idx="11" formatCode="0">
                  <c:v>80559.945114083705</c:v>
                </c:pt>
                <c:pt idx="12" formatCode="0">
                  <c:v>75377.65434222648</c:v>
                </c:pt>
                <c:pt idx="13" formatCode="0">
                  <c:v>68103.720099191196</c:v>
                </c:pt>
                <c:pt idx="14" formatCode="0">
                  <c:v>63921.175720272739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5-4BBB-9599-F19A8750B3C4}"/>
            </c:ext>
          </c:extLst>
        </c:ser>
        <c:ser>
          <c:idx val="2"/>
          <c:order val="2"/>
          <c:tx>
            <c:strRef>
              <c:f>Freeze_2!$A$91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Freeze_2!$H$91:$V$91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27861.417577859593</c:v>
                </c:pt>
                <c:pt idx="9" formatCode="0">
                  <c:v>33557.60625514132</c:v>
                </c:pt>
                <c:pt idx="10" formatCode="0">
                  <c:v>37256.92214577549</c:v>
                </c:pt>
                <c:pt idx="11" formatCode="0">
                  <c:v>37828.036571982782</c:v>
                </c:pt>
                <c:pt idx="12" formatCode="0">
                  <c:v>38025.64103088394</c:v>
                </c:pt>
                <c:pt idx="13" formatCode="0">
                  <c:v>39783.121391535518</c:v>
                </c:pt>
                <c:pt idx="14" formatCode="0">
                  <c:v>38222.957709900584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5-4BBB-9599-F19A8750B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12113.53174382227</c:v>
                </c:pt>
                <c:pt idx="2">
                  <c:v>10128.20935058177</c:v>
                </c:pt>
                <c:pt idx="3">
                  <c:v>8674.4596855917498</c:v>
                </c:pt>
                <c:pt idx="4">
                  <c:v>8129.0667092745307</c:v>
                </c:pt>
                <c:pt idx="5">
                  <c:v>8003.8587921085</c:v>
                </c:pt>
                <c:pt idx="6">
                  <c:v>7847.5807191277909</c:v>
                </c:pt>
                <c:pt idx="7">
                  <c:v>7274.7717034425286</c:v>
                </c:pt>
                <c:pt idx="8">
                  <c:v>6374.1713915233795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F-4D8A-AF8D-53543376B1E9}"/>
            </c:ext>
          </c:extLst>
        </c:ser>
        <c:ser>
          <c:idx val="1"/>
          <c:order val="1"/>
          <c:tx>
            <c:strRef>
              <c:f>Freeze_2!$A$37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49179.995101694141</c:v>
                </c:pt>
                <c:pt idx="3">
                  <c:v>46956.139781799538</c:v>
                </c:pt>
                <c:pt idx="4">
                  <c:v>44274.999160805033</c:v>
                </c:pt>
                <c:pt idx="5">
                  <c:v>42201.401318142867</c:v>
                </c:pt>
                <c:pt idx="6">
                  <c:v>39678.106776672335</c:v>
                </c:pt>
                <c:pt idx="7">
                  <c:v>36141.035377565138</c:v>
                </c:pt>
                <c:pt idx="8">
                  <c:v>34076.597794365873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F-4D8A-AF8D-53543376B1E9}"/>
            </c:ext>
          </c:extLst>
        </c:ser>
        <c:ser>
          <c:idx val="2"/>
          <c:order val="2"/>
          <c:tx>
            <c:strRef>
              <c:f>Freeze_2!$A$38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12999.021190553101</c:v>
                </c:pt>
                <c:pt idx="3">
                  <c:v>15540.341028012577</c:v>
                </c:pt>
                <c:pt idx="4">
                  <c:v>17129.18797105231</c:v>
                </c:pt>
                <c:pt idx="5">
                  <c:v>17228.407655739986</c:v>
                </c:pt>
                <c:pt idx="6">
                  <c:v>17216.448130156645</c:v>
                </c:pt>
                <c:pt idx="7">
                  <c:v>18036.079332937774</c:v>
                </c:pt>
                <c:pt idx="8">
                  <c:v>17359.288243316259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F-4D8A-AF8D-53543376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Freeze_2!$A$36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10568.63213953973</c:v>
                </c:pt>
                <c:pt idx="2">
                  <c:v>8671.0242095312515</c:v>
                </c:pt>
                <c:pt idx="3">
                  <c:v>7160.58230954797</c:v>
                </c:pt>
                <c:pt idx="4">
                  <c:v>6710.21538122519</c:v>
                </c:pt>
                <c:pt idx="5">
                  <c:v>6606.7973661319111</c:v>
                </c:pt>
                <c:pt idx="6">
                  <c:v>6477.9047306686998</c:v>
                </c:pt>
                <c:pt idx="7">
                  <c:v>6005.2163697943297</c:v>
                </c:pt>
                <c:pt idx="8">
                  <c:v>5261.8387894973503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4-4F38-9ACD-2C991B12D2D4}"/>
            </c:ext>
          </c:extLst>
        </c:ser>
        <c:ser>
          <c:idx val="1"/>
          <c:order val="1"/>
          <c:tx>
            <c:strRef>
              <c:f>Freeze_2!$A$37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45985.272503695625</c:v>
                </c:pt>
                <c:pt idx="3">
                  <c:v>43586.549157370981</c:v>
                </c:pt>
                <c:pt idx="4">
                  <c:v>40614.929924741897</c:v>
                </c:pt>
                <c:pt idx="5">
                  <c:v>38358.54379594083</c:v>
                </c:pt>
                <c:pt idx="6">
                  <c:v>35699.547565554138</c:v>
                </c:pt>
                <c:pt idx="7">
                  <c:v>31962.684721626054</c:v>
                </c:pt>
                <c:pt idx="8">
                  <c:v>29844.577925906866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4-4F38-9ACD-2C991B12D2D4}"/>
            </c:ext>
          </c:extLst>
        </c:ser>
        <c:ser>
          <c:idx val="2"/>
          <c:order val="2"/>
          <c:tx>
            <c:strRef>
              <c:f>Freeze_2!$A$38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Freeze_2!$B$35:$J$35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Freeze_2!$B$38:$J$38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14862.396387306491</c:v>
                </c:pt>
                <c:pt idx="3">
                  <c:v>18017.265227128741</c:v>
                </c:pt>
                <c:pt idx="4">
                  <c:v>20127.734174723177</c:v>
                </c:pt>
                <c:pt idx="5">
                  <c:v>20599.628916242793</c:v>
                </c:pt>
                <c:pt idx="6">
                  <c:v>20809.192900727296</c:v>
                </c:pt>
                <c:pt idx="7">
                  <c:v>21747.042058597741</c:v>
                </c:pt>
                <c:pt idx="8">
                  <c:v>20863.669466584324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4-4F38-9ACD-2C991B12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14.092440139552112</c:v>
                </c:pt>
                <c:pt idx="15">
                  <c:v>13.812293328156493</c:v>
                </c:pt>
                <c:pt idx="16">
                  <c:v>13.421932705052992</c:v>
                </c:pt>
                <c:pt idx="17">
                  <c:v>12.974748649494828</c:v>
                </c:pt>
                <c:pt idx="18">
                  <c:v>12.459401967938039</c:v>
                </c:pt>
                <c:pt idx="19">
                  <c:v>11.852390183949188</c:v>
                </c:pt>
                <c:pt idx="20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8-44BC-A158-C25DE6347EC1}"/>
            </c:ext>
          </c:extLst>
        </c:ser>
        <c:ser>
          <c:idx val="1"/>
          <c:order val="1"/>
          <c:tx>
            <c:strRef>
              <c:f>Low_60!$A$58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8-44BC-A158-C25DE6347EC1}"/>
            </c:ext>
          </c:extLst>
        </c:ser>
        <c:ser>
          <c:idx val="2"/>
          <c:order val="2"/>
          <c:tx>
            <c:strRef>
              <c:f>Low_60!$A$59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48-44BC-A158-C25DE634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14.092440139552112</c:v>
                </c:pt>
                <c:pt idx="15">
                  <c:v>13.812293328156493</c:v>
                </c:pt>
                <c:pt idx="16">
                  <c:v>13.421932705052992</c:v>
                </c:pt>
                <c:pt idx="17">
                  <c:v>12.974748649494828</c:v>
                </c:pt>
                <c:pt idx="18">
                  <c:v>12.459401967938039</c:v>
                </c:pt>
                <c:pt idx="19">
                  <c:v>11.852390183949188</c:v>
                </c:pt>
                <c:pt idx="20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4-4C33-BADB-AE2E6B571004}"/>
            </c:ext>
          </c:extLst>
        </c:ser>
        <c:ser>
          <c:idx val="1"/>
          <c:order val="1"/>
          <c:tx>
            <c:strRef>
              <c:f>Low_60!$A$58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4-4C33-BADB-AE2E6B571004}"/>
            </c:ext>
          </c:extLst>
        </c:ser>
        <c:ser>
          <c:idx val="2"/>
          <c:order val="2"/>
          <c:tx>
            <c:strRef>
              <c:f>Low_60!$A$59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04-4C33-BADB-AE2E6B57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7.1439794417172555</c:v>
                </c:pt>
                <c:pt idx="15">
                  <c:v>6.9637129011859331</c:v>
                </c:pt>
                <c:pt idx="16">
                  <c:v>6.727965737126623</c:v>
                </c:pt>
                <c:pt idx="17">
                  <c:v>6.4668948957383297</c:v>
                </c:pt>
                <c:pt idx="18">
                  <c:v>6.1765550043834834</c:v>
                </c:pt>
                <c:pt idx="19">
                  <c:v>5.8456293541847311</c:v>
                </c:pt>
                <c:pt idx="20">
                  <c:v>5.472277070662857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4-406C-A18D-9B23BA5C5911}"/>
            </c:ext>
          </c:extLst>
        </c:ser>
        <c:ser>
          <c:idx val="1"/>
          <c:order val="1"/>
          <c:tx>
            <c:strRef>
              <c:f>Low_60!$A$63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A4-406C-A18D-9B23BA5C5911}"/>
            </c:ext>
          </c:extLst>
        </c:ser>
        <c:ser>
          <c:idx val="2"/>
          <c:order val="2"/>
          <c:tx>
            <c:strRef>
              <c:f>Low_60!$A$64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A4-406C-A18D-9B23BA5C5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6.9484606978348564</c:v>
                </c:pt>
                <c:pt idx="15">
                  <c:v>6.8485804269705604</c:v>
                </c:pt>
                <c:pt idx="16">
                  <c:v>6.6939669679263698</c:v>
                </c:pt>
                <c:pt idx="17">
                  <c:v>6.507853753756498</c:v>
                </c:pt>
                <c:pt idx="18">
                  <c:v>6.2828469635545563</c:v>
                </c:pt>
                <c:pt idx="19">
                  <c:v>6.006760829764457</c:v>
                </c:pt>
                <c:pt idx="20">
                  <c:v>5.672223276993166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F-4917-81A1-3C4E856E2B62}"/>
            </c:ext>
          </c:extLst>
        </c:ser>
        <c:ser>
          <c:idx val="1"/>
          <c:order val="1"/>
          <c:tx>
            <c:strRef>
              <c:f>Low_60!$A$68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5F-4917-81A1-3C4E856E2B62}"/>
            </c:ext>
          </c:extLst>
        </c:ser>
        <c:ser>
          <c:idx val="2"/>
          <c:order val="2"/>
          <c:tx>
            <c:strRef>
              <c:f>Low_60!$A$69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5F-4917-81A1-3C4E856E2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790.05172483063291</c:v>
                </c:pt>
                <c:pt idx="15">
                  <c:v>653.62316856342181</c:v>
                </c:pt>
                <c:pt idx="16">
                  <c:v>600.56294995606584</c:v>
                </c:pt>
                <c:pt idx="17">
                  <c:v>648.99777169614549</c:v>
                </c:pt>
                <c:pt idx="18">
                  <c:v>656.41979992650045</c:v>
                </c:pt>
                <c:pt idx="19">
                  <c:v>589.73136364557888</c:v>
                </c:pt>
                <c:pt idx="20">
                  <c:v>471.21572055799857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C-44A7-8E8E-F8E1AEEE931E}"/>
            </c:ext>
          </c:extLst>
        </c:ser>
        <c:ser>
          <c:idx val="1"/>
          <c:order val="1"/>
          <c:tx>
            <c:strRef>
              <c:f>Low_60!$A$73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C-44A7-8E8E-F8E1AEEE931E}"/>
            </c:ext>
          </c:extLst>
        </c:ser>
        <c:ser>
          <c:idx val="2"/>
          <c:order val="2"/>
          <c:tx>
            <c:strRef>
              <c:f>Low_60!$A$74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2C-44A7-8E8E-F8E1AEEE9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1213.9167913546587</c:v>
                </c:pt>
                <c:pt idx="16">
                  <c:v>1381.2841961630631</c:v>
                </c:pt>
                <c:pt idx="17">
                  <c:v>1543.3658828124762</c:v>
                </c:pt>
                <c:pt idx="18">
                  <c:v>1687.1131630400778</c:v>
                </c:pt>
                <c:pt idx="19">
                  <c:v>1803.7549316232776</c:v>
                </c:pt>
                <c:pt idx="20">
                  <c:v>1886.9953931443274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7-4873-8FA4-D7036E473EDF}"/>
            </c:ext>
          </c:extLst>
        </c:ser>
        <c:ser>
          <c:idx val="1"/>
          <c:order val="1"/>
          <c:tx>
            <c:strRef>
              <c:f>Low_60!$A$78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7-4873-8FA4-D7036E473EDF}"/>
            </c:ext>
          </c:extLst>
        </c:ser>
        <c:ser>
          <c:idx val="2"/>
          <c:order val="2"/>
          <c:tx>
            <c:strRef>
              <c:f>Low_60!$A$79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7-4873-8FA4-D7036E473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17591.183736875151</c:v>
                </c:pt>
                <c:pt idx="9" formatCode="0">
                  <c:v>13086.000895100391</c:v>
                </c:pt>
                <c:pt idx="10" formatCode="0">
                  <c:v>10196.522343424422</c:v>
                </c:pt>
                <c:pt idx="11" formatCode="0">
                  <c:v>9495.2517555419945</c:v>
                </c:pt>
                <c:pt idx="12" formatCode="0">
                  <c:v>9510.1077101653245</c:v>
                </c:pt>
                <c:pt idx="13" formatCode="0">
                  <c:v>9455.4872322066731</c:v>
                </c:pt>
                <c:pt idx="14" formatCode="0">
                  <c:v>8568.0249869154395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E-41AA-89EE-FDB7D8AE669F}"/>
            </c:ext>
          </c:extLst>
        </c:ser>
        <c:ser>
          <c:idx val="1"/>
          <c:order val="1"/>
          <c:tx>
            <c:strRef>
              <c:f>Low_60!$A$90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79618.488722849972</c:v>
                </c:pt>
                <c:pt idx="12" formatCode="0">
                  <c:v>72979.094522827159</c:v>
                </c:pt>
                <c:pt idx="13" formatCode="0">
                  <c:v>63837.268806093081</c:v>
                </c:pt>
                <c:pt idx="14" formatCode="0">
                  <c:v>58026.394217049208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E-41AA-89EE-FDB7D8AE669F}"/>
            </c:ext>
          </c:extLst>
        </c:ser>
        <c:ser>
          <c:idx val="2"/>
          <c:order val="2"/>
          <c:tx>
            <c:strRef>
              <c:f>Low_60!$A$91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E-41AA-89EE-FDB7D8AE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9115.0077729422064</c:v>
                </c:pt>
                <c:pt idx="3">
                  <c:v>6700.914137292425</c:v>
                </c:pt>
                <c:pt idx="4">
                  <c:v>5221.4291428939987</c:v>
                </c:pt>
                <c:pt idx="5">
                  <c:v>4862.3940518770523</c:v>
                </c:pt>
                <c:pt idx="6">
                  <c:v>4870.1756694520946</c:v>
                </c:pt>
                <c:pt idx="7">
                  <c:v>4842.2404166133556</c:v>
                </c:pt>
                <c:pt idx="8">
                  <c:v>4387.7225991159839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F-4697-82E7-0BD019976883}"/>
            </c:ext>
          </c:extLst>
        </c:ser>
        <c:ser>
          <c:idx val="1"/>
          <c:order val="1"/>
          <c:tx>
            <c:strRef>
              <c:f>Low_60!$A$37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41403.729636283402</c:v>
                </c:pt>
                <c:pt idx="6">
                  <c:v>37986.955350762728</c:v>
                </c:pt>
                <c:pt idx="7">
                  <c:v>33328.268525989697</c:v>
                </c:pt>
                <c:pt idx="8">
                  <c:v>30270.025847903424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F-4697-82E7-0BD019976883}"/>
            </c:ext>
          </c:extLst>
        </c:ser>
        <c:ser>
          <c:idx val="2"/>
          <c:order val="2"/>
          <c:tx>
            <c:strRef>
              <c:f>Low_60!$A$38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9F-4697-82E7-0BD01997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8476.175963932943</c:v>
                </c:pt>
                <c:pt idx="3">
                  <c:v>6385.086757807966</c:v>
                </c:pt>
                <c:pt idx="4">
                  <c:v>4975.0932005304221</c:v>
                </c:pt>
                <c:pt idx="5">
                  <c:v>4632.8577036649422</c:v>
                </c:pt>
                <c:pt idx="6">
                  <c:v>4639.9320407132309</c:v>
                </c:pt>
                <c:pt idx="7">
                  <c:v>4613.2468155933184</c:v>
                </c:pt>
                <c:pt idx="8">
                  <c:v>4180.3023877994547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C19-BF87-0BFADED6CE06}"/>
            </c:ext>
          </c:extLst>
        </c:ser>
        <c:ser>
          <c:idx val="1"/>
          <c:order val="1"/>
          <c:tx>
            <c:strRef>
              <c:f>Low_60!$A$37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38214.75908656657</c:v>
                </c:pt>
                <c:pt idx="6">
                  <c:v>34992.139172064439</c:v>
                </c:pt>
                <c:pt idx="7">
                  <c:v>30509.000280103384</c:v>
                </c:pt>
                <c:pt idx="8">
                  <c:v>27756.368369145781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B-4C19-BF87-0BFADED6CE06}"/>
            </c:ext>
          </c:extLst>
        </c:ser>
        <c:ser>
          <c:idx val="2"/>
          <c:order val="2"/>
          <c:tx>
            <c:strRef>
              <c:f>Low_60!$A$38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B-4C19-BF87-0BFADED6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8975.7541421501628</c:v>
                </c:pt>
                <c:pt idx="3">
                  <c:v>7616.842106190953</c:v>
                </c:pt>
                <c:pt idx="4">
                  <c:v>7112.1399402181505</c:v>
                </c:pt>
                <c:pt idx="5">
                  <c:v>7207.3235827132521</c:v>
                </c:pt>
                <c:pt idx="6">
                  <c:v>7405.6483238244264</c:v>
                </c:pt>
                <c:pt idx="7">
                  <c:v>7316.0575596456629</c:v>
                </c:pt>
                <c:pt idx="8">
                  <c:v>6747.9843861932586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9-4501-B023-1EAEFDBDC3B9}"/>
            </c:ext>
          </c:extLst>
        </c:ser>
        <c:ser>
          <c:idx val="1"/>
          <c:order val="1"/>
          <c:tx>
            <c:strRef>
              <c:f>Median_60!$A$37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38712.340809998175</c:v>
                </c:pt>
                <c:pt idx="6">
                  <c:v>36220.063870450569</c:v>
                </c:pt>
                <c:pt idx="7">
                  <c:v>32640.009116843212</c:v>
                </c:pt>
                <c:pt idx="8">
                  <c:v>30820.20329284509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9-4501-B023-1EAEFDBDC3B9}"/>
            </c:ext>
          </c:extLst>
        </c:ser>
        <c:ser>
          <c:idx val="2"/>
          <c:order val="2"/>
          <c:tx>
            <c:strRef>
              <c:f>Median_60!$A$38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9-4501-B023-1EAEFDBDC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9639.564860070288</c:v>
                </c:pt>
                <c:pt idx="3">
                  <c:v>7993.9949745509994</c:v>
                </c:pt>
                <c:pt idx="4">
                  <c:v>7464.4993803068191</c:v>
                </c:pt>
                <c:pt idx="5">
                  <c:v>7564.4912857406616</c:v>
                </c:pt>
                <c:pt idx="6">
                  <c:v>7773.1140293880771</c:v>
                </c:pt>
                <c:pt idx="7">
                  <c:v>7679.2125804346178</c:v>
                </c:pt>
                <c:pt idx="8">
                  <c:v>7082.859890278758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8-4847-8A84-D3D106AC9A37}"/>
            </c:ext>
          </c:extLst>
        </c:ser>
        <c:ser>
          <c:idx val="1"/>
          <c:order val="1"/>
          <c:tx>
            <c:strRef>
              <c:f>Median_60!$A$37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41925.719497954648</c:v>
                </c:pt>
                <c:pt idx="6">
                  <c:v>39274.696355437576</c:v>
                </c:pt>
                <c:pt idx="7">
                  <c:v>35562.240678103612</c:v>
                </c:pt>
                <c:pt idx="8">
                  <c:v>33479.943956909847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8-4847-8A84-D3D106AC9A37}"/>
            </c:ext>
          </c:extLst>
        </c:ser>
        <c:ser>
          <c:idx val="2"/>
          <c:order val="2"/>
          <c:tx>
            <c:strRef>
              <c:f>Median_60!$A$38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8-4847-8A84-D3D106AC9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14.194853666086644</c:v>
                </c:pt>
                <c:pt idx="15">
                  <c:v>14.064776946720649</c:v>
                </c:pt>
                <c:pt idx="16">
                  <c:v>13.859944402763048</c:v>
                </c:pt>
                <c:pt idx="17">
                  <c:v>13.604362119296304</c:v>
                </c:pt>
                <c:pt idx="18">
                  <c:v>13.277834002548854</c:v>
                </c:pt>
                <c:pt idx="19">
                  <c:v>12.842866573621922</c:v>
                </c:pt>
                <c:pt idx="20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80-4C62-AA15-BD443A9CC4AD}"/>
            </c:ext>
          </c:extLst>
        </c:ser>
        <c:ser>
          <c:idx val="1"/>
          <c:order val="1"/>
          <c:tx>
            <c:strRef>
              <c:f>Median_60!$A$58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80-4C62-AA15-BD443A9CC4AD}"/>
            </c:ext>
          </c:extLst>
        </c:ser>
        <c:ser>
          <c:idx val="2"/>
          <c:order val="2"/>
          <c:tx>
            <c:strRef>
              <c:f>Median_60!$A$59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80-4C62-AA15-BD443A9C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14.194853666086644</c:v>
                </c:pt>
                <c:pt idx="15">
                  <c:v>14.064776946720649</c:v>
                </c:pt>
                <c:pt idx="16">
                  <c:v>13.859944402763048</c:v>
                </c:pt>
                <c:pt idx="17">
                  <c:v>13.604362119296304</c:v>
                </c:pt>
                <c:pt idx="18">
                  <c:v>13.277834002548854</c:v>
                </c:pt>
                <c:pt idx="19">
                  <c:v>12.842866573621922</c:v>
                </c:pt>
                <c:pt idx="20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F0-4E0B-BF37-D151173FA2AB}"/>
            </c:ext>
          </c:extLst>
        </c:ser>
        <c:ser>
          <c:idx val="1"/>
          <c:order val="1"/>
          <c:tx>
            <c:strRef>
              <c:f>Median_60!$A$58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F0-4E0B-BF37-D151173FA2AB}"/>
            </c:ext>
          </c:extLst>
        </c:ser>
        <c:ser>
          <c:idx val="2"/>
          <c:order val="2"/>
          <c:tx>
            <c:strRef>
              <c:f>Median_60!$A$59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F0-4E0B-BF37-D151173F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7.1964351504300641</c:v>
                </c:pt>
                <c:pt idx="15">
                  <c:v>7.0930209849117896</c:v>
                </c:pt>
                <c:pt idx="16">
                  <c:v>6.9522727608679045</c:v>
                </c:pt>
                <c:pt idx="17">
                  <c:v>6.7893036052918152</c:v>
                </c:pt>
                <c:pt idx="18">
                  <c:v>6.5956229408445672</c:v>
                </c:pt>
                <c:pt idx="19">
                  <c:v>6.3527237857782479</c:v>
                </c:pt>
                <c:pt idx="20">
                  <c:v>6.0627826106797746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0-4776-B898-A48A83B5A0CA}"/>
            </c:ext>
          </c:extLst>
        </c:ser>
        <c:ser>
          <c:idx val="1"/>
          <c:order val="1"/>
          <c:tx>
            <c:strRef>
              <c:f>Median_60!$A$63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10-4776-B898-A48A83B5A0CA}"/>
            </c:ext>
          </c:extLst>
        </c:ser>
        <c:ser>
          <c:idx val="2"/>
          <c:order val="2"/>
          <c:tx>
            <c:strRef>
              <c:f>Median_60!$A$64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10-4776-B898-A48A83B5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6.9984185156565788</c:v>
                </c:pt>
                <c:pt idx="15">
                  <c:v>6.9717559618088591</c:v>
                </c:pt>
                <c:pt idx="16">
                  <c:v>6.9076716418951429</c:v>
                </c:pt>
                <c:pt idx="17">
                  <c:v>6.8150585140044893</c:v>
                </c:pt>
                <c:pt idx="18">
                  <c:v>6.6822110617042876</c:v>
                </c:pt>
                <c:pt idx="19">
                  <c:v>6.4901427878436735</c:v>
                </c:pt>
                <c:pt idx="20">
                  <c:v>6.2353749692024776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09-4302-9F64-BD4D8EEFABC5}"/>
            </c:ext>
          </c:extLst>
        </c:ser>
        <c:ser>
          <c:idx val="1"/>
          <c:order val="1"/>
          <c:tx>
            <c:strRef>
              <c:f>Median_60!$A$68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9-4302-9F64-BD4D8EEFABC5}"/>
            </c:ext>
          </c:extLst>
        </c:ser>
        <c:ser>
          <c:idx val="2"/>
          <c:order val="2"/>
          <c:tx>
            <c:strRef>
              <c:f>Median_60!$A$69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9-4302-9F64-BD4D8EEFA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994.87877789969366</c:v>
                </c:pt>
                <c:pt idx="15">
                  <c:v>954.3893240799797</c:v>
                </c:pt>
                <c:pt idx="16">
                  <c:v>972.66704113329683</c:v>
                </c:pt>
                <c:pt idx="17">
                  <c:v>1033.625262121685</c:v>
                </c:pt>
                <c:pt idx="18">
                  <c:v>1035.8221566256705</c:v>
                </c:pt>
                <c:pt idx="19">
                  <c:v>936.03221291432965</c:v>
                </c:pt>
                <c:pt idx="20">
                  <c:v>800.26569854635568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72-4349-B0D1-1F2F75B196B5}"/>
            </c:ext>
          </c:extLst>
        </c:ser>
        <c:ser>
          <c:idx val="1"/>
          <c:order val="1"/>
          <c:tx>
            <c:strRef>
              <c:f>Median_60!$A$73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72-4349-B0D1-1F2F75B196B5}"/>
            </c:ext>
          </c:extLst>
        </c:ser>
        <c:ser>
          <c:idx val="2"/>
          <c:order val="2"/>
          <c:tx>
            <c:strRef>
              <c:f>Median_60!$A$74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72-4349-B0D1-1F2F75B1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1214.5427628119635</c:v>
                </c:pt>
                <c:pt idx="16">
                  <c:v>1382.3321290484976</c:v>
                </c:pt>
                <c:pt idx="17">
                  <c:v>1544.7898290551709</c:v>
                </c:pt>
                <c:pt idx="18">
                  <c:v>1688.8783901205707</c:v>
                </c:pt>
                <c:pt idx="19">
                  <c:v>1805.9670707681894</c:v>
                </c:pt>
                <c:pt idx="20">
                  <c:v>1889.6836860256888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3-40AA-89A2-23C9EBCE0833}"/>
            </c:ext>
          </c:extLst>
        </c:ser>
        <c:ser>
          <c:idx val="1"/>
          <c:order val="1"/>
          <c:tx>
            <c:strRef>
              <c:f>Median_60!$A$78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23-40AA-89A2-23C9EBCE0833}"/>
            </c:ext>
          </c:extLst>
        </c:ser>
        <c:ser>
          <c:idx val="2"/>
          <c:order val="2"/>
          <c:tx>
            <c:strRef>
              <c:f>Median_60!$A$79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23-40AA-89A2-23C9EBCE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18615.319002220451</c:v>
                </c:pt>
                <c:pt idx="9" formatCode="0">
                  <c:v>15610.837080741952</c:v>
                </c:pt>
                <c:pt idx="10" formatCode="0">
                  <c:v>14576.63932052497</c:v>
                </c:pt>
                <c:pt idx="11" formatCode="0">
                  <c:v>14771.814868453914</c:v>
                </c:pt>
                <c:pt idx="12" formatCode="0">
                  <c:v>15178.762353212504</c:v>
                </c:pt>
                <c:pt idx="13" formatCode="0">
                  <c:v>14995.27014008028</c:v>
                </c:pt>
                <c:pt idx="14" formatCode="0">
                  <c:v>13830.844276472017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1-478F-9DFA-D39A671BA284}"/>
            </c:ext>
          </c:extLst>
        </c:ser>
        <c:ser>
          <c:idx val="1"/>
          <c:order val="1"/>
          <c:tx>
            <c:strRef>
              <c:f>Median_60!$A$90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80638.060307952823</c:v>
                </c:pt>
                <c:pt idx="12" formatCode="0">
                  <c:v>75494.760225888138</c:v>
                </c:pt>
                <c:pt idx="13" formatCode="0">
                  <c:v>68202.249794946823</c:v>
                </c:pt>
                <c:pt idx="14" formatCode="0">
                  <c:v>64300.14724975494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1-478F-9DFA-D39A671BA284}"/>
            </c:ext>
          </c:extLst>
        </c:ser>
        <c:ser>
          <c:idx val="2"/>
          <c:order val="2"/>
          <c:tx>
            <c:strRef>
              <c:f>Median_60!$A$91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1-478F-9DFA-D39A671B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9476.5268517220502</c:v>
                </c:pt>
                <c:pt idx="3">
                  <c:v>8858.6367270599858</c:v>
                </c:pt>
                <c:pt idx="4">
                  <c:v>9261.1315466499182</c:v>
                </c:pt>
                <c:pt idx="5">
                  <c:v>9756.9971640543008</c:v>
                </c:pt>
                <c:pt idx="6">
                  <c:v>10128.689463965922</c:v>
                </c:pt>
                <c:pt idx="7">
                  <c:v>10068.159959531045</c:v>
                </c:pt>
                <c:pt idx="8">
                  <c:v>9586.4206431842977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B-4FDF-ACAD-A128392266E6}"/>
            </c:ext>
          </c:extLst>
        </c:ser>
        <c:ser>
          <c:idx val="1"/>
          <c:order val="1"/>
          <c:tx>
            <c:strRef>
              <c:f>High_60!$A$37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45994.447726080354</c:v>
                </c:pt>
                <c:pt idx="3">
                  <c:v>43608.631680054888</c:v>
                </c:pt>
                <c:pt idx="4">
                  <c:v>40858.962339236619</c:v>
                </c:pt>
                <c:pt idx="5">
                  <c:v>39211.112291101468</c:v>
                </c:pt>
                <c:pt idx="6">
                  <c:v>37457.991747745626</c:v>
                </c:pt>
                <c:pt idx="7">
                  <c:v>34782.9358361017</c:v>
                </c:pt>
                <c:pt idx="8">
                  <c:v>33860.531622519236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B-4FDF-ACAD-A128392266E6}"/>
            </c:ext>
          </c:extLst>
        </c:ser>
        <c:ser>
          <c:idx val="2"/>
          <c:order val="2"/>
          <c:tx>
            <c:strRef>
              <c:f>High_60!$A$38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15013.983288335294</c:v>
                </c:pt>
                <c:pt idx="3">
                  <c:v>18492.085831842749</c:v>
                </c:pt>
                <c:pt idx="4">
                  <c:v>21105.614139496662</c:v>
                </c:pt>
                <c:pt idx="5">
                  <c:v>22230.920747333475</c:v>
                </c:pt>
                <c:pt idx="6">
                  <c:v>23196.398422767885</c:v>
                </c:pt>
                <c:pt idx="7">
                  <c:v>24945.361201947846</c:v>
                </c:pt>
                <c:pt idx="8">
                  <c:v>24785.562012986433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B-4FDF-ACAD-A1283922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10165.376205120767</c:v>
                </c:pt>
                <c:pt idx="3">
                  <c:v>9297.6164207909587</c:v>
                </c:pt>
                <c:pt idx="4">
                  <c:v>9720.1052767303536</c:v>
                </c:pt>
                <c:pt idx="5">
                  <c:v>10240.548170184062</c:v>
                </c:pt>
                <c:pt idx="6">
                  <c:v>10631.260931297011</c:v>
                </c:pt>
                <c:pt idx="7">
                  <c:v>10567.967195226163</c:v>
                </c:pt>
                <c:pt idx="8">
                  <c:v>10062.244683774758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6-496E-945D-5D75BA13571A}"/>
            </c:ext>
          </c:extLst>
        </c:ser>
        <c:ser>
          <c:idx val="1"/>
          <c:order val="1"/>
          <c:tx>
            <c:strRef>
              <c:f>High_60!$A$37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49215.230739181352</c:v>
                </c:pt>
                <c:pt idx="3">
                  <c:v>47043.429184955574</c:v>
                </c:pt>
                <c:pt idx="4">
                  <c:v>44208.745371908823</c:v>
                </c:pt>
                <c:pt idx="5">
                  <c:v>42448.957479107026</c:v>
                </c:pt>
                <c:pt idx="6">
                  <c:v>40572.930230056438</c:v>
                </c:pt>
                <c:pt idx="7">
                  <c:v>37808.705589904879</c:v>
                </c:pt>
                <c:pt idx="8">
                  <c:v>36665.171489713081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6-496E-945D-5D75BA13571A}"/>
            </c:ext>
          </c:extLst>
        </c:ser>
        <c:ser>
          <c:idx val="2"/>
          <c:order val="2"/>
          <c:tx>
            <c:strRef>
              <c:f>High_60!$A$38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High_60!$K$38:$S$38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13109.55590504901</c:v>
                </c:pt>
                <c:pt idx="3">
                  <c:v>15892.785689611334</c:v>
                </c:pt>
                <c:pt idx="4">
                  <c:v>17849.482856463415</c:v>
                </c:pt>
                <c:pt idx="5">
                  <c:v>18402.825269222845</c:v>
                </c:pt>
                <c:pt idx="6">
                  <c:v>18908.419023620012</c:v>
                </c:pt>
                <c:pt idx="7">
                  <c:v>20285.784599244256</c:v>
                </c:pt>
                <c:pt idx="8">
                  <c:v>20065.022259609163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F6-496E-945D-5D75BA135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14.29751207154888</c:v>
                </c:pt>
                <c:pt idx="15">
                  <c:v>14.319318553431549</c:v>
                </c:pt>
                <c:pt idx="16">
                  <c:v>14.300404153048579</c:v>
                </c:pt>
                <c:pt idx="17">
                  <c:v>14.229136112100317</c:v>
                </c:pt>
                <c:pt idx="18">
                  <c:v>14.089568981945289</c:v>
                </c:pt>
                <c:pt idx="19">
                  <c:v>13.84589143819559</c:v>
                </c:pt>
                <c:pt idx="20">
                  <c:v>13.502495271178693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E-4DFC-BC3C-954F51110B83}"/>
            </c:ext>
          </c:extLst>
        </c:ser>
        <c:ser>
          <c:idx val="1"/>
          <c:order val="1"/>
          <c:tx>
            <c:strRef>
              <c:f>High_60!$A$58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DE-4DFC-BC3C-954F51110B83}"/>
            </c:ext>
          </c:extLst>
        </c:ser>
        <c:ser>
          <c:idx val="2"/>
          <c:order val="2"/>
          <c:tx>
            <c:strRef>
              <c:f>High_60!$A$59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DE-4DFC-BC3C-954F51110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14.29751207154888</c:v>
                </c:pt>
                <c:pt idx="15">
                  <c:v>14.319318553431549</c:v>
                </c:pt>
                <c:pt idx="16">
                  <c:v>14.300404153048579</c:v>
                </c:pt>
                <c:pt idx="17">
                  <c:v>14.229136112100317</c:v>
                </c:pt>
                <c:pt idx="18">
                  <c:v>14.089568981945289</c:v>
                </c:pt>
                <c:pt idx="19">
                  <c:v>13.84589143819559</c:v>
                </c:pt>
                <c:pt idx="20">
                  <c:v>13.502495271178693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9-4B72-9B04-8A93E75FAF41}"/>
            </c:ext>
          </c:extLst>
        </c:ser>
        <c:ser>
          <c:idx val="1"/>
          <c:order val="1"/>
          <c:tx>
            <c:strRef>
              <c:f>High_60!$A$58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79-4B72-9B04-8A93E75FAF41}"/>
            </c:ext>
          </c:extLst>
        </c:ser>
        <c:ser>
          <c:idx val="2"/>
          <c:order val="2"/>
          <c:tx>
            <c:strRef>
              <c:f>High_60!$A$59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79-4B72-9B04-8A93E75F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7.2490162849351121</c:v>
                </c:pt>
                <c:pt idx="15">
                  <c:v>7.2233831295357858</c:v>
                </c:pt>
                <c:pt idx="16">
                  <c:v>7.1778333505102587</c:v>
                </c:pt>
                <c:pt idx="17">
                  <c:v>7.1092330918513937</c:v>
                </c:pt>
                <c:pt idx="18">
                  <c:v>7.011261018497347</c:v>
                </c:pt>
                <c:pt idx="19">
                  <c:v>6.8662457384375308</c:v>
                </c:pt>
                <c:pt idx="20">
                  <c:v>6.6792438433096981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63-4C69-BD4F-150B7D0F3827}"/>
            </c:ext>
          </c:extLst>
        </c:ser>
        <c:ser>
          <c:idx val="1"/>
          <c:order val="1"/>
          <c:tx>
            <c:strRef>
              <c:f>High_60!$A$63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63-4C69-BD4F-150B7D0F3827}"/>
            </c:ext>
          </c:extLst>
        </c:ser>
        <c:ser>
          <c:idx val="2"/>
          <c:order val="2"/>
          <c:tx>
            <c:strRef>
              <c:f>High_60!$A$64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63-4C69-BD4F-150B7D0F3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7.048495786613767</c:v>
                </c:pt>
                <c:pt idx="15">
                  <c:v>7.0959354238957628</c:v>
                </c:pt>
                <c:pt idx="16">
                  <c:v>7.122570802538319</c:v>
                </c:pt>
                <c:pt idx="17">
                  <c:v>7.1199030202489233</c:v>
                </c:pt>
                <c:pt idx="18">
                  <c:v>7.0783079634479424</c:v>
                </c:pt>
                <c:pt idx="19">
                  <c:v>6.97964569975806</c:v>
                </c:pt>
                <c:pt idx="20">
                  <c:v>6.8232514278689953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FA-4AE6-8E38-CC44978C4567}"/>
            </c:ext>
          </c:extLst>
        </c:ser>
        <c:ser>
          <c:idx val="1"/>
          <c:order val="1"/>
          <c:tx>
            <c:strRef>
              <c:f>High_60!$A$68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FA-4AE6-8E38-CC44978C4567}"/>
            </c:ext>
          </c:extLst>
        </c:ser>
        <c:ser>
          <c:idx val="2"/>
          <c:order val="2"/>
          <c:tx>
            <c:strRef>
              <c:f>High_60!$A$69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FA-4AE6-8E38-CC44978C4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1258.7831947823991</c:v>
                </c:pt>
                <c:pt idx="16">
                  <c:v>1345.562513819227</c:v>
                </c:pt>
                <c:pt idx="17">
                  <c:v>1403.6825543139405</c:v>
                </c:pt>
                <c:pt idx="18">
                  <c:v>1411.4711702689058</c:v>
                </c:pt>
                <c:pt idx="19">
                  <c:v>1320.8112749986342</c:v>
                </c:pt>
                <c:pt idx="20">
                  <c:v>1205.6849922063086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9-4F0C-98B2-D6B9B8A0C3FB}"/>
            </c:ext>
          </c:extLst>
        </c:ser>
        <c:ser>
          <c:idx val="1"/>
          <c:order val="1"/>
          <c:tx>
            <c:strRef>
              <c:f>High_60!$A$73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F9-4F0C-98B2-D6B9B8A0C3FB}"/>
            </c:ext>
          </c:extLst>
        </c:ser>
        <c:ser>
          <c:idx val="2"/>
          <c:order val="2"/>
          <c:tx>
            <c:strRef>
              <c:f>High_60!$A$74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F9-4F0C-98B2-D6B9B8A0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High_60!$A$77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1059.8775662748026</c:v>
                </c:pt>
                <c:pt idx="15">
                  <c:v>1215.1702310170579</c:v>
                </c:pt>
                <c:pt idx="16">
                  <c:v>1383.3913145851684</c:v>
                </c:pt>
                <c:pt idx="17">
                  <c:v>1546.218636210463</c:v>
                </c:pt>
                <c:pt idx="18">
                  <c:v>1690.6054305789614</c:v>
                </c:pt>
                <c:pt idx="19">
                  <c:v>1808.1663624980331</c:v>
                </c:pt>
                <c:pt idx="20">
                  <c:v>1892.4773262401009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2-4221-91B3-74C0AC5A77C4}"/>
            </c:ext>
          </c:extLst>
        </c:ser>
        <c:ser>
          <c:idx val="1"/>
          <c:order val="1"/>
          <c:tx>
            <c:strRef>
              <c:f>High_60!$A$78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32-4221-91B3-74C0AC5A77C4}"/>
            </c:ext>
          </c:extLst>
        </c:ser>
        <c:ser>
          <c:idx val="2"/>
          <c:order val="2"/>
          <c:tx>
            <c:strRef>
              <c:f>High_60!$A$79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High_60!$B$76:$V$76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High_60!$B$79:$V$79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32-4221-91B3-74C0AC5A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High_60!$A$89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19641.903056842817</c:v>
                </c:pt>
                <c:pt idx="9" formatCode="0">
                  <c:v>18156.253147850945</c:v>
                </c:pt>
                <c:pt idx="10" formatCode="0">
                  <c:v>18981.23682338027</c:v>
                </c:pt>
                <c:pt idx="11" formatCode="0">
                  <c:v>19997.545334238363</c:v>
                </c:pt>
                <c:pt idx="12" formatCode="0">
                  <c:v>20759.950395262931</c:v>
                </c:pt>
                <c:pt idx="13" formatCode="0">
                  <c:v>20636.127154757211</c:v>
                </c:pt>
                <c:pt idx="14" formatCode="0">
                  <c:v>19648.665326959053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6-4F23-8960-90465571ABFB}"/>
            </c:ext>
          </c:extLst>
        </c:ser>
        <c:ser>
          <c:idx val="1"/>
          <c:order val="1"/>
          <c:tx>
            <c:strRef>
              <c:f>High_60!$A$90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95209.678465261706</c:v>
                </c:pt>
                <c:pt idx="9" formatCode="0">
                  <c:v>90652.060865010455</c:v>
                </c:pt>
                <c:pt idx="10" formatCode="0">
                  <c:v>85067.707711145442</c:v>
                </c:pt>
                <c:pt idx="11" formatCode="0">
                  <c:v>81660.069770208502</c:v>
                </c:pt>
                <c:pt idx="12" formatCode="0">
                  <c:v>78030.921977802063</c:v>
                </c:pt>
                <c:pt idx="13" formatCode="0">
                  <c:v>72591.641426006579</c:v>
                </c:pt>
                <c:pt idx="14" formatCode="0">
                  <c:v>70525.703112232324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6-4F23-8960-90465571ABFB}"/>
            </c:ext>
          </c:extLst>
        </c:ser>
        <c:ser>
          <c:idx val="2"/>
          <c:order val="2"/>
          <c:tx>
            <c:strRef>
              <c:f>High_60!$A$91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High_60!$H$88:$V$88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High_60!$H$91:$V$91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28123.539193384306</c:v>
                </c:pt>
                <c:pt idx="9" formatCode="0">
                  <c:v>34384.871521454086</c:v>
                </c:pt>
                <c:pt idx="10" formatCode="0">
                  <c:v>38955.096995960077</c:v>
                </c:pt>
                <c:pt idx="11" formatCode="0">
                  <c:v>40633.746016556324</c:v>
                </c:pt>
                <c:pt idx="12" formatCode="0">
                  <c:v>42104.817446387897</c:v>
                </c:pt>
                <c:pt idx="13" formatCode="0">
                  <c:v>45231.145801192106</c:v>
                </c:pt>
                <c:pt idx="14" formatCode="0">
                  <c:v>44850.584272595595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6-4F23-8960-90465571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8476.5440389807918</c:v>
                </c:pt>
                <c:pt idx="3">
                  <c:v>6385.6831474540295</c:v>
                </c:pt>
                <c:pt idx="4">
                  <c:v>4976.0046171583417</c:v>
                </c:pt>
                <c:pt idx="5">
                  <c:v>4634.3371478130202</c:v>
                </c:pt>
                <c:pt idx="6">
                  <c:v>4642.2710676782053</c:v>
                </c:pt>
                <c:pt idx="7">
                  <c:v>4616.3881925177539</c:v>
                </c:pt>
                <c:pt idx="8">
                  <c:v>4183.7648570903357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E-4527-948E-E7ABC232CE16}"/>
            </c:ext>
          </c:extLst>
        </c:ser>
        <c:ser>
          <c:idx val="1"/>
          <c:order val="1"/>
          <c:tx>
            <c:strRef>
              <c:f>Low_40!$A$37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38260.111808692469</c:v>
                </c:pt>
                <c:pt idx="6">
                  <c:v>35049.519219435562</c:v>
                </c:pt>
                <c:pt idx="7">
                  <c:v>30564.692891046809</c:v>
                </c:pt>
                <c:pt idx="8">
                  <c:v>27813.971442212074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E-4527-948E-E7ABC232CE16}"/>
            </c:ext>
          </c:extLst>
        </c:ser>
        <c:ser>
          <c:idx val="2"/>
          <c:order val="2"/>
          <c:tx>
            <c:strRef>
              <c:f>Low_40!$A$38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E-4527-948E-E7ABC232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9115.7183386747602</c:v>
                </c:pt>
                <c:pt idx="3">
                  <c:v>6701.8422597716763</c:v>
                </c:pt>
                <c:pt idx="4">
                  <c:v>5222.922405215807</c:v>
                </c:pt>
                <c:pt idx="5">
                  <c:v>4864.602441326354</c:v>
                </c:pt>
                <c:pt idx="6">
                  <c:v>4872.9510688301798</c:v>
                </c:pt>
                <c:pt idx="7">
                  <c:v>4845.8724312569575</c:v>
                </c:pt>
                <c:pt idx="8">
                  <c:v>4391.9953604790862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6-4D2F-BA29-74995393DE4E}"/>
            </c:ext>
          </c:extLst>
        </c:ser>
        <c:ser>
          <c:idx val="1"/>
          <c:order val="1"/>
          <c:tx>
            <c:strRef>
              <c:f>Low_40!$A$37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41577.915937394988</c:v>
                </c:pt>
                <c:pt idx="6">
                  <c:v>38201.379510812993</c:v>
                </c:pt>
                <c:pt idx="7">
                  <c:v>33542.350982021169</c:v>
                </c:pt>
                <c:pt idx="8">
                  <c:v>30495.029298357396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6-4D2F-BA29-74995393DE4E}"/>
            </c:ext>
          </c:extLst>
        </c:ser>
        <c:ser>
          <c:idx val="2"/>
          <c:order val="2"/>
          <c:tx>
            <c:strRef>
              <c:f>Low_40!$A$38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Low_40!$K$38:$S$38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6-4D2F-BA29-74995393D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14.121500782423146</c:v>
                </c:pt>
                <c:pt idx="15">
                  <c:v>13.897497606093502</c:v>
                </c:pt>
                <c:pt idx="16">
                  <c:v>13.588173325379998</c:v>
                </c:pt>
                <c:pt idx="17">
                  <c:v>13.240449211187427</c:v>
                </c:pt>
                <c:pt idx="18">
                  <c:v>12.834244732141194</c:v>
                </c:pt>
                <c:pt idx="19">
                  <c:v>12.335393967287128</c:v>
                </c:pt>
                <c:pt idx="20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C4-4196-B7EA-DE3014649A25}"/>
            </c:ext>
          </c:extLst>
        </c:ser>
        <c:ser>
          <c:idx val="1"/>
          <c:order val="1"/>
          <c:tx>
            <c:strRef>
              <c:f>Low_40!$A$58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C4-4196-B7EA-DE3014649A25}"/>
            </c:ext>
          </c:extLst>
        </c:ser>
        <c:ser>
          <c:idx val="2"/>
          <c:order val="2"/>
          <c:tx>
            <c:strRef>
              <c:f>Low_40!$A$59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C4-4196-B7EA-DE301464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14.121500782423146</c:v>
                </c:pt>
                <c:pt idx="15">
                  <c:v>13.897497606093502</c:v>
                </c:pt>
                <c:pt idx="16">
                  <c:v>13.588173325379998</c:v>
                </c:pt>
                <c:pt idx="17">
                  <c:v>13.240449211187427</c:v>
                </c:pt>
                <c:pt idx="18">
                  <c:v>12.834244732141194</c:v>
                </c:pt>
                <c:pt idx="19">
                  <c:v>12.335393967287128</c:v>
                </c:pt>
                <c:pt idx="20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7-4644-AB3C-AB800689AFAD}"/>
            </c:ext>
          </c:extLst>
        </c:ser>
        <c:ser>
          <c:idx val="1"/>
          <c:order val="1"/>
          <c:tx>
            <c:strRef>
              <c:f>Low_40!$A$58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27-4644-AB3C-AB800689AFAD}"/>
            </c:ext>
          </c:extLst>
        </c:ser>
        <c:ser>
          <c:idx val="2"/>
          <c:order val="2"/>
          <c:tx>
            <c:strRef>
              <c:f>Low_40!$A$59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27-4644-AB3C-AB800689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7.1579707894423974</c:v>
                </c:pt>
                <c:pt idx="15">
                  <c:v>7.0046021271080576</c:v>
                </c:pt>
                <c:pt idx="16">
                  <c:v>6.8066226223290958</c:v>
                </c:pt>
                <c:pt idx="17">
                  <c:v>6.5909257390305482</c:v>
                </c:pt>
                <c:pt idx="18">
                  <c:v>6.3499315667159486</c:v>
                </c:pt>
                <c:pt idx="19">
                  <c:v>6.0672250806594956</c:v>
                </c:pt>
                <c:pt idx="20">
                  <c:v>5.7347741566865178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3-471E-B292-47A65C6350F8}"/>
            </c:ext>
          </c:extLst>
        </c:ser>
        <c:ser>
          <c:idx val="1"/>
          <c:order val="1"/>
          <c:tx>
            <c:strRef>
              <c:f>Low_40!$A$63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53-471E-B292-47A65C6350F8}"/>
            </c:ext>
          </c:extLst>
        </c:ser>
        <c:ser>
          <c:idx val="2"/>
          <c:order val="2"/>
          <c:tx>
            <c:strRef>
              <c:f>Low_40!$A$64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53-471E-B292-47A65C635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6.9635299929807486</c:v>
                </c:pt>
                <c:pt idx="15">
                  <c:v>6.8928954789854453</c:v>
                </c:pt>
                <c:pt idx="16">
                  <c:v>6.7815507030509021</c:v>
                </c:pt>
                <c:pt idx="17">
                  <c:v>6.6495234721568783</c:v>
                </c:pt>
                <c:pt idx="18">
                  <c:v>6.4843131654252462</c:v>
                </c:pt>
                <c:pt idx="19">
                  <c:v>6.2681688866276319</c:v>
                </c:pt>
                <c:pt idx="20">
                  <c:v>5.9893750047854324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9B-4789-83C3-96800646A93C}"/>
            </c:ext>
          </c:extLst>
        </c:ser>
        <c:ser>
          <c:idx val="1"/>
          <c:order val="1"/>
          <c:tx>
            <c:strRef>
              <c:f>Low_40!$A$68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9B-4789-83C3-96800646A93C}"/>
            </c:ext>
          </c:extLst>
        </c:ser>
        <c:ser>
          <c:idx val="2"/>
          <c:order val="2"/>
          <c:tx>
            <c:strRef>
              <c:f>Low_40!$A$69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9B-4789-83C3-96800646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790.05172483063291</c:v>
                </c:pt>
                <c:pt idx="15">
                  <c:v>653.6709702358653</c:v>
                </c:pt>
                <c:pt idx="16">
                  <c:v>600.66584144066428</c:v>
                </c:pt>
                <c:pt idx="17">
                  <c:v>649.20341662330907</c:v>
                </c:pt>
                <c:pt idx="18">
                  <c:v>656.70138174063925</c:v>
                </c:pt>
                <c:pt idx="19">
                  <c:v>590.07715554475715</c:v>
                </c:pt>
                <c:pt idx="20">
                  <c:v>471.57019433241209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3B-4199-BED0-A37BF7919527}"/>
            </c:ext>
          </c:extLst>
        </c:ser>
        <c:ser>
          <c:idx val="1"/>
          <c:order val="1"/>
          <c:tx>
            <c:strRef>
              <c:f>Low_40!$A$73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3B-4199-BED0-A37BF7919527}"/>
            </c:ext>
          </c:extLst>
        </c:ser>
        <c:ser>
          <c:idx val="2"/>
          <c:order val="2"/>
          <c:tx>
            <c:strRef>
              <c:f>Low_40!$A$74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3B-4199-BED0-A37BF7919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Low_40!$A$77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1101.6773228951479</c:v>
                </c:pt>
                <c:pt idx="16">
                  <c:v>1219.3144028676772</c:v>
                </c:pt>
                <c:pt idx="17">
                  <c:v>1344.6516450084471</c:v>
                </c:pt>
                <c:pt idx="18">
                  <c:v>1469.1103398331047</c:v>
                </c:pt>
                <c:pt idx="19">
                  <c:v>1587.7786852528882</c:v>
                </c:pt>
                <c:pt idx="20">
                  <c:v>1694.0598059627675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ED-4F80-B185-EC91850C64FA}"/>
            </c:ext>
          </c:extLst>
        </c:ser>
        <c:ser>
          <c:idx val="1"/>
          <c:order val="1"/>
          <c:tx>
            <c:strRef>
              <c:f>Low_40!$A$78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ED-4F80-B185-EC91850C64FA}"/>
            </c:ext>
          </c:extLst>
        </c:ser>
        <c:ser>
          <c:idx val="2"/>
          <c:order val="2"/>
          <c:tx>
            <c:strRef>
              <c:f>Low_40!$A$79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Low_40!$B$76:$V$76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Low_40!$B$79:$V$79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ED-4F80-B185-EC91850C6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Low_40!$A$89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17592.262377655552</c:v>
                </c:pt>
                <c:pt idx="9" formatCode="0">
                  <c:v>13087.525407225705</c:v>
                </c:pt>
                <c:pt idx="10" formatCode="0">
                  <c:v>10198.927022374148</c:v>
                </c:pt>
                <c:pt idx="11" formatCode="0">
                  <c:v>9498.9395891393742</c:v>
                </c:pt>
                <c:pt idx="12" formatCode="0">
                  <c:v>9515.222136508386</c:v>
                </c:pt>
                <c:pt idx="13" formatCode="0">
                  <c:v>9462.2606237747113</c:v>
                </c:pt>
                <c:pt idx="14" formatCode="0">
                  <c:v>8575.7602175694228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E-4EDE-A6D8-2E5260AD1FDA}"/>
            </c:ext>
          </c:extLst>
        </c:ser>
        <c:ser>
          <c:idx val="1"/>
          <c:order val="1"/>
          <c:tx>
            <c:strRef>
              <c:f>Low_40!$A$90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95253.679940781789</c:v>
                </c:pt>
                <c:pt idx="9" formatCode="0">
                  <c:v>90752.951962879961</c:v>
                </c:pt>
                <c:pt idx="10" formatCode="0">
                  <c:v>85224.432563180031</c:v>
                </c:pt>
                <c:pt idx="11" formatCode="0">
                  <c:v>79838.027746087464</c:v>
                </c:pt>
                <c:pt idx="12" formatCode="0">
                  <c:v>73250.898730248562</c:v>
                </c:pt>
                <c:pt idx="13" formatCode="0">
                  <c:v>64107.043873067974</c:v>
                </c:pt>
                <c:pt idx="14" formatCode="0">
                  <c:v>58309.000740569471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E-4EDE-A6D8-2E5260AD1FDA}"/>
            </c:ext>
          </c:extLst>
        </c:ser>
        <c:ser>
          <c:idx val="2"/>
          <c:order val="2"/>
          <c:tx>
            <c:strRef>
              <c:f>Low_40!$A$91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Low_40!$H$88:$V$88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Low_40!$H$91:$V$91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28369.065505794097</c:v>
                </c:pt>
                <c:pt idx="9" formatCode="0">
                  <c:v>35134.498690829387</c:v>
                </c:pt>
                <c:pt idx="10" formatCode="0">
                  <c:v>40458.373668245789</c:v>
                </c:pt>
                <c:pt idx="11" formatCode="0">
                  <c:v>43067.524776647449</c:v>
                </c:pt>
                <c:pt idx="12" formatCode="0">
                  <c:v>45576.326454654998</c:v>
                </c:pt>
                <c:pt idx="13" formatCode="0">
                  <c:v>49784.635176028591</c:v>
                </c:pt>
                <c:pt idx="14" formatCode="0">
                  <c:v>50356.730656580599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4E-4EDE-A6D8-2E5260AD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8976.1222171980116</c:v>
                </c:pt>
                <c:pt idx="3">
                  <c:v>7617.5421032651202</c:v>
                </c:pt>
                <c:pt idx="4">
                  <c:v>7113.4334667602334</c:v>
                </c:pt>
                <c:pt idx="5">
                  <c:v>7209.6369195758134</c:v>
                </c:pt>
                <c:pt idx="6">
                  <c:v>7409.3853917483702</c:v>
                </c:pt>
                <c:pt idx="7">
                  <c:v>7321.0414777399246</c:v>
                </c:pt>
                <c:pt idx="8">
                  <c:v>6753.5874925879407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9-4F51-AD83-AEC900048A22}"/>
            </c:ext>
          </c:extLst>
        </c:ser>
        <c:ser>
          <c:idx val="1"/>
          <c:order val="1"/>
          <c:tx>
            <c:strRef>
              <c:f>Median_40!$A$37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38757.892819088949</c:v>
                </c:pt>
                <c:pt idx="6">
                  <c:v>36278.211645105825</c:v>
                </c:pt>
                <c:pt idx="7">
                  <c:v>32697.485914177178</c:v>
                </c:pt>
                <c:pt idx="8">
                  <c:v>30880.823805084121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9-4F51-AD83-AEC900048A22}"/>
            </c:ext>
          </c:extLst>
        </c:ser>
        <c:ser>
          <c:idx val="2"/>
          <c:order val="2"/>
          <c:tx>
            <c:strRef>
              <c:f>Median_40!$A$38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29-4F51-AD83-AEC90004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Median 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9640.2754258028417</c:v>
                </c:pt>
                <c:pt idx="3">
                  <c:v>7995.0318848297584</c:v>
                </c:pt>
                <c:pt idx="4">
                  <c:v>7466.6001375948135</c:v>
                </c:pt>
                <c:pt idx="5">
                  <c:v>7567.9011553529826</c:v>
                </c:pt>
                <c:pt idx="6">
                  <c:v>7777.5508099817498</c:v>
                </c:pt>
                <c:pt idx="7">
                  <c:v>7684.9744910941808</c:v>
                </c:pt>
                <c:pt idx="8">
                  <c:v>7089.7513809612528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2-4075-ACBE-C97FD24AE5A3}"/>
            </c:ext>
          </c:extLst>
        </c:ser>
        <c:ser>
          <c:idx val="1"/>
          <c:order val="1"/>
          <c:tx>
            <c:strRef>
              <c:f>Median_40!$A$37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42100.219432352918</c:v>
                </c:pt>
                <c:pt idx="6">
                  <c:v>39490.36538225547</c:v>
                </c:pt>
                <c:pt idx="7">
                  <c:v>35778.924399937234</c:v>
                </c:pt>
                <c:pt idx="8">
                  <c:v>33709.497839863143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2-4075-ACBE-C97FD24AE5A3}"/>
            </c:ext>
          </c:extLst>
        </c:ser>
        <c:ser>
          <c:idx val="2"/>
          <c:order val="2"/>
          <c:tx>
            <c:strRef>
              <c:f>Median_40!$A$38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Median_40!$K$38:$S$38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2-4075-ACBE-C97FD24A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14.223914308957674</c:v>
                </c:pt>
                <c:pt idx="15">
                  <c:v>14.150002464180419</c:v>
                </c:pt>
                <c:pt idx="16">
                  <c:v>14.026283983578086</c:v>
                </c:pt>
                <c:pt idx="17">
                  <c:v>13.870317510301813</c:v>
                </c:pt>
                <c:pt idx="18">
                  <c:v>13.653183968374645</c:v>
                </c:pt>
                <c:pt idx="19">
                  <c:v>13.326706145897713</c:v>
                </c:pt>
                <c:pt idx="20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B-400A-AAD3-18AFC2A2819B}"/>
            </c:ext>
          </c:extLst>
        </c:ser>
        <c:ser>
          <c:idx val="1"/>
          <c:order val="1"/>
          <c:tx>
            <c:strRef>
              <c:f>Median_40!$A$58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5B-400A-AAD3-18AFC2A2819B}"/>
            </c:ext>
          </c:extLst>
        </c:ser>
        <c:ser>
          <c:idx val="2"/>
          <c:order val="2"/>
          <c:tx>
            <c:strRef>
              <c:f>Median_40!$A$59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B-400A-AAD3-18AFC2A28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66048"/>
        <c:axId val="406655232"/>
      </c:scatterChart>
      <c:valAx>
        <c:axId val="4066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55232"/>
        <c:crosses val="autoZero"/>
        <c:crossBetween val="midCat"/>
      </c:valAx>
      <c:valAx>
        <c:axId val="4066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6666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Median_40!$A$57</c:f>
              <c:strCache>
                <c:ptCount val="1"/>
                <c:pt idx="0">
                  <c:v>总人口-median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Median_40!$B$57:$V$57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14.223914308957674</c:v>
                </c:pt>
                <c:pt idx="15">
                  <c:v>14.150002464180419</c:v>
                </c:pt>
                <c:pt idx="16">
                  <c:v>14.026283983578086</c:v>
                </c:pt>
                <c:pt idx="17">
                  <c:v>13.870317510301813</c:v>
                </c:pt>
                <c:pt idx="18">
                  <c:v>13.653183968374645</c:v>
                </c:pt>
                <c:pt idx="19">
                  <c:v>13.326706145897713</c:v>
                </c:pt>
                <c:pt idx="20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8C-4EC9-B370-1EEF19CEB975}"/>
            </c:ext>
          </c:extLst>
        </c:ser>
        <c:ser>
          <c:idx val="1"/>
          <c:order val="1"/>
          <c:tx>
            <c:strRef>
              <c:f>Median_40!$A$58</c:f>
              <c:strCache>
                <c:ptCount val="1"/>
                <c:pt idx="0">
                  <c:v>总人口-high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Median_40!$B$58:$V$58</c:f>
              <c:numCache>
                <c:formatCode>0.00_);[Red]\(0.00\)</c:formatCode>
                <c:ptCount val="21"/>
                <c:pt idx="12">
                  <c:v>14.097787239999999</c:v>
                </c:pt>
                <c:pt idx="13">
                  <c:v>14.227353060274199</c:v>
                </c:pt>
                <c:pt idx="14">
                  <c:v>14.326572714419912</c:v>
                </c:pt>
                <c:pt idx="15">
                  <c:v>14.404565903724482</c:v>
                </c:pt>
                <c:pt idx="16">
                  <c:v>14.466843849148361</c:v>
                </c:pt>
                <c:pt idx="17">
                  <c:v>14.495342915690712</c:v>
                </c:pt>
                <c:pt idx="18">
                  <c:v>14.465419713496402</c:v>
                </c:pt>
                <c:pt idx="19">
                  <c:v>14.330560047592275</c:v>
                </c:pt>
                <c:pt idx="20">
                  <c:v>14.084631117348918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8C-4EC9-B370-1EEF19CEB975}"/>
            </c:ext>
          </c:extLst>
        </c:ser>
        <c:ser>
          <c:idx val="2"/>
          <c:order val="2"/>
          <c:tx>
            <c:strRef>
              <c:f>Median_40!$A$59</c:f>
              <c:strCache>
                <c:ptCount val="1"/>
                <c:pt idx="0">
                  <c:v>总人口-past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Median_40!$B$56:$V$56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Median_40!$B$59:$V$59</c:f>
              <c:numCache>
                <c:formatCode>0.00_);[Red]\(0.00\)</c:formatCode>
                <c:ptCount val="21"/>
                <c:pt idx="0">
                  <c:v>6.6207000000000003</c:v>
                </c:pt>
                <c:pt idx="1">
                  <c:v>7.2538</c:v>
                </c:pt>
                <c:pt idx="2">
                  <c:v>8.2992000000000008</c:v>
                </c:pt>
                <c:pt idx="3">
                  <c:v>9.2420000000000009</c:v>
                </c:pt>
                <c:pt idx="4">
                  <c:v>9.8704999999999998</c:v>
                </c:pt>
                <c:pt idx="5">
                  <c:v>10.585100000000001</c:v>
                </c:pt>
                <c:pt idx="6">
                  <c:v>11.433299999999999</c:v>
                </c:pt>
                <c:pt idx="7">
                  <c:v>12.1121</c:v>
                </c:pt>
                <c:pt idx="8">
                  <c:v>12.674300000000001</c:v>
                </c:pt>
                <c:pt idx="9">
                  <c:v>13.0756</c:v>
                </c:pt>
                <c:pt idx="10">
                  <c:v>13.4091</c:v>
                </c:pt>
                <c:pt idx="11">
                  <c:v>13.832599999999999</c:v>
                </c:pt>
                <c:pt idx="12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8C-4EC9-B370-1EEF19CEB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67504"/>
        <c:axId val="314566400"/>
      </c:scatterChart>
      <c:valAx>
        <c:axId val="500367504"/>
        <c:scaling>
          <c:orientation val="minMax"/>
          <c:max val="2060"/>
          <c:min val="196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566400"/>
        <c:crosses val="autoZero"/>
        <c:crossBetween val="midCat"/>
      </c:valAx>
      <c:valAx>
        <c:axId val="314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Median_40!$A$62</c:f>
              <c:strCache>
                <c:ptCount val="1"/>
                <c:pt idx="0">
                  <c:v>男性-median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Median_40!$B$62:$V$62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7.2104264981552051</c:v>
                </c:pt>
                <c:pt idx="15">
                  <c:v>7.1339210896138656</c:v>
                </c:pt>
                <c:pt idx="16">
                  <c:v>7.0309903955669961</c:v>
                </c:pt>
                <c:pt idx="17">
                  <c:v>6.9134859599290053</c:v>
                </c:pt>
                <c:pt idx="18">
                  <c:v>6.7692901279753546</c:v>
                </c:pt>
                <c:pt idx="19">
                  <c:v>6.5747926284348246</c:v>
                </c:pt>
                <c:pt idx="20">
                  <c:v>6.3259966128853096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D0-461F-A8BC-3F7EF165AFD6}"/>
            </c:ext>
          </c:extLst>
        </c:ser>
        <c:ser>
          <c:idx val="1"/>
          <c:order val="1"/>
          <c:tx>
            <c:strRef>
              <c:f>Median_40!$A$63</c:f>
              <c:strCache>
                <c:ptCount val="1"/>
                <c:pt idx="0">
                  <c:v>男性-high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Median_40!$B$63:$V$63</c:f>
              <c:numCache>
                <c:formatCode>0.00_);[Red]\(0.00\)</c:formatCode>
                <c:ptCount val="21"/>
                <c:pt idx="12">
                  <c:v>7.2141639399999997</c:v>
                </c:pt>
                <c:pt idx="13">
                  <c:v>7.2482846901116638</c:v>
                </c:pt>
                <c:pt idx="14">
                  <c:v>7.2630076326602531</c:v>
                </c:pt>
                <c:pt idx="15">
                  <c:v>7.2642944169085064</c:v>
                </c:pt>
                <c:pt idx="16">
                  <c:v>7.2566124228637596</c:v>
                </c:pt>
                <c:pt idx="17">
                  <c:v>7.2335653655083325</c:v>
                </c:pt>
                <c:pt idx="18">
                  <c:v>7.185215522103646</c:v>
                </c:pt>
                <c:pt idx="19">
                  <c:v>7.0887842741460547</c:v>
                </c:pt>
                <c:pt idx="20">
                  <c:v>6.9431864055374293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D0-461F-A8BC-3F7EF165AFD6}"/>
            </c:ext>
          </c:extLst>
        </c:ser>
        <c:ser>
          <c:idx val="2"/>
          <c:order val="2"/>
          <c:tx>
            <c:strRef>
              <c:f>Median_40!$A$64</c:f>
              <c:strCache>
                <c:ptCount val="1"/>
                <c:pt idx="0">
                  <c:v>男性-past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Median_40!$B$61:$V$61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Median_40!$B$64:$V$64</c:f>
              <c:numCache>
                <c:formatCode>0.00_);[Red]\(0.00\)</c:formatCode>
                <c:ptCount val="21"/>
                <c:pt idx="0">
                  <c:v>3.4283000000000001</c:v>
                </c:pt>
                <c:pt idx="1">
                  <c:v>3.7128000000000001</c:v>
                </c:pt>
                <c:pt idx="2">
                  <c:v>4.2686000000000002</c:v>
                </c:pt>
                <c:pt idx="3">
                  <c:v>4.7564000000000002</c:v>
                </c:pt>
                <c:pt idx="4">
                  <c:v>5.0785</c:v>
                </c:pt>
                <c:pt idx="5">
                  <c:v>5.4725000000000001</c:v>
                </c:pt>
                <c:pt idx="6">
                  <c:v>5.8903999999999996</c:v>
                </c:pt>
                <c:pt idx="7">
                  <c:v>6.1807999999999996</c:v>
                </c:pt>
                <c:pt idx="8">
                  <c:v>6.5437000000000003</c:v>
                </c:pt>
                <c:pt idx="9">
                  <c:v>6.7374999999999998</c:v>
                </c:pt>
                <c:pt idx="10">
                  <c:v>6.8747999999999996</c:v>
                </c:pt>
                <c:pt idx="11">
                  <c:v>7.0857000000000001</c:v>
                </c:pt>
                <c:pt idx="12">
                  <c:v>7.2356999999999996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D0-461F-A8BC-3F7EF165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86416"/>
        <c:axId val="515676848"/>
      </c:scatterChart>
      <c:valAx>
        <c:axId val="515686416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76848"/>
        <c:crosses val="autoZero"/>
        <c:crossBetween val="midCat"/>
      </c:valAx>
      <c:valAx>
        <c:axId val="515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8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Median_40!$A$67</c:f>
              <c:strCache>
                <c:ptCount val="1"/>
                <c:pt idx="0">
                  <c:v>女性-median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Median_40!$B$67:$V$67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7.0134878108024701</c:v>
                </c:pt>
                <c:pt idx="15">
                  <c:v>7.0160813745665536</c:v>
                </c:pt>
                <c:pt idx="16">
                  <c:v>6.9952935880110907</c:v>
                </c:pt>
                <c:pt idx="17">
                  <c:v>6.9568315503728071</c:v>
                </c:pt>
                <c:pt idx="18">
                  <c:v>6.8838938403992893</c:v>
                </c:pt>
                <c:pt idx="19">
                  <c:v>6.7519135174628877</c:v>
                </c:pt>
                <c:pt idx="20">
                  <c:v>6.5530425046223977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D-4928-9BB4-88EBE3FC4519}"/>
            </c:ext>
          </c:extLst>
        </c:ser>
        <c:ser>
          <c:idx val="1"/>
          <c:order val="1"/>
          <c:tx>
            <c:strRef>
              <c:f>Median_40!$A$68</c:f>
              <c:strCache>
                <c:ptCount val="1"/>
                <c:pt idx="0">
                  <c:v>女性-high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Median_40!$B$68:$V$68</c:f>
              <c:numCache>
                <c:formatCode>0.00_);[Red]\(0.00\)</c:formatCode>
                <c:ptCount val="21"/>
                <c:pt idx="12">
                  <c:v>6.8836233</c:v>
                </c:pt>
                <c:pt idx="13">
                  <c:v>6.9790683701625351</c:v>
                </c:pt>
                <c:pt idx="14">
                  <c:v>7.0635650817596591</c:v>
                </c:pt>
                <c:pt idx="15">
                  <c:v>7.1402714868159762</c:v>
                </c:pt>
                <c:pt idx="16">
                  <c:v>7.2102314262846017</c:v>
                </c:pt>
                <c:pt idx="17">
                  <c:v>7.2617775501823791</c:v>
                </c:pt>
                <c:pt idx="18">
                  <c:v>7.2802041913927571</c:v>
                </c:pt>
                <c:pt idx="19">
                  <c:v>7.2417757734462205</c:v>
                </c:pt>
                <c:pt idx="20">
                  <c:v>7.1414447118114888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D-4928-9BB4-88EBE3FC4519}"/>
            </c:ext>
          </c:extLst>
        </c:ser>
        <c:ser>
          <c:idx val="2"/>
          <c:order val="2"/>
          <c:tx>
            <c:strRef>
              <c:f>Median_40!$A$69</c:f>
              <c:strCache>
                <c:ptCount val="1"/>
                <c:pt idx="0">
                  <c:v>女性-past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Median_40!$B$66:$V$66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Median_40!$B$69:$V$69</c:f>
              <c:numCache>
                <c:formatCode>0.00_);[Red]\(0.00\)</c:formatCode>
                <c:ptCount val="21"/>
                <c:pt idx="0">
                  <c:v>3.1924000000000001</c:v>
                </c:pt>
                <c:pt idx="1">
                  <c:v>3.5409999999999999</c:v>
                </c:pt>
                <c:pt idx="2">
                  <c:v>4.0305999999999997</c:v>
                </c:pt>
                <c:pt idx="3">
                  <c:v>4.4855999999999998</c:v>
                </c:pt>
                <c:pt idx="4">
                  <c:v>4.7919999999999998</c:v>
                </c:pt>
                <c:pt idx="5">
                  <c:v>5.1125999999999996</c:v>
                </c:pt>
                <c:pt idx="6">
                  <c:v>5.5429000000000004</c:v>
                </c:pt>
                <c:pt idx="7">
                  <c:v>5.9313000000000002</c:v>
                </c:pt>
                <c:pt idx="8">
                  <c:v>6.1306000000000003</c:v>
                </c:pt>
                <c:pt idx="9">
                  <c:v>6.3380999999999998</c:v>
                </c:pt>
                <c:pt idx="10">
                  <c:v>6.5343</c:v>
                </c:pt>
                <c:pt idx="11">
                  <c:v>6.7469000000000001</c:v>
                </c:pt>
                <c:pt idx="12">
                  <c:v>6.8855000000000004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0D-4928-9BB4-88EBE3FC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4320"/>
        <c:axId val="515696400"/>
      </c:scatterChart>
      <c:valAx>
        <c:axId val="515694320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6400"/>
        <c:crosses val="autoZero"/>
        <c:crossBetween val="midCat"/>
      </c:valAx>
      <c:valAx>
        <c:axId val="515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69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Median_40!$A$72</c:f>
              <c:strCache>
                <c:ptCount val="1"/>
                <c:pt idx="0">
                  <c:v>出生人数-median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Median_40!$B$72:$V$72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994.87877789969366</c:v>
                </c:pt>
                <c:pt idx="15">
                  <c:v>954.45912209263827</c:v>
                </c:pt>
                <c:pt idx="16">
                  <c:v>972.8336840997332</c:v>
                </c:pt>
                <c:pt idx="17">
                  <c:v>1033.9527997727523</c:v>
                </c:pt>
                <c:pt idx="18">
                  <c:v>1036.2662181540172</c:v>
                </c:pt>
                <c:pt idx="19">
                  <c:v>936.58232836172442</c:v>
                </c:pt>
                <c:pt idx="20">
                  <c:v>800.87638371121977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20-4932-B63C-7B8136C70238}"/>
            </c:ext>
          </c:extLst>
        </c:ser>
        <c:ser>
          <c:idx val="1"/>
          <c:order val="1"/>
          <c:tx>
            <c:strRef>
              <c:f>Median_40!$A$73</c:f>
              <c:strCache>
                <c:ptCount val="1"/>
                <c:pt idx="0">
                  <c:v>出生人数-high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Median_40!$B$73:$V$73</c:f>
              <c:numCache>
                <c:formatCode>0.00_);[Red]\(0.00\)</c:formatCode>
                <c:ptCount val="21"/>
                <c:pt idx="12">
                  <c:v>1200</c:v>
                </c:pt>
                <c:pt idx="13">
                  <c:v>1180.4343156804002</c:v>
                </c:pt>
                <c:pt idx="14">
                  <c:v>1200.195588824166</c:v>
                </c:pt>
                <c:pt idx="15">
                  <c:v>1258.87612678029</c:v>
                </c:pt>
                <c:pt idx="16">
                  <c:v>1345.7932262384591</c:v>
                </c:pt>
                <c:pt idx="17">
                  <c:v>1404.1219751638628</c:v>
                </c:pt>
                <c:pt idx="18">
                  <c:v>1412.0738703191557</c:v>
                </c:pt>
                <c:pt idx="19">
                  <c:v>1321.5675717380434</c:v>
                </c:pt>
                <c:pt idx="20">
                  <c:v>1206.5971049500458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20-4932-B63C-7B8136C70238}"/>
            </c:ext>
          </c:extLst>
        </c:ser>
        <c:ser>
          <c:idx val="2"/>
          <c:order val="2"/>
          <c:tx>
            <c:strRef>
              <c:f>Median_40!$A$74</c:f>
              <c:strCache>
                <c:ptCount val="1"/>
                <c:pt idx="0">
                  <c:v>出生人数-past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Median_40!$B$71:$V$71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Median_40!$B$74:$V$74</c:f>
              <c:numCache>
                <c:formatCode>0.00_);[Red]\(0.00\)</c:formatCode>
                <c:ptCount val="21"/>
                <c:pt idx="0">
                  <c:v>1381.0780199999999</c:v>
                </c:pt>
                <c:pt idx="1">
                  <c:v>2756.444</c:v>
                </c:pt>
                <c:pt idx="2">
                  <c:v>2787.7012800000002</c:v>
                </c:pt>
                <c:pt idx="3">
                  <c:v>2137.6746000000003</c:v>
                </c:pt>
                <c:pt idx="4">
                  <c:v>1797.41805</c:v>
                </c:pt>
                <c:pt idx="5">
                  <c:v>2227.1050399999999</c:v>
                </c:pt>
                <c:pt idx="6">
                  <c:v>2407.8529800000001</c:v>
                </c:pt>
                <c:pt idx="7">
                  <c:v>2073.5915199999999</c:v>
                </c:pt>
                <c:pt idx="8">
                  <c:v>1778.2042899999999</c:v>
                </c:pt>
                <c:pt idx="9">
                  <c:v>1621.3744000000002</c:v>
                </c:pt>
                <c:pt idx="10">
                  <c:v>1595.6829000000002</c:v>
                </c:pt>
                <c:pt idx="11">
                  <c:v>1658.52874</c:v>
                </c:pt>
                <c:pt idx="12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20-4932-B63C-7B8136C70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26848"/>
        <c:axId val="486924768"/>
      </c:scatterChart>
      <c:valAx>
        <c:axId val="486926848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4768"/>
        <c:crosses val="autoZero"/>
        <c:crossBetween val="midCat"/>
      </c:valAx>
      <c:valAx>
        <c:axId val="4869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92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Median_40!$A$77</c:f>
              <c:strCache>
                <c:ptCount val="1"/>
                <c:pt idx="0">
                  <c:v>死亡-median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Median_40!$B$77:$V$77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1102.282811647148</c:v>
                </c:pt>
                <c:pt idx="16">
                  <c:v>1220.2706453043961</c:v>
                </c:pt>
                <c:pt idx="17">
                  <c:v>1345.8857463253069</c:v>
                </c:pt>
                <c:pt idx="18">
                  <c:v>1470.5333020083547</c:v>
                </c:pt>
                <c:pt idx="19">
                  <c:v>1589.5379733155894</c:v>
                </c:pt>
                <c:pt idx="20">
                  <c:v>1696.2104404912304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0-4C84-987D-9F90C9B05608}"/>
            </c:ext>
          </c:extLst>
        </c:ser>
        <c:ser>
          <c:idx val="1"/>
          <c:order val="1"/>
          <c:tx>
            <c:strRef>
              <c:f>Median_40!$A$78</c:f>
              <c:strCache>
                <c:ptCount val="1"/>
                <c:pt idx="0">
                  <c:v>死亡-high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Median_40!$B$78:$V$78</c:f>
              <c:numCache>
                <c:formatCode>0.00_);[Red]\(0.00\)</c:formatCode>
                <c:ptCount val="21"/>
                <c:pt idx="12">
                  <c:v>996</c:v>
                </c:pt>
                <c:pt idx="13">
                  <c:v>921.30267513200045</c:v>
                </c:pt>
                <c:pt idx="14">
                  <c:v>1001.7562805327392</c:v>
                </c:pt>
                <c:pt idx="15">
                  <c:v>1102.8897481711506</c:v>
                </c:pt>
                <c:pt idx="16">
                  <c:v>1221.2373353906989</c:v>
                </c:pt>
                <c:pt idx="17">
                  <c:v>1347.1238420791626</c:v>
                </c:pt>
                <c:pt idx="18">
                  <c:v>1471.9202747077752</c:v>
                </c:pt>
                <c:pt idx="19">
                  <c:v>1591.2869035462975</c:v>
                </c:pt>
                <c:pt idx="20">
                  <c:v>1698.4549654367613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0-4C84-987D-9F90C9B05608}"/>
            </c:ext>
          </c:extLst>
        </c:ser>
        <c:ser>
          <c:idx val="2"/>
          <c:order val="2"/>
          <c:tx>
            <c:strRef>
              <c:f>Median_40!$A$79</c:f>
              <c:strCache>
                <c:ptCount val="1"/>
                <c:pt idx="0">
                  <c:v>死亡-past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Median_40!$B$76:$V$76</c:f>
              <c:numCache>
                <c:formatCode>General</c:formatCode>
                <c:ptCount val="21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  <c:pt idx="13">
                  <c:v>2025</c:v>
                </c:pt>
                <c:pt idx="14">
                  <c:v>2030</c:v>
                </c:pt>
                <c:pt idx="15">
                  <c:v>2035</c:v>
                </c:pt>
                <c:pt idx="16">
                  <c:v>2040</c:v>
                </c:pt>
                <c:pt idx="17">
                  <c:v>2045</c:v>
                </c:pt>
                <c:pt idx="18">
                  <c:v>2050</c:v>
                </c:pt>
                <c:pt idx="19">
                  <c:v>2055</c:v>
                </c:pt>
                <c:pt idx="20">
                  <c:v>2060</c:v>
                </c:pt>
              </c:numCache>
            </c:numRef>
          </c:xVal>
          <c:yVal>
            <c:numRef>
              <c:f>Median_40!$B$79:$V$79</c:f>
              <c:numCache>
                <c:formatCode>0.00_);[Red]\(0.00\)</c:formatCode>
                <c:ptCount val="21"/>
                <c:pt idx="1">
                  <c:v>689.11099999999999</c:v>
                </c:pt>
                <c:pt idx="2">
                  <c:v>634.05888000000004</c:v>
                </c:pt>
                <c:pt idx="3">
                  <c:v>680.21120000000008</c:v>
                </c:pt>
                <c:pt idx="4">
                  <c:v>625.78969999999993</c:v>
                </c:pt>
                <c:pt idx="5">
                  <c:v>717.66978000000006</c:v>
                </c:pt>
                <c:pt idx="6">
                  <c:v>762.60110999999995</c:v>
                </c:pt>
                <c:pt idx="7">
                  <c:v>795.76497000000006</c:v>
                </c:pt>
                <c:pt idx="8">
                  <c:v>817.49234999999999</c:v>
                </c:pt>
                <c:pt idx="9">
                  <c:v>851.22155999999995</c:v>
                </c:pt>
                <c:pt idx="10">
                  <c:v>953.38701000000003</c:v>
                </c:pt>
                <c:pt idx="11">
                  <c:v>977.96482000000003</c:v>
                </c:pt>
                <c:pt idx="12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0-4C84-987D-9F90C9B0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474912"/>
        <c:axId val="315470336"/>
      </c:scatterChart>
      <c:valAx>
        <c:axId val="315474912"/>
        <c:scaling>
          <c:orientation val="minMax"/>
          <c:max val="206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0336"/>
        <c:crosses val="autoZero"/>
        <c:crossBetween val="midCat"/>
      </c:valAx>
      <c:valAx>
        <c:axId val="315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547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Median_40!$A$89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Median_40!$H$89:$V$89</c:f>
              <c:numCache>
                <c:formatCode>General</c:formatCode>
                <c:ptCount val="15"/>
                <c:pt idx="0">
                  <c:v>31659</c:v>
                </c:pt>
                <c:pt idx="1">
                  <c:v>32218</c:v>
                </c:pt>
                <c:pt idx="2">
                  <c:v>29012</c:v>
                </c:pt>
                <c:pt idx="3">
                  <c:v>26504</c:v>
                </c:pt>
                <c:pt idx="4">
                  <c:v>22259</c:v>
                </c:pt>
                <c:pt idx="5">
                  <c:v>22824</c:v>
                </c:pt>
                <c:pt idx="6" formatCode="0">
                  <c:v>25338.393800000002</c:v>
                </c:pt>
                <c:pt idx="7" formatCode="0">
                  <c:v>22682.163883361998</c:v>
                </c:pt>
                <c:pt idx="8" formatCode="0">
                  <c:v>18616.397643000855</c:v>
                </c:pt>
                <c:pt idx="9" formatCode="0">
                  <c:v>15612.573988094879</c:v>
                </c:pt>
                <c:pt idx="10" formatCode="0">
                  <c:v>14580.033604355047</c:v>
                </c:pt>
                <c:pt idx="11" formatCode="0">
                  <c:v>14777.538074928796</c:v>
                </c:pt>
                <c:pt idx="12" formatCode="0">
                  <c:v>15186.936201730121</c:v>
                </c:pt>
                <c:pt idx="13" formatCode="0">
                  <c:v>15006.015968834105</c:v>
                </c:pt>
                <c:pt idx="14" formatCode="0">
                  <c:v>13843.338873549194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8-47DB-80AB-E6270B3E4B7A}"/>
            </c:ext>
          </c:extLst>
        </c:ser>
        <c:ser>
          <c:idx val="1"/>
          <c:order val="1"/>
          <c:tx>
            <c:strRef>
              <c:f>Median_40!$A$90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Median_40!$H$90:$V$90</c:f>
              <c:numCache>
                <c:formatCode>General</c:formatCode>
                <c:ptCount val="15"/>
                <c:pt idx="0">
                  <c:v>76306</c:v>
                </c:pt>
                <c:pt idx="1">
                  <c:v>81393</c:v>
                </c:pt>
                <c:pt idx="2">
                  <c:v>88910</c:v>
                </c:pt>
                <c:pt idx="3">
                  <c:v>94197</c:v>
                </c:pt>
                <c:pt idx="4">
                  <c:v>99938</c:v>
                </c:pt>
                <c:pt idx="5">
                  <c:v>100978</c:v>
                </c:pt>
                <c:pt idx="6" formatCode="0">
                  <c:v>96575.950599999996</c:v>
                </c:pt>
                <c:pt idx="7" formatCode="0">
                  <c:v>96885.949937319994</c:v>
                </c:pt>
                <c:pt idx="8" formatCode="0">
                  <c:v>95253.679940781789</c:v>
                </c:pt>
                <c:pt idx="9" formatCode="0">
                  <c:v>90752.951962879961</c:v>
                </c:pt>
                <c:pt idx="10" formatCode="0">
                  <c:v>85224.432563180031</c:v>
                </c:pt>
                <c:pt idx="11" formatCode="0">
                  <c:v>80858.112251441868</c:v>
                </c:pt>
                <c:pt idx="12" formatCode="0">
                  <c:v>75768.577027361287</c:v>
                </c:pt>
                <c:pt idx="13" formatCode="0">
                  <c:v>68476.410314114415</c:v>
                </c:pt>
                <c:pt idx="14" formatCode="0">
                  <c:v>64590.321644947267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8-47DB-80AB-E6270B3E4B7A}"/>
            </c:ext>
          </c:extLst>
        </c:ser>
        <c:ser>
          <c:idx val="2"/>
          <c:order val="2"/>
          <c:tx>
            <c:strRef>
              <c:f>Median_40!$A$91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Median_40!$H$88:$V$88</c:f>
              <c:numCache>
                <c:formatCode>General</c:formatCode>
                <c:ptCount val="15"/>
                <c:pt idx="0">
                  <c:v>1990</c:v>
                </c:pt>
                <c:pt idx="1">
                  <c:v>1995</c:v>
                </c:pt>
                <c:pt idx="2">
                  <c:v>2000</c:v>
                </c:pt>
                <c:pt idx="3">
                  <c:v>2005</c:v>
                </c:pt>
                <c:pt idx="4">
                  <c:v>2010</c:v>
                </c:pt>
                <c:pt idx="5">
                  <c:v>2015</c:v>
                </c:pt>
                <c:pt idx="6">
                  <c:v>2020</c:v>
                </c:pt>
                <c:pt idx="7">
                  <c:v>2025</c:v>
                </c:pt>
                <c:pt idx="8">
                  <c:v>2030</c:v>
                </c:pt>
                <c:pt idx="9">
                  <c:v>2035</c:v>
                </c:pt>
                <c:pt idx="10">
                  <c:v>2040</c:v>
                </c:pt>
                <c:pt idx="11">
                  <c:v>2045</c:v>
                </c:pt>
                <c:pt idx="12">
                  <c:v>2050</c:v>
                </c:pt>
                <c:pt idx="13">
                  <c:v>2055</c:v>
                </c:pt>
                <c:pt idx="14">
                  <c:v>2060</c:v>
                </c:pt>
              </c:numCache>
            </c:numRef>
          </c:cat>
          <c:val>
            <c:numRef>
              <c:f>Median_40!$H$91:$V$91</c:f>
              <c:numCache>
                <c:formatCode>General</c:formatCode>
                <c:ptCount val="15"/>
                <c:pt idx="0">
                  <c:v>6368</c:v>
                </c:pt>
                <c:pt idx="1">
                  <c:v>7510</c:v>
                </c:pt>
                <c:pt idx="2">
                  <c:v>8821</c:v>
                </c:pt>
                <c:pt idx="3">
                  <c:v>10055</c:v>
                </c:pt>
                <c:pt idx="4">
                  <c:v>11894</c:v>
                </c:pt>
                <c:pt idx="5">
                  <c:v>14524</c:v>
                </c:pt>
                <c:pt idx="6" formatCode="0">
                  <c:v>19063.527999999998</c:v>
                </c:pt>
                <c:pt idx="7" formatCode="0">
                  <c:v>22705.416782059998</c:v>
                </c:pt>
                <c:pt idx="8" formatCode="0">
                  <c:v>28369.065505794097</c:v>
                </c:pt>
                <c:pt idx="9" formatCode="0">
                  <c:v>35134.498690829387</c:v>
                </c:pt>
                <c:pt idx="10" formatCode="0">
                  <c:v>40458.373668245789</c:v>
                </c:pt>
                <c:pt idx="11" formatCode="0">
                  <c:v>43067.524776647449</c:v>
                </c:pt>
                <c:pt idx="12" formatCode="0">
                  <c:v>45576.326454654998</c:v>
                </c:pt>
                <c:pt idx="13" formatCode="0">
                  <c:v>49784.635176028591</c:v>
                </c:pt>
                <c:pt idx="14" formatCode="0">
                  <c:v>50356.730656580599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8-47DB-80AB-E6270B3E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112032"/>
        <c:axId val="396116192"/>
      </c:areaChart>
      <c:catAx>
        <c:axId val="3961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6192"/>
        <c:crosses val="autoZero"/>
        <c:auto val="1"/>
        <c:lblAlgn val="ctr"/>
        <c:lblOffset val="100"/>
        <c:noMultiLvlLbl val="0"/>
      </c:catAx>
      <c:valAx>
        <c:axId val="3961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611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High</a:t>
            </a:r>
            <a:r>
              <a:rPr lang="en-US" altLang="zh-CN" baseline="0"/>
              <a:t> Female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High_40!$B$36:$J$36</c:f>
              <c:numCache>
                <c:formatCode>0</c:formatCode>
                <c:ptCount val="9"/>
                <c:pt idx="0">
                  <c:v>11879.035900000001</c:v>
                </c:pt>
                <c:pt idx="1">
                  <c:v>10779.562503635365</c:v>
                </c:pt>
                <c:pt idx="2">
                  <c:v>9476.8949267698954</c:v>
                </c:pt>
                <c:pt idx="3">
                  <c:v>8859.4432257593344</c:v>
                </c:pt>
                <c:pt idx="4">
                  <c:v>9262.8118494953505</c:v>
                </c:pt>
                <c:pt idx="5">
                  <c:v>9760.1256730923087</c:v>
                </c:pt>
                <c:pt idx="6">
                  <c:v>10133.785286079357</c:v>
                </c:pt>
                <c:pt idx="7">
                  <c:v>10074.940314522457</c:v>
                </c:pt>
                <c:pt idx="8">
                  <c:v>9594.2943429696643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E-4531-8ACD-DDB85C25C60D}"/>
            </c:ext>
          </c:extLst>
        </c:ser>
        <c:ser>
          <c:idx val="1"/>
          <c:order val="1"/>
          <c:tx>
            <c:strRef>
              <c:f>High_40!$A$37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High_40!$B$37:$J$37</c:f>
              <c:numCache>
                <c:formatCode>0</c:formatCode>
                <c:ptCount val="9"/>
                <c:pt idx="0">
                  <c:v>46944.705199999997</c:v>
                </c:pt>
                <c:pt idx="1">
                  <c:v>46998.500650969996</c:v>
                </c:pt>
                <c:pt idx="2">
                  <c:v>46004.402999025355</c:v>
                </c:pt>
                <c:pt idx="3">
                  <c:v>43629.946473362274</c:v>
                </c:pt>
                <c:pt idx="4">
                  <c:v>40891.325988129305</c:v>
                </c:pt>
                <c:pt idx="5">
                  <c:v>39256.864063668181</c:v>
                </c:pt>
                <c:pt idx="6">
                  <c:v>37516.915260709524</c:v>
                </c:pt>
                <c:pt idx="7">
                  <c:v>34842.209637227978</c:v>
                </c:pt>
                <c:pt idx="8">
                  <c:v>33924.139026593315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E-4531-8ACD-DDB85C25C60D}"/>
            </c:ext>
          </c:extLst>
        </c:ser>
        <c:ser>
          <c:idx val="2"/>
          <c:order val="2"/>
          <c:tx>
            <c:strRef>
              <c:f>High_40!$A$38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High_40!$B$35:$J$35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High_40!$B$38:$J$38</c:f>
              <c:numCache>
                <c:formatCode>0</c:formatCode>
                <c:ptCount val="9"/>
                <c:pt idx="0">
                  <c:v>10012.491900000001</c:v>
                </c:pt>
                <c:pt idx="1">
                  <c:v>12012.62054702</c:v>
                </c:pt>
                <c:pt idx="2">
                  <c:v>15154.352891801322</c:v>
                </c:pt>
                <c:pt idx="3">
                  <c:v>18913.325169038158</c:v>
                </c:pt>
                <c:pt idx="4">
                  <c:v>21948.176425221358</c:v>
                </c:pt>
                <c:pt idx="5">
                  <c:v>23600.785765063301</c:v>
                </c:pt>
                <c:pt idx="6">
                  <c:v>25151.341367138677</c:v>
                </c:pt>
                <c:pt idx="7">
                  <c:v>27500.60778271177</c:v>
                </c:pt>
                <c:pt idx="8">
                  <c:v>27896.013748551901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6E-4531-8ACD-DDB85C25C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69440"/>
        <c:axId val="321370272"/>
      </c:areaChart>
      <c:catAx>
        <c:axId val="32136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70272"/>
        <c:crosses val="autoZero"/>
        <c:auto val="1"/>
        <c:lblAlgn val="ctr"/>
        <c:lblOffset val="100"/>
        <c:noMultiLvlLbl val="0"/>
      </c:catAx>
      <c:valAx>
        <c:axId val="3213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6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High 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High_40!$A$36</c:f>
              <c:strCache>
                <c:ptCount val="1"/>
                <c:pt idx="0">
                  <c:v>0-14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High_40!$K$36:$S$36</c:f>
              <c:numCache>
                <c:formatCode>0</c:formatCode>
                <c:ptCount val="9"/>
                <c:pt idx="0">
                  <c:v>13459.357900000001</c:v>
                </c:pt>
                <c:pt idx="1">
                  <c:v>11902.601379726633</c:v>
                </c:pt>
                <c:pt idx="2">
                  <c:v>10166.086770853321</c:v>
                </c:pt>
                <c:pt idx="3">
                  <c:v>9298.765157776159</c:v>
                </c:pt>
                <c:pt idx="4">
                  <c:v>9722.8204105624445</c:v>
                </c:pt>
                <c:pt idx="5">
                  <c:v>10245.142846784946</c:v>
                </c:pt>
                <c:pt idx="6">
                  <c:v>10637.314322799519</c:v>
                </c:pt>
                <c:pt idx="7">
                  <c:v>10575.805921529356</c:v>
                </c:pt>
                <c:pt idx="8">
                  <c:v>10071.909148866274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3-4C1E-89D5-5CE9338F3B9E}"/>
            </c:ext>
          </c:extLst>
        </c:ser>
        <c:ser>
          <c:idx val="1"/>
          <c:order val="1"/>
          <c:tx>
            <c:strRef>
              <c:f>High_40!$A$37</c:f>
              <c:strCache>
                <c:ptCount val="1"/>
                <c:pt idx="0">
                  <c:v>15-64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High_40!$K$37:$S$37</c:f>
              <c:numCache>
                <c:formatCode>0</c:formatCode>
                <c:ptCount val="9"/>
                <c:pt idx="0">
                  <c:v>49631.2454</c:v>
                </c:pt>
                <c:pt idx="1">
                  <c:v>49887.449286349998</c:v>
                </c:pt>
                <c:pt idx="2">
                  <c:v>49249.276941756441</c:v>
                </c:pt>
                <c:pt idx="3">
                  <c:v>47123.005489517687</c:v>
                </c:pt>
                <c:pt idx="4">
                  <c:v>44333.106575050726</c:v>
                </c:pt>
                <c:pt idx="5">
                  <c:v>42623.771796714238</c:v>
                </c:pt>
                <c:pt idx="6">
                  <c:v>40789.855810720619</c:v>
                </c:pt>
                <c:pt idx="7">
                  <c:v>38028.009426614371</c:v>
                </c:pt>
                <c:pt idx="8">
                  <c:v>36899.237998479315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3-4C1E-89D5-5CE9338F3B9E}"/>
            </c:ext>
          </c:extLst>
        </c:ser>
        <c:ser>
          <c:idx val="2"/>
          <c:order val="2"/>
          <c:tx>
            <c:strRef>
              <c:f>High_40!$A$38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High_40!$K$35:$S$35</c:f>
              <c:numCache>
                <c:formatCode>General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cat>
          <c:val>
            <c:numRef>
              <c:f>High_40!$K$38:$S$38</c:f>
              <c:numCache>
                <c:formatCode>0</c:formatCode>
                <c:ptCount val="9"/>
                <c:pt idx="0">
                  <c:v>9051.0360999999994</c:v>
                </c:pt>
                <c:pt idx="1">
                  <c:v>10692.796235039999</c:v>
                </c:pt>
                <c:pt idx="2">
                  <c:v>13214.712613992775</c:v>
                </c:pt>
                <c:pt idx="3">
                  <c:v>16221.173521791226</c:v>
                </c:pt>
                <c:pt idx="4">
                  <c:v>18510.197243024431</c:v>
                </c:pt>
                <c:pt idx="5">
                  <c:v>19466.739011584148</c:v>
                </c:pt>
                <c:pt idx="6">
                  <c:v>20424.985087516321</c:v>
                </c:pt>
                <c:pt idx="7">
                  <c:v>22284.027393316825</c:v>
                </c:pt>
                <c:pt idx="8">
                  <c:v>22460.716908028699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53-4C1E-89D5-5CE9338F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48224"/>
        <c:axId val="321355296"/>
      </c:areaChart>
      <c:catAx>
        <c:axId val="3213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55296"/>
        <c:crosses val="autoZero"/>
        <c:auto val="1"/>
        <c:lblAlgn val="ctr"/>
        <c:lblOffset val="100"/>
        <c:noMultiLvlLbl val="0"/>
      </c:catAx>
      <c:valAx>
        <c:axId val="321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34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Viz!$A$1</c:f>
          <c:strCache>
            <c:ptCount val="1"/>
            <c:pt idx="0">
              <c:v>Past and Projection of China's Population by Scenario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Viz!$B$1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Viz!$B$2:$B$80</c:f>
              <c:numCache>
                <c:formatCode>0.00_ </c:formatCode>
                <c:ptCount val="79"/>
                <c:pt idx="0">
                  <c:v>5.5195999999999996</c:v>
                </c:pt>
                <c:pt idx="1">
                  <c:v>5.63</c:v>
                </c:pt>
                <c:pt idx="2">
                  <c:v>5.7481999999999998</c:v>
                </c:pt>
                <c:pt idx="3">
                  <c:v>5.8795999999999999</c:v>
                </c:pt>
                <c:pt idx="4">
                  <c:v>6.0266000000000002</c:v>
                </c:pt>
                <c:pt idx="5">
                  <c:v>6.1464999999999996</c:v>
                </c:pt>
                <c:pt idx="6">
                  <c:v>6.2827999999999999</c:v>
                </c:pt>
                <c:pt idx="7">
                  <c:v>6.4653</c:v>
                </c:pt>
                <c:pt idx="8">
                  <c:v>6.5994000000000002</c:v>
                </c:pt>
                <c:pt idx="9">
                  <c:v>6.7206999999999999</c:v>
                </c:pt>
                <c:pt idx="10">
                  <c:v>6.6207000000000003</c:v>
                </c:pt>
                <c:pt idx="11">
                  <c:v>6.5858999999999996</c:v>
                </c:pt>
                <c:pt idx="12">
                  <c:v>6.7295999999999996</c:v>
                </c:pt>
                <c:pt idx="13">
                  <c:v>6.9172000000000002</c:v>
                </c:pt>
                <c:pt idx="14">
                  <c:v>7.0499000000000001</c:v>
                </c:pt>
                <c:pt idx="15">
                  <c:v>7.2538</c:v>
                </c:pt>
                <c:pt idx="16">
                  <c:v>7.4542000000000002</c:v>
                </c:pt>
                <c:pt idx="17">
                  <c:v>7.6368</c:v>
                </c:pt>
                <c:pt idx="18">
                  <c:v>7.8533999999999997</c:v>
                </c:pt>
                <c:pt idx="19">
                  <c:v>8.0670999999999999</c:v>
                </c:pt>
                <c:pt idx="20">
                  <c:v>8.2992000000000008</c:v>
                </c:pt>
                <c:pt idx="21">
                  <c:v>8.5228999999999999</c:v>
                </c:pt>
                <c:pt idx="22">
                  <c:v>8.7177000000000007</c:v>
                </c:pt>
                <c:pt idx="23">
                  <c:v>8.9210999999999991</c:v>
                </c:pt>
                <c:pt idx="24">
                  <c:v>9.0859000000000005</c:v>
                </c:pt>
                <c:pt idx="25">
                  <c:v>9.2420000000000009</c:v>
                </c:pt>
                <c:pt idx="26">
                  <c:v>9.3717000000000006</c:v>
                </c:pt>
                <c:pt idx="27">
                  <c:v>9.4974000000000007</c:v>
                </c:pt>
                <c:pt idx="28">
                  <c:v>9.6258999999999997</c:v>
                </c:pt>
                <c:pt idx="29">
                  <c:v>9.7542000000000009</c:v>
                </c:pt>
                <c:pt idx="30">
                  <c:v>9.8704999999999998</c:v>
                </c:pt>
                <c:pt idx="31">
                  <c:v>10.007199999999999</c:v>
                </c:pt>
                <c:pt idx="32">
                  <c:v>10.1654</c:v>
                </c:pt>
                <c:pt idx="33">
                  <c:v>10.300800000000001</c:v>
                </c:pt>
                <c:pt idx="34">
                  <c:v>10.435700000000001</c:v>
                </c:pt>
                <c:pt idx="35">
                  <c:v>10.585100000000001</c:v>
                </c:pt>
                <c:pt idx="36">
                  <c:v>10.7507</c:v>
                </c:pt>
                <c:pt idx="37">
                  <c:v>10.93</c:v>
                </c:pt>
                <c:pt idx="38">
                  <c:v>11.102600000000001</c:v>
                </c:pt>
                <c:pt idx="39">
                  <c:v>11.2704</c:v>
                </c:pt>
                <c:pt idx="40">
                  <c:v>11.433299999999999</c:v>
                </c:pt>
                <c:pt idx="41">
                  <c:v>11.5823</c:v>
                </c:pt>
                <c:pt idx="42">
                  <c:v>11.7171</c:v>
                </c:pt>
                <c:pt idx="43">
                  <c:v>11.851699999999999</c:v>
                </c:pt>
                <c:pt idx="44">
                  <c:v>11.984999999999999</c:v>
                </c:pt>
                <c:pt idx="45">
                  <c:v>12.1121</c:v>
                </c:pt>
                <c:pt idx="46">
                  <c:v>12.238899999999999</c:v>
                </c:pt>
                <c:pt idx="47">
                  <c:v>12.3626</c:v>
                </c:pt>
                <c:pt idx="48">
                  <c:v>12.476100000000001</c:v>
                </c:pt>
                <c:pt idx="49">
                  <c:v>12.5786</c:v>
                </c:pt>
                <c:pt idx="50">
                  <c:v>12.674300000000001</c:v>
                </c:pt>
                <c:pt idx="51">
                  <c:v>12.762700000000001</c:v>
                </c:pt>
                <c:pt idx="52">
                  <c:v>12.8453</c:v>
                </c:pt>
                <c:pt idx="53">
                  <c:v>12.922700000000001</c:v>
                </c:pt>
                <c:pt idx="54">
                  <c:v>12.998799999999999</c:v>
                </c:pt>
                <c:pt idx="55">
                  <c:v>13.0756</c:v>
                </c:pt>
                <c:pt idx="56">
                  <c:v>13.1448</c:v>
                </c:pt>
                <c:pt idx="57">
                  <c:v>13.212899999999999</c:v>
                </c:pt>
                <c:pt idx="58">
                  <c:v>13.280200000000001</c:v>
                </c:pt>
                <c:pt idx="59">
                  <c:v>13.345000000000001</c:v>
                </c:pt>
                <c:pt idx="60">
                  <c:v>13.4091</c:v>
                </c:pt>
                <c:pt idx="61">
                  <c:v>13.4916</c:v>
                </c:pt>
                <c:pt idx="62">
                  <c:v>13.5922</c:v>
                </c:pt>
                <c:pt idx="63">
                  <c:v>13.672599999999999</c:v>
                </c:pt>
                <c:pt idx="64">
                  <c:v>13.7646</c:v>
                </c:pt>
                <c:pt idx="65">
                  <c:v>13.832599999999999</c:v>
                </c:pt>
                <c:pt idx="66">
                  <c:v>13.9232</c:v>
                </c:pt>
                <c:pt idx="67">
                  <c:v>14.001099999999999</c:v>
                </c:pt>
                <c:pt idx="68">
                  <c:v>14.0541</c:v>
                </c:pt>
                <c:pt idx="69">
                  <c:v>14.1008</c:v>
                </c:pt>
                <c:pt idx="70">
                  <c:v>14.1212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1-4D39-B5F2-D5E480074904}"/>
            </c:ext>
          </c:extLst>
        </c:ser>
        <c:ser>
          <c:idx val="1"/>
          <c:order val="1"/>
          <c:tx>
            <c:strRef>
              <c:f>Viz!$C$1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Viz!$C$2:$C$80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14.092440139552112</c:v>
                </c:pt>
                <c:pt idx="73">
                  <c:v>13.812293328156493</c:v>
                </c:pt>
                <c:pt idx="74">
                  <c:v>13.421932705052992</c:v>
                </c:pt>
                <c:pt idx="75">
                  <c:v>12.974748649494828</c:v>
                </c:pt>
                <c:pt idx="76">
                  <c:v>12.459401967938039</c:v>
                </c:pt>
                <c:pt idx="77">
                  <c:v>11.852390183949188</c:v>
                </c:pt>
                <c:pt idx="78">
                  <c:v>11.144500347656024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1-4D39-B5F2-D5E480074904}"/>
            </c:ext>
          </c:extLst>
        </c:ser>
        <c:ser>
          <c:idx val="2"/>
          <c:order val="2"/>
          <c:tx>
            <c:strRef>
              <c:f>Viz!$D$1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Viz!$D$2:$D$80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14.194853666086644</c:v>
                </c:pt>
                <c:pt idx="73">
                  <c:v>14.064776946720649</c:v>
                </c:pt>
                <c:pt idx="74">
                  <c:v>13.859944402763048</c:v>
                </c:pt>
                <c:pt idx="75">
                  <c:v>13.604362119296304</c:v>
                </c:pt>
                <c:pt idx="76">
                  <c:v>13.277834002548854</c:v>
                </c:pt>
                <c:pt idx="77">
                  <c:v>12.842866573621922</c:v>
                </c:pt>
                <c:pt idx="78">
                  <c:v>12.298157579882252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51-4D39-B5F2-D5E480074904}"/>
            </c:ext>
          </c:extLst>
        </c:ser>
        <c:ser>
          <c:idx val="4"/>
          <c:order val="4"/>
          <c:tx>
            <c:strRef>
              <c:f>Viz!$F$1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Viz!$F$2:$F$80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14.121500782423146</c:v>
                </c:pt>
                <c:pt idx="73">
                  <c:v>13.897497606093502</c:v>
                </c:pt>
                <c:pt idx="74">
                  <c:v>13.588173325379998</c:v>
                </c:pt>
                <c:pt idx="75">
                  <c:v>13.240449211187427</c:v>
                </c:pt>
                <c:pt idx="76">
                  <c:v>12.834244732141194</c:v>
                </c:pt>
                <c:pt idx="77">
                  <c:v>12.335393967287128</c:v>
                </c:pt>
                <c:pt idx="78">
                  <c:v>11.724149161471949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51-4D39-B5F2-D5E480074904}"/>
            </c:ext>
          </c:extLst>
        </c:ser>
        <c:ser>
          <c:idx val="5"/>
          <c:order val="5"/>
          <c:tx>
            <c:strRef>
              <c:f>Viz!$G$1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Viz!$G$2:$G$80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14.223914308957674</c:v>
                </c:pt>
                <c:pt idx="73">
                  <c:v>14.150002464180419</c:v>
                </c:pt>
                <c:pt idx="74">
                  <c:v>14.026283983578086</c:v>
                </c:pt>
                <c:pt idx="75">
                  <c:v>13.870317510301813</c:v>
                </c:pt>
                <c:pt idx="76">
                  <c:v>13.653183968374645</c:v>
                </c:pt>
                <c:pt idx="77">
                  <c:v>13.326706145897713</c:v>
                </c:pt>
                <c:pt idx="78">
                  <c:v>12.879039117507707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51-4D39-B5F2-D5E480074904}"/>
            </c:ext>
          </c:extLst>
        </c:ser>
        <c:ser>
          <c:idx val="7"/>
          <c:order val="7"/>
          <c:tx>
            <c:strRef>
              <c:f>Viz!$I$1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Viz!$A$2:$A$80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Viz!$I$2:$I$80</c:f>
              <c:numCache>
                <c:formatCode>0.00_ </c:formatCode>
                <c:ptCount val="79"/>
                <c:pt idx="70">
                  <c:v>14.097787239999999</c:v>
                </c:pt>
                <c:pt idx="71">
                  <c:v>14.227353060274199</c:v>
                </c:pt>
                <c:pt idx="72">
                  <c:v>14.182604530158084</c:v>
                </c:pt>
                <c:pt idx="73">
                  <c:v>13.993563734865461</c:v>
                </c:pt>
                <c:pt idx="74">
                  <c:v>13.698677540959409</c:v>
                </c:pt>
                <c:pt idx="75">
                  <c:v>13.30121411720064</c:v>
                </c:pt>
                <c:pt idx="76">
                  <c:v>12.781399056747393</c:v>
                </c:pt>
                <c:pt idx="77">
                  <c:v>12.14089842715466</c:v>
                </c:pt>
                <c:pt idx="78">
                  <c:v>11.423003128812356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951-4D39-B5F2-D5E480074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Viz!$E$1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Viz!$E$2:$E$80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14.227353060274199</c:v>
                      </c:pt>
                      <c:pt idx="72">
                        <c:v>14.29751207154888</c:v>
                      </c:pt>
                      <c:pt idx="73">
                        <c:v>14.319318553431549</c:v>
                      </c:pt>
                      <c:pt idx="74">
                        <c:v>14.300404153048579</c:v>
                      </c:pt>
                      <c:pt idx="75">
                        <c:v>14.229136112100317</c:v>
                      </c:pt>
                      <c:pt idx="76">
                        <c:v>14.089568981945289</c:v>
                      </c:pt>
                      <c:pt idx="77">
                        <c:v>13.84589143819559</c:v>
                      </c:pt>
                      <c:pt idx="78">
                        <c:v>13.502495271178693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7951-4D39-B5F2-D5E48007490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Viz!$H$1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Viz!$H$2:$H$80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14.227353060274199</c:v>
                      </c:pt>
                      <c:pt idx="72">
                        <c:v>14.326572714419912</c:v>
                      </c:pt>
                      <c:pt idx="73">
                        <c:v>14.404565903724482</c:v>
                      </c:pt>
                      <c:pt idx="74">
                        <c:v>14.466843849148361</c:v>
                      </c:pt>
                      <c:pt idx="75">
                        <c:v>14.495342915690712</c:v>
                      </c:pt>
                      <c:pt idx="76">
                        <c:v>14.465419713496402</c:v>
                      </c:pt>
                      <c:pt idx="77">
                        <c:v>14.330560047592275</c:v>
                      </c:pt>
                      <c:pt idx="78">
                        <c:v>14.084631117348918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951-4D39-B5F2-D5E48007490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Viz!$J$1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Viz!$J$2:$J$80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14.227353060274201</c:v>
                      </c:pt>
                      <c:pt idx="72">
                        <c:v>14.182597477743004</c:v>
                      </c:pt>
                      <c:pt idx="73">
                        <c:v>13.993547008592643</c:v>
                      </c:pt>
                      <c:pt idx="74">
                        <c:v>13.698641760829592</c:v>
                      </c:pt>
                      <c:pt idx="75">
                        <c:v>13.300461648643896</c:v>
                      </c:pt>
                      <c:pt idx="76">
                        <c:v>12.776650765103168</c:v>
                      </c:pt>
                      <c:pt idx="77">
                        <c:v>12.127404388142098</c:v>
                      </c:pt>
                      <c:pt idx="78">
                        <c:v>11.397933121259307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951-4D39-B5F2-D5E48007490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Viz!$K$1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Viz!$A$2:$A$80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Viz!$K$2:$K$80</c15:sqref>
                        </c15:formulaRef>
                      </c:ext>
                    </c:extLst>
                    <c:numCache>
                      <c:formatCode>0.00_ </c:formatCode>
                      <c:ptCount val="79"/>
                      <c:pt idx="70">
                        <c:v>14.097787239999999</c:v>
                      </c:pt>
                      <c:pt idx="71">
                        <c:v>14.227353060274201</c:v>
                      </c:pt>
                      <c:pt idx="72">
                        <c:v>14.182591874336239</c:v>
                      </c:pt>
                      <c:pt idx="73">
                        <c:v>13.993533718945159</c:v>
                      </c:pt>
                      <c:pt idx="74">
                        <c:v>13.698613332182216</c:v>
                      </c:pt>
                      <c:pt idx="75">
                        <c:v>13.299863784430688</c:v>
                      </c:pt>
                      <c:pt idx="76">
                        <c:v>12.77287808229069</c:v>
                      </c:pt>
                      <c:pt idx="77">
                        <c:v>12.116682956396357</c:v>
                      </c:pt>
                      <c:pt idx="78">
                        <c:v>11.378014361119405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951-4D39-B5F2-D5E480074904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100 millions</a:t>
                </a:r>
              </a:p>
            </c:rich>
          </c:tx>
          <c:layout>
            <c:manualLayout>
              <c:xMode val="edge"/>
              <c:yMode val="edge"/>
              <c:x val="0"/>
              <c:y val="5.386482939632548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5774278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Viz!$Y$1</c:f>
          <c:strCache>
            <c:ptCount val="1"/>
            <c:pt idx="0">
              <c:v>平均死亡人数（万人）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Viz!$Z$1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Viz!$Z$2:$Z$80</c:f>
              <c:numCache>
                <c:formatCode>0_ </c:formatCode>
                <c:ptCount val="79"/>
                <c:pt idx="0">
                  <c:v>993.52800000000002</c:v>
                </c:pt>
                <c:pt idx="1">
                  <c:v>1002.14</c:v>
                </c:pt>
                <c:pt idx="2">
                  <c:v>977.19399999999996</c:v>
                </c:pt>
                <c:pt idx="3">
                  <c:v>823.14400000000001</c:v>
                </c:pt>
                <c:pt idx="4">
                  <c:v>794.30588</c:v>
                </c:pt>
                <c:pt idx="5">
                  <c:v>754.79019999999991</c:v>
                </c:pt>
                <c:pt idx="6">
                  <c:v>716.2392000000001</c:v>
                </c:pt>
                <c:pt idx="7">
                  <c:v>698.25240000000008</c:v>
                </c:pt>
                <c:pt idx="8">
                  <c:v>790.60811999999999</c:v>
                </c:pt>
                <c:pt idx="9">
                  <c:v>980.55012999999997</c:v>
                </c:pt>
                <c:pt idx="10">
                  <c:v>1683.64401</c:v>
                </c:pt>
                <c:pt idx="11">
                  <c:v>943.75946999999996</c:v>
                </c:pt>
                <c:pt idx="12">
                  <c:v>678.34368000000006</c:v>
                </c:pt>
                <c:pt idx="13">
                  <c:v>698.63720000000001</c:v>
                </c:pt>
                <c:pt idx="14">
                  <c:v>814.9684400000001</c:v>
                </c:pt>
                <c:pt idx="15">
                  <c:v>689.11099999999999</c:v>
                </c:pt>
                <c:pt idx="16">
                  <c:v>661.1875399999999</c:v>
                </c:pt>
                <c:pt idx="17">
                  <c:v>646.83696000000009</c:v>
                </c:pt>
                <c:pt idx="18">
                  <c:v>647.90549999999996</c:v>
                </c:pt>
                <c:pt idx="19">
                  <c:v>650.20826</c:v>
                </c:pt>
                <c:pt idx="20">
                  <c:v>634.05888000000004</c:v>
                </c:pt>
                <c:pt idx="21">
                  <c:v>625.58086000000003</c:v>
                </c:pt>
                <c:pt idx="22">
                  <c:v>666.9040500000001</c:v>
                </c:pt>
                <c:pt idx="23">
                  <c:v>631.61387999999999</c:v>
                </c:pt>
                <c:pt idx="24">
                  <c:v>670.53942000000006</c:v>
                </c:pt>
                <c:pt idx="25">
                  <c:v>680.21120000000008</c:v>
                </c:pt>
                <c:pt idx="26">
                  <c:v>683.19693000000007</c:v>
                </c:pt>
                <c:pt idx="27">
                  <c:v>656.27033999999992</c:v>
                </c:pt>
                <c:pt idx="28">
                  <c:v>601.61874999999998</c:v>
                </c:pt>
                <c:pt idx="29">
                  <c:v>605.73581999999999</c:v>
                </c:pt>
                <c:pt idx="30">
                  <c:v>625.78969999999993</c:v>
                </c:pt>
                <c:pt idx="31">
                  <c:v>636.45792000000006</c:v>
                </c:pt>
                <c:pt idx="32">
                  <c:v>670.91639999999995</c:v>
                </c:pt>
                <c:pt idx="33">
                  <c:v>710.75520000000006</c:v>
                </c:pt>
                <c:pt idx="34">
                  <c:v>711.71474000000001</c:v>
                </c:pt>
                <c:pt idx="35">
                  <c:v>717.66978000000006</c:v>
                </c:pt>
                <c:pt idx="36">
                  <c:v>737.49802</c:v>
                </c:pt>
                <c:pt idx="37">
                  <c:v>734.49599999999998</c:v>
                </c:pt>
                <c:pt idx="38">
                  <c:v>737.21263999999996</c:v>
                </c:pt>
                <c:pt idx="39">
                  <c:v>737.08416</c:v>
                </c:pt>
                <c:pt idx="40">
                  <c:v>762.60110999999995</c:v>
                </c:pt>
                <c:pt idx="41">
                  <c:v>776.01409999999998</c:v>
                </c:pt>
                <c:pt idx="42">
                  <c:v>778.0154399999999</c:v>
                </c:pt>
                <c:pt idx="43">
                  <c:v>786.95288000000005</c:v>
                </c:pt>
                <c:pt idx="44">
                  <c:v>777.82650000000001</c:v>
                </c:pt>
                <c:pt idx="45">
                  <c:v>795.76497000000006</c:v>
                </c:pt>
                <c:pt idx="46">
                  <c:v>802.87184000000002</c:v>
                </c:pt>
                <c:pt idx="47">
                  <c:v>804.80525999999998</c:v>
                </c:pt>
                <c:pt idx="48">
                  <c:v>810.94650000000001</c:v>
                </c:pt>
                <c:pt idx="49">
                  <c:v>812.57755999999995</c:v>
                </c:pt>
                <c:pt idx="50">
                  <c:v>817.49234999999999</c:v>
                </c:pt>
                <c:pt idx="51">
                  <c:v>820.64161000000001</c:v>
                </c:pt>
                <c:pt idx="52">
                  <c:v>823.38373000000001</c:v>
                </c:pt>
                <c:pt idx="53">
                  <c:v>827.05280000000005</c:v>
                </c:pt>
                <c:pt idx="54">
                  <c:v>834.52296000000001</c:v>
                </c:pt>
                <c:pt idx="55">
                  <c:v>851.22155999999995</c:v>
                </c:pt>
                <c:pt idx="56">
                  <c:v>895.16088000000002</c:v>
                </c:pt>
                <c:pt idx="57">
                  <c:v>915.65396999999996</c:v>
                </c:pt>
                <c:pt idx="58">
                  <c:v>937.58212000000003</c:v>
                </c:pt>
                <c:pt idx="59">
                  <c:v>944.82600000000002</c:v>
                </c:pt>
                <c:pt idx="60">
                  <c:v>953.38701000000003</c:v>
                </c:pt>
                <c:pt idx="61">
                  <c:v>963.30024000000003</c:v>
                </c:pt>
                <c:pt idx="62">
                  <c:v>969.12386000000004</c:v>
                </c:pt>
                <c:pt idx="63">
                  <c:v>974.85638000000006</c:v>
                </c:pt>
                <c:pt idx="64">
                  <c:v>980.03952000000004</c:v>
                </c:pt>
                <c:pt idx="65">
                  <c:v>977.96482000000003</c:v>
                </c:pt>
                <c:pt idx="66">
                  <c:v>980.19328000000007</c:v>
                </c:pt>
                <c:pt idx="67">
                  <c:v>988.4776599999999</c:v>
                </c:pt>
                <c:pt idx="68">
                  <c:v>995.03028000000006</c:v>
                </c:pt>
                <c:pt idx="69">
                  <c:v>999.74671999999998</c:v>
                </c:pt>
                <c:pt idx="70">
                  <c:v>998.36884000000009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4C-4507-AA0B-0B040EAD81F7}"/>
            </c:ext>
          </c:extLst>
        </c:ser>
        <c:ser>
          <c:idx val="1"/>
          <c:order val="1"/>
          <c:tx>
            <c:strRef>
              <c:f>Viz!$AA$1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Viz!$AA$2:$AA$80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1059.8775662748026</c:v>
                </c:pt>
                <c:pt idx="73">
                  <c:v>1213.9167913546587</c:v>
                </c:pt>
                <c:pt idx="74">
                  <c:v>1381.2841961630631</c:v>
                </c:pt>
                <c:pt idx="75">
                  <c:v>1543.3658828124762</c:v>
                </c:pt>
                <c:pt idx="76">
                  <c:v>1687.1131630400778</c:v>
                </c:pt>
                <c:pt idx="77">
                  <c:v>1803.7549316232776</c:v>
                </c:pt>
                <c:pt idx="78">
                  <c:v>1886.9953931443274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4C-4507-AA0B-0B040EAD81F7}"/>
            </c:ext>
          </c:extLst>
        </c:ser>
        <c:ser>
          <c:idx val="2"/>
          <c:order val="2"/>
          <c:tx>
            <c:strRef>
              <c:f>Viz!$AB$1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Viz!$AB$2:$AB$80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1059.8775662748026</c:v>
                </c:pt>
                <c:pt idx="73">
                  <c:v>1214.5427628119635</c:v>
                </c:pt>
                <c:pt idx="74">
                  <c:v>1382.3321290484976</c:v>
                </c:pt>
                <c:pt idx="75">
                  <c:v>1544.7898290551709</c:v>
                </c:pt>
                <c:pt idx="76">
                  <c:v>1688.8783901205707</c:v>
                </c:pt>
                <c:pt idx="77">
                  <c:v>1805.9670707681894</c:v>
                </c:pt>
                <c:pt idx="78">
                  <c:v>1889.6836860256888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4C-4507-AA0B-0B040EAD81F7}"/>
            </c:ext>
          </c:extLst>
        </c:ser>
        <c:ser>
          <c:idx val="4"/>
          <c:order val="4"/>
          <c:tx>
            <c:strRef>
              <c:f>Viz!$AD$1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Viz!$AD$2:$AD$80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1001.7562805327392</c:v>
                </c:pt>
                <c:pt idx="73">
                  <c:v>1101.6773228951479</c:v>
                </c:pt>
                <c:pt idx="74">
                  <c:v>1219.3144028676772</c:v>
                </c:pt>
                <c:pt idx="75">
                  <c:v>1344.6516450084471</c:v>
                </c:pt>
                <c:pt idx="76">
                  <c:v>1469.1103398331047</c:v>
                </c:pt>
                <c:pt idx="77">
                  <c:v>1587.7786852528882</c:v>
                </c:pt>
                <c:pt idx="78">
                  <c:v>1694.0598059627675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4C-4507-AA0B-0B040EAD81F7}"/>
            </c:ext>
          </c:extLst>
        </c:ser>
        <c:ser>
          <c:idx val="5"/>
          <c:order val="5"/>
          <c:tx>
            <c:strRef>
              <c:f>Viz!$AE$1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Viz!$AE$2:$AE$80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1001.7562805327392</c:v>
                </c:pt>
                <c:pt idx="73">
                  <c:v>1102.282811647148</c:v>
                </c:pt>
                <c:pt idx="74">
                  <c:v>1220.2706453043961</c:v>
                </c:pt>
                <c:pt idx="75">
                  <c:v>1345.8857463253069</c:v>
                </c:pt>
                <c:pt idx="76">
                  <c:v>1470.5333020083547</c:v>
                </c:pt>
                <c:pt idx="77">
                  <c:v>1589.5379733155894</c:v>
                </c:pt>
                <c:pt idx="78">
                  <c:v>1696.2104404912304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4C-4507-AA0B-0B040EAD81F7}"/>
            </c:ext>
          </c:extLst>
        </c:ser>
        <c:ser>
          <c:idx val="7"/>
          <c:order val="7"/>
          <c:tx>
            <c:strRef>
              <c:f>Viz!$AG$1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Viz!$Y$2:$Y$80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Viz!$AG$2:$AG$80</c:f>
              <c:numCache>
                <c:formatCode>0_ </c:formatCode>
                <c:ptCount val="79"/>
                <c:pt idx="70">
                  <c:v>996</c:v>
                </c:pt>
                <c:pt idx="71">
                  <c:v>921.30267513200045</c:v>
                </c:pt>
                <c:pt idx="72">
                  <c:v>1121.3837566623758</c:v>
                </c:pt>
                <c:pt idx="73">
                  <c:v>1340.9290270648598</c:v>
                </c:pt>
                <c:pt idx="74">
                  <c:v>1570.2483761581111</c:v>
                </c:pt>
                <c:pt idx="75">
                  <c:v>1783.3467801237298</c:v>
                </c:pt>
                <c:pt idx="76">
                  <c:v>1959.7418186354232</c:v>
                </c:pt>
                <c:pt idx="77">
                  <c:v>2083.3461977466441</c:v>
                </c:pt>
                <c:pt idx="78">
                  <c:v>2133.5348555328774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4C-4507-AA0B-0B040EAD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Viz!$AC$1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Viz!$AC$2:$AC$80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1059.8775662748026</c:v>
                      </c:pt>
                      <c:pt idx="73">
                        <c:v>1215.1702310170579</c:v>
                      </c:pt>
                      <c:pt idx="74">
                        <c:v>1383.3913145851684</c:v>
                      </c:pt>
                      <c:pt idx="75">
                        <c:v>1546.218636210463</c:v>
                      </c:pt>
                      <c:pt idx="76">
                        <c:v>1690.6054305789614</c:v>
                      </c:pt>
                      <c:pt idx="77">
                        <c:v>1808.1663624980331</c:v>
                      </c:pt>
                      <c:pt idx="78">
                        <c:v>1892.4773262401009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E44C-4507-AA0B-0B040EAD81F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Viz!$AF$1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Viz!$AF$2:$AF$80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1001.7562805327392</c:v>
                      </c:pt>
                      <c:pt idx="73">
                        <c:v>1102.8897481711506</c:v>
                      </c:pt>
                      <c:pt idx="74">
                        <c:v>1221.2373353906989</c:v>
                      </c:pt>
                      <c:pt idx="75">
                        <c:v>1347.1238420791626</c:v>
                      </c:pt>
                      <c:pt idx="76">
                        <c:v>1471.9202747077752</c:v>
                      </c:pt>
                      <c:pt idx="77">
                        <c:v>1591.2869035462975</c:v>
                      </c:pt>
                      <c:pt idx="78">
                        <c:v>1698.4549654367613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4C-4507-AA0B-0B040EAD81F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Viz!$AH$1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Viz!$AH$2:$AH$80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1121.3978614925384</c:v>
                      </c:pt>
                      <c:pt idx="73">
                        <c:v>1340.9483747803426</c:v>
                      </c:pt>
                      <c:pt idx="74">
                        <c:v>1570.2730153774262</c:v>
                      </c:pt>
                      <c:pt idx="75">
                        <c:v>1783.3959707076597</c:v>
                      </c:pt>
                      <c:pt idx="76">
                        <c:v>1959.8157197910882</c:v>
                      </c:pt>
                      <c:pt idx="77">
                        <c:v>2083.435674147594</c:v>
                      </c:pt>
                      <c:pt idx="78">
                        <c:v>2133.6354598718785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4C-4507-AA0B-0B040EAD81F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Viz!$AI$1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Viz!$Y$2:$Y$80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Viz!$AI$2:$AI$80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996</c:v>
                      </c:pt>
                      <c:pt idx="71">
                        <c:v>921.30267513200045</c:v>
                      </c:pt>
                      <c:pt idx="72">
                        <c:v>1121.409068306067</c:v>
                      </c:pt>
                      <c:pt idx="73">
                        <c:v>1340.9637472617817</c:v>
                      </c:pt>
                      <c:pt idx="74">
                        <c:v>1570.2925921559524</c:v>
                      </c:pt>
                      <c:pt idx="75">
                        <c:v>1783.4350542314482</c:v>
                      </c:pt>
                      <c:pt idx="76">
                        <c:v>1959.8744133184982</c:v>
                      </c:pt>
                      <c:pt idx="77">
                        <c:v>2083.5066197429442</c:v>
                      </c:pt>
                      <c:pt idx="78">
                        <c:v>2133.7150180561684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4C-4507-AA0B-0B040EAD81F7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337860892388453"/>
          <c:w val="1"/>
          <c:h val="0.12662139107611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Viz!$AV$1</c:f>
          <c:strCache>
            <c:ptCount val="1"/>
            <c:pt idx="0">
              <c:v>老人抚养比（%）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Viz!$AW$1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Viz!$AW$2:$AW$80</c:f>
              <c:numCache>
                <c:formatCode>0.0_ </c:formatCode>
                <c:ptCount val="79"/>
                <c:pt idx="32">
                  <c:v>8</c:v>
                </c:pt>
                <c:pt idx="37">
                  <c:v>8.3000000000000007</c:v>
                </c:pt>
                <c:pt idx="40">
                  <c:v>8.3000000000000007</c:v>
                </c:pt>
                <c:pt idx="41">
                  <c:v>9</c:v>
                </c:pt>
                <c:pt idx="42">
                  <c:v>9.3000000000000007</c:v>
                </c:pt>
                <c:pt idx="43">
                  <c:v>9.1999999999999993</c:v>
                </c:pt>
                <c:pt idx="44">
                  <c:v>9.5</c:v>
                </c:pt>
                <c:pt idx="45">
                  <c:v>9.1999999999999993</c:v>
                </c:pt>
                <c:pt idx="46">
                  <c:v>9.5</c:v>
                </c:pt>
                <c:pt idx="47">
                  <c:v>9.6999999999999993</c:v>
                </c:pt>
                <c:pt idx="48">
                  <c:v>9.9</c:v>
                </c:pt>
                <c:pt idx="49">
                  <c:v>10.199999999999999</c:v>
                </c:pt>
                <c:pt idx="50">
                  <c:v>9.9</c:v>
                </c:pt>
                <c:pt idx="51">
                  <c:v>10.1</c:v>
                </c:pt>
                <c:pt idx="52">
                  <c:v>10.4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11</c:v>
                </c:pt>
                <c:pt idx="57">
                  <c:v>11.1</c:v>
                </c:pt>
                <c:pt idx="58">
                  <c:v>11.3</c:v>
                </c:pt>
                <c:pt idx="59">
                  <c:v>11.6</c:v>
                </c:pt>
                <c:pt idx="60">
                  <c:v>11.9</c:v>
                </c:pt>
                <c:pt idx="61">
                  <c:v>12.3</c:v>
                </c:pt>
                <c:pt idx="62">
                  <c:v>12.7</c:v>
                </c:pt>
                <c:pt idx="63">
                  <c:v>13.1</c:v>
                </c:pt>
                <c:pt idx="64">
                  <c:v>13.7</c:v>
                </c:pt>
                <c:pt idx="65">
                  <c:v>14.3</c:v>
                </c:pt>
                <c:pt idx="66">
                  <c:v>15</c:v>
                </c:pt>
                <c:pt idx="67">
                  <c:v>15.9</c:v>
                </c:pt>
                <c:pt idx="68">
                  <c:v>16.8</c:v>
                </c:pt>
                <c:pt idx="69">
                  <c:v>17.8</c:v>
                </c:pt>
                <c:pt idx="70">
                  <c:v>19.7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2-4625-8369-219F54A51A48}"/>
            </c:ext>
          </c:extLst>
        </c:ser>
        <c:ser>
          <c:idx val="1"/>
          <c:order val="1"/>
          <c:tx>
            <c:strRef>
              <c:f>Viz!$AX$1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Viz!$AX$2:$AX$80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29.538529744794261</c:v>
                </c:pt>
                <c:pt idx="73">
                  <c:v>37.930601018168169</c:v>
                </c:pt>
                <c:pt idx="74">
                  <c:v>45.793048906684291</c:v>
                </c:pt>
                <c:pt idx="75">
                  <c:v>51.035565568195359</c:v>
                </c:pt>
                <c:pt idx="76">
                  <c:v>57.694354419837204</c:v>
                </c:pt>
                <c:pt idx="77">
                  <c:v>70.853823553420767</c:v>
                </c:pt>
                <c:pt idx="78">
                  <c:v>77.293419447761721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82-4625-8369-219F54A51A48}"/>
            </c:ext>
          </c:extLst>
        </c:ser>
        <c:ser>
          <c:idx val="2"/>
          <c:order val="2"/>
          <c:tx>
            <c:strRef>
              <c:f>Viz!$AY$1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Viz!$AY$2:$AY$80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29.538529744794261</c:v>
                </c:pt>
                <c:pt idx="73">
                  <c:v>37.930601018168169</c:v>
                </c:pt>
                <c:pt idx="74">
                  <c:v>45.793048906684291</c:v>
                </c:pt>
                <c:pt idx="75">
                  <c:v>50.39028203478361</c:v>
                </c:pt>
                <c:pt idx="76">
                  <c:v>55.771840748160443</c:v>
                </c:pt>
                <c:pt idx="77">
                  <c:v>66.319140405458185</c:v>
                </c:pt>
                <c:pt idx="78">
                  <c:v>69.751915339146493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82-4625-8369-219F54A51A48}"/>
            </c:ext>
          </c:extLst>
        </c:ser>
        <c:ser>
          <c:idx val="7"/>
          <c:order val="7"/>
          <c:tx>
            <c:strRef>
              <c:f>Viz!$BD$1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Viz!$BD$2:$BD$80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29.276876195408953</c:v>
                </c:pt>
                <c:pt idx="73">
                  <c:v>37.062745372722901</c:v>
                </c:pt>
                <c:pt idx="74">
                  <c:v>43.888376162592905</c:v>
                </c:pt>
                <c:pt idx="75">
                  <c:v>46.955973322466747</c:v>
                </c:pt>
                <c:pt idx="76">
                  <c:v>50.445896354489427</c:v>
                </c:pt>
                <c:pt idx="77">
                  <c:v>58.413283895192379</c:v>
                </c:pt>
                <c:pt idx="78">
                  <c:v>59.781652995715916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82-4625-8369-219F54A51A48}"/>
            </c:ext>
          </c:extLst>
        </c:ser>
        <c:ser>
          <c:idx val="8"/>
          <c:order val="8"/>
          <c:tx>
            <c:strRef>
              <c:f>Viz!$BE$1</c:f>
              <c:strCache>
                <c:ptCount val="1"/>
                <c:pt idx="0">
                  <c:v>Freeze_sex1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Viz!$BE$2:$BE$80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29.276876195408963</c:v>
                </c:pt>
                <c:pt idx="73">
                  <c:v>37.062745372722908</c:v>
                </c:pt>
                <c:pt idx="74">
                  <c:v>43.888448859032636</c:v>
                </c:pt>
                <c:pt idx="75">
                  <c:v>46.956201751124361</c:v>
                </c:pt>
                <c:pt idx="76">
                  <c:v>50.446419494528371</c:v>
                </c:pt>
                <c:pt idx="77">
                  <c:v>58.414512882753975</c:v>
                </c:pt>
                <c:pt idx="78">
                  <c:v>59.790214905587682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82-4625-8369-219F54A51A48}"/>
            </c:ext>
          </c:extLst>
        </c:ser>
        <c:ser>
          <c:idx val="9"/>
          <c:order val="9"/>
          <c:tx>
            <c:strRef>
              <c:f>Viz!$BF$1</c:f>
              <c:strCache>
                <c:ptCount val="1"/>
                <c:pt idx="0">
                  <c:v>Freeze_sex2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Viz!$AV$2:$AV$80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Viz!$BF$2:$BF$80</c:f>
              <c:numCache>
                <c:formatCode>0.0_ </c:formatCode>
                <c:ptCount val="79"/>
                <c:pt idx="70">
                  <c:v>19.739415332247319</c:v>
                </c:pt>
                <c:pt idx="71">
                  <c:v>23.435200662995186</c:v>
                </c:pt>
                <c:pt idx="72">
                  <c:v>29.276876195408963</c:v>
                </c:pt>
                <c:pt idx="73">
                  <c:v>37.062745372722908</c:v>
                </c:pt>
                <c:pt idx="74">
                  <c:v>43.888506619236566</c:v>
                </c:pt>
                <c:pt idx="75">
                  <c:v>46.956383247795415</c:v>
                </c:pt>
                <c:pt idx="76">
                  <c:v>50.446835156532607</c:v>
                </c:pt>
                <c:pt idx="77">
                  <c:v>58.415489394107247</c:v>
                </c:pt>
                <c:pt idx="78">
                  <c:v>59.797019186832777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82-4625-8369-219F54A5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Viz!$AZ$1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Viz!$AZ$2:$AZ$80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29.538529744794261</c:v>
                      </c:pt>
                      <c:pt idx="73">
                        <c:v>37.930601018168169</c:v>
                      </c:pt>
                      <c:pt idx="74">
                        <c:v>45.793048906684291</c:v>
                      </c:pt>
                      <c:pt idx="75">
                        <c:v>49.759626866471848</c:v>
                      </c:pt>
                      <c:pt idx="76">
                        <c:v>53.959143861411398</c:v>
                      </c:pt>
                      <c:pt idx="77">
                        <c:v>62.309027475700063</c:v>
                      </c:pt>
                      <c:pt idx="78">
                        <c:v>63.594664488806053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8582-4625-8369-219F54A51A4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Viz!$BA$1</c15:sqref>
                        </c15:formulaRef>
                      </c:ext>
                    </c:extLst>
                    <c:strCache>
                      <c:ptCount val="1"/>
                      <c:pt idx="0">
                        <c:v>Low-40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Viz!$BA$2:$BA$80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53.943623098527773</c:v>
                      </c:pt>
                      <c:pt idx="76">
                        <c:v>62.219477500874</c:v>
                      </c:pt>
                      <c:pt idx="77">
                        <c:v>77.658603748134496</c:v>
                      </c:pt>
                      <c:pt idx="78">
                        <c:v>86.361848114375334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82-4625-8369-219F54A51A4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Viz!$BB$1</c15:sqref>
                        </c15:formulaRef>
                      </c:ext>
                    </c:extLst>
                    <c:strCache>
                      <c:ptCount val="1"/>
                      <c:pt idx="0">
                        <c:v>Mid-40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Viz!$BB$2:$BB$80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53.263084652188951</c:v>
                      </c:pt>
                      <c:pt idx="76">
                        <c:v>60.152015839226635</c:v>
                      </c:pt>
                      <c:pt idx="77">
                        <c:v>72.703336736924342</c:v>
                      </c:pt>
                      <c:pt idx="78">
                        <c:v>77.963275881162716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82-4625-8369-219F54A51A4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Viz!$BC$1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Viz!$AV$2:$AV$80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Viz!$BC$2:$BC$80</c15:sqref>
                        </c15:formulaRef>
                      </c:ext>
                    </c:extLst>
                    <c:numCache>
                      <c:formatCode>0.0_ </c:formatCode>
                      <c:ptCount val="79"/>
                      <c:pt idx="70">
                        <c:v>19.739415332247319</c:v>
                      </c:pt>
                      <c:pt idx="71">
                        <c:v>23.435200662995186</c:v>
                      </c:pt>
                      <c:pt idx="72">
                        <c:v>29.782645167547173</c:v>
                      </c:pt>
                      <c:pt idx="73">
                        <c:v>38.7144417133673</c:v>
                      </c:pt>
                      <c:pt idx="74">
                        <c:v>47.47274044711591</c:v>
                      </c:pt>
                      <c:pt idx="75">
                        <c:v>52.59793640352698</c:v>
                      </c:pt>
                      <c:pt idx="76">
                        <c:v>58.202280378897278</c:v>
                      </c:pt>
                      <c:pt idx="77">
                        <c:v>68.319590383571864</c:v>
                      </c:pt>
                      <c:pt idx="78">
                        <c:v>71.101849095325534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582-4625-8369-219F54A51A48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Viz!$M$1</c:f>
          <c:strCache>
            <c:ptCount val="1"/>
            <c:pt idx="0">
              <c:v>平均新生儿人数（万人）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Viz!$N$1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Viz!$N$2:$N$80</c:f>
              <c:numCache>
                <c:formatCode>0_ </c:formatCode>
                <c:ptCount val="79"/>
                <c:pt idx="0">
                  <c:v>2042.252</c:v>
                </c:pt>
                <c:pt idx="1">
                  <c:v>2128.14</c:v>
                </c:pt>
                <c:pt idx="2">
                  <c:v>2126.8339999999998</c:v>
                </c:pt>
                <c:pt idx="3">
                  <c:v>2175.4520000000002</c:v>
                </c:pt>
                <c:pt idx="4">
                  <c:v>2288.3000200000001</c:v>
                </c:pt>
                <c:pt idx="5">
                  <c:v>2003.759</c:v>
                </c:pt>
                <c:pt idx="6">
                  <c:v>2004.2131999999999</c:v>
                </c:pt>
                <c:pt idx="7">
                  <c:v>2200.1415899999997</c:v>
                </c:pt>
                <c:pt idx="8">
                  <c:v>1928.3446799999999</c:v>
                </c:pt>
                <c:pt idx="9">
                  <c:v>1665.3894599999999</c:v>
                </c:pt>
                <c:pt idx="10">
                  <c:v>1381.0780199999999</c:v>
                </c:pt>
                <c:pt idx="11">
                  <c:v>1194.02367</c:v>
                </c:pt>
                <c:pt idx="12">
                  <c:v>2504.7571200000002</c:v>
                </c:pt>
                <c:pt idx="13">
                  <c:v>3015.8992000000003</c:v>
                </c:pt>
                <c:pt idx="14">
                  <c:v>2773.43066</c:v>
                </c:pt>
                <c:pt idx="15">
                  <c:v>2756.444</c:v>
                </c:pt>
                <c:pt idx="16">
                  <c:v>2624.6238199999998</c:v>
                </c:pt>
                <c:pt idx="17">
                  <c:v>2605.6761599999995</c:v>
                </c:pt>
                <c:pt idx="18">
                  <c:v>2807.5904999999998</c:v>
                </c:pt>
                <c:pt idx="19">
                  <c:v>2762.9817499999999</c:v>
                </c:pt>
                <c:pt idx="20">
                  <c:v>2787.7012800000002</c:v>
                </c:pt>
                <c:pt idx="21">
                  <c:v>2619.9394600000001</c:v>
                </c:pt>
                <c:pt idx="22">
                  <c:v>2608.3358400000002</c:v>
                </c:pt>
                <c:pt idx="23">
                  <c:v>2504.1527700000001</c:v>
                </c:pt>
                <c:pt idx="24">
                  <c:v>2266.9320499999999</c:v>
                </c:pt>
                <c:pt idx="25">
                  <c:v>2137.6746000000003</c:v>
                </c:pt>
                <c:pt idx="26">
                  <c:v>1875.2771700000001</c:v>
                </c:pt>
                <c:pt idx="27">
                  <c:v>1807.3552200000001</c:v>
                </c:pt>
                <c:pt idx="28">
                  <c:v>1756.72675</c:v>
                </c:pt>
                <c:pt idx="29">
                  <c:v>1738.1984399999999</c:v>
                </c:pt>
                <c:pt idx="30">
                  <c:v>1797.41805</c:v>
                </c:pt>
                <c:pt idx="31">
                  <c:v>2092.5055200000002</c:v>
                </c:pt>
                <c:pt idx="32">
                  <c:v>2264.8511200000003</c:v>
                </c:pt>
                <c:pt idx="33">
                  <c:v>2079.7315199999998</c:v>
                </c:pt>
                <c:pt idx="34">
                  <c:v>2076.7042999999999</c:v>
                </c:pt>
                <c:pt idx="35">
                  <c:v>2227.1050399999999</c:v>
                </c:pt>
                <c:pt idx="36">
                  <c:v>2411.3820099999998</c:v>
                </c:pt>
                <c:pt idx="37">
                  <c:v>2549.9690000000001</c:v>
                </c:pt>
                <c:pt idx="38">
                  <c:v>2483.6516200000001</c:v>
                </c:pt>
                <c:pt idx="39">
                  <c:v>2432.1523199999997</c:v>
                </c:pt>
                <c:pt idx="40">
                  <c:v>2407.8529800000001</c:v>
                </c:pt>
                <c:pt idx="41">
                  <c:v>2279.3966399999999</c:v>
                </c:pt>
                <c:pt idx="42">
                  <c:v>2137.19904</c:v>
                </c:pt>
                <c:pt idx="43">
                  <c:v>2143.97253</c:v>
                </c:pt>
                <c:pt idx="44">
                  <c:v>2121.3449999999998</c:v>
                </c:pt>
                <c:pt idx="45">
                  <c:v>2073.5915199999999</c:v>
                </c:pt>
                <c:pt idx="46">
                  <c:v>2078.1652199999999</c:v>
                </c:pt>
                <c:pt idx="47">
                  <c:v>2048.4828200000002</c:v>
                </c:pt>
                <c:pt idx="48">
                  <c:v>1951.2620400000001</c:v>
                </c:pt>
                <c:pt idx="49">
                  <c:v>1841.50704</c:v>
                </c:pt>
                <c:pt idx="50">
                  <c:v>1778.2042899999999</c:v>
                </c:pt>
                <c:pt idx="51">
                  <c:v>1707.6492599999999</c:v>
                </c:pt>
                <c:pt idx="52">
                  <c:v>1651.9055799999999</c:v>
                </c:pt>
                <c:pt idx="53">
                  <c:v>1603.7070700000002</c:v>
                </c:pt>
                <c:pt idx="54">
                  <c:v>1597.5525199999997</c:v>
                </c:pt>
                <c:pt idx="55">
                  <c:v>1621.3744000000002</c:v>
                </c:pt>
                <c:pt idx="56">
                  <c:v>1589.20632</c:v>
                </c:pt>
                <c:pt idx="57">
                  <c:v>1598.7609</c:v>
                </c:pt>
                <c:pt idx="58">
                  <c:v>1612.2162800000001</c:v>
                </c:pt>
                <c:pt idx="59">
                  <c:v>1594.7275</c:v>
                </c:pt>
                <c:pt idx="60">
                  <c:v>1595.6829000000002</c:v>
                </c:pt>
                <c:pt idx="61">
                  <c:v>1790.3353199999999</c:v>
                </c:pt>
                <c:pt idx="62">
                  <c:v>1980.38354</c:v>
                </c:pt>
                <c:pt idx="63">
                  <c:v>1781.5397800000001</c:v>
                </c:pt>
                <c:pt idx="64">
                  <c:v>1903.64418</c:v>
                </c:pt>
                <c:pt idx="65">
                  <c:v>1658.52874</c:v>
                </c:pt>
                <c:pt idx="66">
                  <c:v>1889.37824</c:v>
                </c:pt>
                <c:pt idx="67">
                  <c:v>1769.7390399999999</c:v>
                </c:pt>
                <c:pt idx="68">
                  <c:v>1526.2752600000001</c:v>
                </c:pt>
                <c:pt idx="69">
                  <c:v>1467.89328</c:v>
                </c:pt>
                <c:pt idx="70">
                  <c:v>1203.1262400000001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55-4E71-8A33-70159AB34916}"/>
            </c:ext>
          </c:extLst>
        </c:ser>
        <c:ser>
          <c:idx val="1"/>
          <c:order val="1"/>
          <c:tx>
            <c:strRef>
              <c:f>Viz!$O$1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Viz!$O$2:$O$80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790.05172483063291</c:v>
                </c:pt>
                <c:pt idx="73">
                  <c:v>653.62316856342181</c:v>
                </c:pt>
                <c:pt idx="74">
                  <c:v>600.56294995606584</c:v>
                </c:pt>
                <c:pt idx="75">
                  <c:v>648.99777169614549</c:v>
                </c:pt>
                <c:pt idx="76">
                  <c:v>656.41979992650045</c:v>
                </c:pt>
                <c:pt idx="77">
                  <c:v>589.73136364557888</c:v>
                </c:pt>
                <c:pt idx="78">
                  <c:v>471.21572055799857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55-4E71-8A33-70159AB34916}"/>
            </c:ext>
          </c:extLst>
        </c:ser>
        <c:ser>
          <c:idx val="2"/>
          <c:order val="2"/>
          <c:tx>
            <c:strRef>
              <c:f>Viz!$P$1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Viz!$P$2:$P$80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994.87877789969366</c:v>
                </c:pt>
                <c:pt idx="73">
                  <c:v>954.3893240799797</c:v>
                </c:pt>
                <c:pt idx="74">
                  <c:v>972.66704113329683</c:v>
                </c:pt>
                <c:pt idx="75">
                  <c:v>1033.625262121685</c:v>
                </c:pt>
                <c:pt idx="76">
                  <c:v>1035.8221566256705</c:v>
                </c:pt>
                <c:pt idx="77">
                  <c:v>936.03221291432965</c:v>
                </c:pt>
                <c:pt idx="78">
                  <c:v>800.26569854635568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55-4E71-8A33-70159AB34916}"/>
            </c:ext>
          </c:extLst>
        </c:ser>
        <c:ser>
          <c:idx val="3"/>
          <c:order val="3"/>
          <c:tx>
            <c:strRef>
              <c:f>Viz!$Q$1</c:f>
              <c:strCache>
                <c:ptCount val="1"/>
                <c:pt idx="0">
                  <c:v>High-60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Viz!$Q$2:$Q$80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1200.195588824166</c:v>
                </c:pt>
                <c:pt idx="73">
                  <c:v>1258.7831947823991</c:v>
                </c:pt>
                <c:pt idx="74">
                  <c:v>1345.562513819227</c:v>
                </c:pt>
                <c:pt idx="75">
                  <c:v>1403.6825543139405</c:v>
                </c:pt>
                <c:pt idx="76">
                  <c:v>1411.4711702689058</c:v>
                </c:pt>
                <c:pt idx="77">
                  <c:v>1320.8112749986342</c:v>
                </c:pt>
                <c:pt idx="78">
                  <c:v>1205.6849922063086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55-4E71-8A33-70159AB34916}"/>
            </c:ext>
          </c:extLst>
        </c:ser>
        <c:ser>
          <c:idx val="4"/>
          <c:order val="4"/>
          <c:tx>
            <c:strRef>
              <c:f>Viz!$R$1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Viz!$R$2:$R$80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790.05172483063291</c:v>
                </c:pt>
                <c:pt idx="73">
                  <c:v>653.6709702358653</c:v>
                </c:pt>
                <c:pt idx="74">
                  <c:v>600.66584144066428</c:v>
                </c:pt>
                <c:pt idx="75">
                  <c:v>649.20341662330907</c:v>
                </c:pt>
                <c:pt idx="76">
                  <c:v>656.70138174063925</c:v>
                </c:pt>
                <c:pt idx="77">
                  <c:v>590.07715554475715</c:v>
                </c:pt>
                <c:pt idx="78">
                  <c:v>471.57019433241209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55-4E71-8A33-70159AB34916}"/>
            </c:ext>
          </c:extLst>
        </c:ser>
        <c:ser>
          <c:idx val="5"/>
          <c:order val="5"/>
          <c:tx>
            <c:strRef>
              <c:f>Viz!$S$1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Viz!$S$2:$S$80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994.87877789969366</c:v>
                </c:pt>
                <c:pt idx="73">
                  <c:v>954.45912209263827</c:v>
                </c:pt>
                <c:pt idx="74">
                  <c:v>972.8336840997332</c:v>
                </c:pt>
                <c:pt idx="75">
                  <c:v>1033.9527997727523</c:v>
                </c:pt>
                <c:pt idx="76">
                  <c:v>1036.2662181540172</c:v>
                </c:pt>
                <c:pt idx="77">
                  <c:v>936.58232836172442</c:v>
                </c:pt>
                <c:pt idx="78">
                  <c:v>800.87638371121977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55-4E71-8A33-70159AB34916}"/>
            </c:ext>
          </c:extLst>
        </c:ser>
        <c:ser>
          <c:idx val="7"/>
          <c:order val="7"/>
          <c:tx>
            <c:strRef>
              <c:f>Viz!$U$1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Viz!$M$2:$M$80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Viz!$U$2:$U$80</c:f>
              <c:numCache>
                <c:formatCode>0_ </c:formatCode>
                <c:ptCount val="79"/>
                <c:pt idx="70">
                  <c:v>1200</c:v>
                </c:pt>
                <c:pt idx="71">
                  <c:v>1180.4343156804002</c:v>
                </c:pt>
                <c:pt idx="72">
                  <c:v>1031.8866964301465</c:v>
                </c:pt>
                <c:pt idx="73">
                  <c:v>962.84743647961955</c:v>
                </c:pt>
                <c:pt idx="74">
                  <c:v>980.47598834600581</c:v>
                </c:pt>
                <c:pt idx="75">
                  <c:v>988.41993260619745</c:v>
                </c:pt>
                <c:pt idx="76">
                  <c:v>920.1116977289247</c:v>
                </c:pt>
                <c:pt idx="77">
                  <c:v>802.34493856117899</c:v>
                </c:pt>
                <c:pt idx="78">
                  <c:v>697.74425884826894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355-4E71-8A33-70159AB34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Viz!$T$1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Viz!$T$2:$T$80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1180.4343156804002</c:v>
                      </c:pt>
                      <c:pt idx="72">
                        <c:v>1200.195588824166</c:v>
                      </c:pt>
                      <c:pt idx="73">
                        <c:v>1258.87612678029</c:v>
                      </c:pt>
                      <c:pt idx="74">
                        <c:v>1345.7932262384591</c:v>
                      </c:pt>
                      <c:pt idx="75">
                        <c:v>1404.1219751638628</c:v>
                      </c:pt>
                      <c:pt idx="76">
                        <c:v>1412.0738703191557</c:v>
                      </c:pt>
                      <c:pt idx="77">
                        <c:v>1321.5675717380434</c:v>
                      </c:pt>
                      <c:pt idx="78">
                        <c:v>1206.5971049500458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1355-4E71-8A33-70159AB34916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Viz!$V$1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Viz!$V$2:$V$80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</c:v>
                      </c:pt>
                      <c:pt idx="72">
                        <c:v>1031.8866964301478</c:v>
                      </c:pt>
                      <c:pt idx="73">
                        <c:v>962.84743647962</c:v>
                      </c:pt>
                      <c:pt idx="74">
                        <c:v>980.46251985132608</c:v>
                      </c:pt>
                      <c:pt idx="75">
                        <c:v>987.0357463362659</c:v>
                      </c:pt>
                      <c:pt idx="76">
                        <c:v>912.19395270963196</c:v>
                      </c:pt>
                      <c:pt idx="77">
                        <c:v>784.94292022545392</c:v>
                      </c:pt>
                      <c:pt idx="78">
                        <c:v>674.69292610629793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355-4E71-8A33-70159AB34916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Viz!$W$1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Viz!$M$2:$M$80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Viz!$W$2:$W$80</c15:sqref>
                        </c15:formulaRef>
                      </c:ext>
                    </c:extLst>
                    <c:numCache>
                      <c:formatCode>0_ </c:formatCode>
                      <c:ptCount val="79"/>
                      <c:pt idx="70">
                        <c:v>1200</c:v>
                      </c:pt>
                      <c:pt idx="71">
                        <c:v>1180.4343156804</c:v>
                      </c:pt>
                      <c:pt idx="72">
                        <c:v>1031.886696430148</c:v>
                      </c:pt>
                      <c:pt idx="73">
                        <c:v>962.84743647962</c:v>
                      </c:pt>
                      <c:pt idx="74">
                        <c:v>980.45181863006394</c:v>
                      </c:pt>
                      <c:pt idx="75">
                        <c:v>985.9359587283941</c:v>
                      </c:pt>
                      <c:pt idx="76">
                        <c:v>905.90300903850402</c:v>
                      </c:pt>
                      <c:pt idx="77">
                        <c:v>771.11636795428012</c:v>
                      </c:pt>
                      <c:pt idx="78">
                        <c:v>656.37782750226404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355-4E71-8A33-70159AB34916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5774278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Viz!$AJ$1</c:f>
          <c:strCache>
            <c:ptCount val="1"/>
            <c:pt idx="0">
              <c:v>少儿抚养比（%）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Viz!$AK$1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Viz!$AK$2:$AK$80</c:f>
              <c:numCache>
                <c:formatCode>0.0_);[Red]\(0.0\)</c:formatCode>
                <c:ptCount val="79"/>
                <c:pt idx="32">
                  <c:v>54.6</c:v>
                </c:pt>
                <c:pt idx="37">
                  <c:v>43.5</c:v>
                </c:pt>
                <c:pt idx="40">
                  <c:v>41.5</c:v>
                </c:pt>
                <c:pt idx="41">
                  <c:v>41.8</c:v>
                </c:pt>
                <c:pt idx="42">
                  <c:v>41.7</c:v>
                </c:pt>
                <c:pt idx="43">
                  <c:v>40.700000000000003</c:v>
                </c:pt>
                <c:pt idx="44">
                  <c:v>40.5</c:v>
                </c:pt>
                <c:pt idx="45">
                  <c:v>39.6</c:v>
                </c:pt>
                <c:pt idx="46">
                  <c:v>39.299999999999997</c:v>
                </c:pt>
                <c:pt idx="47">
                  <c:v>38.5</c:v>
                </c:pt>
                <c:pt idx="48">
                  <c:v>38</c:v>
                </c:pt>
                <c:pt idx="49">
                  <c:v>37.5</c:v>
                </c:pt>
                <c:pt idx="50">
                  <c:v>32.6</c:v>
                </c:pt>
                <c:pt idx="51">
                  <c:v>32</c:v>
                </c:pt>
                <c:pt idx="52">
                  <c:v>31.9</c:v>
                </c:pt>
                <c:pt idx="53">
                  <c:v>31.4</c:v>
                </c:pt>
                <c:pt idx="54">
                  <c:v>30.3</c:v>
                </c:pt>
                <c:pt idx="55">
                  <c:v>28.1</c:v>
                </c:pt>
                <c:pt idx="56">
                  <c:v>27.3</c:v>
                </c:pt>
                <c:pt idx="57">
                  <c:v>26.8</c:v>
                </c:pt>
                <c:pt idx="58">
                  <c:v>26</c:v>
                </c:pt>
                <c:pt idx="59">
                  <c:v>25.3</c:v>
                </c:pt>
                <c:pt idx="60">
                  <c:v>22.3</c:v>
                </c:pt>
                <c:pt idx="61">
                  <c:v>22.1</c:v>
                </c:pt>
                <c:pt idx="62">
                  <c:v>22.2</c:v>
                </c:pt>
                <c:pt idx="63">
                  <c:v>22.2</c:v>
                </c:pt>
                <c:pt idx="64">
                  <c:v>22.5</c:v>
                </c:pt>
                <c:pt idx="65">
                  <c:v>22.6</c:v>
                </c:pt>
                <c:pt idx="66">
                  <c:v>22.9</c:v>
                </c:pt>
                <c:pt idx="67">
                  <c:v>23.4</c:v>
                </c:pt>
                <c:pt idx="68">
                  <c:v>23.7</c:v>
                </c:pt>
                <c:pt idx="69">
                  <c:v>23.8</c:v>
                </c:pt>
                <c:pt idx="70">
                  <c:v>26.2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2-4E00-83A6-F55FA03BC695}"/>
            </c:ext>
          </c:extLst>
        </c:ser>
        <c:ser>
          <c:idx val="1"/>
          <c:order val="1"/>
          <c:tx>
            <c:strRef>
              <c:f>Viz!$AL$1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Viz!$AL$2:$AL$80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18.476255797138823</c:v>
                </c:pt>
                <c:pt idx="73">
                  <c:v>14.43541467257616</c:v>
                </c:pt>
                <c:pt idx="74">
                  <c:v>11.986360768116112</c:v>
                </c:pt>
                <c:pt idx="75">
                  <c:v>11.925938193319313</c:v>
                </c:pt>
                <c:pt idx="76">
                  <c:v>13.031276658537678</c:v>
                </c:pt>
                <c:pt idx="77">
                  <c:v>14.81186054642766</c:v>
                </c:pt>
                <c:pt idx="78">
                  <c:v>14.765737389896266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2-4E00-83A6-F55FA03BC695}"/>
            </c:ext>
          </c:extLst>
        </c:ser>
        <c:ser>
          <c:idx val="2"/>
          <c:order val="2"/>
          <c:tx>
            <c:strRef>
              <c:f>Viz!$AM$1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Viz!$AM$2:$AM$80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19.551918777892368</c:v>
                </c:pt>
                <c:pt idx="73">
                  <c:v>17.220609142011646</c:v>
                </c:pt>
                <c:pt idx="74">
                  <c:v>17.13533808859782</c:v>
                </c:pt>
                <c:pt idx="75">
                  <c:v>18.318663435158378</c:v>
                </c:pt>
                <c:pt idx="76">
                  <c:v>20.105716354083484</c:v>
                </c:pt>
                <c:pt idx="77">
                  <c:v>21.986474324768235</c:v>
                </c:pt>
                <c:pt idx="78">
                  <c:v>21.509817423512555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2-4E00-83A6-F55FA03BC695}"/>
            </c:ext>
          </c:extLst>
        </c:ser>
        <c:ser>
          <c:idx val="4"/>
          <c:order val="4"/>
          <c:tx>
            <c:strRef>
              <c:f>Viz!$AO$1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Viz!$AO$2:$AO$80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18.468853264873836</c:v>
                </c:pt>
                <c:pt idx="73">
                  <c:v>14.421046504998319</c:v>
                </c:pt>
                <c:pt idx="74">
                  <c:v>11.967139839638481</c:v>
                </c:pt>
                <c:pt idx="75">
                  <c:v>11.89776333071414</c:v>
                </c:pt>
                <c:pt idx="76">
                  <c:v>12.989904972427494</c:v>
                </c:pt>
                <c:pt idx="77">
                  <c:v>14.760095072407331</c:v>
                </c:pt>
                <c:pt idx="78">
                  <c:v>14.707438146170619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2-4E00-83A6-F55FA03BC695}"/>
            </c:ext>
          </c:extLst>
        </c:ser>
        <c:ser>
          <c:idx val="5"/>
          <c:order val="5"/>
          <c:tx>
            <c:strRef>
              <c:f>Viz!$AP$1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Viz!$AP$2:$AP$80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19.544019353976115</c:v>
                </c:pt>
                <c:pt idx="73">
                  <c:v>17.203378678503793</c:v>
                </c:pt>
                <c:pt idx="74">
                  <c:v>17.107809539883213</c:v>
                </c:pt>
                <c:pt idx="75">
                  <c:v>18.275888050633142</c:v>
                </c:pt>
                <c:pt idx="76">
                  <c:v>20.043845084019285</c:v>
                </c:pt>
                <c:pt idx="77">
                  <c:v>21.914139336449782</c:v>
                </c:pt>
                <c:pt idx="78">
                  <c:v>21.432528157462922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2-4E00-83A6-F55FA03BC695}"/>
            </c:ext>
          </c:extLst>
        </c:ser>
        <c:ser>
          <c:idx val="7"/>
          <c:order val="7"/>
          <c:tx>
            <c:strRef>
              <c:f>Viz!$AR$1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Viz!$AJ$2:$AJ$80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Viz!$AR$2:$AR$80</c:f>
              <c:numCache>
                <c:formatCode>0.0_);[Red]\(0.0\)</c:formatCode>
                <c:ptCount val="79"/>
                <c:pt idx="70">
                  <c:v>26.236753190188121</c:v>
                </c:pt>
                <c:pt idx="71">
                  <c:v>23.411200383581047</c:v>
                </c:pt>
                <c:pt idx="72">
                  <c:v>19.754434145327551</c:v>
                </c:pt>
                <c:pt idx="73">
                  <c:v>17.489365889035486</c:v>
                </c:pt>
                <c:pt idx="74">
                  <c:v>17.481022655516455</c:v>
                </c:pt>
                <c:pt idx="75">
                  <c:v>18.152108365885546</c:v>
                </c:pt>
                <c:pt idx="76">
                  <c:v>19.115776927592549</c:v>
                </c:pt>
                <c:pt idx="77">
                  <c:v>19.85069383255097</c:v>
                </c:pt>
                <c:pt idx="78">
                  <c:v>18.876946477017825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A2-4E00-83A6-F55FA03B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Viz!$AN$1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Viz!$AN$2:$AN$80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20.630153754809054</c:v>
                      </c:pt>
                      <c:pt idx="73">
                        <c:v>20.028505667275819</c:v>
                      </c:pt>
                      <c:pt idx="74">
                        <c:v>22.313093104415906</c:v>
                      </c:pt>
                      <c:pt idx="75">
                        <c:v>24.488768366854778</c:v>
                      </c:pt>
                      <c:pt idx="76">
                        <c:v>26.604773939706416</c:v>
                      </c:pt>
                      <c:pt idx="77">
                        <c:v>28.427690501793972</c:v>
                      </c:pt>
                      <c:pt idx="78">
                        <c:v>27.86028987997582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85A2-4E00-83A6-F55FA03BC695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Viz!$AQ$1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Viz!$AQ$2:$AQ$80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20.621756251133867</c:v>
                      </c:pt>
                      <c:pt idx="73">
                        <c:v>20.008394207345031</c:v>
                      </c:pt>
                      <c:pt idx="74">
                        <c:v>22.277217564321173</c:v>
                      </c:pt>
                      <c:pt idx="75">
                        <c:v>24.432233958208318</c:v>
                      </c:pt>
                      <c:pt idx="76">
                        <c:v>26.525291906024091</c:v>
                      </c:pt>
                      <c:pt idx="77">
                        <c:v>28.339075278419951</c:v>
                      </c:pt>
                      <c:pt idx="78">
                        <c:v>27.767955042406093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A2-4E00-83A6-F55FA03BC695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Viz!$AS$1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Viz!$AS$2:$AS$80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23.411200383581047</c:v>
                      </c:pt>
                      <c:pt idx="72">
                        <c:v>19.754360038300316</c:v>
                      </c:pt>
                      <c:pt idx="73">
                        <c:v>17.489181155480303</c:v>
                      </c:pt>
                      <c:pt idx="74">
                        <c:v>17.480795762412559</c:v>
                      </c:pt>
                      <c:pt idx="75">
                        <c:v>18.143342701409555</c:v>
                      </c:pt>
                      <c:pt idx="76">
                        <c:v>19.054019356192693</c:v>
                      </c:pt>
                      <c:pt idx="77">
                        <c:v>19.655079217231506</c:v>
                      </c:pt>
                      <c:pt idx="78">
                        <c:v>18.501814709663755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A2-4E00-83A6-F55FA03BC695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Viz!$AT$1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Viz!$AJ$2:$AJ$80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Viz!$AT$2:$AT$80</c15:sqref>
                        </c15:formulaRef>
                      </c:ext>
                    </c:extLst>
                    <c:numCache>
                      <c:formatCode>0.0_);[Red]\(0.0\)</c:formatCode>
                      <c:ptCount val="79"/>
                      <c:pt idx="70">
                        <c:v>26.236753190188121</c:v>
                      </c:pt>
                      <c:pt idx="71">
                        <c:v>23.41120038358105</c:v>
                      </c:pt>
                      <c:pt idx="72">
                        <c:v>19.754301157503722</c:v>
                      </c:pt>
                      <c:pt idx="73">
                        <c:v>17.489034377781966</c:v>
                      </c:pt>
                      <c:pt idx="74">
                        <c:v>17.48061548684484</c:v>
                      </c:pt>
                      <c:pt idx="75">
                        <c:v>18.136377994733934</c:v>
                      </c:pt>
                      <c:pt idx="76">
                        <c:v>19.004949908306408</c:v>
                      </c:pt>
                      <c:pt idx="77">
                        <c:v>19.499651493185571</c:v>
                      </c:pt>
                      <c:pt idx="78">
                        <c:v>18.203686102304193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5A2-4E00-83A6-F55FA03BC695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  <c:majorUnit val="2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Viz!$BH$1</c:f>
          <c:strCache>
            <c:ptCount val="1"/>
            <c:pt idx="0">
              <c:v>中位数年龄（岁）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3409740449110527"/>
          <c:w val="0.87753018372703417"/>
          <c:h val="0.6693817439486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Viz!$BI$1</c:f>
              <c:strCache>
                <c:ptCount val="1"/>
                <c:pt idx="0">
                  <c:v>Past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Viz!$BI$2:$BI$80</c:f>
              <c:numCache>
                <c:formatCode>General</c:formatCode>
                <c:ptCount val="79"/>
                <c:pt idx="40">
                  <c:v>23.69</c:v>
                </c:pt>
                <c:pt idx="70" formatCode="0.00_ ">
                  <c:v>37.44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6A-4DD5-BAF2-E643447EC63F}"/>
            </c:ext>
          </c:extLst>
        </c:ser>
        <c:ser>
          <c:idx val="1"/>
          <c:order val="1"/>
          <c:tx>
            <c:strRef>
              <c:f>Viz!$BJ$1</c:f>
              <c:strCache>
                <c:ptCount val="1"/>
                <c:pt idx="0">
                  <c:v>Low-60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Viz!$BJ$2:$BJ$80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44.678969163126112</c:v>
                </c:pt>
                <c:pt idx="73" formatCode="0.00_ ">
                  <c:v>47.857794273984524</c:v>
                </c:pt>
                <c:pt idx="74" formatCode="0.00_ ">
                  <c:v>50.914892853802336</c:v>
                </c:pt>
                <c:pt idx="75" formatCode="0.00_ ">
                  <c:v>53.310860636266149</c:v>
                </c:pt>
                <c:pt idx="76" formatCode="0.00_ ">
                  <c:v>55.158431838933296</c:v>
                </c:pt>
                <c:pt idx="77" formatCode="0.00_ ">
                  <c:v>56.242724829487337</c:v>
                </c:pt>
                <c:pt idx="78" formatCode="0.00_ ">
                  <c:v>57.256274882558735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6A-4DD5-BAF2-E643447EC63F}"/>
            </c:ext>
          </c:extLst>
        </c:ser>
        <c:ser>
          <c:idx val="2"/>
          <c:order val="2"/>
          <c:tx>
            <c:strRef>
              <c:f>Viz!$BK$1</c:f>
              <c:strCache>
                <c:ptCount val="1"/>
                <c:pt idx="0">
                  <c:v>Mid-60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Viz!$BK$2:$BK$80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44.471105413019721</c:v>
                </c:pt>
                <c:pt idx="73" formatCode="0.00_ ">
                  <c:v>47.341769142345264</c:v>
                </c:pt>
                <c:pt idx="74" formatCode="0.00_ ">
                  <c:v>50.010429664129312</c:v>
                </c:pt>
                <c:pt idx="75" formatCode="0.00_ ">
                  <c:v>51.551321321348318</c:v>
                </c:pt>
                <c:pt idx="76" formatCode="0.00_ ">
                  <c:v>52.38572650267605</c:v>
                </c:pt>
                <c:pt idx="77" formatCode="0.00_ ">
                  <c:v>52.760859239937531</c:v>
                </c:pt>
                <c:pt idx="78" formatCode="0.00_ ">
                  <c:v>53.419274223133272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6A-4DD5-BAF2-E643447EC63F}"/>
            </c:ext>
          </c:extLst>
        </c:ser>
        <c:ser>
          <c:idx val="4"/>
          <c:order val="4"/>
          <c:tx>
            <c:strRef>
              <c:f>Viz!$BM$1</c:f>
              <c:strCache>
                <c:ptCount val="1"/>
                <c:pt idx="0">
                  <c:v>Low-40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Viz!$BM$2:$BM$80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44.734547559487027</c:v>
                </c:pt>
                <c:pt idx="73" formatCode="0.00_ ">
                  <c:v>48.022240078223597</c:v>
                </c:pt>
                <c:pt idx="74" formatCode="0.00_ ">
                  <c:v>51.238784475598251</c:v>
                </c:pt>
                <c:pt idx="75" formatCode="0.00_ ">
                  <c:v>54.012337293332635</c:v>
                </c:pt>
                <c:pt idx="76" formatCode="0.00_ ">
                  <c:v>56.161407335497493</c:v>
                </c:pt>
                <c:pt idx="77" formatCode="0.00_ ">
                  <c:v>57.823587648748131</c:v>
                </c:pt>
                <c:pt idx="78" formatCode="0.00_ ">
                  <c:v>59.205552424920626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6A-4DD5-BAF2-E643447EC63F}"/>
            </c:ext>
          </c:extLst>
        </c:ser>
        <c:ser>
          <c:idx val="5"/>
          <c:order val="5"/>
          <c:tx>
            <c:strRef>
              <c:f>Viz!$BN$1</c:f>
              <c:strCache>
                <c:ptCount val="1"/>
                <c:pt idx="0">
                  <c:v>Mid-40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Viz!$BN$2:$BN$80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44.526736873414976</c:v>
                </c:pt>
                <c:pt idx="73" formatCode="0.00_ ">
                  <c:v>47.506674567626845</c:v>
                </c:pt>
                <c:pt idx="74" formatCode="0.00_ ">
                  <c:v>50.336385540750427</c:v>
                </c:pt>
                <c:pt idx="75" formatCode="0.00_ ">
                  <c:v>52.258184967380934</c:v>
                </c:pt>
                <c:pt idx="76" formatCode="0.00_ ">
                  <c:v>53.611765920845158</c:v>
                </c:pt>
                <c:pt idx="77" formatCode="0.00_ ">
                  <c:v>54.3919835752437</c:v>
                </c:pt>
                <c:pt idx="78" formatCode="0.00_ ">
                  <c:v>55.102590509713032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6A-4DD5-BAF2-E643447EC63F}"/>
            </c:ext>
          </c:extLst>
        </c:ser>
        <c:ser>
          <c:idx val="7"/>
          <c:order val="7"/>
          <c:tx>
            <c:strRef>
              <c:f>Viz!$BP$1</c:f>
              <c:strCache>
                <c:ptCount val="1"/>
                <c:pt idx="0">
                  <c:v>Freeze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Viz!$BH$2:$BH$80</c:f>
              <c:numCache>
                <c:formatCode>General</c:formatCode>
                <c:ptCount val="79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2025</c:v>
                </c:pt>
                <c:pt idx="72">
                  <c:v>2030</c:v>
                </c:pt>
                <c:pt idx="73">
                  <c:v>2035</c:v>
                </c:pt>
                <c:pt idx="74">
                  <c:v>2040</c:v>
                </c:pt>
                <c:pt idx="75">
                  <c:v>2045</c:v>
                </c:pt>
                <c:pt idx="76">
                  <c:v>2050</c:v>
                </c:pt>
                <c:pt idx="77">
                  <c:v>2055</c:v>
                </c:pt>
                <c:pt idx="78">
                  <c:v>2060</c:v>
                </c:pt>
              </c:numCache>
            </c:numRef>
          </c:xVal>
          <c:yVal>
            <c:numRef>
              <c:f>Viz!$BP$2:$BP$80</c:f>
              <c:numCache>
                <c:formatCode>General</c:formatCode>
                <c:ptCount val="79"/>
                <c:pt idx="70" formatCode="0.00_ ">
                  <c:v>39.438162027158228</c:v>
                </c:pt>
                <c:pt idx="71" formatCode="0.00_ ">
                  <c:v>41.860793424246822</c:v>
                </c:pt>
                <c:pt idx="72" formatCode="0.00_ ">
                  <c:v>44.318429295382522</c:v>
                </c:pt>
                <c:pt idx="73" formatCode="0.00_ ">
                  <c:v>46.986905836513465</c:v>
                </c:pt>
                <c:pt idx="74" formatCode="0.00_ ">
                  <c:v>49.233976073358676</c:v>
                </c:pt>
                <c:pt idx="75" formatCode="0.00_ ">
                  <c:v>50.517519862971959</c:v>
                </c:pt>
                <c:pt idx="76" formatCode="0.00_ ">
                  <c:v>50.838672365810517</c:v>
                </c:pt>
                <c:pt idx="77" formatCode="0.00_ ">
                  <c:v>50.85873904139774</c:v>
                </c:pt>
                <c:pt idx="78" formatCode="0.00_ ">
                  <c:v>51.471684813488224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6A-4DD5-BAF2-E643447EC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14976"/>
        <c:axId val="4598166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Viz!$BL$1</c15:sqref>
                        </c15:formulaRef>
                      </c:ext>
                    </c:extLst>
                    <c:strCache>
                      <c:ptCount val="1"/>
                      <c:pt idx="0">
                        <c:v>High-60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Viz!$BL$2:$BL$80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44.262744644072583</c:v>
                      </c:pt>
                      <c:pt idx="73" formatCode="0.00_ ">
                        <c:v>46.821537901769624</c:v>
                      </c:pt>
                      <c:pt idx="74" formatCode="0.00_ ">
                        <c:v>48.795043372124944</c:v>
                      </c:pt>
                      <c:pt idx="75" formatCode="0.00_ ">
                        <c:v>49.763386629855148</c:v>
                      </c:pt>
                      <c:pt idx="76" formatCode="0.00_ ">
                        <c:v>49.593880094789107</c:v>
                      </c:pt>
                      <c:pt idx="77" formatCode="0.00_ ">
                        <c:v>49.334656268414989</c:v>
                      </c:pt>
                      <c:pt idx="78" formatCode="0.00_ ">
                        <c:v>49.801433013827797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1E6A-4DD5-BAF2-E643447EC63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Viz!$BO$1</c15:sqref>
                        </c15:formulaRef>
                      </c:ext>
                    </c:extLst>
                    <c:strCache>
                      <c:ptCount val="1"/>
                      <c:pt idx="0">
                        <c:v>High-40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Viz!$BO$2:$BO$80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44.318429295382522</c:v>
                      </c:pt>
                      <c:pt idx="73" formatCode="0.00_ ">
                        <c:v>46.986905836513465</c:v>
                      </c:pt>
                      <c:pt idx="74" formatCode="0.00_ ">
                        <c:v>49.233976073358676</c:v>
                      </c:pt>
                      <c:pt idx="75" formatCode="0.00_ ">
                        <c:v>50.517519862971959</c:v>
                      </c:pt>
                      <c:pt idx="76" formatCode="0.00_ ">
                        <c:v>50.838672365810517</c:v>
                      </c:pt>
                      <c:pt idx="77" formatCode="0.00_ ">
                        <c:v>50.85873904139774</c:v>
                      </c:pt>
                      <c:pt idx="78" formatCode="0.00_ ">
                        <c:v>51.471684813488224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E6A-4DD5-BAF2-E643447EC63F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Viz!$BQ$1</c15:sqref>
                        </c15:formulaRef>
                      </c:ext>
                    </c:extLst>
                    <c:strCache>
                      <c:ptCount val="1"/>
                      <c:pt idx="0">
                        <c:v>Freeze_sex1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Viz!$BQ$2:$BQ$80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44.373701313801099</c:v>
                      </c:pt>
                      <c:pt idx="73" formatCode="0.00_ ">
                        <c:v>47.112665338195562</c:v>
                      </c:pt>
                      <c:pt idx="74" formatCode="0.00_ ">
                        <c:v>49.443581867714819</c:v>
                      </c:pt>
                      <c:pt idx="75" formatCode="0.00_ ">
                        <c:v>50.717945298765301</c:v>
                      </c:pt>
                      <c:pt idx="76" formatCode="0.00_ ">
                        <c:v>51.112485711646059</c:v>
                      </c:pt>
                      <c:pt idx="77" formatCode="0.00_ ">
                        <c:v>51.21000557444934</c:v>
                      </c:pt>
                      <c:pt idx="78" formatCode="0.00_ ">
                        <c:v>51.900660988021436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E6A-4DD5-BAF2-E643447EC63F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Viz!$BR$1</c15:sqref>
                        </c15:formulaRef>
                      </c:ext>
                    </c:extLst>
                    <c:strCache>
                      <c:ptCount val="1"/>
                      <c:pt idx="0">
                        <c:v>Freeze_sex2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Viz!$BH$2:$BH$80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0">
                        <c:v>1950</c:v>
                      </c:pt>
                      <c:pt idx="1">
                        <c:v>1951</c:v>
                      </c:pt>
                      <c:pt idx="2">
                        <c:v>1952</c:v>
                      </c:pt>
                      <c:pt idx="3">
                        <c:v>1953</c:v>
                      </c:pt>
                      <c:pt idx="4">
                        <c:v>1954</c:v>
                      </c:pt>
                      <c:pt idx="5">
                        <c:v>1955</c:v>
                      </c:pt>
                      <c:pt idx="6">
                        <c:v>1956</c:v>
                      </c:pt>
                      <c:pt idx="7">
                        <c:v>1957</c:v>
                      </c:pt>
                      <c:pt idx="8">
                        <c:v>1958</c:v>
                      </c:pt>
                      <c:pt idx="9">
                        <c:v>1959</c:v>
                      </c:pt>
                      <c:pt idx="10">
                        <c:v>1960</c:v>
                      </c:pt>
                      <c:pt idx="11">
                        <c:v>1961</c:v>
                      </c:pt>
                      <c:pt idx="12">
                        <c:v>1962</c:v>
                      </c:pt>
                      <c:pt idx="13">
                        <c:v>1963</c:v>
                      </c:pt>
                      <c:pt idx="14">
                        <c:v>1964</c:v>
                      </c:pt>
                      <c:pt idx="15">
                        <c:v>1965</c:v>
                      </c:pt>
                      <c:pt idx="16">
                        <c:v>1966</c:v>
                      </c:pt>
                      <c:pt idx="17">
                        <c:v>1967</c:v>
                      </c:pt>
                      <c:pt idx="18">
                        <c:v>1968</c:v>
                      </c:pt>
                      <c:pt idx="19">
                        <c:v>1969</c:v>
                      </c:pt>
                      <c:pt idx="20">
                        <c:v>1970</c:v>
                      </c:pt>
                      <c:pt idx="21">
                        <c:v>1971</c:v>
                      </c:pt>
                      <c:pt idx="22">
                        <c:v>1972</c:v>
                      </c:pt>
                      <c:pt idx="23">
                        <c:v>1973</c:v>
                      </c:pt>
                      <c:pt idx="24">
                        <c:v>1974</c:v>
                      </c:pt>
                      <c:pt idx="25">
                        <c:v>1975</c:v>
                      </c:pt>
                      <c:pt idx="26">
                        <c:v>1976</c:v>
                      </c:pt>
                      <c:pt idx="27">
                        <c:v>1977</c:v>
                      </c:pt>
                      <c:pt idx="28">
                        <c:v>1978</c:v>
                      </c:pt>
                      <c:pt idx="29">
                        <c:v>1979</c:v>
                      </c:pt>
                      <c:pt idx="30">
                        <c:v>1980</c:v>
                      </c:pt>
                      <c:pt idx="31">
                        <c:v>1981</c:v>
                      </c:pt>
                      <c:pt idx="32">
                        <c:v>1982</c:v>
                      </c:pt>
                      <c:pt idx="33">
                        <c:v>1983</c:v>
                      </c:pt>
                      <c:pt idx="34">
                        <c:v>1984</c:v>
                      </c:pt>
                      <c:pt idx="35">
                        <c:v>1985</c:v>
                      </c:pt>
                      <c:pt idx="36">
                        <c:v>1986</c:v>
                      </c:pt>
                      <c:pt idx="37">
                        <c:v>1987</c:v>
                      </c:pt>
                      <c:pt idx="38">
                        <c:v>1988</c:v>
                      </c:pt>
                      <c:pt idx="39">
                        <c:v>1989</c:v>
                      </c:pt>
                      <c:pt idx="40">
                        <c:v>1990</c:v>
                      </c:pt>
                      <c:pt idx="41">
                        <c:v>1991</c:v>
                      </c:pt>
                      <c:pt idx="42">
                        <c:v>1992</c:v>
                      </c:pt>
                      <c:pt idx="43">
                        <c:v>1993</c:v>
                      </c:pt>
                      <c:pt idx="44">
                        <c:v>1994</c:v>
                      </c:pt>
                      <c:pt idx="45">
                        <c:v>1995</c:v>
                      </c:pt>
                      <c:pt idx="46">
                        <c:v>1996</c:v>
                      </c:pt>
                      <c:pt idx="47">
                        <c:v>1997</c:v>
                      </c:pt>
                      <c:pt idx="48">
                        <c:v>1998</c:v>
                      </c:pt>
                      <c:pt idx="49">
                        <c:v>1999</c:v>
                      </c:pt>
                      <c:pt idx="50">
                        <c:v>2000</c:v>
                      </c:pt>
                      <c:pt idx="51">
                        <c:v>2001</c:v>
                      </c:pt>
                      <c:pt idx="52">
                        <c:v>2002</c:v>
                      </c:pt>
                      <c:pt idx="53">
                        <c:v>2003</c:v>
                      </c:pt>
                      <c:pt idx="54">
                        <c:v>2004</c:v>
                      </c:pt>
                      <c:pt idx="55">
                        <c:v>2005</c:v>
                      </c:pt>
                      <c:pt idx="56">
                        <c:v>2006</c:v>
                      </c:pt>
                      <c:pt idx="57">
                        <c:v>2007</c:v>
                      </c:pt>
                      <c:pt idx="58">
                        <c:v>2008</c:v>
                      </c:pt>
                      <c:pt idx="59">
                        <c:v>2009</c:v>
                      </c:pt>
                      <c:pt idx="60">
                        <c:v>2010</c:v>
                      </c:pt>
                      <c:pt idx="61">
                        <c:v>2011</c:v>
                      </c:pt>
                      <c:pt idx="62">
                        <c:v>2012</c:v>
                      </c:pt>
                      <c:pt idx="63">
                        <c:v>2013</c:v>
                      </c:pt>
                      <c:pt idx="64">
                        <c:v>2014</c:v>
                      </c:pt>
                      <c:pt idx="65">
                        <c:v>2015</c:v>
                      </c:pt>
                      <c:pt idx="66">
                        <c:v>2016</c:v>
                      </c:pt>
                      <c:pt idx="67">
                        <c:v>2017</c:v>
                      </c:pt>
                      <c:pt idx="68">
                        <c:v>2018</c:v>
                      </c:pt>
                      <c:pt idx="69">
                        <c:v>2019</c:v>
                      </c:pt>
                      <c:pt idx="70">
                        <c:v>2020</c:v>
                      </c:pt>
                      <c:pt idx="71">
                        <c:v>2025</c:v>
                      </c:pt>
                      <c:pt idx="72">
                        <c:v>2030</c:v>
                      </c:pt>
                      <c:pt idx="73">
                        <c:v>2035</c:v>
                      </c:pt>
                      <c:pt idx="74">
                        <c:v>2040</c:v>
                      </c:pt>
                      <c:pt idx="75">
                        <c:v>2045</c:v>
                      </c:pt>
                      <c:pt idx="76">
                        <c:v>2050</c:v>
                      </c:pt>
                      <c:pt idx="77">
                        <c:v>2055</c:v>
                      </c:pt>
                      <c:pt idx="78">
                        <c:v>2060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Viz!$BR$2:$BR$80</c15:sqref>
                        </c15:formulaRef>
                      </c:ext>
                    </c:extLst>
                    <c:numCache>
                      <c:formatCode>General</c:formatCode>
                      <c:ptCount val="79"/>
                      <c:pt idx="70" formatCode="0.00_ ">
                        <c:v>39.438162027158228</c:v>
                      </c:pt>
                      <c:pt idx="71" formatCode="0.00_ ">
                        <c:v>41.860793424246822</c:v>
                      </c:pt>
                      <c:pt idx="72" formatCode="0.00_ ">
                        <c:v>44.37371563070127</c:v>
                      </c:pt>
                      <c:pt idx="73" formatCode="0.00_ ">
                        <c:v>47.112699558431764</c:v>
                      </c:pt>
                      <c:pt idx="74" formatCode="0.00_ ">
                        <c:v>49.443681061877811</c:v>
                      </c:pt>
                      <c:pt idx="75" formatCode="0.00_ ">
                        <c:v>50.720056939942943</c:v>
                      </c:pt>
                      <c:pt idx="76" formatCode="0.00_ ">
                        <c:v>51.128852044969491</c:v>
                      </c:pt>
                      <c:pt idx="77" formatCode="0.00_ ">
                        <c:v>51.2580570240752</c:v>
                      </c:pt>
                      <c:pt idx="78" formatCode="0.00_ ">
                        <c:v>51.976852843769827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E6A-4DD5-BAF2-E643447EC63F}"/>
                  </c:ext>
                </c:extLst>
              </c15:ser>
            </c15:filteredScatterSeries>
          </c:ext>
        </c:extLst>
      </c:scatterChart>
      <c:valAx>
        <c:axId val="459814976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6640"/>
        <c:crosses val="autoZero"/>
        <c:crossBetween val="midCat"/>
      </c:valAx>
      <c:valAx>
        <c:axId val="45981664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98149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921186934966466"/>
          <c:w val="1"/>
          <c:h val="0.13078809227793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'Population yty'!$A$14</c:f>
              <c:strCache>
                <c:ptCount val="1"/>
                <c:pt idx="0">
                  <c:v>Death_Female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yty'!$B$14:$AP$14</c:f>
              <c:numCache>
                <c:formatCode>General</c:formatCode>
                <c:ptCount val="41"/>
                <c:pt idx="0">
                  <c:v>4190907</c:v>
                </c:pt>
                <c:pt idx="1">
                  <c:v>4122589</c:v>
                </c:pt>
                <c:pt idx="2">
                  <c:v>4054270</c:v>
                </c:pt>
                <c:pt idx="3">
                  <c:v>3985952</c:v>
                </c:pt>
                <c:pt idx="4">
                  <c:v>3917633</c:v>
                </c:pt>
                <c:pt idx="5">
                  <c:v>3849315</c:v>
                </c:pt>
                <c:pt idx="6">
                  <c:v>3972665</c:v>
                </c:pt>
                <c:pt idx="7">
                  <c:v>4096015</c:v>
                </c:pt>
                <c:pt idx="8">
                  <c:v>4219364</c:v>
                </c:pt>
                <c:pt idx="9">
                  <c:v>4342714</c:v>
                </c:pt>
                <c:pt idx="10">
                  <c:v>4466064</c:v>
                </c:pt>
                <c:pt idx="11">
                  <c:v>4610613</c:v>
                </c:pt>
                <c:pt idx="12">
                  <c:v>4755162</c:v>
                </c:pt>
                <c:pt idx="13">
                  <c:v>4899711</c:v>
                </c:pt>
                <c:pt idx="14">
                  <c:v>5044260</c:v>
                </c:pt>
                <c:pt idx="15">
                  <c:v>5188809</c:v>
                </c:pt>
                <c:pt idx="16">
                  <c:v>5356328</c:v>
                </c:pt>
                <c:pt idx="17">
                  <c:v>5523847</c:v>
                </c:pt>
                <c:pt idx="18">
                  <c:v>5691366</c:v>
                </c:pt>
                <c:pt idx="19">
                  <c:v>5858885</c:v>
                </c:pt>
                <c:pt idx="20">
                  <c:v>6026404</c:v>
                </c:pt>
                <c:pt idx="21">
                  <c:v>6199990</c:v>
                </c:pt>
                <c:pt idx="22">
                  <c:v>6373577</c:v>
                </c:pt>
                <c:pt idx="23">
                  <c:v>6547164</c:v>
                </c:pt>
                <c:pt idx="24">
                  <c:v>6720750</c:v>
                </c:pt>
                <c:pt idx="25">
                  <c:v>6894337</c:v>
                </c:pt>
                <c:pt idx="26">
                  <c:v>7057418</c:v>
                </c:pt>
                <c:pt idx="27">
                  <c:v>7220498</c:v>
                </c:pt>
                <c:pt idx="28">
                  <c:v>7383579</c:v>
                </c:pt>
                <c:pt idx="29">
                  <c:v>7546659</c:v>
                </c:pt>
                <c:pt idx="30">
                  <c:v>7709740</c:v>
                </c:pt>
                <c:pt idx="31">
                  <c:v>7849267</c:v>
                </c:pt>
                <c:pt idx="32">
                  <c:v>7988795</c:v>
                </c:pt>
                <c:pt idx="33">
                  <c:v>8128322</c:v>
                </c:pt>
                <c:pt idx="34">
                  <c:v>8267849</c:v>
                </c:pt>
                <c:pt idx="35">
                  <c:v>8407376</c:v>
                </c:pt>
                <c:pt idx="36">
                  <c:v>8525719</c:v>
                </c:pt>
                <c:pt idx="37">
                  <c:v>8644062</c:v>
                </c:pt>
                <c:pt idx="38">
                  <c:v>8762405</c:v>
                </c:pt>
                <c:pt idx="39">
                  <c:v>8880748</c:v>
                </c:pt>
                <c:pt idx="40">
                  <c:v>8999091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7-4A3F-8339-8583EDB348FD}"/>
            </c:ext>
          </c:extLst>
        </c:ser>
        <c:ser>
          <c:idx val="2"/>
          <c:order val="1"/>
          <c:tx>
            <c:strRef>
              <c:f>'Population yty'!$A$15</c:f>
              <c:strCache>
                <c:ptCount val="1"/>
                <c:pt idx="0">
                  <c:v>Death_Male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yty'!$B$15:$AP$15</c:f>
              <c:numCache>
                <c:formatCode>General</c:formatCode>
                <c:ptCount val="41"/>
                <c:pt idx="0">
                  <c:v>5778356</c:v>
                </c:pt>
                <c:pt idx="1">
                  <c:v>5695427</c:v>
                </c:pt>
                <c:pt idx="2">
                  <c:v>5612498</c:v>
                </c:pt>
                <c:pt idx="3">
                  <c:v>5529570</c:v>
                </c:pt>
                <c:pt idx="4">
                  <c:v>5446641</c:v>
                </c:pt>
                <c:pt idx="5">
                  <c:v>5363712</c:v>
                </c:pt>
                <c:pt idx="6">
                  <c:v>5517512</c:v>
                </c:pt>
                <c:pt idx="7">
                  <c:v>5671312</c:v>
                </c:pt>
                <c:pt idx="8">
                  <c:v>5825112</c:v>
                </c:pt>
                <c:pt idx="9">
                  <c:v>5978911</c:v>
                </c:pt>
                <c:pt idx="10">
                  <c:v>6132711</c:v>
                </c:pt>
                <c:pt idx="11">
                  <c:v>6297493</c:v>
                </c:pt>
                <c:pt idx="12">
                  <c:v>6462274</c:v>
                </c:pt>
                <c:pt idx="13">
                  <c:v>6627056</c:v>
                </c:pt>
                <c:pt idx="14">
                  <c:v>6791837</c:v>
                </c:pt>
                <c:pt idx="15">
                  <c:v>6956619</c:v>
                </c:pt>
                <c:pt idx="16">
                  <c:v>7124679</c:v>
                </c:pt>
                <c:pt idx="17">
                  <c:v>7292738</c:v>
                </c:pt>
                <c:pt idx="18">
                  <c:v>7460798</c:v>
                </c:pt>
                <c:pt idx="19">
                  <c:v>7628858</c:v>
                </c:pt>
                <c:pt idx="20">
                  <c:v>7796918</c:v>
                </c:pt>
                <c:pt idx="21">
                  <c:v>7948246</c:v>
                </c:pt>
                <c:pt idx="22">
                  <c:v>8099575</c:v>
                </c:pt>
                <c:pt idx="23">
                  <c:v>8250904</c:v>
                </c:pt>
                <c:pt idx="24">
                  <c:v>8402233</c:v>
                </c:pt>
                <c:pt idx="25">
                  <c:v>8553561</c:v>
                </c:pt>
                <c:pt idx="26">
                  <c:v>8678658</c:v>
                </c:pt>
                <c:pt idx="27">
                  <c:v>8803754</c:v>
                </c:pt>
                <c:pt idx="28">
                  <c:v>8928851</c:v>
                </c:pt>
                <c:pt idx="29">
                  <c:v>9053947</c:v>
                </c:pt>
                <c:pt idx="30">
                  <c:v>9179044</c:v>
                </c:pt>
                <c:pt idx="31">
                  <c:v>9273694</c:v>
                </c:pt>
                <c:pt idx="32">
                  <c:v>9368344</c:v>
                </c:pt>
                <c:pt idx="33">
                  <c:v>9462994</c:v>
                </c:pt>
                <c:pt idx="34">
                  <c:v>9557644</c:v>
                </c:pt>
                <c:pt idx="35">
                  <c:v>9652294</c:v>
                </c:pt>
                <c:pt idx="36">
                  <c:v>9701385</c:v>
                </c:pt>
                <c:pt idx="37">
                  <c:v>9750475</c:v>
                </c:pt>
                <c:pt idx="38">
                  <c:v>9799565</c:v>
                </c:pt>
                <c:pt idx="39">
                  <c:v>9848655</c:v>
                </c:pt>
                <c:pt idx="40">
                  <c:v>9897745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7-4A3F-8339-8583EDB348FD}"/>
            </c:ext>
          </c:extLst>
        </c:ser>
        <c:ser>
          <c:idx val="7"/>
          <c:order val="4"/>
          <c:tx>
            <c:strRef>
              <c:f>'Population yty'!$A$20</c:f>
              <c:strCache>
                <c:ptCount val="1"/>
                <c:pt idx="0">
                  <c:v>Birth_Female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yty'!$B$20:$AP$20</c:f>
              <c:numCache>
                <c:formatCode>General</c:formatCode>
                <c:ptCount val="41"/>
                <c:pt idx="1">
                  <c:v>6031490</c:v>
                </c:pt>
                <c:pt idx="2">
                  <c:v>5963172</c:v>
                </c:pt>
                <c:pt idx="3">
                  <c:v>5894853</c:v>
                </c:pt>
                <c:pt idx="4">
                  <c:v>5826535</c:v>
                </c:pt>
                <c:pt idx="5">
                  <c:v>5758216</c:v>
                </c:pt>
                <c:pt idx="6">
                  <c:v>4359668</c:v>
                </c:pt>
                <c:pt idx="7">
                  <c:v>4483018</c:v>
                </c:pt>
                <c:pt idx="8">
                  <c:v>4606367</c:v>
                </c:pt>
                <c:pt idx="9">
                  <c:v>4729717</c:v>
                </c:pt>
                <c:pt idx="10">
                  <c:v>4853067</c:v>
                </c:pt>
                <c:pt idx="11">
                  <c:v>4077361</c:v>
                </c:pt>
                <c:pt idx="12">
                  <c:v>4221911</c:v>
                </c:pt>
                <c:pt idx="13">
                  <c:v>4366460</c:v>
                </c:pt>
                <c:pt idx="14">
                  <c:v>4511009</c:v>
                </c:pt>
                <c:pt idx="15">
                  <c:v>4655558</c:v>
                </c:pt>
                <c:pt idx="16">
                  <c:v>4074642</c:v>
                </c:pt>
                <c:pt idx="17">
                  <c:v>4242160</c:v>
                </c:pt>
                <c:pt idx="18">
                  <c:v>4409680</c:v>
                </c:pt>
                <c:pt idx="19">
                  <c:v>4577199</c:v>
                </c:pt>
                <c:pt idx="20">
                  <c:v>4744717</c:v>
                </c:pt>
                <c:pt idx="21">
                  <c:v>4347728</c:v>
                </c:pt>
                <c:pt idx="22">
                  <c:v>4521314</c:v>
                </c:pt>
                <c:pt idx="23">
                  <c:v>4694902</c:v>
                </c:pt>
                <c:pt idx="24">
                  <c:v>4868487</c:v>
                </c:pt>
                <c:pt idx="25">
                  <c:v>5042074</c:v>
                </c:pt>
                <c:pt idx="26">
                  <c:v>4400469</c:v>
                </c:pt>
                <c:pt idx="27">
                  <c:v>4563549</c:v>
                </c:pt>
                <c:pt idx="28">
                  <c:v>4726630</c:v>
                </c:pt>
                <c:pt idx="29">
                  <c:v>4889710</c:v>
                </c:pt>
                <c:pt idx="30">
                  <c:v>5052791</c:v>
                </c:pt>
                <c:pt idx="31">
                  <c:v>4007902</c:v>
                </c:pt>
                <c:pt idx="32">
                  <c:v>4147429</c:v>
                </c:pt>
                <c:pt idx="33">
                  <c:v>4286957</c:v>
                </c:pt>
                <c:pt idx="34">
                  <c:v>4426483</c:v>
                </c:pt>
                <c:pt idx="35">
                  <c:v>4566011</c:v>
                </c:pt>
                <c:pt idx="36">
                  <c:v>3430362</c:v>
                </c:pt>
                <c:pt idx="37">
                  <c:v>3548706</c:v>
                </c:pt>
                <c:pt idx="38">
                  <c:v>3667049</c:v>
                </c:pt>
                <c:pt idx="39">
                  <c:v>3785391</c:v>
                </c:pt>
                <c:pt idx="40">
                  <c:v>3903735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7-4A3F-8339-8583EDB348FD}"/>
            </c:ext>
          </c:extLst>
        </c:ser>
        <c:ser>
          <c:idx val="8"/>
          <c:order val="5"/>
          <c:tx>
            <c:strRef>
              <c:f>'Population yty'!$A$21</c:f>
              <c:strCache>
                <c:ptCount val="1"/>
                <c:pt idx="0">
                  <c:v>Birth_Male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'Population yty'!$B$13:$AP$13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'Population yty'!$B$21:$AP$21</c:f>
              <c:numCache>
                <c:formatCode>General</c:formatCode>
                <c:ptCount val="41"/>
                <c:pt idx="1">
                  <c:v>6377842</c:v>
                </c:pt>
                <c:pt idx="2">
                  <c:v>6294913</c:v>
                </c:pt>
                <c:pt idx="3">
                  <c:v>6211985</c:v>
                </c:pt>
                <c:pt idx="4">
                  <c:v>6129056</c:v>
                </c:pt>
                <c:pt idx="5">
                  <c:v>6046127</c:v>
                </c:pt>
                <c:pt idx="6">
                  <c:v>4480521</c:v>
                </c:pt>
                <c:pt idx="7">
                  <c:v>4634321</c:v>
                </c:pt>
                <c:pt idx="8">
                  <c:v>4788122</c:v>
                </c:pt>
                <c:pt idx="9">
                  <c:v>4941920</c:v>
                </c:pt>
                <c:pt idx="10">
                  <c:v>5095720</c:v>
                </c:pt>
                <c:pt idx="11">
                  <c:v>4229210</c:v>
                </c:pt>
                <c:pt idx="12">
                  <c:v>4393990</c:v>
                </c:pt>
                <c:pt idx="13">
                  <c:v>4558773</c:v>
                </c:pt>
                <c:pt idx="14">
                  <c:v>4723554</c:v>
                </c:pt>
                <c:pt idx="15">
                  <c:v>4888335</c:v>
                </c:pt>
                <c:pt idx="16">
                  <c:v>4309715</c:v>
                </c:pt>
                <c:pt idx="17">
                  <c:v>4477774</c:v>
                </c:pt>
                <c:pt idx="18">
                  <c:v>4645833</c:v>
                </c:pt>
                <c:pt idx="19">
                  <c:v>4813894</c:v>
                </c:pt>
                <c:pt idx="20">
                  <c:v>4981953</c:v>
                </c:pt>
                <c:pt idx="21">
                  <c:v>4688863</c:v>
                </c:pt>
                <c:pt idx="22">
                  <c:v>4840192</c:v>
                </c:pt>
                <c:pt idx="23">
                  <c:v>4991521</c:v>
                </c:pt>
                <c:pt idx="24">
                  <c:v>5142850</c:v>
                </c:pt>
                <c:pt idx="25">
                  <c:v>5294178</c:v>
                </c:pt>
                <c:pt idx="26">
                  <c:v>4805044</c:v>
                </c:pt>
                <c:pt idx="27">
                  <c:v>4930141</c:v>
                </c:pt>
                <c:pt idx="28">
                  <c:v>5055238</c:v>
                </c:pt>
                <c:pt idx="29">
                  <c:v>5180333</c:v>
                </c:pt>
                <c:pt idx="30">
                  <c:v>5305431</c:v>
                </c:pt>
                <c:pt idx="31">
                  <c:v>4415711</c:v>
                </c:pt>
                <c:pt idx="32">
                  <c:v>4510361</c:v>
                </c:pt>
                <c:pt idx="33">
                  <c:v>4605011</c:v>
                </c:pt>
                <c:pt idx="34">
                  <c:v>4699661</c:v>
                </c:pt>
                <c:pt idx="35">
                  <c:v>4794311</c:v>
                </c:pt>
                <c:pt idx="36">
                  <c:v>3902561</c:v>
                </c:pt>
                <c:pt idx="37">
                  <c:v>3951652</c:v>
                </c:pt>
                <c:pt idx="38">
                  <c:v>4000741</c:v>
                </c:pt>
                <c:pt idx="39">
                  <c:v>4049832</c:v>
                </c:pt>
                <c:pt idx="40">
                  <c:v>4098921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F7-4A3F-8339-8583EDB3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299231"/>
        <c:axId val="252292991"/>
      </c:lineChart>
      <c:lineChart>
        <c:grouping val="standard"/>
        <c:varyColors val="0"/>
        <c:ser>
          <c:idx val="4"/>
          <c:order val="2"/>
          <c:tx>
            <c:strRef>
              <c:f>'Population yty'!$A$17</c:f>
              <c:strCache>
                <c:ptCount val="1"/>
                <c:pt idx="0">
                  <c:v>Population_Female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'Population yty'!$B$17:$AP$17</c:f>
              <c:numCache>
                <c:formatCode>General</c:formatCode>
                <c:ptCount val="41"/>
                <c:pt idx="0">
                  <c:v>688362330</c:v>
                </c:pt>
                <c:pt idx="1">
                  <c:v>690271231</c:v>
                </c:pt>
                <c:pt idx="2">
                  <c:v>692180133</c:v>
                </c:pt>
                <c:pt idx="3">
                  <c:v>694089034</c:v>
                </c:pt>
                <c:pt idx="4">
                  <c:v>695997936</c:v>
                </c:pt>
                <c:pt idx="5">
                  <c:v>697906837</c:v>
                </c:pt>
                <c:pt idx="6">
                  <c:v>698293840</c:v>
                </c:pt>
                <c:pt idx="7">
                  <c:v>698680843</c:v>
                </c:pt>
                <c:pt idx="8">
                  <c:v>699067846</c:v>
                </c:pt>
                <c:pt idx="9">
                  <c:v>699454849</c:v>
                </c:pt>
                <c:pt idx="10">
                  <c:v>699841852</c:v>
                </c:pt>
                <c:pt idx="11">
                  <c:v>699308600</c:v>
                </c:pt>
                <c:pt idx="12">
                  <c:v>698775349</c:v>
                </c:pt>
                <c:pt idx="13">
                  <c:v>698242098</c:v>
                </c:pt>
                <c:pt idx="14">
                  <c:v>697708847</c:v>
                </c:pt>
                <c:pt idx="15">
                  <c:v>697175596</c:v>
                </c:pt>
                <c:pt idx="16">
                  <c:v>695893910</c:v>
                </c:pt>
                <c:pt idx="17">
                  <c:v>694612223</c:v>
                </c:pt>
                <c:pt idx="18">
                  <c:v>693330537</c:v>
                </c:pt>
                <c:pt idx="19">
                  <c:v>692048851</c:v>
                </c:pt>
                <c:pt idx="20">
                  <c:v>690767164</c:v>
                </c:pt>
                <c:pt idx="21">
                  <c:v>688914902</c:v>
                </c:pt>
                <c:pt idx="22">
                  <c:v>687062639</c:v>
                </c:pt>
                <c:pt idx="23">
                  <c:v>685210377</c:v>
                </c:pt>
                <c:pt idx="24">
                  <c:v>683358114</c:v>
                </c:pt>
                <c:pt idx="25">
                  <c:v>681505851</c:v>
                </c:pt>
                <c:pt idx="26">
                  <c:v>678848902</c:v>
                </c:pt>
                <c:pt idx="27">
                  <c:v>676191953</c:v>
                </c:pt>
                <c:pt idx="28">
                  <c:v>673535004</c:v>
                </c:pt>
                <c:pt idx="29">
                  <c:v>670878055</c:v>
                </c:pt>
                <c:pt idx="30">
                  <c:v>668221106</c:v>
                </c:pt>
                <c:pt idx="31">
                  <c:v>664379741</c:v>
                </c:pt>
                <c:pt idx="32">
                  <c:v>660538375</c:v>
                </c:pt>
                <c:pt idx="33">
                  <c:v>656697010</c:v>
                </c:pt>
                <c:pt idx="34">
                  <c:v>652855644</c:v>
                </c:pt>
                <c:pt idx="35">
                  <c:v>649014279</c:v>
                </c:pt>
                <c:pt idx="36">
                  <c:v>643918922</c:v>
                </c:pt>
                <c:pt idx="37">
                  <c:v>638823566</c:v>
                </c:pt>
                <c:pt idx="38">
                  <c:v>633728210</c:v>
                </c:pt>
                <c:pt idx="39">
                  <c:v>628632853</c:v>
                </c:pt>
                <c:pt idx="40">
                  <c:v>623537497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F7-4A3F-8339-8583EDB348FD}"/>
            </c:ext>
          </c:extLst>
        </c:ser>
        <c:ser>
          <c:idx val="5"/>
          <c:order val="3"/>
          <c:tx>
            <c:strRef>
              <c:f>'Population yty'!$A$18</c:f>
              <c:strCache>
                <c:ptCount val="1"/>
                <c:pt idx="0">
                  <c:v>Population_Male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'Population yty'!$B$18:$AP$18</c:f>
              <c:numCache>
                <c:formatCode>General</c:formatCode>
                <c:ptCount val="41"/>
                <c:pt idx="0">
                  <c:v>721416394</c:v>
                </c:pt>
                <c:pt idx="1">
                  <c:v>722098809</c:v>
                </c:pt>
                <c:pt idx="2">
                  <c:v>722781224</c:v>
                </c:pt>
                <c:pt idx="3">
                  <c:v>723463639</c:v>
                </c:pt>
                <c:pt idx="4">
                  <c:v>724146054</c:v>
                </c:pt>
                <c:pt idx="5">
                  <c:v>724828469</c:v>
                </c:pt>
                <c:pt idx="6">
                  <c:v>723791478</c:v>
                </c:pt>
                <c:pt idx="7">
                  <c:v>722754487</c:v>
                </c:pt>
                <c:pt idx="8">
                  <c:v>721717497</c:v>
                </c:pt>
                <c:pt idx="9">
                  <c:v>720680506</c:v>
                </c:pt>
                <c:pt idx="10">
                  <c:v>719643515</c:v>
                </c:pt>
                <c:pt idx="11">
                  <c:v>717575232</c:v>
                </c:pt>
                <c:pt idx="12">
                  <c:v>715506948</c:v>
                </c:pt>
                <c:pt idx="13">
                  <c:v>713438665</c:v>
                </c:pt>
                <c:pt idx="14">
                  <c:v>711370382</c:v>
                </c:pt>
                <c:pt idx="15">
                  <c:v>709302098</c:v>
                </c:pt>
                <c:pt idx="16">
                  <c:v>706487134</c:v>
                </c:pt>
                <c:pt idx="17">
                  <c:v>703672170</c:v>
                </c:pt>
                <c:pt idx="18">
                  <c:v>700857205</c:v>
                </c:pt>
                <c:pt idx="19">
                  <c:v>698042241</c:v>
                </c:pt>
                <c:pt idx="20">
                  <c:v>695227276</c:v>
                </c:pt>
                <c:pt idx="21">
                  <c:v>691967893</c:v>
                </c:pt>
                <c:pt idx="22">
                  <c:v>688708510</c:v>
                </c:pt>
                <c:pt idx="23">
                  <c:v>685449127</c:v>
                </c:pt>
                <c:pt idx="24">
                  <c:v>682189744</c:v>
                </c:pt>
                <c:pt idx="25">
                  <c:v>678930361</c:v>
                </c:pt>
                <c:pt idx="26">
                  <c:v>675056747</c:v>
                </c:pt>
                <c:pt idx="27">
                  <c:v>671183134</c:v>
                </c:pt>
                <c:pt idx="28">
                  <c:v>667309521</c:v>
                </c:pt>
                <c:pt idx="29">
                  <c:v>663435907</c:v>
                </c:pt>
                <c:pt idx="30">
                  <c:v>659562294</c:v>
                </c:pt>
                <c:pt idx="31">
                  <c:v>654704311</c:v>
                </c:pt>
                <c:pt idx="32">
                  <c:v>649846328</c:v>
                </c:pt>
                <c:pt idx="33">
                  <c:v>644988345</c:v>
                </c:pt>
                <c:pt idx="34">
                  <c:v>640130362</c:v>
                </c:pt>
                <c:pt idx="35">
                  <c:v>635272379</c:v>
                </c:pt>
                <c:pt idx="36">
                  <c:v>629473555</c:v>
                </c:pt>
                <c:pt idx="37">
                  <c:v>623674732</c:v>
                </c:pt>
                <c:pt idx="38">
                  <c:v>617875908</c:v>
                </c:pt>
                <c:pt idx="39">
                  <c:v>612077085</c:v>
                </c:pt>
                <c:pt idx="40">
                  <c:v>606278261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F7-4A3F-8339-8583EDB34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06351"/>
        <c:axId val="257518415"/>
      </c:lineChart>
      <c:catAx>
        <c:axId val="25229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292991"/>
        <c:crosses val="autoZero"/>
        <c:auto val="1"/>
        <c:lblAlgn val="ctr"/>
        <c:lblOffset val="100"/>
        <c:noMultiLvlLbl val="0"/>
      </c:catAx>
      <c:valAx>
        <c:axId val="25229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299231"/>
        <c:crosses val="autoZero"/>
        <c:crossBetween val="between"/>
      </c:valAx>
      <c:valAx>
        <c:axId val="2575184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7506351"/>
        <c:crosses val="max"/>
        <c:crossBetween val="between"/>
      </c:valAx>
      <c:catAx>
        <c:axId val="257506351"/>
        <c:scaling>
          <c:orientation val="minMax"/>
        </c:scaling>
        <c:delete val="1"/>
        <c:axPos val="b"/>
        <c:majorTickMark val="out"/>
        <c:minorTickMark val="none"/>
        <c:tickLblPos val="nextTo"/>
        <c:crossAx val="25751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5" Type="http://schemas.openxmlformats.org/officeDocument/2006/relationships/chart" Target="../charts/chart79.xml"/><Relationship Id="rId4" Type="http://schemas.openxmlformats.org/officeDocument/2006/relationships/chart" Target="../charts/chart7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434671B-6217-456B-8318-8E56F5134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6D9E6FE-DEA1-4A72-BCE5-41DCB2C79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73EE564-D4CA-41CB-B17D-2421347BF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1496403-FD3B-4DEC-A04B-DC7259DC6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F4D5521-FDEE-4F09-A5D6-3391A2EEF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B4B22CF-35E4-4E94-BF18-BE6931432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B3DEA5FE-9A0C-4947-AE7C-D04A291EE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B7CB1CC-BFF4-49B3-9CFB-EB049EF17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BF241F4-F114-4638-9602-FD3563A8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CE6233-853D-4A62-A572-F2E11E5A8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27C61AA-B4E5-4BE3-B5D1-0F354D712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2B8B96A-2B4B-433A-BF49-307032180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87B95F-FED3-44F1-B293-751585A51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A82D8BE-B8DF-472B-8DE0-8DE0D1479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677BBF5-1127-4334-BE6D-BC6C4941D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0F4245B-CF66-49BC-A347-EDB5CFF34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60EDA4E-A1C3-4E57-966C-B033C82DB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1DB30EB-671B-4BDC-BCEA-51AA8F1E0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5EE1CB5-CF61-4592-ADFE-5B1D1964C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64B626-F263-4217-A325-8A12E111B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269D5F4-5315-4186-BCDD-9342D00B7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B052350-2F3C-44F7-886D-9309A45A0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09E8C37-7A5C-4C6A-A372-07D2ABE7A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4CABB0A-8C80-4F57-8234-774F4A3B6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1FEE7C9-8F4B-4F75-A42A-FA4E019A4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C2F8AF0-7760-4716-82B5-7F3EB574A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3EB72C3-AB0B-485F-9A2A-5F19AE789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EAF867E-A52D-4439-9F53-63531D6A1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D0CE33-FE47-4070-B546-72BCCA536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89ECEF3-6547-4F49-9DCD-E772ED313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7887520-7598-4490-BD11-D6554763F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D03686B-C8A3-4D45-A682-C003D56E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0CB1184-F47D-44FE-B280-12582428A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D4F5856-F302-49AD-ACB4-AC050AE85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14</xdr:col>
      <xdr:colOff>457200</xdr:colOff>
      <xdr:row>55</xdr:row>
      <xdr:rowOff>28575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1655A151-3AAE-4944-A03E-68FA1A547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7</xdr:col>
      <xdr:colOff>342900</xdr:colOff>
      <xdr:row>55</xdr:row>
      <xdr:rowOff>28575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B7E41CA1-2A2D-402A-8F39-8295B581B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1ED485D-3425-4849-AF07-C3128BA2F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E81DEF-5BC1-4D73-BC55-540A78B5C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24065B4-50F1-43F1-A55B-47EAA8892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F60B58F-6C4F-4586-B201-72C323AAA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F87278C-FB45-4835-9169-4DBEF23EE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E6DE66E-16D3-4A8C-94D8-0D2683C96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8642075-9C4F-498B-9987-E932204B4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A6B0E98-495E-41F3-9DC3-5D837816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9F09B0A-8677-4F94-B052-08B249EC1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37A5AD-D98B-477C-BD8B-5FC685E8A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A836EDF-E9D2-4119-B809-EAD42E872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652461</xdr:colOff>
      <xdr:row>31</xdr:row>
      <xdr:rowOff>76199</xdr:rowOff>
    </xdr:from>
    <xdr:to>
      <xdr:col>28</xdr:col>
      <xdr:colOff>628650</xdr:colOff>
      <xdr:row>50</xdr:row>
      <xdr:rowOff>57149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708E55A-C8E3-4AD3-8098-3EC1849F6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6A757DA-83B9-4F69-B4DC-01394B0CC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DB1F7AC-2A18-473A-B28E-5C05A509E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D505FCD-D57B-44BA-B80B-A1CA3CDDC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3A49E0C-3392-490E-8B9A-8B4D55B07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FA2D4C4-DFA2-44FE-9549-D4A95D83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822ACDE-40BE-4A0B-A364-5751F8714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2C7C49F-DBC2-4B97-AE1D-13F0C8CFE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83C1767-3A91-4ABF-8DA3-7F7A8F25B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67A44B-2661-4C5F-85BB-500E61061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0F34666-5F09-4608-8869-8803F234E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6CB03E8-2B11-4BC4-811B-F3EF63105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9FE330A-56EF-4724-BA01-58FC8ED0B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29E2483-A5A4-4203-AF13-BB24FAC4B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824576A-AAC2-41CF-9263-665F17ED8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27E7579-CE48-458F-95EA-67F13D5A1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858D1CB-D5EA-4855-882E-D0063841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FD9B298-3ADD-6030-0580-2B7371F91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642936</xdr:colOff>
      <xdr:row>31</xdr:row>
      <xdr:rowOff>104774</xdr:rowOff>
    </xdr:from>
    <xdr:to>
      <xdr:col>28</xdr:col>
      <xdr:colOff>619125</xdr:colOff>
      <xdr:row>50</xdr:row>
      <xdr:rowOff>85724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9847B5A-8993-1799-D182-99331B293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56</xdr:row>
      <xdr:rowOff>0</xdr:rowOff>
    </xdr:from>
    <xdr:to>
      <xdr:col>7</xdr:col>
      <xdr:colOff>342900</xdr:colOff>
      <xdr:row>71</xdr:row>
      <xdr:rowOff>28575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5A5C3D50-2374-4DA3-B7AF-90CD458D5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14</xdr:col>
      <xdr:colOff>457200</xdr:colOff>
      <xdr:row>71</xdr:row>
      <xdr:rowOff>28575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6F44458D-535B-440D-A107-E3548C186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21</xdr:col>
      <xdr:colOff>457200</xdr:colOff>
      <xdr:row>71</xdr:row>
      <xdr:rowOff>28575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3A31CB41-5D3B-4555-A7C2-8BA6BF545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7</xdr:col>
      <xdr:colOff>342900</xdr:colOff>
      <xdr:row>87</xdr:row>
      <xdr:rowOff>28575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17AF5EE9-D198-49F5-8A05-144BA0FDF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457200</xdr:colOff>
      <xdr:row>87</xdr:row>
      <xdr:rowOff>28575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A49BA9A-35DF-41CC-B60B-85A5A33A0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21</xdr:col>
      <xdr:colOff>457200</xdr:colOff>
      <xdr:row>87</xdr:row>
      <xdr:rowOff>28575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A1F3EC74-4538-45FC-9969-A151EB14D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7</xdr:col>
      <xdr:colOff>342900</xdr:colOff>
      <xdr:row>54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0673FF-843B-47AC-BF7A-17DECD373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23812</xdr:colOff>
      <xdr:row>39</xdr:row>
      <xdr:rowOff>0</xdr:rowOff>
    </xdr:from>
    <xdr:to>
      <xdr:col>14</xdr:col>
      <xdr:colOff>481012</xdr:colOff>
      <xdr:row>54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E15E30-132B-44EC-9EF9-5522B7467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1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4D2413-B54C-F72C-3D8E-2A88370337D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6818DC1E-1566-00AE-BC95-E70FB79C065B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0F35F0E-0896-5D22-8FB8-E52077E203F7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4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74CC2F-DCD2-B633-244B-9B8E786B8D83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5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90CF2B-C869-1C44-948B-6C59E7ECD196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6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C9BEA-7B7C-EBB3-F83A-C40E5305EC21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FA66C786-0043-1CEF-39A8-FB486219053B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8F2AF01D-D858-C8BD-4981-FAFFBFBCD652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29" name="Auto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34CB0-C4E4-6BE6-9291-2D3F2825D61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0" name="Auto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330941-A7DC-C182-D72F-2CE7D2850831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1" name="AutoShap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6DE33-F722-F2DD-7A1A-F2461B4D5DBB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0A3760AD-B7F6-BF4F-C3BF-F0C542A130CF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D69DCB2-F3D1-D996-B877-5E153CA81457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4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61846-7488-97AB-CAB7-C47A1D09438C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5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50003-224D-9C6E-81BA-6B7DD621B575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6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FF2FF-E058-7975-C6A1-00A26617F2F7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8F60AD13-D1BD-7830-6861-CC45C3123896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A5A0A237-C749-F479-B7CD-ECD98D8B0ECC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39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550DE-7593-F8CC-6865-7D17D75830CB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0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21268-4E12-798B-29ED-FF5AFC456250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1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E278B-C784-4C59-572D-07EA2EE19D73}"/>
            </a:ext>
          </a:extLst>
        </xdr:cNvPr>
        <xdr:cNvSpPr>
          <a:spLocks noChangeAspect="1" noChangeArrowheads="1"/>
        </xdr:cNvSpPr>
      </xdr:nvSpPr>
      <xdr:spPr bwMode="auto">
        <a:xfrm>
          <a:off x="0" y="13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EDC54EDD-CC14-45BC-5DC1-78328AFB773D}"/>
            </a:ext>
          </a:extLst>
        </xdr:cNvPr>
        <xdr:cNvSpPr>
          <a:spLocks noChangeAspect="1" noChangeArrowheads="1"/>
        </xdr:cNvSpPr>
      </xdr:nvSpPr>
      <xdr:spPr bwMode="auto">
        <a:xfrm>
          <a:off x="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2C40595F-E24D-CE97-DAAA-AE105FAA3AB8}"/>
            </a:ext>
          </a:extLst>
        </xdr:cNvPr>
        <xdr:cNvSpPr>
          <a:spLocks noChangeAspect="1" noChangeArrowheads="1"/>
        </xdr:cNvSpPr>
      </xdr:nvSpPr>
      <xdr:spPr bwMode="auto">
        <a:xfrm>
          <a:off x="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097048E4-59F8-4073-F971-AAA42011B11F}"/>
            </a:ext>
          </a:extLst>
        </xdr:cNvPr>
        <xdr:cNvSpPr>
          <a:spLocks noChangeAspect="1" noChangeArrowheads="1"/>
        </xdr:cNvSpPr>
      </xdr:nvSpPr>
      <xdr:spPr bwMode="auto">
        <a:xfrm>
          <a:off x="0" y="18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5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4E8B7-F03C-A667-1A40-9D36B7613B37}"/>
            </a:ext>
          </a:extLst>
        </xdr:cNvPr>
        <xdr:cNvSpPr>
          <a:spLocks noChangeAspect="1" noChangeArrowheads="1"/>
        </xdr:cNvSpPr>
      </xdr:nvSpPr>
      <xdr:spPr bwMode="auto">
        <a:xfrm>
          <a:off x="0" y="20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6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8559D7-99F2-E381-5259-B055A0BBE883}"/>
            </a:ext>
          </a:extLst>
        </xdr:cNvPr>
        <xdr:cNvSpPr>
          <a:spLocks noChangeAspect="1" noChangeArrowheads="1"/>
        </xdr:cNvSpPr>
      </xdr:nvSpPr>
      <xdr:spPr bwMode="auto">
        <a:xfrm>
          <a:off x="0" y="22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7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D201C-D0EB-4997-E60B-1E01C7DD84B0}"/>
            </a:ext>
          </a:extLst>
        </xdr:cNvPr>
        <xdr:cNvSpPr>
          <a:spLocks noChangeAspect="1" noChangeArrowheads="1"/>
        </xdr:cNvSpPr>
      </xdr:nvSpPr>
      <xdr:spPr bwMode="auto">
        <a:xfrm>
          <a:off x="0" y="24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8" name="AutoShape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7EDB03-B022-BEFC-33A0-C2554870F641}"/>
            </a:ext>
          </a:extLst>
        </xdr:cNvPr>
        <xdr:cNvSpPr>
          <a:spLocks noChangeAspect="1" noChangeArrowheads="1"/>
        </xdr:cNvSpPr>
      </xdr:nvSpPr>
      <xdr:spPr bwMode="auto">
        <a:xfrm>
          <a:off x="0" y="28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C55295C-6A84-7EB7-77ED-784DA1C87EC0}"/>
            </a:ext>
          </a:extLst>
        </xdr:cNvPr>
        <xdr:cNvSpPr>
          <a:spLocks noChangeAspect="1" noChangeArrowheads="1"/>
        </xdr:cNvSpPr>
      </xdr:nvSpPr>
      <xdr:spPr bwMode="auto">
        <a:xfrm>
          <a:off x="0" y="30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CFB827AB-A300-EFC5-229B-D6936C9D6CFA}"/>
            </a:ext>
          </a:extLst>
        </xdr:cNvPr>
        <xdr:cNvSpPr>
          <a:spLocks noChangeAspect="1" noChangeArrowheads="1"/>
        </xdr:cNvSpPr>
      </xdr:nvSpPr>
      <xdr:spPr bwMode="auto">
        <a:xfrm>
          <a:off x="0" y="3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D220B7A8-3E58-2E15-5ADE-FA29F0DF8DB9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2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EA70D1-C5C0-D08E-0BA1-E14B4EE351CE}"/>
            </a:ext>
          </a:extLst>
        </xdr:cNvPr>
        <xdr:cNvSpPr>
          <a:spLocks noChangeAspect="1" noChangeArrowheads="1"/>
        </xdr:cNvSpPr>
      </xdr:nvSpPr>
      <xdr:spPr bwMode="auto">
        <a:xfrm>
          <a:off x="0" y="3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3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44FBDA-2DAC-6B31-772A-B38B6238CE08}"/>
            </a:ext>
          </a:extLst>
        </xdr:cNvPr>
        <xdr:cNvSpPr>
          <a:spLocks noChangeAspect="1" noChangeArrowheads="1"/>
        </xdr:cNvSpPr>
      </xdr:nvSpPr>
      <xdr:spPr bwMode="auto">
        <a:xfrm>
          <a:off x="0" y="37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4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A4466-ACB6-6723-CCBB-9A9E555A8C9B}"/>
            </a:ext>
          </a:extLst>
        </xdr:cNvPr>
        <xdr:cNvSpPr>
          <a:spLocks noChangeAspect="1" noChangeArrowheads="1"/>
        </xdr:cNvSpPr>
      </xdr:nvSpPr>
      <xdr:spPr bwMode="auto">
        <a:xfrm>
          <a:off x="0" y="3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5" name="AutoShape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6DFC37-095E-14B9-BD75-51B74C5C8F2F}"/>
            </a:ext>
          </a:extLst>
        </xdr:cNvPr>
        <xdr:cNvSpPr>
          <a:spLocks noChangeAspect="1" noChangeArrowheads="1"/>
        </xdr:cNvSpPr>
      </xdr:nvSpPr>
      <xdr:spPr bwMode="auto">
        <a:xfrm>
          <a:off x="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C6805AD0-30AE-6ACD-0ED0-1D7AA302625C}"/>
            </a:ext>
          </a:extLst>
        </xdr:cNvPr>
        <xdr:cNvSpPr>
          <a:spLocks noChangeAspect="1" noChangeArrowheads="1"/>
        </xdr:cNvSpPr>
      </xdr:nvSpPr>
      <xdr:spPr bwMode="auto">
        <a:xfrm>
          <a:off x="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08BB7251-6420-1006-1436-A513A6E18864}"/>
            </a:ext>
          </a:extLst>
        </xdr:cNvPr>
        <xdr:cNvSpPr>
          <a:spLocks noChangeAspect="1" noChangeArrowheads="1"/>
        </xdr:cNvSpPr>
      </xdr:nvSpPr>
      <xdr:spPr bwMode="auto">
        <a:xfrm>
          <a:off x="0" y="47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C6791DEE-2C6D-0EC2-CD86-33364020708C}"/>
            </a:ext>
          </a:extLst>
        </xdr:cNvPr>
        <xdr:cNvSpPr>
          <a:spLocks noChangeAspect="1" noChangeArrowheads="1"/>
        </xdr:cNvSpPr>
      </xdr:nvSpPr>
      <xdr:spPr bwMode="auto">
        <a:xfrm>
          <a:off x="0" y="4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59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D027A-3C1C-E22B-F20D-23315D2D4510}"/>
            </a:ext>
          </a:extLst>
        </xdr:cNvPr>
        <xdr:cNvSpPr>
          <a:spLocks noChangeAspect="1" noChangeArrowheads="1"/>
        </xdr:cNvSpPr>
      </xdr:nvSpPr>
      <xdr:spPr bwMode="auto">
        <a:xfrm>
          <a:off x="0" y="51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0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50DA6-F16C-85DC-C697-3F179F17D6A8}"/>
            </a:ext>
          </a:extLst>
        </xdr:cNvPr>
        <xdr:cNvSpPr>
          <a:spLocks noChangeAspect="1" noChangeArrowheads="1"/>
        </xdr:cNvSpPr>
      </xdr:nvSpPr>
      <xdr:spPr bwMode="auto">
        <a:xfrm>
          <a:off x="0" y="53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1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07925D-2D61-D4D4-097C-5821D147381C}"/>
            </a:ext>
          </a:extLst>
        </xdr:cNvPr>
        <xdr:cNvSpPr>
          <a:spLocks noChangeAspect="1" noChangeArrowheads="1"/>
        </xdr:cNvSpPr>
      </xdr:nvSpPr>
      <xdr:spPr bwMode="auto">
        <a:xfrm>
          <a:off x="0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2" name="AutoShape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412CE-A694-F482-6416-B7E1E0625A01}"/>
            </a:ext>
          </a:extLst>
        </xdr:cNvPr>
        <xdr:cNvSpPr>
          <a:spLocks noChangeAspect="1" noChangeArrowheads="1"/>
        </xdr:cNvSpPr>
      </xdr:nvSpPr>
      <xdr:spPr bwMode="auto">
        <a:xfrm>
          <a:off x="0" y="58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3" name="AutoShape 43">
          <a:extLst>
            <a:ext uri="{FF2B5EF4-FFF2-40B4-BE49-F238E27FC236}">
              <a16:creationId xmlns:a16="http://schemas.microsoft.com/office/drawing/2014/main" id="{0AB9FBAB-7A93-C257-041C-75C910FF8AC6}"/>
            </a:ext>
          </a:extLst>
        </xdr:cNvPr>
        <xdr:cNvSpPr>
          <a:spLocks noChangeAspect="1" noChangeArrowheads="1"/>
        </xdr:cNvSpPr>
      </xdr:nvSpPr>
      <xdr:spPr bwMode="auto">
        <a:xfrm>
          <a:off x="0" y="60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4" name="AutoShape 44">
          <a:extLst>
            <a:ext uri="{FF2B5EF4-FFF2-40B4-BE49-F238E27FC236}">
              <a16:creationId xmlns:a16="http://schemas.microsoft.com/office/drawing/2014/main" id="{38CC6BED-39AD-4971-E067-E1A3609BCEFE}"/>
            </a:ext>
          </a:extLst>
        </xdr:cNvPr>
        <xdr:cNvSpPr>
          <a:spLocks noChangeAspect="1" noChangeArrowheads="1"/>
        </xdr:cNvSpPr>
      </xdr:nvSpPr>
      <xdr:spPr bwMode="auto">
        <a:xfrm>
          <a:off x="0" y="6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5" name="AutoShape 45">
          <a:extLst>
            <a:ext uri="{FF2B5EF4-FFF2-40B4-BE49-F238E27FC236}">
              <a16:creationId xmlns:a16="http://schemas.microsoft.com/office/drawing/2014/main" id="{38BFFDE1-CB7F-5C28-F68C-7ED884465885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6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F05A-5999-AC3E-AE26-45BEB7314734}"/>
            </a:ext>
          </a:extLst>
        </xdr:cNvPr>
        <xdr:cNvSpPr>
          <a:spLocks noChangeAspect="1" noChangeArrowheads="1"/>
        </xdr:cNvSpPr>
      </xdr:nvSpPr>
      <xdr:spPr bwMode="auto">
        <a:xfrm>
          <a:off x="0" y="66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7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A75C6-43E6-82B1-2FF2-576E48B573DA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8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AA894-C16E-D7C9-7DBB-FCD35A72C032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69" name="Auto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AC5BD7-BF56-3D47-9957-6DD9AFDB3948}"/>
            </a:ext>
          </a:extLst>
        </xdr:cNvPr>
        <xdr:cNvSpPr>
          <a:spLocks noChangeAspect="1" noChangeArrowheads="1"/>
        </xdr:cNvSpPr>
      </xdr:nvSpPr>
      <xdr:spPr bwMode="auto">
        <a:xfrm>
          <a:off x="0" y="2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0" name="AutoShap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5FFCA-3C57-9A9B-4914-5C66BEC1F1DC}"/>
            </a:ext>
          </a:extLst>
        </xdr:cNvPr>
        <xdr:cNvSpPr>
          <a:spLocks noChangeAspect="1" noChangeArrowheads="1"/>
        </xdr:cNvSpPr>
      </xdr:nvSpPr>
      <xdr:spPr bwMode="auto">
        <a:xfrm>
          <a:off x="0" y="24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1" name="AutoShape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960AD-F7C1-FBA0-F316-8FFB5C09D807}"/>
            </a:ext>
          </a:extLst>
        </xdr:cNvPr>
        <xdr:cNvSpPr>
          <a:spLocks noChangeAspect="1" noChangeArrowheads="1"/>
        </xdr:cNvSpPr>
      </xdr:nvSpPr>
      <xdr:spPr bwMode="auto">
        <a:xfrm>
          <a:off x="0" y="26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2" name="AutoShape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A9B7B-6D52-EC87-4861-6CA1A41378BB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3" name="AutoShape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742AA-CFF3-FE93-46DE-A2B648204877}"/>
            </a:ext>
          </a:extLst>
        </xdr:cNvPr>
        <xdr:cNvSpPr>
          <a:spLocks noChangeAspect="1" noChangeArrowheads="1"/>
        </xdr:cNvSpPr>
      </xdr:nvSpPr>
      <xdr:spPr bwMode="auto">
        <a:xfrm>
          <a:off x="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4" name="AutoShape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FBBEA-4481-EF71-F4CB-95F3556310D5}"/>
            </a:ext>
          </a:extLst>
        </xdr:cNvPr>
        <xdr:cNvSpPr>
          <a:spLocks noChangeAspect="1" noChangeArrowheads="1"/>
        </xdr:cNvSpPr>
      </xdr:nvSpPr>
      <xdr:spPr bwMode="auto">
        <a:xfrm>
          <a:off x="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5" name="AutoShape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50F4A-9FEE-B751-A32E-46AC2321B076}"/>
            </a:ext>
          </a:extLst>
        </xdr:cNvPr>
        <xdr:cNvSpPr>
          <a:spLocks noChangeAspect="1" noChangeArrowheads="1"/>
        </xdr:cNvSpPr>
      </xdr:nvSpPr>
      <xdr:spPr bwMode="auto">
        <a:xfrm>
          <a:off x="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6" name="AutoShape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B3659A-51EC-9926-7323-9E7B8DA1B882}"/>
            </a:ext>
          </a:extLst>
        </xdr:cNvPr>
        <xdr:cNvSpPr>
          <a:spLocks noChangeAspect="1" noChangeArrowheads="1"/>
        </xdr:cNvSpPr>
      </xdr:nvSpPr>
      <xdr:spPr bwMode="auto">
        <a:xfrm>
          <a:off x="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7" name="AutoShape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E691F-C1D8-E221-080E-D4734F2CD2AC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8" name="AutoShape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09BB14-D4E4-79C0-C257-A4C7E8A90E3A}"/>
            </a:ext>
          </a:extLst>
        </xdr:cNvPr>
        <xdr:cNvSpPr>
          <a:spLocks noChangeAspect="1" noChangeArrowheads="1"/>
        </xdr:cNvSpPr>
      </xdr:nvSpPr>
      <xdr:spPr bwMode="auto">
        <a:xfrm>
          <a:off x="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79" name="AutoShape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12F252-2611-D522-61F0-728083138B68}"/>
            </a:ext>
          </a:extLst>
        </xdr:cNvPr>
        <xdr:cNvSpPr>
          <a:spLocks noChangeAspect="1" noChangeArrowheads="1"/>
        </xdr:cNvSpPr>
      </xdr:nvSpPr>
      <xdr:spPr bwMode="auto">
        <a:xfrm>
          <a:off x="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5180" name="AutoShape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B8065-4FE5-B307-29BA-F881189D1D4B}"/>
            </a:ext>
          </a:extLst>
        </xdr:cNvPr>
        <xdr:cNvSpPr>
          <a:spLocks noChangeAspect="1" noChangeArrowheads="1"/>
        </xdr:cNvSpPr>
      </xdr:nvSpPr>
      <xdr:spPr bwMode="auto">
        <a:xfrm>
          <a:off x="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1</xdr:row>
      <xdr:rowOff>0</xdr:rowOff>
    </xdr:from>
    <xdr:to>
      <xdr:col>8</xdr:col>
      <xdr:colOff>371474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8FF592-10BA-466D-9A8F-F77741C62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133350</xdr:colOff>
      <xdr:row>17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024208-45DF-44AA-9F45-416ABBA82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133350</xdr:colOff>
      <xdr:row>17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3EC5995-2DD1-4FE0-B4FE-AD221DB47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133350</xdr:colOff>
      <xdr:row>34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C61EDEC-9316-4AD5-AE46-15C815855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133351</xdr:colOff>
      <xdr:row>34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9BB060D5-D243-45FD-A848-376498F9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133350</xdr:colOff>
      <xdr:row>34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D238C9D-38B6-48B2-BD65-52CC06B52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7</xdr:col>
      <xdr:colOff>95250</xdr:colOff>
      <xdr:row>37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169C5FF-EE03-499F-8766-1D429E1BF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CD6F2A-EE68-43C5-9032-C68F027C7740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65BA7A4-CF03-4933-A4FA-A32D51BA7929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AF381D4-DBAE-4F35-AA19-070B2A65BB06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FD6279-55BF-4FD5-A027-F1EC1E644EE3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38A5F5B-BB2F-4594-84C8-F1C32A55D5C9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E8AEEE61-029F-4682-8FDF-763584D95857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5BDB615-5FED-44EF-ACD9-FE08719D12BC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2025女" tableColumnId="2"/>
      <queryTableField id="3" name="2030女" tableColumnId="3"/>
      <queryTableField id="4" name="2035女" tableColumnId="4"/>
      <queryTableField id="5" name="2040女" tableColumnId="5"/>
      <queryTableField id="6" name="2045女" tableColumnId="6"/>
      <queryTableField id="7" name="2050女" tableColumnId="7"/>
      <queryTableField id="8" name="2055女" tableColumnId="8"/>
      <queryTableField id="9" name="2060女" tableColumnId="9"/>
      <queryTableField id="10" name="2025男" tableColumnId="10"/>
      <queryTableField id="11" name="2030男" tableColumnId="11"/>
      <queryTableField id="12" name="2035男" tableColumnId="12"/>
      <queryTableField id="13" name="2040男" tableColumnId="13"/>
      <queryTableField id="14" name="2045男" tableColumnId="14"/>
      <queryTableField id="15" name="2050男" tableColumnId="15"/>
      <queryTableField id="16" name="2055男" tableColumnId="16"/>
      <queryTableField id="17" name="2060男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228B4-41A4-4394-A6D9-2CC37402D33F}" name="Freeze" displayName="Freeze" ref="A1:Q22" tableType="queryTable" totalsRowShown="0">
  <autoFilter ref="A1:Q22" xr:uid="{3AD228B4-41A4-4394-A6D9-2CC37402D33F}"/>
  <tableColumns count="17">
    <tableColumn id="1" xr3:uid="{306D7C16-556D-437B-B11A-16A0B1EA5E43}" uniqueName="1" name="Column1" queryTableFieldId="1" dataDxfId="204"/>
    <tableColumn id="2" xr3:uid="{1830063A-81AB-4E3C-9BE6-072498233C09}" uniqueName="2" name="2025女" queryTableFieldId="2"/>
    <tableColumn id="3" xr3:uid="{9E033D3A-856F-48D7-93EC-EA168135BD74}" uniqueName="3" name="2030女" queryTableFieldId="3"/>
    <tableColumn id="4" xr3:uid="{E3A61333-FC88-4FB4-A601-22CCAFB49C32}" uniqueName="4" name="2035女" queryTableFieldId="4"/>
    <tableColumn id="5" xr3:uid="{26FF15F4-3902-4C44-B8F6-1EE04D4F0510}" uniqueName="5" name="2040女" queryTableFieldId="5"/>
    <tableColumn id="6" xr3:uid="{09F19612-E00B-4698-A674-2500C9C5A601}" uniqueName="6" name="2045女" queryTableFieldId="6"/>
    <tableColumn id="7" xr3:uid="{1BD7CF41-06BE-4DC3-9693-6FEF280C70FD}" uniqueName="7" name="2050女" queryTableFieldId="7"/>
    <tableColumn id="8" xr3:uid="{B02B9BB1-F3C4-4A6B-BAF6-D3D666DD849A}" uniqueName="8" name="2055女" queryTableFieldId="8"/>
    <tableColumn id="9" xr3:uid="{BC164D8C-3E30-4CDD-B927-4E4C589EAFEB}" uniqueName="9" name="2060女" queryTableFieldId="9"/>
    <tableColumn id="10" xr3:uid="{7D421B22-8E5B-4FA8-A716-EE981C531999}" uniqueName="10" name="2025男" queryTableFieldId="10"/>
    <tableColumn id="11" xr3:uid="{36732F06-88E6-4886-BB4B-045BE3D67CF1}" uniqueName="11" name="2030男" queryTableFieldId="11"/>
    <tableColumn id="12" xr3:uid="{928BEFC5-4473-4B0C-BE7C-1EC93F642805}" uniqueName="12" name="2035男" queryTableFieldId="12"/>
    <tableColumn id="13" xr3:uid="{166D8A96-4281-4D05-8997-E80A8FD9D8AA}" uniqueName="13" name="2040男" queryTableFieldId="13"/>
    <tableColumn id="14" xr3:uid="{57BB705B-87C5-4E42-8106-565D7F8DAC3C}" uniqueName="14" name="2045男" queryTableFieldId="14"/>
    <tableColumn id="15" xr3:uid="{45CC6456-78EE-4417-A14A-55C7548C5A8B}" uniqueName="15" name="2050男" queryTableFieldId="15"/>
    <tableColumn id="16" xr3:uid="{9553B8EA-FBB3-4A3D-A38B-C2AE0378E413}" uniqueName="16" name="2055男" queryTableFieldId="16"/>
    <tableColumn id="17" xr3:uid="{D30B2E38-A936-4E9D-9DE2-01F659F61C57}" uniqueName="17" name="2060男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0C7B90-3399-4DC8-804C-6BF885E65D13}" name="Low_2040" displayName="Low_2040" ref="A1:Q22" tableType="queryTable" totalsRowShown="0">
  <autoFilter ref="A1:Q22" xr:uid="{750C7B90-3399-4DC8-804C-6BF885E65D13}"/>
  <tableColumns count="17">
    <tableColumn id="1" xr3:uid="{43ED54E2-3964-449F-B451-4698F7C25F65}" uniqueName="1" name="Column1" queryTableFieldId="1" dataDxfId="203"/>
    <tableColumn id="2" xr3:uid="{94F20273-9845-47C9-9031-8DEF6B8976AF}" uniqueName="2" name="2025女" queryTableFieldId="2"/>
    <tableColumn id="3" xr3:uid="{D864E466-3FDC-4FE4-8AED-AABC23B1816A}" uniqueName="3" name="2030女" queryTableFieldId="3"/>
    <tableColumn id="4" xr3:uid="{E77C584E-27D3-417A-9133-6CDDCFBB6805}" uniqueName="4" name="2035女" queryTableFieldId="4"/>
    <tableColumn id="5" xr3:uid="{38A54239-F18E-47EF-B49F-4902CBB6180C}" uniqueName="5" name="2040女" queryTableFieldId="5"/>
    <tableColumn id="6" xr3:uid="{26709484-1DC1-4471-B809-AAB3BB4AB464}" uniqueName="6" name="2045女" queryTableFieldId="6"/>
    <tableColumn id="7" xr3:uid="{CBFF41AB-1FDE-4782-A07A-11E59D594B74}" uniqueName="7" name="2050女" queryTableFieldId="7"/>
    <tableColumn id="8" xr3:uid="{FB4D2145-0EB6-4C98-8622-896900859D7D}" uniqueName="8" name="2055女" queryTableFieldId="8"/>
    <tableColumn id="9" xr3:uid="{65FBA111-35E6-4B9F-B8AF-551C124CBC60}" uniqueName="9" name="2060女" queryTableFieldId="9"/>
    <tableColumn id="10" xr3:uid="{4AD855A6-FE24-44EC-AD60-4B54C8BF90E8}" uniqueName="10" name="2025男" queryTableFieldId="10"/>
    <tableColumn id="11" xr3:uid="{E1BA3454-94E7-408B-B687-37AF41976EF9}" uniqueName="11" name="2030男" queryTableFieldId="11"/>
    <tableColumn id="12" xr3:uid="{FEF7B190-F571-40EC-BFC4-113D84A1E4F5}" uniqueName="12" name="2035男" queryTableFieldId="12"/>
    <tableColumn id="13" xr3:uid="{E0A93FF6-BFE6-4EA7-8F5C-2701A725F2FF}" uniqueName="13" name="2040男" queryTableFieldId="13"/>
    <tableColumn id="14" xr3:uid="{C33AA644-3A45-44E0-86C0-3C0C286A3F3C}" uniqueName="14" name="2045男" queryTableFieldId="14"/>
    <tableColumn id="15" xr3:uid="{81899263-94D7-48A3-867F-CCAD640B4A98}" uniqueName="15" name="2050男" queryTableFieldId="15"/>
    <tableColumn id="16" xr3:uid="{F0E517B7-0040-4781-AAFC-6093DD4C2565}" uniqueName="16" name="2055男" queryTableFieldId="16"/>
    <tableColumn id="17" xr3:uid="{D88EEE88-1C55-4A9C-B754-A1D1D39B9F2E}" uniqueName="17" name="2060男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7C86B2-C60E-4B54-82C1-1A1BE1CFD965}" name="Medium_2041" displayName="Medium_2041" ref="A1:Q22" tableType="queryTable" totalsRowShown="0">
  <autoFilter ref="A1:Q22" xr:uid="{FF7C86B2-C60E-4B54-82C1-1A1BE1CFD965}"/>
  <tableColumns count="17">
    <tableColumn id="1" xr3:uid="{603933E8-5B90-4B94-878D-B9766648AEB6}" uniqueName="1" name="Column1" queryTableFieldId="1" dataDxfId="202"/>
    <tableColumn id="2" xr3:uid="{6F37C3F6-BD3E-418B-8C39-FAD06F4D4399}" uniqueName="2" name="2025女" queryTableFieldId="2"/>
    <tableColumn id="3" xr3:uid="{A9844228-F241-4933-BCAE-9BBC6A3D5C59}" uniqueName="3" name="2030女" queryTableFieldId="3"/>
    <tableColumn id="4" xr3:uid="{F93AEBE8-73F0-46AA-860B-7F7133C827EA}" uniqueName="4" name="2035女" queryTableFieldId="4"/>
    <tableColumn id="5" xr3:uid="{9723873A-64BA-4A2A-A622-08F1004B5663}" uniqueName="5" name="2040女" queryTableFieldId="5"/>
    <tableColumn id="6" xr3:uid="{B8D6D981-EE64-4C7E-9D6D-8C1B451746B7}" uniqueName="6" name="2045女" queryTableFieldId="6"/>
    <tableColumn id="7" xr3:uid="{ADCD6276-8DE8-4414-9A1C-77BFD16B71BB}" uniqueName="7" name="2050女" queryTableFieldId="7"/>
    <tableColumn id="8" xr3:uid="{1EB704CA-23A8-4C65-A898-D232711B47CE}" uniqueName="8" name="2055女" queryTableFieldId="8"/>
    <tableColumn id="9" xr3:uid="{61A83A80-A8DD-4BBF-84B5-7D547C5817AE}" uniqueName="9" name="2060女" queryTableFieldId="9"/>
    <tableColumn id="10" xr3:uid="{2DAAA1EF-D4D9-43D9-B618-3505EE2C7856}" uniqueName="10" name="2025男" queryTableFieldId="10"/>
    <tableColumn id="11" xr3:uid="{29D073A2-01DF-4315-B372-64409710FB63}" uniqueName="11" name="2030男" queryTableFieldId="11"/>
    <tableColumn id="12" xr3:uid="{AEA9AD37-575F-4668-A888-73D61CD026B1}" uniqueName="12" name="2035男" queryTableFieldId="12"/>
    <tableColumn id="13" xr3:uid="{B6297138-714F-4E3A-B358-5B1608F9DD65}" uniqueName="13" name="2040男" queryTableFieldId="13"/>
    <tableColumn id="14" xr3:uid="{264711CA-1B37-4313-BD8B-5D11C56A5CA9}" uniqueName="14" name="2045男" queryTableFieldId="14"/>
    <tableColumn id="15" xr3:uid="{3D9D6D9C-6040-4E36-9F64-0ADC05BFEAD9}" uniqueName="15" name="2050男" queryTableFieldId="15"/>
    <tableColumn id="16" xr3:uid="{B3A87FA1-FD6A-4D3E-A55B-B6E25938F957}" uniqueName="16" name="2055男" queryTableFieldId="16"/>
    <tableColumn id="17" xr3:uid="{2D124C1F-35AD-4906-BF39-04B12F33EA5E}" uniqueName="17" name="2060男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59438B-29C1-4D86-B0FB-E85FF820E7AD}" name="High_2041" displayName="High_2041" ref="A1:Q22" tableType="queryTable" totalsRowShown="0">
  <autoFilter ref="A1:Q22" xr:uid="{AA59438B-29C1-4D86-B0FB-E85FF820E7AD}"/>
  <tableColumns count="17">
    <tableColumn id="1" xr3:uid="{72E9DCFF-F3BB-49FE-9C81-8B52A8DE9ECE}" uniqueName="1" name="Column1" queryTableFieldId="1" dataDxfId="201"/>
    <tableColumn id="2" xr3:uid="{7A09B529-E0BC-4553-8E27-9BC53B0F2244}" uniqueName="2" name="2025女" queryTableFieldId="2"/>
    <tableColumn id="3" xr3:uid="{D971665C-8576-4306-8C7F-4739BDE58D1A}" uniqueName="3" name="2030女" queryTableFieldId="3"/>
    <tableColumn id="4" xr3:uid="{79BB7F23-9385-4C0B-A153-26D269A876FF}" uniqueName="4" name="2035女" queryTableFieldId="4"/>
    <tableColumn id="5" xr3:uid="{40A85481-ABDD-4017-ACFC-1F35D68657D6}" uniqueName="5" name="2040女" queryTableFieldId="5"/>
    <tableColumn id="6" xr3:uid="{496446F5-7A3B-482B-A594-0806303F3E9A}" uniqueName="6" name="2045女" queryTableFieldId="6"/>
    <tableColumn id="7" xr3:uid="{4149DE82-4F61-48F9-9D44-BB6BEFDCDB41}" uniqueName="7" name="2050女" queryTableFieldId="7"/>
    <tableColumn id="8" xr3:uid="{2381D7D1-AF72-42B2-8E15-D38E92153EF4}" uniqueName="8" name="2055女" queryTableFieldId="8"/>
    <tableColumn id="9" xr3:uid="{16402A04-D83B-41D5-BC3F-0F045518434E}" uniqueName="9" name="2060女" queryTableFieldId="9"/>
    <tableColumn id="10" xr3:uid="{DB727125-F634-4E47-9E36-C47F63153E6C}" uniqueName="10" name="2025男" queryTableFieldId="10"/>
    <tableColumn id="11" xr3:uid="{71FC07E2-1B46-4C72-A894-12CBA0327402}" uniqueName="11" name="2030男" queryTableFieldId="11"/>
    <tableColumn id="12" xr3:uid="{DE4CE385-D12D-4EF6-ABF2-ABF5EF3732E9}" uniqueName="12" name="2035男" queryTableFieldId="12"/>
    <tableColumn id="13" xr3:uid="{AF9DB0EF-70B8-485C-86BB-8204BA8324CA}" uniqueName="13" name="2040男" queryTableFieldId="13"/>
    <tableColumn id="14" xr3:uid="{5DB9584C-1786-4189-B93C-09D5C49C8021}" uniqueName="14" name="2045男" queryTableFieldId="14"/>
    <tableColumn id="15" xr3:uid="{D82D2918-F762-455F-A830-A4E5F7CF2A5D}" uniqueName="15" name="2050男" queryTableFieldId="15"/>
    <tableColumn id="16" xr3:uid="{A71A6B98-2BC3-40E7-AB57-B9FBCAED95B1}" uniqueName="16" name="2055男" queryTableFieldId="16"/>
    <tableColumn id="17" xr3:uid="{7F7CE3DD-C7BE-43D7-8DE5-085BF4E4CD63}" uniqueName="17" name="2060男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1D7A2A-2BA0-4EFE-9DDC-28083F2145DD}" name="Low_2060" displayName="Low_2060" ref="A1:Q22" tableType="queryTable" totalsRowShown="0">
  <autoFilter ref="A1:Q22" xr:uid="{111D7A2A-2BA0-4EFE-9DDC-28083F2145DD}"/>
  <tableColumns count="17">
    <tableColumn id="1" xr3:uid="{FC37581C-51C8-448E-9848-1CDA345F8EB7}" uniqueName="1" name="Column1" queryTableFieldId="1" dataDxfId="200"/>
    <tableColumn id="2" xr3:uid="{24B68F45-81B7-4359-B33E-04981B5F6BC2}" uniqueName="2" name="2025女" queryTableFieldId="2"/>
    <tableColumn id="3" xr3:uid="{B864E130-FE24-471C-9B3F-1AE823CF5416}" uniqueName="3" name="2030女" queryTableFieldId="3"/>
    <tableColumn id="4" xr3:uid="{3C3B3024-3159-4190-BD1A-1FBD03FF8015}" uniqueName="4" name="2035女" queryTableFieldId="4"/>
    <tableColumn id="5" xr3:uid="{D18A5D02-DADC-40FE-B978-BCDC79A71379}" uniqueName="5" name="2040女" queryTableFieldId="5"/>
    <tableColumn id="6" xr3:uid="{6A043526-24BA-4F26-9100-024427DA1199}" uniqueName="6" name="2045女" queryTableFieldId="6"/>
    <tableColumn id="7" xr3:uid="{F142634B-760B-4B55-A5F2-E88ECD9B2084}" uniqueName="7" name="2050女" queryTableFieldId="7"/>
    <tableColumn id="8" xr3:uid="{41113D18-A5FA-41C4-8BF7-D24B4D3661AF}" uniqueName="8" name="2055女" queryTableFieldId="8"/>
    <tableColumn id="9" xr3:uid="{16C4931D-673B-49F0-B6DE-AC984BFF0ECC}" uniqueName="9" name="2060女" queryTableFieldId="9"/>
    <tableColumn id="10" xr3:uid="{BB6C203E-1355-4C20-866E-1F4B4B83C608}" uniqueName="10" name="2025男" queryTableFieldId="10"/>
    <tableColumn id="11" xr3:uid="{BA65B91A-550A-465C-B728-8313D512AC2D}" uniqueName="11" name="2030男" queryTableFieldId="11"/>
    <tableColumn id="12" xr3:uid="{CC0347A7-53A8-4ACB-ACE6-DE9DD8C55016}" uniqueName="12" name="2035男" queryTableFieldId="12"/>
    <tableColumn id="13" xr3:uid="{12C0DF6A-A835-499B-8580-FC6B4C642165}" uniqueName="13" name="2040男" queryTableFieldId="13"/>
    <tableColumn id="14" xr3:uid="{DB41AD75-E2E8-4B66-B0F9-FCC9367278FC}" uniqueName="14" name="2045男" queryTableFieldId="14"/>
    <tableColumn id="15" xr3:uid="{4D9DD878-78A4-4E5B-B013-358DE6FC45BE}" uniqueName="15" name="2050男" queryTableFieldId="15"/>
    <tableColumn id="16" xr3:uid="{AD057B21-BD7B-4B23-A2F4-66784C1C2744}" uniqueName="16" name="2055男" queryTableFieldId="16"/>
    <tableColumn id="17" xr3:uid="{1D12C297-B970-41AF-8B3C-B9F568C670F4}" uniqueName="17" name="2060男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29330ED-AC1E-47FF-B42C-B6D47121976F}" name="Medium_2060" displayName="Medium_2060" ref="A1:Q22" tableType="queryTable" totalsRowShown="0">
  <autoFilter ref="A1:Q22" xr:uid="{229330ED-AC1E-47FF-B42C-B6D47121976F}"/>
  <tableColumns count="17">
    <tableColumn id="1" xr3:uid="{6D9C8A98-CC5F-4D34-BE63-5254E4D51596}" uniqueName="1" name="Column1" queryTableFieldId="1" dataDxfId="199"/>
    <tableColumn id="2" xr3:uid="{95AFF8DF-3613-4DB4-9053-A509126AEC61}" uniqueName="2" name="2025女" queryTableFieldId="2"/>
    <tableColumn id="3" xr3:uid="{8915DCA1-39BF-42C7-8FDC-35B3024BB233}" uniqueName="3" name="2030女" queryTableFieldId="3"/>
    <tableColumn id="4" xr3:uid="{4D8FDA3A-3267-404B-8667-716F8583F975}" uniqueName="4" name="2035女" queryTableFieldId="4"/>
    <tableColumn id="5" xr3:uid="{20EA9530-155B-4CA6-B405-84FB4AB031A3}" uniqueName="5" name="2040女" queryTableFieldId="5"/>
    <tableColumn id="6" xr3:uid="{6F982CD8-04DB-482E-82EE-88E9D7C4386C}" uniqueName="6" name="2045女" queryTableFieldId="6"/>
    <tableColumn id="7" xr3:uid="{0D74456D-754B-489E-8FC8-D5911B49916A}" uniqueName="7" name="2050女" queryTableFieldId="7"/>
    <tableColumn id="8" xr3:uid="{4530C3EB-13FE-4684-B00E-E75254906BBE}" uniqueName="8" name="2055女" queryTableFieldId="8"/>
    <tableColumn id="9" xr3:uid="{90FA203F-2DDF-4918-B08C-B55A71C8C7D5}" uniqueName="9" name="2060女" queryTableFieldId="9"/>
    <tableColumn id="10" xr3:uid="{7572259A-3D44-4986-86E2-99E04B7A9826}" uniqueName="10" name="2025男" queryTableFieldId="10"/>
    <tableColumn id="11" xr3:uid="{F5165C77-6B23-4630-874D-75EBF28465D7}" uniqueName="11" name="2030男" queryTableFieldId="11"/>
    <tableColumn id="12" xr3:uid="{70143656-83B9-4BCB-BB47-C3837A4A88C1}" uniqueName="12" name="2035男" queryTableFieldId="12"/>
    <tableColumn id="13" xr3:uid="{081465A1-006B-4E87-8522-04EC5709A7F3}" uniqueName="13" name="2040男" queryTableFieldId="13"/>
    <tableColumn id="14" xr3:uid="{01DBDBC2-94A4-4283-9FA0-973EC77BD60C}" uniqueName="14" name="2045男" queryTableFieldId="14"/>
    <tableColumn id="15" xr3:uid="{797742C9-2E16-431A-8509-35B49D907EE2}" uniqueName="15" name="2050男" queryTableFieldId="15"/>
    <tableColumn id="16" xr3:uid="{AB99B469-270E-429C-B173-B70FDB511F03}" uniqueName="16" name="2055男" queryTableFieldId="16"/>
    <tableColumn id="17" xr3:uid="{C3E774C7-D541-4CEC-B21D-5DD1C5213E6B}" uniqueName="17" name="2060男" queryTableField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41C86A-35E0-43D2-9C86-DDD08FEF806A}" name="High_2060" displayName="High_2060" ref="A1:Q22" tableType="queryTable" totalsRowShown="0">
  <autoFilter ref="A1:Q22" xr:uid="{9A41C86A-35E0-43D2-9C86-DDD08FEF806A}"/>
  <tableColumns count="17">
    <tableColumn id="1" xr3:uid="{838642FC-91C1-4265-B13B-C3A6B99C1C19}" uniqueName="1" name="Column1" queryTableFieldId="1" dataDxfId="198"/>
    <tableColumn id="2" xr3:uid="{F742BF7A-1DFD-4803-A527-835FB951F7A1}" uniqueName="2" name="2025女" queryTableFieldId="2"/>
    <tableColumn id="3" xr3:uid="{E9CE768A-B78E-445C-8A3E-D108840C8902}" uniqueName="3" name="2030女" queryTableFieldId="3"/>
    <tableColumn id="4" xr3:uid="{DDCA281C-855A-4506-94A5-193CD78A3338}" uniqueName="4" name="2035女" queryTableFieldId="4"/>
    <tableColumn id="5" xr3:uid="{AE0E3453-D098-4635-A2C5-592310003C51}" uniqueName="5" name="2040女" queryTableFieldId="5"/>
    <tableColumn id="6" xr3:uid="{385413FD-7DA6-4375-8186-391F0A6ABA73}" uniqueName="6" name="2045女" queryTableFieldId="6"/>
    <tableColumn id="7" xr3:uid="{ABA4712E-F103-4198-8B5C-2FD94427A134}" uniqueName="7" name="2050女" queryTableFieldId="7"/>
    <tableColumn id="8" xr3:uid="{8F5CA98C-A477-4CAD-A276-56DCA64E69A9}" uniqueName="8" name="2055女" queryTableFieldId="8"/>
    <tableColumn id="9" xr3:uid="{B3ADC25F-2271-4475-8D6C-05B67AC98476}" uniqueName="9" name="2060女" queryTableFieldId="9"/>
    <tableColumn id="10" xr3:uid="{ABE3CF88-364A-4593-B09A-853EADB63649}" uniqueName="10" name="2025男" queryTableFieldId="10"/>
    <tableColumn id="11" xr3:uid="{946BA4F1-1937-4680-A6D7-E421689B3EC7}" uniqueName="11" name="2030男" queryTableFieldId="11"/>
    <tableColumn id="12" xr3:uid="{49A4440F-6992-448A-A9D4-AC670D73B98C}" uniqueName="12" name="2035男" queryTableFieldId="12"/>
    <tableColumn id="13" xr3:uid="{0F510D21-62B9-44FA-AED3-2B18F41979D4}" uniqueName="13" name="2040男" queryTableFieldId="13"/>
    <tableColumn id="14" xr3:uid="{B6ECD042-4E15-44AE-B54B-E5421CAD5393}" uniqueName="14" name="2045男" queryTableFieldId="14"/>
    <tableColumn id="15" xr3:uid="{EE01C80D-E410-4D34-89F3-F19FA5192792}" uniqueName="15" name="2050男" queryTableFieldId="15"/>
    <tableColumn id="16" xr3:uid="{C186774B-FDFA-4BA3-9146-C22BBC7E7E48}" uniqueName="16" name="2055男" queryTableFieldId="16"/>
    <tableColumn id="17" xr3:uid="{5FAD7476-AC07-489E-8F60-80090B07B963}" uniqueName="17" name="2060男" queryTableField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C552D2-210B-4C27-A63A-8477C298FDDC}" name="Medium_2040491011123" displayName="Medium_2040491011123" ref="A1:S22" totalsRowShown="0" headerRowDxfId="196" dataDxfId="195">
  <autoFilter ref="A1:S22" xr:uid="{4090BEB8-7016-40E0-8A48-22212859D1CD}"/>
  <tableColumns count="19">
    <tableColumn id="1" xr3:uid="{4DC5A0DD-C0CE-49F3-AC53-8C53234FD5BE}" name="Column1" dataDxfId="194"/>
    <tableColumn id="18" xr3:uid="{91026A20-6ACD-423F-AAB8-0E5B31A7EA3B}" name="Column2" dataDxfId="193"/>
    <tableColumn id="2" xr3:uid="{442057DF-2728-48AA-9AA7-2FEF9FE76E67}" name="2025女" dataDxfId="192">
      <calculatedColumnFormula>Freeze[[#This Row],[2025女]]</calculatedColumnFormula>
    </tableColumn>
    <tableColumn id="3" xr3:uid="{03F343D0-C8C3-41E9-A433-E901DA966A1D}" name="2030女" dataDxfId="191">
      <calculatedColumnFormula>Freeze[[#This Row],[2030女]]</calculatedColumnFormula>
    </tableColumn>
    <tableColumn id="4" xr3:uid="{A074DAD9-199D-4D07-941E-4CA9E92D375F}" name="2035女" dataDxfId="190">
      <calculatedColumnFormula>Freeze[[#This Row],[2035女]]</calculatedColumnFormula>
    </tableColumn>
    <tableColumn id="5" xr3:uid="{314D71CD-AA37-4829-BF99-083EC7B32D33}" name="2040女" dataDxfId="189">
      <calculatedColumnFormula>Freeze[[#This Row],[2040女]]</calculatedColumnFormula>
    </tableColumn>
    <tableColumn id="6" xr3:uid="{693E6BE9-31BB-4617-9C32-F743A2D00FB5}" name="2045女" dataDxfId="188">
      <calculatedColumnFormula>Freeze[[#This Row],[2045女]]</calculatedColumnFormula>
    </tableColumn>
    <tableColumn id="7" xr3:uid="{18950229-50F1-4EEE-9D23-5F77D384F0C2}" name="2050女" dataDxfId="187">
      <calculatedColumnFormula>Freeze[[#This Row],[2050女]]</calculatedColumnFormula>
    </tableColumn>
    <tableColumn id="8" xr3:uid="{98E46193-349F-46E1-958E-F07A54CA2919}" name="2055女" dataDxfId="186">
      <calculatedColumnFormula>Freeze[[#This Row],[2055女]]</calculatedColumnFormula>
    </tableColumn>
    <tableColumn id="9" xr3:uid="{49D227B9-8D92-432A-B00E-98C8A9F9A049}" name="2060女" dataDxfId="185">
      <calculatedColumnFormula>Freeze[[#This Row],[2060女]]</calculatedColumnFormula>
    </tableColumn>
    <tableColumn id="19" xr3:uid="{6CDCBA78-92B8-428D-89BF-FECDD91B2E9D}" name="2020男" dataDxfId="184"/>
    <tableColumn id="10" xr3:uid="{88186835-F8B0-4EF8-ADE2-5778EABF5533}" name="2025男" dataDxfId="183">
      <calculatedColumnFormula>Freeze[[#This Row],[2025男]]</calculatedColumnFormula>
    </tableColumn>
    <tableColumn id="11" xr3:uid="{E33E0115-7CAF-4BFF-91F5-976D1CD14D44}" name="2030男" dataDxfId="182">
      <calculatedColumnFormula>Freeze[[#This Row],[2030男]]</calculatedColumnFormula>
    </tableColumn>
    <tableColumn id="12" xr3:uid="{DBEFCB94-6418-49B2-A1A5-4309F11DA71F}" name="2035男" dataDxfId="181">
      <calculatedColumnFormula>Freeze[[#This Row],[2035男]]</calculatedColumnFormula>
    </tableColumn>
    <tableColumn id="13" xr3:uid="{5461AD62-978B-4CB3-AC03-E64C1938063D}" name="2040男" dataDxfId="180">
      <calculatedColumnFormula>Freeze[[#This Row],[2040男]]</calculatedColumnFormula>
    </tableColumn>
    <tableColumn id="14" xr3:uid="{2B0A3621-A37D-414F-B9AC-BFB44D1E548A}" name="2045男" dataDxfId="179">
      <calculatedColumnFormula>Freeze[[#This Row],[2045男]]</calculatedColumnFormula>
    </tableColumn>
    <tableColumn id="15" xr3:uid="{AD5D246F-2F5D-4746-86C6-BD23F69CD065}" name="2050男" dataDxfId="178">
      <calculatedColumnFormula>Freeze[[#This Row],[2050男]]</calculatedColumnFormula>
    </tableColumn>
    <tableColumn id="16" xr3:uid="{F09908B0-33FA-445D-B835-0433BE8E558B}" name="2055男" dataDxfId="177">
      <calculatedColumnFormula>Freeze[[#This Row],[2055男]]</calculatedColumnFormula>
    </tableColumn>
    <tableColumn id="17" xr3:uid="{E850A7AC-9AAA-46F8-9204-A0C102FB48D6}" name="2060男" dataDxfId="176">
      <calculatedColumnFormula>Freeze[[#This Row],[2060男]]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8B5536-EF8C-4881-A60C-258E7C29BEE2}" name="Medium_204049101112316" displayName="Medium_204049101112316" ref="A1:S22" totalsRowShown="0" headerRowDxfId="174" dataDxfId="173">
  <autoFilter ref="A1:S22" xr:uid="{4090BEB8-7016-40E0-8A48-22212859D1CD}"/>
  <tableColumns count="19">
    <tableColumn id="1" xr3:uid="{51E60BDF-D255-46A8-AA87-1395FFCE6929}" name="Column1" dataDxfId="172"/>
    <tableColumn id="18" xr3:uid="{CF14BCDE-E63E-423B-9D9F-D683A7585EBE}" name="Column2" dataDxfId="171"/>
    <tableColumn id="2" xr3:uid="{C7635523-79D7-4BDD-8C51-8246B7AE9046}" name="2025女" dataDxfId="170"/>
    <tableColumn id="3" xr3:uid="{43CCBBD5-EA68-4A6D-B111-0C5E4E3874A4}" name="2030女" dataDxfId="169"/>
    <tableColumn id="4" xr3:uid="{1EB54579-636C-4192-A7BB-84D97487C8F5}" name="2035女" dataDxfId="168"/>
    <tableColumn id="5" xr3:uid="{858C669D-3F49-4E07-9665-7D4C4A8E82DB}" name="2040女" dataDxfId="167"/>
    <tableColumn id="6" xr3:uid="{CBB8F0EE-50D3-439A-A7AE-A5BFFD36EDAD}" name="2045女" dataDxfId="166"/>
    <tableColumn id="7" xr3:uid="{4DBBFDE1-1081-4628-8520-B734A7DC82FF}" name="2050女" dataDxfId="165"/>
    <tableColumn id="8" xr3:uid="{2E88330A-C7B4-4F38-B391-55BD2C4D50CD}" name="2055女" dataDxfId="164"/>
    <tableColumn id="9" xr3:uid="{0CD2EE3C-4D15-491C-8B40-4509FF1A7CB0}" name="2060女" dataDxfId="163"/>
    <tableColumn id="19" xr3:uid="{0BAE9905-5E8F-4DFE-B177-49985A28820A}" name="2020男" dataDxfId="162"/>
    <tableColumn id="10" xr3:uid="{CBA86538-2395-42CF-94FC-0B37A15300BF}" name="2025男" dataDxfId="161"/>
    <tableColumn id="11" xr3:uid="{4265B54A-9F4F-400B-93E7-9FC633DD9278}" name="2030男" dataDxfId="160"/>
    <tableColumn id="12" xr3:uid="{92D4ED8A-A927-49BA-B3D0-2604436B39D0}" name="2035男" dataDxfId="159"/>
    <tableColumn id="13" xr3:uid="{4F95F048-CDDB-41CE-B8DE-39526D12EA26}" name="2040男" dataDxfId="158"/>
    <tableColumn id="14" xr3:uid="{1BDE9CEB-3B5B-4C43-A1F2-2E481BB95056}" name="2045男" dataDxfId="157"/>
    <tableColumn id="15" xr3:uid="{7B4DA565-BCC6-4E3A-912D-E6AE5F68000C}" name="2050男" dataDxfId="156"/>
    <tableColumn id="16" xr3:uid="{58DD8F3F-58C7-4DBE-86ED-E0B8C9B26F78}" name="2055男" dataDxfId="155"/>
    <tableColumn id="17" xr3:uid="{E18EBA47-E024-4739-B9C8-7F69F47D102F}" name="2060男" dataDxfId="1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55DE07-8C6A-4B74-B9C2-1AF96FE9BE08}" name="Medium_20404910111231617" displayName="Medium_20404910111231617" ref="A1:S22" totalsRowShown="0" headerRowDxfId="152" dataDxfId="151">
  <autoFilter ref="A1:S22" xr:uid="{4090BEB8-7016-40E0-8A48-22212859D1CD}"/>
  <tableColumns count="19">
    <tableColumn id="1" xr3:uid="{727480DE-9553-4280-B0EB-9DC6E4CE269E}" name="Column1" dataDxfId="150"/>
    <tableColumn id="18" xr3:uid="{8BD03F5C-3DA4-4180-A27A-7D014A9D9AB2}" name="Column2" dataDxfId="149"/>
    <tableColumn id="2" xr3:uid="{F57D87DF-5151-42FE-919E-B35EAF5FB851}" name="2025女" dataDxfId="148"/>
    <tableColumn id="3" xr3:uid="{B795CBCE-0015-4E1A-A1E4-FAF66A9863D6}" name="2030女" dataDxfId="147"/>
    <tableColumn id="4" xr3:uid="{E82207F7-8E9A-4A9F-B346-8A95E2F42C95}" name="2035女" dataDxfId="146"/>
    <tableColumn id="5" xr3:uid="{3D5DDA3D-BADC-4358-A0E3-A3CD71D7DC81}" name="2040女" dataDxfId="145"/>
    <tableColumn id="6" xr3:uid="{0AF3D024-5BA6-47C2-BAA7-20861066E224}" name="2045女" dataDxfId="144"/>
    <tableColumn id="7" xr3:uid="{57A264C3-AC07-4679-B10B-C16F3FDC9AA6}" name="2050女" dataDxfId="143"/>
    <tableColumn id="8" xr3:uid="{3D31E6A7-909B-4D62-818F-6223283FA64C}" name="2055女" dataDxfId="142"/>
    <tableColumn id="9" xr3:uid="{F3EF955B-F76D-46F3-BCE6-A312C00346C3}" name="2060女" dataDxfId="141"/>
    <tableColumn id="19" xr3:uid="{4B39ADDD-6E42-4CDB-8729-245532CD0556}" name="2020男" dataDxfId="140"/>
    <tableColumn id="10" xr3:uid="{705A7422-9560-4F2C-B557-298FA8B11A05}" name="2025男" dataDxfId="139"/>
    <tableColumn id="11" xr3:uid="{58EE4C48-046A-4150-A8ED-37D049BDC0B6}" name="2030男" dataDxfId="138"/>
    <tableColumn id="12" xr3:uid="{B8E69464-B72A-49C1-88E7-947F59D7C0C2}" name="2035男" dataDxfId="137"/>
    <tableColumn id="13" xr3:uid="{0928C51F-7A16-4A55-BA76-3AC9583A8041}" name="2040男" dataDxfId="136"/>
    <tableColumn id="14" xr3:uid="{947948E5-3965-4C12-A5B8-C63CEF4B4CFC}" name="2045男" dataDxfId="135"/>
    <tableColumn id="15" xr3:uid="{BED186CC-08CE-4C56-A422-70F59DBEF8AA}" name="2050男" dataDxfId="134"/>
    <tableColumn id="16" xr3:uid="{4FD1EED7-5897-4173-A380-3BD820D0166B}" name="2055男" dataDxfId="133"/>
    <tableColumn id="17" xr3:uid="{AD259F2D-F1C4-4D27-A8ED-B9DEF1930017}" name="2060男" dataDxfId="13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6BD2D4-3359-4945-8679-5CD4821F79DE}" name="Medium_204049101112" displayName="Medium_204049101112" ref="A1:S22" totalsRowShown="0" headerRowDxfId="130" dataDxfId="129">
  <autoFilter ref="A1:S22" xr:uid="{4090BEB8-7016-40E0-8A48-22212859D1CD}"/>
  <tableColumns count="19">
    <tableColumn id="1" xr3:uid="{23A9A0A1-B670-4DC4-91C0-D66E3594510D}" name="Column1" dataDxfId="128"/>
    <tableColumn id="18" xr3:uid="{BFA5A0A5-D733-4DAF-9686-5E097C5375E8}" name="Column2" dataDxfId="127"/>
    <tableColumn id="2" xr3:uid="{B1EF927E-0535-4276-9064-A9D54DB87092}" name="2025女" dataDxfId="126">
      <calculatedColumnFormula>Low_2060[[#This Row],[2025女]]</calculatedColumnFormula>
    </tableColumn>
    <tableColumn id="3" xr3:uid="{B83482F2-0B6D-4953-878E-2FEB310534BF}" name="2030女" dataDxfId="125">
      <calculatedColumnFormula>Low_2060[[#This Row],[2030女]]</calculatedColumnFormula>
    </tableColumn>
    <tableColumn id="4" xr3:uid="{6EC5FFFA-67DD-48B1-A60A-7D0E3494F9A8}" name="2035女" dataDxfId="124">
      <calculatedColumnFormula>Low_2060[[#This Row],[2035女]]</calculatedColumnFormula>
    </tableColumn>
    <tableColumn id="5" xr3:uid="{EA228CB0-DE9E-4983-A6BB-4B8E8CB4D1D2}" name="2040女" dataDxfId="123">
      <calculatedColumnFormula>Low_2060[[#This Row],[2040女]]</calculatedColumnFormula>
    </tableColumn>
    <tableColumn id="6" xr3:uid="{E1C9C455-D09A-4677-A76B-E5A38F3E8BD9}" name="2045女" dataDxfId="122">
      <calculatedColumnFormula>Low_2060[[#This Row],[2045女]]</calculatedColumnFormula>
    </tableColumn>
    <tableColumn id="7" xr3:uid="{4BE0682F-0A81-4382-A6AE-020C3002C1F9}" name="2050女" dataDxfId="121">
      <calculatedColumnFormula>Low_2060[[#This Row],[2050女]]</calculatedColumnFormula>
    </tableColumn>
    <tableColumn id="8" xr3:uid="{347423A1-57F7-4F39-8ABE-8293702FC56B}" name="2055女" dataDxfId="120">
      <calculatedColumnFormula>Low_2060[[#This Row],[2055女]]</calculatedColumnFormula>
    </tableColumn>
    <tableColumn id="9" xr3:uid="{0AD124A9-727C-4713-A061-59C7E03C0408}" name="2060女" dataDxfId="119">
      <calculatedColumnFormula>Low_2060[[#This Row],[2060女]]</calculatedColumnFormula>
    </tableColumn>
    <tableColumn id="19" xr3:uid="{0D4E19A4-309D-4401-AC5F-A1C3DD72469D}" name="2020男" dataDxfId="118"/>
    <tableColumn id="10" xr3:uid="{F09598AD-95B1-4476-9C59-1EB9A9A49CCC}" name="2025男" dataDxfId="117">
      <calculatedColumnFormula>Low_2060[[#This Row],[2025男]]</calculatedColumnFormula>
    </tableColumn>
    <tableColumn id="11" xr3:uid="{774A62CC-3365-42EC-AAE6-1D5274992DAC}" name="2030男" dataDxfId="116">
      <calculatedColumnFormula>Low_2060[[#This Row],[2030男]]</calculatedColumnFormula>
    </tableColumn>
    <tableColumn id="12" xr3:uid="{F85F10E3-B23C-43A0-86F7-22A08BE385BB}" name="2035男" dataDxfId="115">
      <calculatedColumnFormula>Low_2060[[#This Row],[2035男]]</calculatedColumnFormula>
    </tableColumn>
    <tableColumn id="13" xr3:uid="{E3AFBFEC-7321-4018-9D29-7910CF56096A}" name="2040男" dataDxfId="114">
      <calculatedColumnFormula>Low_2060[[#This Row],[2040男]]</calculatedColumnFormula>
    </tableColumn>
    <tableColumn id="14" xr3:uid="{506CD113-3DDB-422C-9772-3E7C25D0076B}" name="2045男" dataDxfId="113">
      <calculatedColumnFormula>Low_2060[[#This Row],[2045男]]</calculatedColumnFormula>
    </tableColumn>
    <tableColumn id="15" xr3:uid="{0616412A-A8E6-45F4-BA7A-216FE8CCB81F}" name="2050男" dataDxfId="112">
      <calculatedColumnFormula>Low_2060[[#This Row],[2050男]]</calculatedColumnFormula>
    </tableColumn>
    <tableColumn id="16" xr3:uid="{9332F9B4-6339-4E18-8875-812FCAB52844}" name="2055男" dataDxfId="111">
      <calculatedColumnFormula>Low_2060[[#This Row],[2055男]]</calculatedColumnFormula>
    </tableColumn>
    <tableColumn id="17" xr3:uid="{3A137484-E02D-40D5-9D74-484502193705}" name="2060男" dataDxfId="110">
      <calculatedColumnFormula>Low_2060[[#This Row],[2060男]]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B9BAB3-9C99-41D1-B181-56C6CCBBD1FC}" name="Medium_2040491011" displayName="Medium_2040491011" ref="A1:S22" totalsRowShown="0" headerRowDxfId="108" dataDxfId="107">
  <autoFilter ref="A1:S22" xr:uid="{4090BEB8-7016-40E0-8A48-22212859D1CD}"/>
  <tableColumns count="19">
    <tableColumn id="1" xr3:uid="{829E6678-DB76-4867-8408-1207A5C9293B}" name="Column1" dataDxfId="106"/>
    <tableColumn id="18" xr3:uid="{FDB6F081-3FA6-49EB-B475-0B79D7CDD22F}" name="Column2" dataDxfId="105"/>
    <tableColumn id="2" xr3:uid="{8EFCFB45-12C9-4816-A51E-34A9C2015245}" name="2025女" dataDxfId="104">
      <calculatedColumnFormula>Medium_2060[[#This Row],[2025女]]</calculatedColumnFormula>
    </tableColumn>
    <tableColumn id="3" xr3:uid="{D38053FB-6746-40F9-9030-443CAFB60F09}" name="2030女" dataDxfId="103">
      <calculatedColumnFormula>Medium_2060[[#This Row],[2030女]]</calculatedColumnFormula>
    </tableColumn>
    <tableColumn id="4" xr3:uid="{C0D27BF4-2789-4579-9D1A-B9A736FEFC7A}" name="2035女" dataDxfId="102">
      <calculatedColumnFormula>Medium_2060[[#This Row],[2035女]]</calculatedColumnFormula>
    </tableColumn>
    <tableColumn id="5" xr3:uid="{C481AF42-1B9B-45AE-9D31-C4138E4FFF9B}" name="2040女" dataDxfId="101">
      <calculatedColumnFormula>Medium_2060[[#This Row],[2040女]]</calculatedColumnFormula>
    </tableColumn>
    <tableColumn id="6" xr3:uid="{CA9D50C8-CB1A-489F-B1BD-DB9121013623}" name="2045女" dataDxfId="100">
      <calculatedColumnFormula>Medium_2060[[#This Row],[2045女]]</calculatedColumnFormula>
    </tableColumn>
    <tableColumn id="7" xr3:uid="{0344F135-90A6-4A26-BD91-350CB9B886E4}" name="2050女" dataDxfId="99">
      <calculatedColumnFormula>Medium_2060[[#This Row],[2050女]]</calculatedColumnFormula>
    </tableColumn>
    <tableColumn id="8" xr3:uid="{19B4684B-47EE-492B-9283-6D228BFABBFB}" name="2055女" dataDxfId="98">
      <calculatedColumnFormula>Medium_2060[[#This Row],[2055女]]</calculatedColumnFormula>
    </tableColumn>
    <tableColumn id="9" xr3:uid="{C02060D8-7699-4BF1-BEE9-994E00F2F7B6}" name="2060女" dataDxfId="97">
      <calculatedColumnFormula>Medium_2060[[#This Row],[2060女]]</calculatedColumnFormula>
    </tableColumn>
    <tableColumn id="19" xr3:uid="{6FFFCB9C-38B4-404F-A32C-CAEDEBC06A7A}" name="2020男" dataDxfId="96"/>
    <tableColumn id="10" xr3:uid="{F8EDECEB-A73E-4AF5-BC33-A88C847B5210}" name="2025男" dataDxfId="95">
      <calculatedColumnFormula>Medium_2060[[#This Row],[2025男]]</calculatedColumnFormula>
    </tableColumn>
    <tableColumn id="11" xr3:uid="{77851F19-E526-4034-99A0-76DEB3894CC4}" name="2030男" dataDxfId="94">
      <calculatedColumnFormula>Medium_2060[[#This Row],[2030男]]</calculatedColumnFormula>
    </tableColumn>
    <tableColumn id="12" xr3:uid="{63C1B177-DE8E-471B-AE35-1786A6EE6C24}" name="2035男" dataDxfId="93">
      <calculatedColumnFormula>Medium_2060[[#This Row],[2035男]]</calculatedColumnFormula>
    </tableColumn>
    <tableColumn id="13" xr3:uid="{A76F69C9-3752-43B8-9C02-D0322AAA25C0}" name="2040男" dataDxfId="92">
      <calculatedColumnFormula>Medium_2060[[#This Row],[2040男]]</calculatedColumnFormula>
    </tableColumn>
    <tableColumn id="14" xr3:uid="{6F5CEA56-770F-47DF-A871-F7F1E06A75D6}" name="2045男" dataDxfId="91">
      <calculatedColumnFormula>Medium_2060[[#This Row],[2045男]]</calculatedColumnFormula>
    </tableColumn>
    <tableColumn id="15" xr3:uid="{8BD51201-0B9C-483B-88D5-C0FDF3F0CC96}" name="2050男" dataDxfId="90">
      <calculatedColumnFormula>Medium_2060[[#This Row],[2050男]]</calculatedColumnFormula>
    </tableColumn>
    <tableColumn id="16" xr3:uid="{78C7B5F6-6390-412C-9DA5-E992311140E6}" name="2055男" dataDxfId="89">
      <calculatedColumnFormula>Medium_2060[[#This Row],[2055男]]</calculatedColumnFormula>
    </tableColumn>
    <tableColumn id="17" xr3:uid="{B4617860-68F6-41B8-AF29-DEF384445403}" name="2060男" dataDxfId="88">
      <calculatedColumnFormula>Medium_2060[[#This Row],[2060男]]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DC96F3-0CB6-4FCE-9367-DDC80F160AD1}" name="Medium_20404910" displayName="Medium_20404910" ref="A1:S22" totalsRowShown="0" headerRowDxfId="86" dataDxfId="85">
  <autoFilter ref="A1:S22" xr:uid="{4090BEB8-7016-40E0-8A48-22212859D1CD}"/>
  <tableColumns count="19">
    <tableColumn id="1" xr3:uid="{99AA3486-0F87-46F4-BB1B-54A949FCE814}" name="Column1" dataDxfId="84"/>
    <tableColumn id="18" xr3:uid="{C6A29603-1699-4200-9B29-744DFC2AD544}" name="Column2" dataDxfId="83"/>
    <tableColumn id="2" xr3:uid="{11F550B1-035A-4A5D-9E43-5C13F23F56D3}" name="2025女" dataDxfId="82">
      <calculatedColumnFormula>High_2060[[#This Row],[2025女]]</calculatedColumnFormula>
    </tableColumn>
    <tableColumn id="3" xr3:uid="{723ECABB-9F37-4670-8EFA-AB81A9790C5A}" name="2030女" dataDxfId="81">
      <calculatedColumnFormula>High_2060[[#This Row],[2030女]]</calculatedColumnFormula>
    </tableColumn>
    <tableColumn id="4" xr3:uid="{72EBB8A7-7776-4FFA-889B-F2EEFF0A9A72}" name="2035女" dataDxfId="80">
      <calculatedColumnFormula>High_2060[[#This Row],[2035女]]</calculatedColumnFormula>
    </tableColumn>
    <tableColumn id="5" xr3:uid="{675B6FFA-B0C1-460D-BE51-079E19EDC168}" name="2040女" dataDxfId="79">
      <calculatedColumnFormula>High_2060[[#This Row],[2040女]]</calculatedColumnFormula>
    </tableColumn>
    <tableColumn id="6" xr3:uid="{D455C9FA-A888-4108-8FAC-89C4380B13DD}" name="2045女" dataDxfId="78">
      <calculatedColumnFormula>High_2060[[#This Row],[2045女]]</calculatedColumnFormula>
    </tableColumn>
    <tableColumn id="7" xr3:uid="{8FB3C743-C1B4-42B9-81E6-932F21A39D5F}" name="2050女" dataDxfId="77">
      <calculatedColumnFormula>High_2060[[#This Row],[2050女]]</calculatedColumnFormula>
    </tableColumn>
    <tableColumn id="8" xr3:uid="{1099F247-EAA7-45C3-B74E-88184709D7DA}" name="2055女" dataDxfId="76">
      <calculatedColumnFormula>High_2060[[#This Row],[2055女]]</calculatedColumnFormula>
    </tableColumn>
    <tableColumn id="9" xr3:uid="{3EE7220D-C1FD-4B41-A338-DF1E0A4E68F8}" name="2060女" dataDxfId="75">
      <calculatedColumnFormula>High_2060[[#This Row],[2060女]]</calculatedColumnFormula>
    </tableColumn>
    <tableColumn id="19" xr3:uid="{DF348A98-B8A8-4793-BA8B-5CDA3FBC8228}" name="2020男" dataDxfId="74"/>
    <tableColumn id="10" xr3:uid="{3464BB96-7B25-4C92-B3E5-FD6347CC3E2E}" name="2025男" dataDxfId="73">
      <calculatedColumnFormula>High_2060[[#This Row],[2025男]]</calculatedColumnFormula>
    </tableColumn>
    <tableColumn id="11" xr3:uid="{9AA4DDE7-EFCC-4559-A44B-8D955FD807AE}" name="2030男" dataDxfId="72">
      <calculatedColumnFormula>High_2060[[#This Row],[2030男]]</calculatedColumnFormula>
    </tableColumn>
    <tableColumn id="12" xr3:uid="{E0F324D0-FCE1-455C-BB67-83026DE682D5}" name="2035男" dataDxfId="71">
      <calculatedColumnFormula>High_2060[[#This Row],[2035男]]</calculatedColumnFormula>
    </tableColumn>
    <tableColumn id="13" xr3:uid="{C0781AFF-04BF-4C0E-82CA-20E6DC85054C}" name="2040男" dataDxfId="70">
      <calculatedColumnFormula>High_2060[[#This Row],[2040男]]</calculatedColumnFormula>
    </tableColumn>
    <tableColumn id="14" xr3:uid="{8DFC3D0C-F8C6-42D8-A59E-25BA7514DC38}" name="2045男" dataDxfId="69">
      <calculatedColumnFormula>High_2060[[#This Row],[2045男]]</calculatedColumnFormula>
    </tableColumn>
    <tableColumn id="15" xr3:uid="{9186B444-1ECC-4359-ACB2-675FAC9C1DFC}" name="2050男" dataDxfId="68">
      <calculatedColumnFormula>High_2060[[#This Row],[2050男]]</calculatedColumnFormula>
    </tableColumn>
    <tableColumn id="16" xr3:uid="{551DFD9B-1A2F-4BEE-9214-37878DC755C0}" name="2055男" dataDxfId="67">
      <calculatedColumnFormula>High_2060[[#This Row],[2055男]]</calculatedColumnFormula>
    </tableColumn>
    <tableColumn id="17" xr3:uid="{30F4209B-126B-4EBC-848B-BC2329C9238B}" name="2060男" dataDxfId="66">
      <calculatedColumnFormula>High_2060[[#This Row],[2060男]]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2D0DE9-F9FF-4FDF-9E94-0756D2B88B51}" name="Medium_204049" displayName="Medium_204049" ref="A1:S22" totalsRowShown="0" headerRowDxfId="64" dataDxfId="63">
  <autoFilter ref="A1:S22" xr:uid="{4090BEB8-7016-40E0-8A48-22212859D1CD}"/>
  <tableColumns count="19">
    <tableColumn id="1" xr3:uid="{8D14BEAD-1648-4512-BB0A-9728CCF18A95}" name="Column1" dataDxfId="62"/>
    <tableColumn id="18" xr3:uid="{5153CC85-2382-4753-803B-CBE88DC82D18}" name="Column2" dataDxfId="61"/>
    <tableColumn id="2" xr3:uid="{318E4660-20EE-42BA-B72E-59F27F15190D}" name="2025女" dataDxfId="60">
      <calculatedColumnFormula>Low_2040[[#This Row],[2025女]]</calculatedColumnFormula>
    </tableColumn>
    <tableColumn id="3" xr3:uid="{5F3FEDF7-680D-4B3D-B396-6B238EBFDD6B}" name="2030女" dataDxfId="59">
      <calculatedColumnFormula>Low_2040[[#This Row],[2030女]]</calculatedColumnFormula>
    </tableColumn>
    <tableColumn id="4" xr3:uid="{B325A739-AA89-4880-8513-E2E4A3E61F13}" name="2035女" dataDxfId="58">
      <calculatedColumnFormula>Low_2040[[#This Row],[2035女]]</calculatedColumnFormula>
    </tableColumn>
    <tableColumn id="5" xr3:uid="{F4A28BA4-CB4A-41DB-8A11-99BFB997C231}" name="2040女" dataDxfId="57">
      <calculatedColumnFormula>Low_2040[[#This Row],[2040女]]</calculatedColumnFormula>
    </tableColumn>
    <tableColumn id="6" xr3:uid="{0F5FAD39-4A7B-42AF-98F5-78A86DA56FFE}" name="2045女" dataDxfId="56">
      <calculatedColumnFormula>Low_2040[[#This Row],[2045女]]</calculatedColumnFormula>
    </tableColumn>
    <tableColumn id="7" xr3:uid="{7AF1524F-BA86-405A-99A7-B0A8E17364DC}" name="2050女" dataDxfId="55">
      <calculatedColumnFormula>Low_2040[[#This Row],[2050女]]</calculatedColumnFormula>
    </tableColumn>
    <tableColumn id="8" xr3:uid="{FC4EA1F4-B5D7-4642-8A01-C126AAFBDAA9}" name="2055女" dataDxfId="54">
      <calculatedColumnFormula>Low_2040[[#This Row],[2055女]]</calculatedColumnFormula>
    </tableColumn>
    <tableColumn id="9" xr3:uid="{E6D6A64F-9FAA-44B2-BA0B-2AC2B40CDA7F}" name="2060女" dataDxfId="53">
      <calculatedColumnFormula>Low_2040[[#This Row],[2060女]]</calculatedColumnFormula>
    </tableColumn>
    <tableColumn id="19" xr3:uid="{8221B70C-F285-4306-A743-A992CDC7509C}" name="2020男" dataDxfId="52"/>
    <tableColumn id="10" xr3:uid="{935256F5-3A9D-452B-9940-F87E377C7A5E}" name="2025男" dataDxfId="51">
      <calculatedColumnFormula>Low_2040[[#This Row],[2025男]]</calculatedColumnFormula>
    </tableColumn>
    <tableColumn id="11" xr3:uid="{C06EC91C-47F5-4460-AF71-8238E0716969}" name="2030男" dataDxfId="50">
      <calculatedColumnFormula>Low_2040[[#This Row],[2030男]]</calculatedColumnFormula>
    </tableColumn>
    <tableColumn id="12" xr3:uid="{686944CD-6D6D-4A7A-93C9-CEFB4025A873}" name="2035男" dataDxfId="49">
      <calculatedColumnFormula>Low_2040[[#This Row],[2035男]]</calculatedColumnFormula>
    </tableColumn>
    <tableColumn id="13" xr3:uid="{490E5BA0-B12A-47A2-B86E-8A42EAE0817D}" name="2040男" dataDxfId="48">
      <calculatedColumnFormula>Low_2040[[#This Row],[2040男]]</calculatedColumnFormula>
    </tableColumn>
    <tableColumn id="14" xr3:uid="{DBAE45DA-6EB8-4A66-888B-B16E8B55CBB6}" name="2045男" dataDxfId="47">
      <calculatedColumnFormula>Low_2040[[#This Row],[2045男]]</calculatedColumnFormula>
    </tableColumn>
    <tableColumn id="15" xr3:uid="{8E7ACB79-BE42-4799-907B-5C2307C2C9F0}" name="2050男" dataDxfId="46">
      <calculatedColumnFormula>Low_2040[[#This Row],[2050男]]</calculatedColumnFormula>
    </tableColumn>
    <tableColumn id="16" xr3:uid="{069CC484-9D4F-408C-B964-37F8765C5096}" name="2055男" dataDxfId="45">
      <calculatedColumnFormula>Low_2040[[#This Row],[2055男]]</calculatedColumnFormula>
    </tableColumn>
    <tableColumn id="17" xr3:uid="{FA965824-D2CE-40EF-9669-0EA8E78BE773}" name="2060男" dataDxfId="44">
      <calculatedColumnFormula>Low_2040[[#This Row],[2060男]]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90BEB8-7016-40E0-8A48-22212859D1CD}" name="Medium_20404" displayName="Medium_20404" ref="A1:S22" totalsRowShown="0" headerRowDxfId="42" dataDxfId="41">
  <autoFilter ref="A1:S22" xr:uid="{4090BEB8-7016-40E0-8A48-22212859D1CD}"/>
  <tableColumns count="19">
    <tableColumn id="1" xr3:uid="{0081F4B7-B570-42B0-8E56-AF8EE66EBBC0}" name="Column1" dataDxfId="40"/>
    <tableColumn id="18" xr3:uid="{4EB8F7E1-421A-48E3-A893-C43414AF5BEB}" name="Column2" dataDxfId="39"/>
    <tableColumn id="2" xr3:uid="{A5B592C0-EA22-4441-B98D-892A31D5D039}" name="2025女" dataDxfId="38">
      <calculatedColumnFormula>Medium_2041[[#This Row],[2025女]]</calculatedColumnFormula>
    </tableColumn>
    <tableColumn id="3" xr3:uid="{A3958B4D-0B3A-442A-9C60-258C147FC0FD}" name="2030女" dataDxfId="37">
      <calculatedColumnFormula>Medium_2041[[#This Row],[2030女]]</calculatedColumnFormula>
    </tableColumn>
    <tableColumn id="4" xr3:uid="{35AC77D8-1110-4A01-86D1-65A0E73232D0}" name="2035女" dataDxfId="36">
      <calculatedColumnFormula>Medium_2041[[#This Row],[2035女]]</calculatedColumnFormula>
    </tableColumn>
    <tableColumn id="5" xr3:uid="{73AA6B86-93AB-406A-9E87-48CDB1228989}" name="2040女" dataDxfId="35">
      <calculatedColumnFormula>Medium_2041[[#This Row],[2040女]]</calculatedColumnFormula>
    </tableColumn>
    <tableColumn id="6" xr3:uid="{D9D32E46-62BB-4910-AB37-DC3DD048269C}" name="2045女" dataDxfId="34">
      <calculatedColumnFormula>Medium_2041[[#This Row],[2045女]]</calculatedColumnFormula>
    </tableColumn>
    <tableColumn id="7" xr3:uid="{956700CF-5063-4CE5-B9C1-ADB7E2D6584A}" name="2050女" dataDxfId="33">
      <calculatedColumnFormula>Medium_2041[[#This Row],[2050女]]</calculatedColumnFormula>
    </tableColumn>
    <tableColumn id="8" xr3:uid="{DCE93575-116F-4BEB-BE94-FA0FA32CC7B4}" name="2055女" dataDxfId="32">
      <calculatedColumnFormula>Medium_2041[[#This Row],[2055女]]</calculatedColumnFormula>
    </tableColumn>
    <tableColumn id="9" xr3:uid="{30D02653-1DB5-4E3B-8F55-EEB78C467255}" name="2060女" dataDxfId="31">
      <calculatedColumnFormula>Medium_2041[[#This Row],[2060女]]</calculatedColumnFormula>
    </tableColumn>
    <tableColumn id="19" xr3:uid="{957D4B7F-531F-48CF-9127-3301E31DDCC7}" name="2020男" dataDxfId="30"/>
    <tableColumn id="10" xr3:uid="{08412F7E-C75E-4598-8ED4-55FC4B0CF1CF}" name="2025男" dataDxfId="29">
      <calculatedColumnFormula>Medium_2041[[#This Row],[2025男]]</calculatedColumnFormula>
    </tableColumn>
    <tableColumn id="11" xr3:uid="{70E66175-D914-4C53-BCD1-ECA2E31DF686}" name="2030男" dataDxfId="28">
      <calculatedColumnFormula>Medium_2041[[#This Row],[2030男]]</calculatedColumnFormula>
    </tableColumn>
    <tableColumn id="12" xr3:uid="{5BAE990F-51BA-4EB2-BCFF-18E9F7608C6C}" name="2035男" dataDxfId="27">
      <calculatedColumnFormula>Medium_2041[[#This Row],[2035男]]</calculatedColumnFormula>
    </tableColumn>
    <tableColumn id="13" xr3:uid="{23C91A03-6FA7-42CD-8D22-895FC2FA5C5F}" name="2040男" dataDxfId="26">
      <calculatedColumnFormula>Medium_2041[[#This Row],[2040男]]</calculatedColumnFormula>
    </tableColumn>
    <tableColumn id="14" xr3:uid="{61265013-14F8-4F58-9BED-A12B07963C06}" name="2045男" dataDxfId="25">
      <calculatedColumnFormula>Medium_2041[[#This Row],[2045男]]</calculatedColumnFormula>
    </tableColumn>
    <tableColumn id="15" xr3:uid="{E681BDBB-06A3-45B3-A2F2-ED9D8BADD80A}" name="2050男" dataDxfId="24">
      <calculatedColumnFormula>Medium_2041[[#This Row],[2050男]]</calculatedColumnFormula>
    </tableColumn>
    <tableColumn id="16" xr3:uid="{2F80185F-0C64-4DF8-9440-2D0C74DB20D3}" name="2055男" dataDxfId="23">
      <calculatedColumnFormula>Medium_2041[[#This Row],[2055男]]</calculatedColumnFormula>
    </tableColumn>
    <tableColumn id="17" xr3:uid="{B327DC1D-889D-4FA6-AF38-80320B5B0E89}" name="2060男" dataDxfId="22">
      <calculatedColumnFormula>Medium_2041[[#This Row],[2060男]]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1EA9EF-7017-4900-ADD6-6762FD700A88}" name="High_20405" displayName="High_20405" ref="A1:S22" totalsRowShown="0" headerRowDxfId="20" dataDxfId="19">
  <autoFilter ref="A1:S22" xr:uid="{6D1EA9EF-7017-4900-ADD6-6762FD700A88}"/>
  <tableColumns count="19">
    <tableColumn id="1" xr3:uid="{24CF9731-7327-4006-A546-3045CBA3568A}" name="Column1" dataDxfId="18"/>
    <tableColumn id="18" xr3:uid="{497F6D9A-61D0-4F0D-B243-BD30798A0185}" name="Column2" dataDxfId="17"/>
    <tableColumn id="2" xr3:uid="{A1565882-5CEB-4831-AE88-1C890611FC42}" name="2025女" dataDxfId="16">
      <calculatedColumnFormula>High_2041[[#This Row],[2025女]]</calculatedColumnFormula>
    </tableColumn>
    <tableColumn id="3" xr3:uid="{C3508D24-BB99-481E-9142-C74D7EA1B2A6}" name="2030女" dataDxfId="15">
      <calculatedColumnFormula>High_2041[[#This Row],[2030女]]</calculatedColumnFormula>
    </tableColumn>
    <tableColumn id="4" xr3:uid="{4083A017-366C-4A85-ABC2-5FEE05652C64}" name="2035女" dataDxfId="14">
      <calculatedColumnFormula>High_2041[[#This Row],[2035女]]</calculatedColumnFormula>
    </tableColumn>
    <tableColumn id="5" xr3:uid="{03B863A4-2822-4D1A-8DD8-11AEB69197B2}" name="2040女" dataDxfId="13">
      <calculatedColumnFormula>High_2041[[#This Row],[2040女]]</calculatedColumnFormula>
    </tableColumn>
    <tableColumn id="6" xr3:uid="{DB310297-A752-49A5-BBD1-9102891260B4}" name="2045女" dataDxfId="12">
      <calculatedColumnFormula>High_2041[[#This Row],[2045女]]</calculatedColumnFormula>
    </tableColumn>
    <tableColumn id="7" xr3:uid="{973ACB9E-65DB-452A-9A76-39EE1A8A1C50}" name="2050女" dataDxfId="11">
      <calculatedColumnFormula>High_2041[[#This Row],[2050女]]</calculatedColumnFormula>
    </tableColumn>
    <tableColumn id="8" xr3:uid="{34412C4A-B4EB-4668-B45C-8DBED89DA565}" name="2055女" dataDxfId="10">
      <calculatedColumnFormula>High_2041[[#This Row],[2055女]]</calculatedColumnFormula>
    </tableColumn>
    <tableColumn id="9" xr3:uid="{753C4B4D-1EBC-4A96-AA8A-842D292C3F34}" name="2060女" dataDxfId="9">
      <calculatedColumnFormula>High_2041[[#This Row],[2060女]]</calculatedColumnFormula>
    </tableColumn>
    <tableColumn id="19" xr3:uid="{B3F57A6B-2A7A-47F0-BAB5-4CA17D6619D6}" name="2020男" dataDxfId="8"/>
    <tableColumn id="10" xr3:uid="{CCAD36F2-6CDF-4950-A1CA-64EBD787AB74}" name="2025男" dataDxfId="7">
      <calculatedColumnFormula>High_2041[[#This Row],[2025男]]</calculatedColumnFormula>
    </tableColumn>
    <tableColumn id="11" xr3:uid="{A27A0F8D-B2F6-4114-9E26-AE73AFE100C6}" name="2030男" dataDxfId="6">
      <calculatedColumnFormula>High_2041[[#This Row],[2030男]]</calculatedColumnFormula>
    </tableColumn>
    <tableColumn id="12" xr3:uid="{3AA063C2-92F7-4FF9-AABC-DDB5B46A286A}" name="2035男" dataDxfId="5">
      <calculatedColumnFormula>High_2041[[#This Row],[2035男]]</calculatedColumnFormula>
    </tableColumn>
    <tableColumn id="13" xr3:uid="{475C056A-B369-4327-AEE4-DD5518166D8C}" name="2040男" dataDxfId="4">
      <calculatedColumnFormula>High_2041[[#This Row],[2040男]]</calculatedColumnFormula>
    </tableColumn>
    <tableColumn id="14" xr3:uid="{71AA1F72-3C6A-4372-81C5-C977848ADD9E}" name="2045男" dataDxfId="3">
      <calculatedColumnFormula>High_2041[[#This Row],[2045男]]</calculatedColumnFormula>
    </tableColumn>
    <tableColumn id="15" xr3:uid="{57EDB5EF-3EBF-4C36-AD3F-855A8EA323AF}" name="2050男" dataDxfId="2">
      <calculatedColumnFormula>High_2041[[#This Row],[2050男]]</calculatedColumnFormula>
    </tableColumn>
    <tableColumn id="16" xr3:uid="{91CE7AC2-0604-4259-A329-8BF95B05F2D1}" name="2055男" dataDxfId="1">
      <calculatedColumnFormula>High_2041[[#This Row],[2055男]]</calculatedColumnFormula>
    </tableColumn>
    <tableColumn id="17" xr3:uid="{D78FA83F-E003-4D79-AB4A-6EF34C1FF58F}" name="2060男" dataDxfId="0">
      <calculatedColumnFormula>High_2041[[#This Row],[2060男]]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74BA-40F0-482D-B8B9-9922DFBA1064}">
  <dimension ref="A1:Q22"/>
  <sheetViews>
    <sheetView workbookViewId="0">
      <selection activeCell="B2" sqref="B2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25167968.20561333</v>
      </c>
      <c r="D2">
        <v>23484083.816576086</v>
      </c>
      <c r="E2">
        <v>23914048.496244043</v>
      </c>
      <c r="F2">
        <v>24107803.234297499</v>
      </c>
      <c r="G2">
        <v>22441748.725095727</v>
      </c>
      <c r="H2">
        <v>19569388.74539461</v>
      </c>
      <c r="I2">
        <v>17018152.654835828</v>
      </c>
      <c r="J2">
        <v>30230634.913766347</v>
      </c>
      <c r="K2">
        <v>26426366.615893997</v>
      </c>
      <c r="L2">
        <v>24658288.007404894</v>
      </c>
      <c r="M2">
        <v>25109750.921056248</v>
      </c>
      <c r="N2">
        <v>25313193.396012373</v>
      </c>
      <c r="O2">
        <v>23563836.161350511</v>
      </c>
      <c r="P2">
        <v>20547858.182664342</v>
      </c>
      <c r="Q2">
        <v>17869060.287577622</v>
      </c>
    </row>
    <row r="3" spans="1:17" x14ac:dyDescent="0.2">
      <c r="A3" t="s">
        <v>18</v>
      </c>
      <c r="B3">
        <v>36807504.784699999</v>
      </c>
      <c r="C3">
        <v>28707586.735729925</v>
      </c>
      <c r="D3">
        <v>25094981.097817052</v>
      </c>
      <c r="E3">
        <v>23415979.973508015</v>
      </c>
      <c r="F3">
        <v>23844697.755604934</v>
      </c>
      <c r="G3">
        <v>24037890.604918037</v>
      </c>
      <c r="H3">
        <v>22376667.653792948</v>
      </c>
      <c r="I3">
        <v>19512637.518032964</v>
      </c>
      <c r="J3">
        <v>40825938.341499999</v>
      </c>
      <c r="K3">
        <v>30124827.691568166</v>
      </c>
      <c r="L3">
        <v>26333874.33273837</v>
      </c>
      <c r="M3">
        <v>24571983.999378979</v>
      </c>
      <c r="N3">
        <v>25021866.792832553</v>
      </c>
      <c r="O3">
        <v>25224597.219126333</v>
      </c>
      <c r="P3">
        <v>23481362.734785784</v>
      </c>
      <c r="Q3">
        <v>20475940.679025017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28687491.425014913</v>
      </c>
      <c r="E4">
        <v>25077414.611048579</v>
      </c>
      <c r="F4">
        <v>23399588.787526559</v>
      </c>
      <c r="G4">
        <v>23828006.467176009</v>
      </c>
      <c r="H4">
        <v>24021064.081494592</v>
      </c>
      <c r="I4">
        <v>22361003.98643529</v>
      </c>
      <c r="J4">
        <v>47969440.542000003</v>
      </c>
      <c r="K4">
        <v>40785112.403158501</v>
      </c>
      <c r="L4">
        <v>30094702.863876596</v>
      </c>
      <c r="M4">
        <v>26307540.458405633</v>
      </c>
      <c r="N4">
        <v>24547412.0153796</v>
      </c>
      <c r="O4">
        <v>24996844.926039722</v>
      </c>
      <c r="P4">
        <v>25199372.621907204</v>
      </c>
      <c r="Q4">
        <v>23457881.372050997</v>
      </c>
    </row>
    <row r="5" spans="1:17" x14ac:dyDescent="0.2">
      <c r="A5" t="s">
        <v>20</v>
      </c>
      <c r="B5">
        <v>39609554.795999996</v>
      </c>
      <c r="C5">
        <v>42154842.342018597</v>
      </c>
      <c r="D5">
        <v>36744957.791819356</v>
      </c>
      <c r="E5">
        <v>28658803.933589898</v>
      </c>
      <c r="F5">
        <v>25052337.19643753</v>
      </c>
      <c r="G5">
        <v>23376189.198739033</v>
      </c>
      <c r="H5">
        <v>23804178.460708834</v>
      </c>
      <c r="I5">
        <v>23997043.017413098</v>
      </c>
      <c r="J5">
        <v>45547501.173</v>
      </c>
      <c r="K5">
        <v>47907080.269295402</v>
      </c>
      <c r="L5">
        <v>40732091.757034399</v>
      </c>
      <c r="M5">
        <v>30055579.750153556</v>
      </c>
      <c r="N5">
        <v>26273340.655809704</v>
      </c>
      <c r="O5">
        <v>24515500.379759606</v>
      </c>
      <c r="P5">
        <v>24964349.027635872</v>
      </c>
      <c r="Q5">
        <v>25166613.437498726</v>
      </c>
    </row>
    <row r="6" spans="1:17" x14ac:dyDescent="0.2">
      <c r="A6" t="s">
        <v>21</v>
      </c>
      <c r="B6">
        <v>33590440.0436</v>
      </c>
      <c r="C6">
        <v>39562023.330244794</v>
      </c>
      <c r="D6">
        <v>42104256.531208172</v>
      </c>
      <c r="E6">
        <v>36700863.842469171</v>
      </c>
      <c r="F6">
        <v>28624413.368869592</v>
      </c>
      <c r="G6">
        <v>25022274.391801804</v>
      </c>
      <c r="H6">
        <v>23348137.771700546</v>
      </c>
      <c r="I6">
        <v>23775613.446555983</v>
      </c>
      <c r="J6">
        <v>38963520.311099999</v>
      </c>
      <c r="K6">
        <v>45442741.9203021</v>
      </c>
      <c r="L6">
        <v>47796893.984676026</v>
      </c>
      <c r="M6">
        <v>40638407.945993222</v>
      </c>
      <c r="N6">
        <v>29986451.916728206</v>
      </c>
      <c r="O6">
        <v>26212911.972301342</v>
      </c>
      <c r="P6">
        <v>24459114.728886161</v>
      </c>
      <c r="Q6">
        <v>24906931.02487231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39510592.699915476</v>
      </c>
      <c r="E7">
        <v>42049520.997717604</v>
      </c>
      <c r="F7">
        <v>36653152.719473965</v>
      </c>
      <c r="G7">
        <v>28587201.631490063</v>
      </c>
      <c r="H7">
        <v>24989745.435092464</v>
      </c>
      <c r="I7">
        <v>23317785.192597337</v>
      </c>
      <c r="J7">
        <v>39568869.813500002</v>
      </c>
      <c r="K7">
        <v>38858318.806260027</v>
      </c>
      <c r="L7">
        <v>45320046.517117284</v>
      </c>
      <c r="M7">
        <v>47667842.370917402</v>
      </c>
      <c r="N7">
        <v>40528684.244539037</v>
      </c>
      <c r="O7">
        <v>29905488.496553037</v>
      </c>
      <c r="P7">
        <v>26142137.109976128</v>
      </c>
      <c r="Q7">
        <v>24393075.119118169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39455277.870135598</v>
      </c>
      <c r="F8">
        <v>41990651.668320805</v>
      </c>
      <c r="G8">
        <v>36601838.3056667</v>
      </c>
      <c r="H8">
        <v>28547179.549205977</v>
      </c>
      <c r="I8">
        <v>24954759.791483335</v>
      </c>
      <c r="J8">
        <v>48003334.509000003</v>
      </c>
      <c r="K8">
        <v>39438292.543115452</v>
      </c>
      <c r="L8">
        <v>38730086.354199372</v>
      </c>
      <c r="M8">
        <v>45170490.363610797</v>
      </c>
      <c r="N8">
        <v>47510538.491093375</v>
      </c>
      <c r="O8">
        <v>40394939.586532056</v>
      </c>
      <c r="P8">
        <v>29806800.384514414</v>
      </c>
      <c r="Q8">
        <v>26055868.057513207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35103702.846527286</v>
      </c>
      <c r="E9">
        <v>33436157.356802005</v>
      </c>
      <c r="F9">
        <v>39380312.842182338</v>
      </c>
      <c r="G9">
        <v>41910869.430150993</v>
      </c>
      <c r="H9">
        <v>36532294.812885933</v>
      </c>
      <c r="I9">
        <v>28492939.908062484</v>
      </c>
      <c r="J9">
        <v>63590772.044800006</v>
      </c>
      <c r="K9">
        <v>47792119.837160408</v>
      </c>
      <c r="L9">
        <v>39264764.055925749</v>
      </c>
      <c r="M9">
        <v>38559673.974240899</v>
      </c>
      <c r="N9">
        <v>44971740.206010908</v>
      </c>
      <c r="O9">
        <v>47301492.121732563</v>
      </c>
      <c r="P9">
        <v>40217201.852351315</v>
      </c>
      <c r="Q9">
        <v>29675650.462822553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43423456.750421226</v>
      </c>
      <c r="E10">
        <v>35008922.84884166</v>
      </c>
      <c r="F10">
        <v>33345879.731938638</v>
      </c>
      <c r="G10">
        <v>39273985.997508444</v>
      </c>
      <c r="H10">
        <v>41797710.082689583</v>
      </c>
      <c r="I10">
        <v>36433657.616891138</v>
      </c>
      <c r="J10">
        <v>50580605.944700003</v>
      </c>
      <c r="K10">
        <v>63151995.717690885</v>
      </c>
      <c r="L10">
        <v>47462354.210284002</v>
      </c>
      <c r="M10">
        <v>38993837.183939859</v>
      </c>
      <c r="N10">
        <v>38293612.223818637</v>
      </c>
      <c r="O10">
        <v>44661435.198589429</v>
      </c>
      <c r="P10">
        <v>46975111.826092608</v>
      </c>
      <c r="Q10">
        <v>39939703.15957009</v>
      </c>
    </row>
    <row r="11" spans="1:17" x14ac:dyDescent="0.2">
      <c r="A11" t="s">
        <v>26</v>
      </c>
      <c r="B11">
        <v>45127748.665200002</v>
      </c>
      <c r="C11">
        <v>47744886.954190947</v>
      </c>
      <c r="D11">
        <v>59738448.980575085</v>
      </c>
      <c r="E11">
        <v>43236735.886394419</v>
      </c>
      <c r="F11">
        <v>34858384.48059164</v>
      </c>
      <c r="G11">
        <v>33202492.449091304</v>
      </c>
      <c r="H11">
        <v>39105107.857719161</v>
      </c>
      <c r="I11">
        <v>41617979.929334022</v>
      </c>
      <c r="J11">
        <v>47108734.365999997</v>
      </c>
      <c r="K11">
        <v>50024219.279308304</v>
      </c>
      <c r="L11">
        <v>62457323.764796287</v>
      </c>
      <c r="M11">
        <v>46940268.313970879</v>
      </c>
      <c r="N11">
        <v>38564904.974916518</v>
      </c>
      <c r="O11">
        <v>37872382.48935663</v>
      </c>
      <c r="P11">
        <v>44170159.411404945</v>
      </c>
      <c r="Q11">
        <v>46458385.596005589</v>
      </c>
    </row>
    <row r="12" spans="1:17" x14ac:dyDescent="0.2">
      <c r="A12" t="s">
        <v>27</v>
      </c>
      <c r="B12">
        <v>55640968.593000002</v>
      </c>
      <c r="C12">
        <v>44811854.424543604</v>
      </c>
      <c r="D12">
        <v>47410672.745511614</v>
      </c>
      <c r="E12">
        <v>59320279.837711059</v>
      </c>
      <c r="F12">
        <v>42934078.735189654</v>
      </c>
      <c r="G12">
        <v>34614375.789227501</v>
      </c>
      <c r="H12">
        <v>32970075.001947664</v>
      </c>
      <c r="I12">
        <v>38831372.102715127</v>
      </c>
      <c r="J12">
        <v>57214065.6752</v>
      </c>
      <c r="K12">
        <v>46317307.628651194</v>
      </c>
      <c r="L12">
        <v>49183812.395415924</v>
      </c>
      <c r="M12">
        <v>61408040.725547709</v>
      </c>
      <c r="N12">
        <v>46151671.80629617</v>
      </c>
      <c r="O12">
        <v>37917014.571337916</v>
      </c>
      <c r="P12">
        <v>37236126.463535435</v>
      </c>
      <c r="Q12">
        <v>43428100.73329334</v>
      </c>
    </row>
    <row r="13" spans="1:17" x14ac:dyDescent="0.2">
      <c r="A13" t="s">
        <v>28</v>
      </c>
      <c r="B13">
        <v>59368149.501000002</v>
      </c>
      <c r="C13">
        <v>55001097.454180501</v>
      </c>
      <c r="D13">
        <v>44296518.098661356</v>
      </c>
      <c r="E13">
        <v>46865450.008938231</v>
      </c>
      <c r="F13">
        <v>58638096.619577385</v>
      </c>
      <c r="G13">
        <v>42440336.829734974</v>
      </c>
      <c r="H13">
        <v>34216310.46765139</v>
      </c>
      <c r="I13">
        <v>32590919.139425267</v>
      </c>
      <c r="J13">
        <v>59528948.873999998</v>
      </c>
      <c r="K13">
        <v>55737942.780779839</v>
      </c>
      <c r="L13">
        <v>45122321.09183199</v>
      </c>
      <c r="M13">
        <v>47914870.035614192</v>
      </c>
      <c r="N13">
        <v>59823713.274828576</v>
      </c>
      <c r="O13">
        <v>44960958.673693724</v>
      </c>
      <c r="P13">
        <v>36938755.595397398</v>
      </c>
      <c r="Q13">
        <v>36275434.400776222</v>
      </c>
    </row>
    <row r="14" spans="1:17" x14ac:dyDescent="0.2">
      <c r="A14" t="s">
        <v>29</v>
      </c>
      <c r="B14">
        <v>49694468.223999999</v>
      </c>
      <c r="C14">
        <v>58323270.069782406</v>
      </c>
      <c r="D14">
        <v>54033078.13898693</v>
      </c>
      <c r="E14">
        <v>43516899.380124919</v>
      </c>
      <c r="F14">
        <v>46040618.088780917</v>
      </c>
      <c r="G14">
        <v>57606066.119072825</v>
      </c>
      <c r="H14">
        <v>41693386.901531637</v>
      </c>
      <c r="I14">
        <v>33614103.403420724</v>
      </c>
      <c r="J14">
        <v>48768140.152199998</v>
      </c>
      <c r="K14">
        <v>57129932.234377801</v>
      </c>
      <c r="L14">
        <v>53491703.686714411</v>
      </c>
      <c r="M14">
        <v>43303891.551831163</v>
      </c>
      <c r="N14">
        <v>45983900.773178943</v>
      </c>
      <c r="O14">
        <v>57412817.62985298</v>
      </c>
      <c r="P14">
        <v>43149032.039143868</v>
      </c>
      <c r="Q14">
        <v>35450123.744902879</v>
      </c>
    </row>
    <row r="15" spans="1:17" x14ac:dyDescent="0.2">
      <c r="A15" t="s">
        <v>30</v>
      </c>
      <c r="B15">
        <v>35463923.966899998</v>
      </c>
      <c r="C15">
        <v>48268236.985971205</v>
      </c>
      <c r="D15">
        <v>56649392.218779653</v>
      </c>
      <c r="E15">
        <v>52482328.796398006</v>
      </c>
      <c r="F15">
        <v>42267964.36791534</v>
      </c>
      <c r="G15">
        <v>44719252.349632904</v>
      </c>
      <c r="H15">
        <v>55952772.021455437</v>
      </c>
      <c r="I15">
        <v>40496786.697457679</v>
      </c>
      <c r="J15">
        <v>34585115.25</v>
      </c>
      <c r="K15">
        <v>45744515.462763593</v>
      </c>
      <c r="L15">
        <v>53587876.435846373</v>
      </c>
      <c r="M15">
        <v>50175218.058138117</v>
      </c>
      <c r="N15">
        <v>40619050.275617629</v>
      </c>
      <c r="O15">
        <v>43132898.925241843</v>
      </c>
      <c r="P15">
        <v>53853222.936802089</v>
      </c>
      <c r="Q15">
        <v>40473792.052716948</v>
      </c>
    </row>
    <row r="16" spans="1:17" x14ac:dyDescent="0.2">
      <c r="A16" t="s">
        <v>31</v>
      </c>
      <c r="B16">
        <v>35780488.386299998</v>
      </c>
      <c r="C16">
        <v>33687181.376158305</v>
      </c>
      <c r="D16">
        <v>45849998.312974043</v>
      </c>
      <c r="E16">
        <v>53811257.668618791</v>
      </c>
      <c r="F16">
        <v>49852964.123698466</v>
      </c>
      <c r="G16">
        <v>40150339.353082784</v>
      </c>
      <c r="H16">
        <v>42478817.806916296</v>
      </c>
      <c r="I16">
        <v>53149538.143180519</v>
      </c>
      <c r="J16">
        <v>32871285.145799998</v>
      </c>
      <c r="K16">
        <v>31285695.255149998</v>
      </c>
      <c r="L16">
        <v>41380488.687615946</v>
      </c>
      <c r="M16">
        <v>48475593.023866624</v>
      </c>
      <c r="N16">
        <v>45388502.255391739</v>
      </c>
      <c r="O16">
        <v>36743992.879323706</v>
      </c>
      <c r="P16">
        <v>39018020.367773771</v>
      </c>
      <c r="Q16">
        <v>48715625.468631171</v>
      </c>
    </row>
    <row r="17" spans="1:17" x14ac:dyDescent="0.2">
      <c r="A17" t="s">
        <v>32</v>
      </c>
      <c r="B17">
        <v>23077820.202799998</v>
      </c>
      <c r="C17">
        <v>32474371.259405877</v>
      </c>
      <c r="D17">
        <v>30574485.817001276</v>
      </c>
      <c r="E17">
        <v>41613458.468855239</v>
      </c>
      <c r="F17">
        <v>48839097.460038416</v>
      </c>
      <c r="G17">
        <v>45246550.238668725</v>
      </c>
      <c r="H17">
        <v>36440447.996857934</v>
      </c>
      <c r="I17">
        <v>38553775.04155723</v>
      </c>
      <c r="J17">
        <v>20429590.751499999</v>
      </c>
      <c r="K17">
        <v>27792671.590773899</v>
      </c>
      <c r="L17">
        <v>26452055.338229325</v>
      </c>
      <c r="M17">
        <v>34987203.185379282</v>
      </c>
      <c r="N17">
        <v>40986113.901679233</v>
      </c>
      <c r="O17">
        <v>38375978.656933717</v>
      </c>
      <c r="P17">
        <v>31067045.979468193</v>
      </c>
      <c r="Q17">
        <v>32989736.220952723</v>
      </c>
    </row>
    <row r="18" spans="1:17" x14ac:dyDescent="0.2">
      <c r="A18" t="s">
        <v>33</v>
      </c>
      <c r="B18">
        <v>13715049.4704</v>
      </c>
      <c r="C18">
        <v>19198438.62670932</v>
      </c>
      <c r="D18">
        <v>27015429.45069975</v>
      </c>
      <c r="E18">
        <v>25434914.75116336</v>
      </c>
      <c r="F18">
        <v>34618236.10024067</v>
      </c>
      <c r="G18">
        <v>40629245.177005954</v>
      </c>
      <c r="H18">
        <v>37640605.143548511</v>
      </c>
      <c r="I18">
        <v>30314808.688586116</v>
      </c>
      <c r="J18">
        <v>11083502.912899999</v>
      </c>
      <c r="K18">
        <v>15348751.531601949</v>
      </c>
      <c r="L18">
        <v>20880634.166148428</v>
      </c>
      <c r="M18">
        <v>19873429.17561169</v>
      </c>
      <c r="N18">
        <v>26285885.753175452</v>
      </c>
      <c r="O18">
        <v>30792867.374331605</v>
      </c>
      <c r="P18">
        <v>28831872.764954302</v>
      </c>
      <c r="Q18">
        <v>23340671.644374453</v>
      </c>
    </row>
    <row r="19" spans="1:17" x14ac:dyDescent="0.2">
      <c r="A19" t="s">
        <v>34</v>
      </c>
      <c r="B19">
        <v>7876073.9000000004</v>
      </c>
      <c r="C19">
        <v>9622478.7084326409</v>
      </c>
      <c r="D19">
        <v>13469624.540499259</v>
      </c>
      <c r="E19">
        <v>18954025.302610945</v>
      </c>
      <c r="F19">
        <v>17845136.189416215</v>
      </c>
      <c r="G19">
        <v>24288154.447928853</v>
      </c>
      <c r="H19">
        <v>28505478.416187376</v>
      </c>
      <c r="I19">
        <v>26408648.568713635</v>
      </c>
      <c r="J19">
        <v>5560132.2215999998</v>
      </c>
      <c r="K19">
        <v>6729902.9687128793</v>
      </c>
      <c r="L19">
        <v>9319761.9299887028</v>
      </c>
      <c r="M19">
        <v>12678721.065685324</v>
      </c>
      <c r="N19">
        <v>12067146.195431417</v>
      </c>
      <c r="O19">
        <v>15960789.829328133</v>
      </c>
      <c r="P19">
        <v>18697429.06969415</v>
      </c>
      <c r="Q19">
        <v>17506713.14288025</v>
      </c>
    </row>
    <row r="20" spans="1:17" x14ac:dyDescent="0.2">
      <c r="A20" t="s">
        <v>35</v>
      </c>
      <c r="B20">
        <v>3358310.3433000003</v>
      </c>
      <c r="C20">
        <v>4132575.9753300007</v>
      </c>
      <c r="D20">
        <v>5048914.578314607</v>
      </c>
      <c r="E20">
        <v>7067511.9963999614</v>
      </c>
      <c r="F20">
        <v>9945177.0762799643</v>
      </c>
      <c r="G20">
        <v>9363342.9585866891</v>
      </c>
      <c r="H20">
        <v>12743994.63882827</v>
      </c>
      <c r="I20">
        <v>14956824.524973517</v>
      </c>
      <c r="J20">
        <v>1951463.5219000001</v>
      </c>
      <c r="K20">
        <v>2451462.29650344</v>
      </c>
      <c r="L20">
        <v>2967214.2189055085</v>
      </c>
      <c r="M20">
        <v>4109083.0349320192</v>
      </c>
      <c r="N20">
        <v>5590048.11786066</v>
      </c>
      <c r="O20">
        <v>5320404.7575657116</v>
      </c>
      <c r="P20">
        <v>7037112.2357507739</v>
      </c>
      <c r="Q20">
        <v>8243696.4768281514</v>
      </c>
    </row>
    <row r="21" spans="1:17" x14ac:dyDescent="0.2">
      <c r="A21" t="s">
        <v>36</v>
      </c>
      <c r="B21">
        <v>735819.91</v>
      </c>
      <c r="C21">
        <v>1081375.9305426001</v>
      </c>
      <c r="D21">
        <v>1330689.4640562602</v>
      </c>
      <c r="E21">
        <v>1625750.4942173036</v>
      </c>
      <c r="F21">
        <v>2275738.8628407875</v>
      </c>
      <c r="G21">
        <v>3202347.0185621488</v>
      </c>
      <c r="H21">
        <v>3014996.4326649141</v>
      </c>
      <c r="I21">
        <v>4103566.273702703</v>
      </c>
      <c r="J21">
        <v>385387.98920000001</v>
      </c>
      <c r="K21">
        <v>549922.42047142005</v>
      </c>
      <c r="L21">
        <v>690822.07515466935</v>
      </c>
      <c r="M21">
        <v>836160.96688757231</v>
      </c>
      <c r="N21">
        <v>1157939.599243843</v>
      </c>
      <c r="O21">
        <v>1575275.559613134</v>
      </c>
      <c r="P21">
        <v>1499290.0606820176</v>
      </c>
      <c r="Q21">
        <v>1983058.228034568</v>
      </c>
    </row>
    <row r="22" spans="1:17" x14ac:dyDescent="0.2">
      <c r="A22" t="s">
        <v>37</v>
      </c>
      <c r="B22">
        <v>118719.2905</v>
      </c>
      <c r="C22">
        <v>159305.010515</v>
      </c>
      <c r="D22">
        <v>234117.88896247293</v>
      </c>
      <c r="E22">
        <v>288094.26896818035</v>
      </c>
      <c r="F22">
        <v>351974.98199804622</v>
      </c>
      <c r="G22">
        <v>492697.46380503051</v>
      </c>
      <c r="H22">
        <v>693308.12951870519</v>
      </c>
      <c r="I22">
        <v>652746.72767195385</v>
      </c>
      <c r="J22">
        <v>61484.557500000003</v>
      </c>
      <c r="K22">
        <v>87290.379553800012</v>
      </c>
      <c r="L22">
        <v>124557.42823677664</v>
      </c>
      <c r="M22">
        <v>156471.2000225326</v>
      </c>
      <c r="N22">
        <v>189390.45900003513</v>
      </c>
      <c r="O22">
        <v>262273.31922873046</v>
      </c>
      <c r="P22">
        <v>356799.91425237485</v>
      </c>
      <c r="Q22">
        <v>339589.19874447701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1847-F83D-4EDA-AA7C-3E633B11A3E5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19269554.26416178</v>
      </c>
      <c r="D2">
        <v>15943194.395996716</v>
      </c>
      <c r="E2">
        <v>14650386.376601567</v>
      </c>
      <c r="F2">
        <v>15834229.673739247</v>
      </c>
      <c r="G2">
        <v>16017106.871722907</v>
      </c>
      <c r="H2">
        <v>14392125.744994078</v>
      </c>
      <c r="I2">
        <v>11501712.0568881</v>
      </c>
      <c r="J2">
        <v>30230634.913766347</v>
      </c>
      <c r="K2">
        <v>20233031.977369867</v>
      </c>
      <c r="L2">
        <v>16740354.115796551</v>
      </c>
      <c r="M2">
        <v>15382905.695431648</v>
      </c>
      <c r="N2">
        <v>16625941.157426208</v>
      </c>
      <c r="O2">
        <v>16817962.215309054</v>
      </c>
      <c r="P2">
        <v>15111732.032243781</v>
      </c>
      <c r="Q2">
        <v>12076797.659732506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19217526.467648543</v>
      </c>
      <c r="E3">
        <v>15901742.090567123</v>
      </c>
      <c r="F3">
        <v>14613760.410660064</v>
      </c>
      <c r="G3">
        <v>15796227.522522274</v>
      </c>
      <c r="H3">
        <v>15980267.525917945</v>
      </c>
      <c r="I3">
        <v>14360463.068355091</v>
      </c>
      <c r="J3">
        <v>40825938.341499999</v>
      </c>
      <c r="K3">
        <v>30130873.818550918</v>
      </c>
      <c r="L3">
        <v>20168286.275042284</v>
      </c>
      <c r="M3">
        <v>16690133.053449161</v>
      </c>
      <c r="N3">
        <v>15338295.268914895</v>
      </c>
      <c r="O3">
        <v>16579388.522185415</v>
      </c>
      <c r="P3">
        <v>16774235.51354925</v>
      </c>
      <c r="Q3">
        <v>15073952.702163173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19207917.704414722</v>
      </c>
      <c r="F4">
        <v>15895381.393730897</v>
      </c>
      <c r="G4">
        <v>14609376.282536866</v>
      </c>
      <c r="H4">
        <v>15791488.654265517</v>
      </c>
      <c r="I4">
        <v>15975473.44566017</v>
      </c>
      <c r="J4">
        <v>47969440.542000003</v>
      </c>
      <c r="K4">
        <v>40793277.590826802</v>
      </c>
      <c r="L4">
        <v>30109782.206877932</v>
      </c>
      <c r="M4">
        <v>20156185.303277258</v>
      </c>
      <c r="N4">
        <v>16681787.986922437</v>
      </c>
      <c r="O4">
        <v>15332159.950807329</v>
      </c>
      <c r="P4">
        <v>16572756.766776541</v>
      </c>
      <c r="Q4">
        <v>16769203.242895186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19200234.537332956</v>
      </c>
      <c r="G5">
        <v>15890612.779312778</v>
      </c>
      <c r="H5">
        <v>14604993.469652105</v>
      </c>
      <c r="I5">
        <v>15788330.356534665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20146107.210625619</v>
      </c>
      <c r="O5">
        <v>16675115.27172767</v>
      </c>
      <c r="P5">
        <v>15327560.302822087</v>
      </c>
      <c r="Q5">
        <v>16569442.215423185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19188714.396610554</v>
      </c>
      <c r="H6">
        <v>15882667.472923122</v>
      </c>
      <c r="I6">
        <v>14597690.972917279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20121931.881972868</v>
      </c>
      <c r="P6">
        <v>16656772.64492877</v>
      </c>
      <c r="Q6">
        <v>15312232.742519265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19171444.553653605</v>
      </c>
      <c r="I7">
        <v>15869961.338944783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20073639.245456133</v>
      </c>
      <c r="Q7">
        <v>16616796.390580941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19148438.820189223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20023455.147342496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52BC-BBF9-4551-9DBA-3D06E281562E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24265336.046333991</v>
      </c>
      <c r="D2">
        <v>23279490.782747276</v>
      </c>
      <c r="E2">
        <v>23727650.831700809</v>
      </c>
      <c r="F2">
        <v>25218360.970067129</v>
      </c>
      <c r="G2">
        <v>25274785.808634564</v>
      </c>
      <c r="H2">
        <v>22843471.423456695</v>
      </c>
      <c r="I2">
        <v>19533570.334419992</v>
      </c>
      <c r="J2">
        <v>30230634.913766347</v>
      </c>
      <c r="K2">
        <v>25478602.848650694</v>
      </c>
      <c r="L2">
        <v>24443465.32188464</v>
      </c>
      <c r="M2">
        <v>24914033.373285852</v>
      </c>
      <c r="N2">
        <v>26479279.018570483</v>
      </c>
      <c r="O2">
        <v>26538525.099066295</v>
      </c>
      <c r="P2">
        <v>23985644.994629528</v>
      </c>
      <c r="Q2">
        <v>20510248.851140995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24199819.639008887</v>
      </c>
      <c r="E3">
        <v>23218964.106712133</v>
      </c>
      <c r="F3">
        <v>23668331.704621557</v>
      </c>
      <c r="G3">
        <v>25157836.903738968</v>
      </c>
      <c r="H3">
        <v>25216653.801274706</v>
      </c>
      <c r="I3">
        <v>22793215.78632509</v>
      </c>
      <c r="J3">
        <v>40825938.341499999</v>
      </c>
      <c r="K3">
        <v>30130873.818550918</v>
      </c>
      <c r="L3">
        <v>25397071.319535013</v>
      </c>
      <c r="M3">
        <v>24370134.925918985</v>
      </c>
      <c r="N3">
        <v>24841782.676503323</v>
      </c>
      <c r="O3">
        <v>26405137.037318483</v>
      </c>
      <c r="P3">
        <v>26469524.933808722</v>
      </c>
      <c r="Q3">
        <v>23925680.882142957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24187719.729189385</v>
      </c>
      <c r="F4">
        <v>23209676.521069448</v>
      </c>
      <c r="G4">
        <v>23661231.20511017</v>
      </c>
      <c r="H4">
        <v>25150289.552667849</v>
      </c>
      <c r="I4">
        <v>25209088.805134322</v>
      </c>
      <c r="J4">
        <v>47969440.542000003</v>
      </c>
      <c r="K4">
        <v>40793277.590826802</v>
      </c>
      <c r="L4">
        <v>30109782.206877932</v>
      </c>
      <c r="M4">
        <v>25381833.07674329</v>
      </c>
      <c r="N4">
        <v>24357949.858456027</v>
      </c>
      <c r="O4">
        <v>24831845.963432722</v>
      </c>
      <c r="P4">
        <v>26394574.982503556</v>
      </c>
      <c r="Q4">
        <v>26461584.076328579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24178044.641297709</v>
      </c>
      <c r="G5">
        <v>23202713.618113127</v>
      </c>
      <c r="H5">
        <v>23654132.835748639</v>
      </c>
      <c r="I5">
        <v>25145259.494757317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25369142.160204921</v>
      </c>
      <c r="O5">
        <v>24348206.678512644</v>
      </c>
      <c r="P5">
        <v>24824396.409643691</v>
      </c>
      <c r="Q5">
        <v>26389296.067507055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24163537.814512931</v>
      </c>
      <c r="H6">
        <v>23191112.261304073</v>
      </c>
      <c r="I6">
        <v>23642305.769330766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25338699.189612675</v>
      </c>
      <c r="P6">
        <v>24321423.651166279</v>
      </c>
      <c r="Q6">
        <v>24799572.013234049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24141790.630479869</v>
      </c>
      <c r="I7">
        <v>23172559.371495031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25277886.311557606</v>
      </c>
      <c r="Q7">
        <v>24263052.23440348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24112820.481723294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25214691.595778715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9802-2C48-45D6-9F96-73D86F14480D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29273063.142052829</v>
      </c>
      <c r="D2">
        <v>30704295.775129024</v>
      </c>
      <c r="E2">
        <v>32824225.030206315</v>
      </c>
      <c r="F2">
        <v>34246877.443021044</v>
      </c>
      <c r="G2">
        <v>34440826.105345264</v>
      </c>
      <c r="H2">
        <v>32233355.40824496</v>
      </c>
      <c r="I2">
        <v>29429197.681708436</v>
      </c>
      <c r="J2">
        <v>30230634.913766347</v>
      </c>
      <c r="K2">
        <v>30736716.299155474</v>
      </c>
      <c r="L2">
        <v>32239510.563885476</v>
      </c>
      <c r="M2">
        <v>34465436.281716637</v>
      </c>
      <c r="N2">
        <v>35959221.315172091</v>
      </c>
      <c r="O2">
        <v>36162867.410612524</v>
      </c>
      <c r="P2">
        <v>33845023.178657211</v>
      </c>
      <c r="Q2">
        <v>30900657.565793861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29194025.871569287</v>
      </c>
      <c r="E3">
        <v>30624464.606113687</v>
      </c>
      <c r="F3">
        <v>32742164.4676308</v>
      </c>
      <c r="G3">
        <v>34164684.937157795</v>
      </c>
      <c r="H3">
        <v>34361612.205302969</v>
      </c>
      <c r="I3">
        <v>32162442.026346821</v>
      </c>
      <c r="J3">
        <v>40825938.341499999</v>
      </c>
      <c r="K3">
        <v>30130873.818550918</v>
      </c>
      <c r="L3">
        <v>30638358.806998178</v>
      </c>
      <c r="M3">
        <v>32142792.032193821</v>
      </c>
      <c r="N3">
        <v>34365486.516499661</v>
      </c>
      <c r="O3">
        <v>35858535.495489605</v>
      </c>
      <c r="P3">
        <v>36068843.95534493</v>
      </c>
      <c r="Q3">
        <v>33760410.620710567</v>
      </c>
    </row>
    <row r="4" spans="1:17" x14ac:dyDescent="0.2">
      <c r="A4" t="s">
        <v>19</v>
      </c>
      <c r="B4">
        <v>42197039.381399997</v>
      </c>
      <c r="C4">
        <v>36785420.281829178</v>
      </c>
      <c r="D4">
        <v>28696110.610895041</v>
      </c>
      <c r="E4">
        <v>29179428.858633503</v>
      </c>
      <c r="F4">
        <v>30612214.820271242</v>
      </c>
      <c r="G4">
        <v>32732341.818290513</v>
      </c>
      <c r="H4">
        <v>34154435.53167665</v>
      </c>
      <c r="I4">
        <v>34351303.721641377</v>
      </c>
      <c r="J4">
        <v>47969440.542000003</v>
      </c>
      <c r="K4">
        <v>40793277.590826802</v>
      </c>
      <c r="L4">
        <v>30109782.206877932</v>
      </c>
      <c r="M4">
        <v>30619975.791713979</v>
      </c>
      <c r="N4">
        <v>32126720.636177726</v>
      </c>
      <c r="O4">
        <v>34351740.321893066</v>
      </c>
      <c r="P4">
        <v>35844192.081291407</v>
      </c>
      <c r="Q4">
        <v>36058023.302158326</v>
      </c>
    </row>
    <row r="5" spans="1:17" x14ac:dyDescent="0.2">
      <c r="A5" t="s">
        <v>20</v>
      </c>
      <c r="B5">
        <v>39609554.795999996</v>
      </c>
      <c r="C5">
        <v>42163281.749894872</v>
      </c>
      <c r="D5">
        <v>36763349.029660076</v>
      </c>
      <c r="E5">
        <v>28681762.555589594</v>
      </c>
      <c r="F5">
        <v>29167757.087090053</v>
      </c>
      <c r="G5">
        <v>30603031.15582516</v>
      </c>
      <c r="H5">
        <v>32722522.115745027</v>
      </c>
      <c r="I5">
        <v>34147604.644570313</v>
      </c>
      <c r="J5">
        <v>45547501.173</v>
      </c>
      <c r="K5">
        <v>47921471.101458006</v>
      </c>
      <c r="L5">
        <v>40760642.968754143</v>
      </c>
      <c r="M5">
        <v>30091716.337553803</v>
      </c>
      <c r="N5">
        <v>30604665.803818125</v>
      </c>
      <c r="O5">
        <v>32113869.947923258</v>
      </c>
      <c r="P5">
        <v>34341434.799796499</v>
      </c>
      <c r="Q5">
        <v>35837023.242875151</v>
      </c>
    </row>
    <row r="6" spans="1:17" x14ac:dyDescent="0.2">
      <c r="A6" t="s">
        <v>21</v>
      </c>
      <c r="B6">
        <v>33590440.0436</v>
      </c>
      <c r="C6">
        <v>39569945.241203994</v>
      </c>
      <c r="D6">
        <v>42125334.796319969</v>
      </c>
      <c r="E6">
        <v>36733938.350436345</v>
      </c>
      <c r="F6">
        <v>28661685.321800679</v>
      </c>
      <c r="G6">
        <v>29150256.432837795</v>
      </c>
      <c r="H6">
        <v>30587729.640247248</v>
      </c>
      <c r="I6">
        <v>32706160.854687154</v>
      </c>
      <c r="J6">
        <v>38963520.311099999</v>
      </c>
      <c r="K6">
        <v>45456406.170653999</v>
      </c>
      <c r="L6">
        <v>47835212.453475378</v>
      </c>
      <c r="M6">
        <v>40695425.940004133</v>
      </c>
      <c r="N6">
        <v>30049587.934681229</v>
      </c>
      <c r="O6">
        <v>30567940.204853546</v>
      </c>
      <c r="P6">
        <v>32078544.690980542</v>
      </c>
      <c r="Q6">
        <v>34307093.364996701</v>
      </c>
    </row>
    <row r="7" spans="1:17" x14ac:dyDescent="0.2">
      <c r="A7" t="s">
        <v>22</v>
      </c>
      <c r="B7">
        <v>35219834.616000004</v>
      </c>
      <c r="C7">
        <v>33550131.515547682</v>
      </c>
      <c r="D7">
        <v>39526418.301438667</v>
      </c>
      <c r="E7">
        <v>42078996.928044021</v>
      </c>
      <c r="F7">
        <v>36697204.412085906</v>
      </c>
      <c r="G7">
        <v>28635889.805011056</v>
      </c>
      <c r="H7">
        <v>29124021.202048242</v>
      </c>
      <c r="I7">
        <v>30563259.456535049</v>
      </c>
      <c r="J7">
        <v>39568869.813500002</v>
      </c>
      <c r="K7">
        <v>38862215.158291139</v>
      </c>
      <c r="L7">
        <v>45338219.514610298</v>
      </c>
      <c r="M7">
        <v>47715624.422341689</v>
      </c>
      <c r="N7">
        <v>40593687.375154123</v>
      </c>
      <c r="O7">
        <v>29974463.964844529</v>
      </c>
      <c r="P7">
        <v>30494577.148361899</v>
      </c>
      <c r="Q7">
        <v>32001556.183722191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33506516.344577469</v>
      </c>
      <c r="E8">
        <v>39475033.957646795</v>
      </c>
      <c r="F8">
        <v>42024294.232037567</v>
      </c>
      <c r="G8">
        <v>36649498.046350196</v>
      </c>
      <c r="H8">
        <v>28598663.148264542</v>
      </c>
      <c r="I8">
        <v>29089072.376605786</v>
      </c>
      <c r="J8">
        <v>48003334.509000003</v>
      </c>
      <c r="K8">
        <v>39442249.430096805</v>
      </c>
      <c r="L8">
        <v>38745628.512816265</v>
      </c>
      <c r="M8">
        <v>45206738.678017929</v>
      </c>
      <c r="N8">
        <v>47582020.673959129</v>
      </c>
      <c r="O8">
        <v>40484084.419241205</v>
      </c>
      <c r="P8">
        <v>29896530.358535931</v>
      </c>
      <c r="Q8">
        <v>30418340.705490995</v>
      </c>
    </row>
    <row r="9" spans="1:17" x14ac:dyDescent="0.2">
      <c r="A9" t="s">
        <v>24</v>
      </c>
      <c r="B9">
        <v>60158862.574199997</v>
      </c>
      <c r="C9">
        <v>43545379.887956239</v>
      </c>
      <c r="D9">
        <v>35107219.89921204</v>
      </c>
      <c r="E9">
        <v>33449555.266791686</v>
      </c>
      <c r="F9">
        <v>39407926.399918795</v>
      </c>
      <c r="G9">
        <v>41952852.931843102</v>
      </c>
      <c r="H9">
        <v>36590858.849476032</v>
      </c>
      <c r="I9">
        <v>28552905.287227318</v>
      </c>
      <c r="J9">
        <v>63590772.044800006</v>
      </c>
      <c r="K9">
        <v>47806520.837513104</v>
      </c>
      <c r="L9">
        <v>39292368.882262439</v>
      </c>
      <c r="M9">
        <v>38610018.813021414</v>
      </c>
      <c r="N9">
        <v>45062077.114248276</v>
      </c>
      <c r="O9">
        <v>47439274.611937255</v>
      </c>
      <c r="P9">
        <v>40374777.391309254</v>
      </c>
      <c r="Q9">
        <v>29821789.032639593</v>
      </c>
    </row>
    <row r="10" spans="1:17" x14ac:dyDescent="0.2">
      <c r="A10" t="s">
        <v>25</v>
      </c>
      <c r="B10">
        <v>47951076.583499998</v>
      </c>
      <c r="C10">
        <v>60002449.531507075</v>
      </c>
      <c r="D10">
        <v>43436516.438236348</v>
      </c>
      <c r="E10">
        <v>35019451.849464014</v>
      </c>
      <c r="F10">
        <v>33369276.334151387</v>
      </c>
      <c r="G10">
        <v>39317288.169198982</v>
      </c>
      <c r="H10">
        <v>41856361.370099865</v>
      </c>
      <c r="I10">
        <v>36510358.960007183</v>
      </c>
      <c r="J10">
        <v>50580605.944700003</v>
      </c>
      <c r="K10">
        <v>63202868.335326724</v>
      </c>
      <c r="L10">
        <v>47553146.277074285</v>
      </c>
      <c r="M10">
        <v>39107694.748515807</v>
      </c>
      <c r="N10">
        <v>38451717.735888027</v>
      </c>
      <c r="O10">
        <v>44899853.63663698</v>
      </c>
      <c r="P10">
        <v>47287468.933179058</v>
      </c>
      <c r="Q10">
        <v>40261728.014613584</v>
      </c>
    </row>
    <row r="11" spans="1:17" x14ac:dyDescent="0.2">
      <c r="A11" t="s">
        <v>26</v>
      </c>
      <c r="B11">
        <v>45127748.665200002</v>
      </c>
      <c r="C11">
        <v>47754477.169507645</v>
      </c>
      <c r="D11">
        <v>59762439.733381048</v>
      </c>
      <c r="E11">
        <v>43271457.67577105</v>
      </c>
      <c r="F11">
        <v>34889879.877620995</v>
      </c>
      <c r="G11">
        <v>33249146.939348441</v>
      </c>
      <c r="H11">
        <v>39183609.389423706</v>
      </c>
      <c r="I11">
        <v>41718235.377578534</v>
      </c>
      <c r="J11">
        <v>47108734.365999997</v>
      </c>
      <c r="K11">
        <v>50095032.127630882</v>
      </c>
      <c r="L11">
        <v>62678284.52814351</v>
      </c>
      <c r="M11">
        <v>47210763.623879351</v>
      </c>
      <c r="N11">
        <v>38861316.271600157</v>
      </c>
      <c r="O11">
        <v>38240233.288340643</v>
      </c>
      <c r="P11">
        <v>44684334.339181118</v>
      </c>
      <c r="Q11">
        <v>47093590.310553022</v>
      </c>
    </row>
    <row r="12" spans="1:17" x14ac:dyDescent="0.2">
      <c r="A12" t="s">
        <v>27</v>
      </c>
      <c r="B12">
        <v>55640968.593000002</v>
      </c>
      <c r="C12">
        <v>44829905.524009682</v>
      </c>
      <c r="D12">
        <v>47453623.963339746</v>
      </c>
      <c r="E12">
        <v>59403865.094980761</v>
      </c>
      <c r="F12">
        <v>43024810.367019154</v>
      </c>
      <c r="G12">
        <v>34701474.526281841</v>
      </c>
      <c r="H12">
        <v>33079576.289957765</v>
      </c>
      <c r="I12">
        <v>38991609.703415528</v>
      </c>
      <c r="J12">
        <v>57214065.6752</v>
      </c>
      <c r="K12">
        <v>46416235.970819794</v>
      </c>
      <c r="L12">
        <v>49448806.213184446</v>
      </c>
      <c r="M12">
        <v>61970019.91297549</v>
      </c>
      <c r="N12">
        <v>46743377.064002946</v>
      </c>
      <c r="O12">
        <v>38523222.820037231</v>
      </c>
      <c r="P12">
        <v>37949607.515349254</v>
      </c>
      <c r="Q12">
        <v>44384949.299108602</v>
      </c>
    </row>
    <row r="13" spans="1:17" x14ac:dyDescent="0.2">
      <c r="A13" t="s">
        <v>28</v>
      </c>
      <c r="B13">
        <v>59368149.501000002</v>
      </c>
      <c r="C13">
        <v>55045610.229054898</v>
      </c>
      <c r="D13">
        <v>44381606.468769588</v>
      </c>
      <c r="E13">
        <v>47012305.260480687</v>
      </c>
      <c r="F13">
        <v>58887051.468654424</v>
      </c>
      <c r="G13">
        <v>42676309.403046302</v>
      </c>
      <c r="H13">
        <v>34437743.319882095</v>
      </c>
      <c r="I13">
        <v>32844711.298299067</v>
      </c>
      <c r="J13">
        <v>59528948.873999998</v>
      </c>
      <c r="K13">
        <v>55903863.571237922</v>
      </c>
      <c r="L13">
        <v>45473986.38061215</v>
      </c>
      <c r="M13">
        <v>48558727.701347128</v>
      </c>
      <c r="N13">
        <v>60978499.594367884</v>
      </c>
      <c r="O13">
        <v>46079621.109694101</v>
      </c>
      <c r="P13">
        <v>38037830.212504767</v>
      </c>
      <c r="Q13">
        <v>37524571.911177345</v>
      </c>
    </row>
    <row r="14" spans="1:17" x14ac:dyDescent="0.2">
      <c r="A14" t="s">
        <v>29</v>
      </c>
      <c r="B14">
        <v>49694468.223999999</v>
      </c>
      <c r="C14">
        <v>58412322.2940339</v>
      </c>
      <c r="D14">
        <v>54236439.758687787</v>
      </c>
      <c r="E14">
        <v>43786892.942088075</v>
      </c>
      <c r="F14">
        <v>46438755.136302821</v>
      </c>
      <c r="G14">
        <v>58233405.197352357</v>
      </c>
      <c r="H14">
        <v>42241011.047135234</v>
      </c>
      <c r="I14">
        <v>34117472.307007194</v>
      </c>
      <c r="J14">
        <v>48768140.152199998</v>
      </c>
      <c r="K14">
        <v>57385906.714535996</v>
      </c>
      <c r="L14">
        <v>54103759.164244063</v>
      </c>
      <c r="M14">
        <v>44164335.572850518</v>
      </c>
      <c r="N14">
        <v>47310768.399422511</v>
      </c>
      <c r="O14">
        <v>59575994.103697419</v>
      </c>
      <c r="P14">
        <v>45134988.876945376</v>
      </c>
      <c r="Q14">
        <v>37341737.919615932</v>
      </c>
    </row>
    <row r="15" spans="1:17" x14ac:dyDescent="0.2">
      <c r="A15" t="s">
        <v>30</v>
      </c>
      <c r="B15">
        <v>35463923.966899998</v>
      </c>
      <c r="C15">
        <v>48417320.390643202</v>
      </c>
      <c r="D15">
        <v>57068838.881271116</v>
      </c>
      <c r="E15">
        <v>53119169.099658825</v>
      </c>
      <c r="F15">
        <v>42976835.422659449</v>
      </c>
      <c r="G15">
        <v>45667871.801040195</v>
      </c>
      <c r="H15">
        <v>57365727.459911808</v>
      </c>
      <c r="I15">
        <v>41679205.600208335</v>
      </c>
      <c r="J15">
        <v>34585115.25</v>
      </c>
      <c r="K15">
        <v>46017617.047615916</v>
      </c>
      <c r="L15">
        <v>54442009.700080298</v>
      </c>
      <c r="M15">
        <v>51577113.61127387</v>
      </c>
      <c r="N15">
        <v>42287351.31100437</v>
      </c>
      <c r="O15">
        <v>45479841.662364863</v>
      </c>
      <c r="P15">
        <v>57478919.111247271</v>
      </c>
      <c r="Q15">
        <v>43690669.232883126</v>
      </c>
    </row>
    <row r="16" spans="1:17" x14ac:dyDescent="0.2">
      <c r="A16" t="s">
        <v>31</v>
      </c>
      <c r="B16">
        <v>35780488.386299998</v>
      </c>
      <c r="C16">
        <v>33949614.41351337</v>
      </c>
      <c r="D16">
        <v>46654929.928423792</v>
      </c>
      <c r="E16">
        <v>55293997.992063582</v>
      </c>
      <c r="F16">
        <v>51711511.118517868</v>
      </c>
      <c r="G16">
        <v>42005558.94210735</v>
      </c>
      <c r="H16">
        <v>44786481.875280119</v>
      </c>
      <c r="I16">
        <v>56424929.529569253</v>
      </c>
      <c r="J16">
        <v>32871285.145799998</v>
      </c>
      <c r="K16">
        <v>31603878.315449998</v>
      </c>
      <c r="L16">
        <v>42428242.917901874</v>
      </c>
      <c r="M16">
        <v>50603848.016224638</v>
      </c>
      <c r="N16">
        <v>48291651.474235728</v>
      </c>
      <c r="O16">
        <v>39851599.875490516</v>
      </c>
      <c r="P16">
        <v>43110341.911755651</v>
      </c>
      <c r="Q16">
        <v>54771662.021107525</v>
      </c>
    </row>
    <row r="17" spans="1:17" x14ac:dyDescent="0.2">
      <c r="A17" t="s">
        <v>32</v>
      </c>
      <c r="B17">
        <v>23077820.202799998</v>
      </c>
      <c r="C17">
        <v>33028968.829393528</v>
      </c>
      <c r="D17">
        <v>31776839.091048516</v>
      </c>
      <c r="E17">
        <v>44172887.656231642</v>
      </c>
      <c r="F17">
        <v>52844473.881015167</v>
      </c>
      <c r="G17">
        <v>49803356.358244553</v>
      </c>
      <c r="H17">
        <v>40715988.28258466</v>
      </c>
      <c r="I17">
        <v>43644426.587460481</v>
      </c>
      <c r="J17">
        <v>20429590.751499999</v>
      </c>
      <c r="K17">
        <v>28292315.124990061</v>
      </c>
      <c r="L17">
        <v>27634431.199029475</v>
      </c>
      <c r="M17">
        <v>37625365.819595382</v>
      </c>
      <c r="N17">
        <v>45437195.133768104</v>
      </c>
      <c r="O17">
        <v>43843990.373458616</v>
      </c>
      <c r="P17">
        <v>36543917.085824803</v>
      </c>
      <c r="Q17">
        <v>39885688.336756326</v>
      </c>
    </row>
    <row r="18" spans="1:17" x14ac:dyDescent="0.2">
      <c r="A18" t="s">
        <v>33</v>
      </c>
      <c r="B18">
        <v>13715049.4704</v>
      </c>
      <c r="C18">
        <v>19879234.322691921</v>
      </c>
      <c r="D18">
        <v>29253757.692193851</v>
      </c>
      <c r="E18">
        <v>28783460.848671749</v>
      </c>
      <c r="F18">
        <v>40740654.28534244</v>
      </c>
      <c r="G18">
        <v>49457143.105242088</v>
      </c>
      <c r="H18">
        <v>47173739.142529242</v>
      </c>
      <c r="I18">
        <v>38940771.193463966</v>
      </c>
      <c r="J18">
        <v>11083502.912899999</v>
      </c>
      <c r="K18">
        <v>15869706.0957652</v>
      </c>
      <c r="L18">
        <v>22628193.636967048</v>
      </c>
      <c r="M18">
        <v>22668523.912563879</v>
      </c>
      <c r="N18">
        <v>31560156.849476606</v>
      </c>
      <c r="O18">
        <v>38866976.717425242</v>
      </c>
      <c r="P18">
        <v>38153040.422983684</v>
      </c>
      <c r="Q18">
        <v>32290205.137034796</v>
      </c>
    </row>
    <row r="19" spans="1:17" x14ac:dyDescent="0.2">
      <c r="A19" t="s">
        <v>34</v>
      </c>
      <c r="B19">
        <v>7876073.9000000004</v>
      </c>
      <c r="C19">
        <v>10272572.0533296</v>
      </c>
      <c r="D19">
        <v>15680740.033739386</v>
      </c>
      <c r="E19">
        <v>24055364.950291004</v>
      </c>
      <c r="F19">
        <v>24480333.451795325</v>
      </c>
      <c r="G19">
        <v>35615479.976246357</v>
      </c>
      <c r="H19">
        <v>44224577.364707477</v>
      </c>
      <c r="I19">
        <v>42975276.358844139</v>
      </c>
      <c r="J19">
        <v>5560132.2215999998</v>
      </c>
      <c r="K19">
        <v>7090116.8133821301</v>
      </c>
      <c r="L19">
        <v>10624768.231114801</v>
      </c>
      <c r="M19">
        <v>15769588.145602334</v>
      </c>
      <c r="N19">
        <v>16366674.26487112</v>
      </c>
      <c r="O19">
        <v>23512316.852860071</v>
      </c>
      <c r="P19">
        <v>29775990.863219477</v>
      </c>
      <c r="Q19">
        <v>29969213.252253681</v>
      </c>
    </row>
    <row r="20" spans="1:17" x14ac:dyDescent="0.2">
      <c r="A20" t="s">
        <v>35</v>
      </c>
      <c r="B20">
        <v>3358310.3433000003</v>
      </c>
      <c r="C20">
        <v>4580724.58024</v>
      </c>
      <c r="D20">
        <v>6489183.7660883088</v>
      </c>
      <c r="E20">
        <v>10597044.114801077</v>
      </c>
      <c r="F20">
        <v>17189963.793477952</v>
      </c>
      <c r="G20">
        <v>18330873.688704338</v>
      </c>
      <c r="H20">
        <v>27737335.805500664</v>
      </c>
      <c r="I20">
        <v>35614052.151798934</v>
      </c>
      <c r="J20">
        <v>1951463.5219000001</v>
      </c>
      <c r="K20">
        <v>2612150.11770768</v>
      </c>
      <c r="L20">
        <v>3525206.0796135948</v>
      </c>
      <c r="M20">
        <v>5558878.7385192635</v>
      </c>
      <c r="N20">
        <v>8638580.3861609586</v>
      </c>
      <c r="O20">
        <v>9348644.3400943838</v>
      </c>
      <c r="P20">
        <v>13949857.588801881</v>
      </c>
      <c r="Q20">
        <v>18291391.187275723</v>
      </c>
    </row>
    <row r="21" spans="1:17" x14ac:dyDescent="0.2">
      <c r="A21" t="s">
        <v>36</v>
      </c>
      <c r="B21">
        <v>735819.91</v>
      </c>
      <c r="C21">
        <v>1248283.9546046101</v>
      </c>
      <c r="D21">
        <v>1913368.6571662482</v>
      </c>
      <c r="E21">
        <v>2987620.205907057</v>
      </c>
      <c r="F21">
        <v>5297462.3529890589</v>
      </c>
      <c r="G21">
        <v>9222415.5752009209</v>
      </c>
      <c r="H21">
        <v>10457763.439405825</v>
      </c>
      <c r="I21">
        <v>16697876.154911399</v>
      </c>
      <c r="J21">
        <v>385387.98920000001</v>
      </c>
      <c r="K21">
        <v>580950.69046963006</v>
      </c>
      <c r="L21">
        <v>818386.63187781617</v>
      </c>
      <c r="M21">
        <v>1158382.7177610272</v>
      </c>
      <c r="N21">
        <v>1909474.8466813671</v>
      </c>
      <c r="O21">
        <v>3093475.6362842391</v>
      </c>
      <c r="P21">
        <v>3480500.2878171392</v>
      </c>
      <c r="Q21">
        <v>5388829.9865541663</v>
      </c>
    </row>
    <row r="22" spans="1:17" x14ac:dyDescent="0.2">
      <c r="A22" t="s">
        <v>37</v>
      </c>
      <c r="B22">
        <v>118719.2905</v>
      </c>
      <c r="C22">
        <v>166810.37359700003</v>
      </c>
      <c r="D22">
        <v>295593.64045037166</v>
      </c>
      <c r="E22">
        <v>472219.38458863006</v>
      </c>
      <c r="F22">
        <v>766623.34483575088</v>
      </c>
      <c r="G22">
        <v>1410714.2246009863</v>
      </c>
      <c r="H22">
        <v>2544464.4571979339</v>
      </c>
      <c r="I22">
        <v>2983599.9092624821</v>
      </c>
      <c r="J22">
        <v>61484.557500000003</v>
      </c>
      <c r="K22">
        <v>80391.934547120007</v>
      </c>
      <c r="L22">
        <v>110496.82132732365</v>
      </c>
      <c r="M22">
        <v>140271.46870385768</v>
      </c>
      <c r="N22">
        <v>176305.84964322834</v>
      </c>
      <c r="O22">
        <v>253005.41718528117</v>
      </c>
      <c r="P22">
        <v>347706.6615183485</v>
      </c>
      <c r="Q22">
        <v>319509.92642161337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E9AC-0F58-4AA9-B647-D38AE892874F}">
  <dimension ref="A1:Q22"/>
  <sheetViews>
    <sheetView workbookViewId="0">
      <selection activeCell="E30" sqref="E30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19269554.26416178</v>
      </c>
      <c r="D2">
        <v>15942028.501546873</v>
      </c>
      <c r="E2">
        <v>14647876.828196727</v>
      </c>
      <c r="F2">
        <v>15829213.943808425</v>
      </c>
      <c r="G2">
        <v>16010239.02259757</v>
      </c>
      <c r="H2">
        <v>14383691.79623363</v>
      </c>
      <c r="I2">
        <v>11493066.355073135</v>
      </c>
      <c r="J2">
        <v>30230634.913766347</v>
      </c>
      <c r="K2">
        <v>20233031.977369867</v>
      </c>
      <c r="L2">
        <v>16739129.926624218</v>
      </c>
      <c r="M2">
        <v>15380270.669606563</v>
      </c>
      <c r="N2">
        <v>16620674.640998848</v>
      </c>
      <c r="O2">
        <v>16810750.97372745</v>
      </c>
      <c r="P2">
        <v>15102876.386045313</v>
      </c>
      <c r="Q2">
        <v>12067719.672826793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19215599.512222126</v>
      </c>
      <c r="E3">
        <v>15898985.024592696</v>
      </c>
      <c r="F3">
        <v>14608327.560760595</v>
      </c>
      <c r="G3">
        <v>15788057.987554522</v>
      </c>
      <c r="H3">
        <v>15968612.401138816</v>
      </c>
      <c r="I3">
        <v>14347732.566743046</v>
      </c>
      <c r="J3">
        <v>40825938.341499999</v>
      </c>
      <c r="K3">
        <v>30127850.755059544</v>
      </c>
      <c r="L3">
        <v>20166262.971844546</v>
      </c>
      <c r="M3">
        <v>16683890.797866359</v>
      </c>
      <c r="N3">
        <v>15331053.803463822</v>
      </c>
      <c r="O3">
        <v>16569150.549611751</v>
      </c>
      <c r="P3">
        <v>16760318.720806267</v>
      </c>
      <c r="Q3">
        <v>15057567.756887177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19204070.152514793</v>
      </c>
      <c r="F4">
        <v>15891035.532080401</v>
      </c>
      <c r="G4">
        <v>14601023.396980215</v>
      </c>
      <c r="H4">
        <v>15780163.958560746</v>
      </c>
      <c r="I4">
        <v>15962224.956178362</v>
      </c>
      <c r="J4">
        <v>47969440.542000003</v>
      </c>
      <c r="K4">
        <v>40789194.996992648</v>
      </c>
      <c r="L4">
        <v>30103748.474455494</v>
      </c>
      <c r="M4">
        <v>20150129.961467069</v>
      </c>
      <c r="N4">
        <v>16672212.074307851</v>
      </c>
      <c r="O4">
        <v>15321855.171181744</v>
      </c>
      <c r="P4">
        <v>16559209.059281982</v>
      </c>
      <c r="Q4">
        <v>16751938.561445866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19192547.710423283</v>
      </c>
      <c r="G5">
        <v>15881500.910761151</v>
      </c>
      <c r="H5">
        <v>14593722.885281725</v>
      </c>
      <c r="I5">
        <v>15773851.892977323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20134009.857497893</v>
      </c>
      <c r="O5">
        <v>16660541.525855836</v>
      </c>
      <c r="P5">
        <v>15312662.058079034</v>
      </c>
      <c r="Q5">
        <v>16549273.533846412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19175274.417483903</v>
      </c>
      <c r="H6">
        <v>15868795.710032541</v>
      </c>
      <c r="I6">
        <v>14583507.279262027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20099782.040740147</v>
      </c>
      <c r="P6">
        <v>16633884.659414465</v>
      </c>
      <c r="Q6">
        <v>15289693.064991916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19154181.61562467</v>
      </c>
      <c r="I7">
        <v>15852926.914322508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20049532.5856383</v>
      </c>
      <c r="Q7">
        <v>16592299.94776593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19129281.179524358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19991388.941139948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4D9D-C408-4293-B602-77978D1FB391}">
  <dimension ref="A1:Q22"/>
  <sheetViews>
    <sheetView workbookViewId="0"/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24265336.046333991</v>
      </c>
      <c r="D2">
        <v>23277788.392194625</v>
      </c>
      <c r="E2">
        <v>23723586.369104799</v>
      </c>
      <c r="F2">
        <v>25210372.246870365</v>
      </c>
      <c r="G2">
        <v>25263955.0396505</v>
      </c>
      <c r="H2">
        <v>22830053.973520234</v>
      </c>
      <c r="I2">
        <v>19518675.574301358</v>
      </c>
      <c r="J2">
        <v>30230634.913766347</v>
      </c>
      <c r="K2">
        <v>25478602.848650694</v>
      </c>
      <c r="L2">
        <v>24441677.811804358</v>
      </c>
      <c r="M2">
        <v>24909765.687560041</v>
      </c>
      <c r="N2">
        <v>26470890.859213885</v>
      </c>
      <c r="O2">
        <v>26527152.791633025</v>
      </c>
      <c r="P2">
        <v>23971556.672196247</v>
      </c>
      <c r="Q2">
        <v>20494609.353016425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24197393.105404254</v>
      </c>
      <c r="E3">
        <v>23214938.363535699</v>
      </c>
      <c r="F3">
        <v>23659532.685908213</v>
      </c>
      <c r="G3">
        <v>25144825.279028501</v>
      </c>
      <c r="H3">
        <v>25198268.756547406</v>
      </c>
      <c r="I3">
        <v>22772978.838586435</v>
      </c>
      <c r="J3">
        <v>40825938.341499999</v>
      </c>
      <c r="K3">
        <v>30127850.755059544</v>
      </c>
      <c r="L3">
        <v>25394523.459250148</v>
      </c>
      <c r="M3">
        <v>24361020.275025405</v>
      </c>
      <c r="N3">
        <v>24830054.437359847</v>
      </c>
      <c r="O3">
        <v>26388831.097550321</v>
      </c>
      <c r="P3">
        <v>26447571.333258126</v>
      </c>
      <c r="Q3">
        <v>23899642.002179656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24182874.669541009</v>
      </c>
      <c r="F4">
        <v>23203330.894353934</v>
      </c>
      <c r="G4">
        <v>23647702.91956526</v>
      </c>
      <c r="H4">
        <v>25132252.866388988</v>
      </c>
      <c r="I4">
        <v>25188189.44904479</v>
      </c>
      <c r="J4">
        <v>47969440.542000003</v>
      </c>
      <c r="K4">
        <v>40789194.996992648</v>
      </c>
      <c r="L4">
        <v>30103748.474455494</v>
      </c>
      <c r="M4">
        <v>25374207.840482749</v>
      </c>
      <c r="N4">
        <v>24343967.560832888</v>
      </c>
      <c r="O4">
        <v>24815156.404697429</v>
      </c>
      <c r="P4">
        <v>26372997.79889179</v>
      </c>
      <c r="Q4">
        <v>26434347.5475915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24168364.944739282</v>
      </c>
      <c r="G5">
        <v>23189408.895817321</v>
      </c>
      <c r="H5">
        <v>23635879.068105478</v>
      </c>
      <c r="I5">
        <v>25122199.965242434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25353908.474210363</v>
      </c>
      <c r="O5">
        <v>24326926.783540305</v>
      </c>
      <c r="P5">
        <v>24800267.31085461</v>
      </c>
      <c r="Q5">
        <v>26357174.000212453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24146613.416289017</v>
      </c>
      <c r="H6">
        <v>23170857.368700668</v>
      </c>
      <c r="I6">
        <v>23619333.952757802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25310806.829804204</v>
      </c>
      <c r="P6">
        <v>24288003.700686637</v>
      </c>
      <c r="Q6">
        <v>24763066.909888331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24120052.141531099</v>
      </c>
      <c r="I7">
        <v>23147686.511331968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25247529.812729694</v>
      </c>
      <c r="Q7">
        <v>24227283.691434924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24088696.07374711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25174311.976272777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1D52-1FA6-4E9A-9B4C-216C0448BB00}">
  <dimension ref="A1:Q22"/>
  <sheetViews>
    <sheetView workbookViewId="0">
      <selection activeCell="M37" sqref="M37"/>
    </sheetView>
  </sheetViews>
  <sheetFormatPr defaultRowHeight="14.25" x14ac:dyDescent="0.2"/>
  <cols>
    <col min="1" max="1" width="12.25" bestFit="1" customWidth="1"/>
    <col min="2" max="17" width="12.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28791080.87025366</v>
      </c>
      <c r="C2">
        <v>29273063.142052829</v>
      </c>
      <c r="D2">
        <v>30702029.141034119</v>
      </c>
      <c r="E2">
        <v>32818597.898029923</v>
      </c>
      <c r="F2">
        <v>34236159.861315615</v>
      </c>
      <c r="G2">
        <v>34426126.104119651</v>
      </c>
      <c r="H2">
        <v>32214909.14630815</v>
      </c>
      <c r="I2">
        <v>29406951.02942216</v>
      </c>
      <c r="J2">
        <v>30230634.913766347</v>
      </c>
      <c r="K2">
        <v>30736716.299155474</v>
      </c>
      <c r="L2">
        <v>32237130.598085828</v>
      </c>
      <c r="M2">
        <v>34459527.792931423</v>
      </c>
      <c r="N2">
        <v>35947967.854381405</v>
      </c>
      <c r="O2">
        <v>36147432.409325637</v>
      </c>
      <c r="P2">
        <v>33825654.603623562</v>
      </c>
      <c r="Q2">
        <v>30877298.580893267</v>
      </c>
    </row>
    <row r="3" spans="1:17" x14ac:dyDescent="0.2">
      <c r="A3" t="s">
        <v>18</v>
      </c>
      <c r="B3">
        <v>36807504.784699999</v>
      </c>
      <c r="C3">
        <v>28710465.843816947</v>
      </c>
      <c r="D3">
        <v>29191098.565255079</v>
      </c>
      <c r="E3">
        <v>30619133.662353326</v>
      </c>
      <c r="F3">
        <v>32729987.68370524</v>
      </c>
      <c r="G3">
        <v>34147145.845676191</v>
      </c>
      <c r="H3">
        <v>34336618.176248938</v>
      </c>
      <c r="I3">
        <v>32134371.873442382</v>
      </c>
      <c r="J3">
        <v>40825938.341499999</v>
      </c>
      <c r="K3">
        <v>30127850.755059544</v>
      </c>
      <c r="L3">
        <v>30635285.135368261</v>
      </c>
      <c r="M3">
        <v>32130748.067112144</v>
      </c>
      <c r="N3">
        <v>34349257.303994045</v>
      </c>
      <c r="O3">
        <v>35836529.154032826</v>
      </c>
      <c r="P3">
        <v>36038990.112097658</v>
      </c>
      <c r="Q3">
        <v>33724177.639812693</v>
      </c>
    </row>
    <row r="4" spans="1:17" x14ac:dyDescent="0.2">
      <c r="A4" t="s">
        <v>19</v>
      </c>
      <c r="B4">
        <v>42197039.381399997</v>
      </c>
      <c r="C4">
        <v>36781739.531350709</v>
      </c>
      <c r="D4">
        <v>28693239.564310655</v>
      </c>
      <c r="E4">
        <v>29173583.906115927</v>
      </c>
      <c r="F4">
        <v>30603824.09552215</v>
      </c>
      <c r="G4">
        <v>32713622.689863391</v>
      </c>
      <c r="H4">
        <v>34130072.272753358</v>
      </c>
      <c r="I4">
        <v>34322883.528978437</v>
      </c>
      <c r="J4">
        <v>47969440.542000003</v>
      </c>
      <c r="K4">
        <v>40789194.996992648</v>
      </c>
      <c r="L4">
        <v>30103748.474455494</v>
      </c>
      <c r="M4">
        <v>30610776.907259967</v>
      </c>
      <c r="N4">
        <v>32108256.543465164</v>
      </c>
      <c r="O4">
        <v>34328647.749611646</v>
      </c>
      <c r="P4">
        <v>35815027.236540407</v>
      </c>
      <c r="Q4">
        <v>36020970.61704161</v>
      </c>
    </row>
    <row r="5" spans="1:17" x14ac:dyDescent="0.2">
      <c r="A5" t="s">
        <v>20</v>
      </c>
      <c r="B5">
        <v>39609554.795999996</v>
      </c>
      <c r="C5">
        <v>42159062.045956738</v>
      </c>
      <c r="D5">
        <v>36752314.139725626</v>
      </c>
      <c r="E5">
        <v>28673154.296615638</v>
      </c>
      <c r="F5">
        <v>29156079.755772255</v>
      </c>
      <c r="G5">
        <v>30585461.801064834</v>
      </c>
      <c r="H5">
        <v>32697265.878518462</v>
      </c>
      <c r="I5">
        <v>34116420.243844256</v>
      </c>
      <c r="J5">
        <v>45547501.173</v>
      </c>
      <c r="K5">
        <v>47911877.213349603</v>
      </c>
      <c r="L5">
        <v>40748405.801995657</v>
      </c>
      <c r="M5">
        <v>30076655.100828484</v>
      </c>
      <c r="N5">
        <v>30586288.285734158</v>
      </c>
      <c r="O5">
        <v>32085780.763884738</v>
      </c>
      <c r="P5">
        <v>34308050.56096188</v>
      </c>
      <c r="Q5">
        <v>35793538.220198482</v>
      </c>
    </row>
    <row r="6" spans="1:17" x14ac:dyDescent="0.2">
      <c r="A6" t="s">
        <v>21</v>
      </c>
      <c r="B6">
        <v>33590440.0436</v>
      </c>
      <c r="C6">
        <v>39565984.285724394</v>
      </c>
      <c r="D6">
        <v>42116902.983910784</v>
      </c>
      <c r="E6">
        <v>36715561.825585902</v>
      </c>
      <c r="F6">
        <v>28647348.457748685</v>
      </c>
      <c r="G6">
        <v>29129839.28399206</v>
      </c>
      <c r="H6">
        <v>30560993.43162398</v>
      </c>
      <c r="I6">
        <v>32674377.792403497</v>
      </c>
      <c r="J6">
        <v>38963520.311099999</v>
      </c>
      <c r="K6">
        <v>45447296.670419402</v>
      </c>
      <c r="L6">
        <v>47816053.4589229</v>
      </c>
      <c r="M6">
        <v>40670983.830971867</v>
      </c>
      <c r="N6">
        <v>30022517.121646993</v>
      </c>
      <c r="O6">
        <v>30534291.595648408</v>
      </c>
      <c r="P6">
        <v>32034443.514662523</v>
      </c>
      <c r="Q6">
        <v>34256588.485120438</v>
      </c>
    </row>
    <row r="7" spans="1:17" x14ac:dyDescent="0.2">
      <c r="A7" t="s">
        <v>22</v>
      </c>
      <c r="B7">
        <v>35219834.616000004</v>
      </c>
      <c r="C7">
        <v>33546772.471543323</v>
      </c>
      <c r="D7">
        <v>39518505.104581527</v>
      </c>
      <c r="E7">
        <v>42066362.700330094</v>
      </c>
      <c r="F7">
        <v>36675174.707577758</v>
      </c>
      <c r="G7">
        <v>28615836.374445163</v>
      </c>
      <c r="H7">
        <v>29097796.460779667</v>
      </c>
      <c r="I7">
        <v>30530432.438192356</v>
      </c>
      <c r="J7">
        <v>39568869.813500002</v>
      </c>
      <c r="K7">
        <v>38858318.806260027</v>
      </c>
      <c r="L7">
        <v>45329133.69907631</v>
      </c>
      <c r="M7">
        <v>47691731.719929695</v>
      </c>
      <c r="N7">
        <v>40565239.273011342</v>
      </c>
      <c r="O7">
        <v>29944458.577130709</v>
      </c>
      <c r="P7">
        <v>30457955.866659287</v>
      </c>
      <c r="Q7">
        <v>31954357.405875869</v>
      </c>
    </row>
    <row r="8" spans="1:17" x14ac:dyDescent="0.2">
      <c r="A8" t="s">
        <v>23</v>
      </c>
      <c r="B8">
        <v>43623902.913199998</v>
      </c>
      <c r="C8">
        <v>35170526.847537607</v>
      </c>
      <c r="D8">
        <v>33499806.990083165</v>
      </c>
      <c r="E8">
        <v>39463179.197435118</v>
      </c>
      <c r="F8">
        <v>42011676.428819664</v>
      </c>
      <c r="G8">
        <v>36627496.980457909</v>
      </c>
      <c r="H8">
        <v>28578635.787158385</v>
      </c>
      <c r="I8">
        <v>29059969.325380653</v>
      </c>
      <c r="J8">
        <v>48003334.509000003</v>
      </c>
      <c r="K8">
        <v>39442249.430096805</v>
      </c>
      <c r="L8">
        <v>38733972.186079994</v>
      </c>
      <c r="M8">
        <v>45188613.38460917</v>
      </c>
      <c r="N8">
        <v>47548656.524769902</v>
      </c>
      <c r="O8">
        <v>40443543.555192307</v>
      </c>
      <c r="P8">
        <v>29857619.64725703</v>
      </c>
      <c r="Q8">
        <v>30369627.794645976</v>
      </c>
    </row>
    <row r="9" spans="1:17" x14ac:dyDescent="0.2">
      <c r="A9" t="s">
        <v>24</v>
      </c>
      <c r="B9">
        <v>60158862.574199997</v>
      </c>
      <c r="C9">
        <v>43541017.497664921</v>
      </c>
      <c r="D9">
        <v>35107219.89921204</v>
      </c>
      <c r="E9">
        <v>33439507.337501016</v>
      </c>
      <c r="F9">
        <v>39392145.474879734</v>
      </c>
      <c r="G9">
        <v>41936055.41124779</v>
      </c>
      <c r="H9">
        <v>36565230.235591128</v>
      </c>
      <c r="I9">
        <v>28530052.106320214</v>
      </c>
      <c r="J9">
        <v>63590772.044800006</v>
      </c>
      <c r="K9">
        <v>47801720.504062206</v>
      </c>
      <c r="L9">
        <v>39280536.20743341</v>
      </c>
      <c r="M9">
        <v>38582909.694554284</v>
      </c>
      <c r="N9">
        <v>45016896.653747655</v>
      </c>
      <c r="O9">
        <v>47377481.361280732</v>
      </c>
      <c r="P9">
        <v>40301991.152749136</v>
      </c>
      <c r="Q9">
        <v>29759089.502421081</v>
      </c>
    </row>
    <row r="10" spans="1:17" x14ac:dyDescent="0.2">
      <c r="A10" t="s">
        <v>25</v>
      </c>
      <c r="B10">
        <v>47951076.583499998</v>
      </c>
      <c r="C10">
        <v>59996433.645249657</v>
      </c>
      <c r="D10">
        <v>43427810.852170989</v>
      </c>
      <c r="E10">
        <v>35015941.127474084</v>
      </c>
      <c r="F10">
        <v>33355908.569157265</v>
      </c>
      <c r="G10">
        <v>39293665.111192539</v>
      </c>
      <c r="H10">
        <v>41831215.272719674</v>
      </c>
      <c r="I10">
        <v>36477473.68302571</v>
      </c>
      <c r="J10">
        <v>50580605.944700003</v>
      </c>
      <c r="K10">
        <v>63177432.026508808</v>
      </c>
      <c r="L10">
        <v>47510130.008987427</v>
      </c>
      <c r="M10">
        <v>39056637.151051037</v>
      </c>
      <c r="N10">
        <v>38378420.273173146</v>
      </c>
      <c r="O10">
        <v>44791812.170478918</v>
      </c>
      <c r="P10">
        <v>47154807.198882714</v>
      </c>
      <c r="Q10">
        <v>40124662.391677044</v>
      </c>
    </row>
    <row r="11" spans="1:17" x14ac:dyDescent="0.2">
      <c r="A11" t="s">
        <v>26</v>
      </c>
      <c r="B11">
        <v>45127748.665200002</v>
      </c>
      <c r="C11">
        <v>47749682.061849296</v>
      </c>
      <c r="D11">
        <v>59750448.267304137</v>
      </c>
      <c r="E11">
        <v>43249756.827677086</v>
      </c>
      <c r="F11">
        <v>34875877.362964191</v>
      </c>
      <c r="G11">
        <v>33225820.52573755</v>
      </c>
      <c r="H11">
        <v>39144349.183770008</v>
      </c>
      <c r="I11">
        <v>41672256.654683337</v>
      </c>
      <c r="J11">
        <v>47108734.365999997</v>
      </c>
      <c r="K11">
        <v>50059625.703469597</v>
      </c>
      <c r="L11">
        <v>62570928.67905432</v>
      </c>
      <c r="M11">
        <v>47087289.85190744</v>
      </c>
      <c r="N11">
        <v>38732467.062697314</v>
      </c>
      <c r="O11">
        <v>38079068.595042393</v>
      </c>
      <c r="P11">
        <v>44469311.122851469</v>
      </c>
      <c r="Q11">
        <v>46834154.509930313</v>
      </c>
    </row>
    <row r="12" spans="1:17" x14ac:dyDescent="0.2">
      <c r="A12" t="s">
        <v>27</v>
      </c>
      <c r="B12">
        <v>55640968.593000002</v>
      </c>
      <c r="C12">
        <v>44820879.97427664</v>
      </c>
      <c r="D12">
        <v>47434534.16024109</v>
      </c>
      <c r="E12">
        <v>59362070.353566661</v>
      </c>
      <c r="F12">
        <v>42977283.359662719</v>
      </c>
      <c r="G12">
        <v>34659646.923313811</v>
      </c>
      <c r="H12">
        <v>33026465.602583125</v>
      </c>
      <c r="I12">
        <v>38917311.95850414</v>
      </c>
      <c r="J12">
        <v>57214065.6752</v>
      </c>
      <c r="K12">
        <v>46369127.236453794</v>
      </c>
      <c r="L12">
        <v>49323749.205628589</v>
      </c>
      <c r="M12">
        <v>61707449.863283366</v>
      </c>
      <c r="N12">
        <v>46479863.812817834</v>
      </c>
      <c r="O12">
        <v>38263804.211238675</v>
      </c>
      <c r="P12">
        <v>37648775.119918413</v>
      </c>
      <c r="Q12">
        <v>43997936.424949244</v>
      </c>
    </row>
    <row r="13" spans="1:17" x14ac:dyDescent="0.2">
      <c r="A13" t="s">
        <v>28</v>
      </c>
      <c r="B13">
        <v>59368149.501000002</v>
      </c>
      <c r="C13">
        <v>55023353.841617703</v>
      </c>
      <c r="D13">
        <v>44341296.558551878</v>
      </c>
      <c r="E13">
        <v>46941215.004974581</v>
      </c>
      <c r="F13">
        <v>58768449.650030993</v>
      </c>
      <c r="G13">
        <v>42560403.711073987</v>
      </c>
      <c r="H13">
        <v>34337312.206926994</v>
      </c>
      <c r="I13">
        <v>32729227.412159875</v>
      </c>
      <c r="J13">
        <v>59528948.873999998</v>
      </c>
      <c r="K13">
        <v>55823763.879292645</v>
      </c>
      <c r="L13">
        <v>45307274.222739004</v>
      </c>
      <c r="M13">
        <v>48258356.222787015</v>
      </c>
      <c r="N13">
        <v>60454788.631058715</v>
      </c>
      <c r="O13">
        <v>45592098.413993016</v>
      </c>
      <c r="P13">
        <v>37575055.73543638</v>
      </c>
      <c r="Q13">
        <v>37008745.942879803</v>
      </c>
    </row>
    <row r="14" spans="1:17" x14ac:dyDescent="0.2">
      <c r="A14" t="s">
        <v>29</v>
      </c>
      <c r="B14">
        <v>49694468.223999999</v>
      </c>
      <c r="C14">
        <v>58370764.5893832</v>
      </c>
      <c r="D14">
        <v>54137477.84476766</v>
      </c>
      <c r="E14">
        <v>43662874.721206032</v>
      </c>
      <c r="F14">
        <v>46251179.144401453</v>
      </c>
      <c r="G14">
        <v>57945691.354930557</v>
      </c>
      <c r="H14">
        <v>41990094.301345594</v>
      </c>
      <c r="I14">
        <v>33897794.61067833</v>
      </c>
      <c r="J14">
        <v>48768140.152199998</v>
      </c>
      <c r="K14">
        <v>57260895.9219006</v>
      </c>
      <c r="L14">
        <v>53814108.379638106</v>
      </c>
      <c r="M14">
        <v>43766826.899165876</v>
      </c>
      <c r="N14">
        <v>46704437.152413271</v>
      </c>
      <c r="O14">
        <v>58616963.056674533</v>
      </c>
      <c r="P14">
        <v>44279045.979670018</v>
      </c>
      <c r="Q14">
        <v>36553014.21943251</v>
      </c>
    </row>
    <row r="15" spans="1:17" x14ac:dyDescent="0.2">
      <c r="A15" t="s">
        <v>30</v>
      </c>
      <c r="B15">
        <v>35463923.966899998</v>
      </c>
      <c r="C15">
        <v>48342778.688307196</v>
      </c>
      <c r="D15">
        <v>56870635.939436056</v>
      </c>
      <c r="E15">
        <v>52821937.133139804</v>
      </c>
      <c r="F15">
        <v>42658628.602618292</v>
      </c>
      <c r="G15">
        <v>45242903.439053498</v>
      </c>
      <c r="H15">
        <v>56752010.11301899</v>
      </c>
      <c r="I15">
        <v>41171287.462469354</v>
      </c>
      <c r="J15">
        <v>34585115.25</v>
      </c>
      <c r="K15">
        <v>45885943.069204979</v>
      </c>
      <c r="L15">
        <v>54031381.391905405</v>
      </c>
      <c r="M15">
        <v>50918909.348813578</v>
      </c>
      <c r="N15">
        <v>41521588.67923867</v>
      </c>
      <c r="O15">
        <v>44415919.731945015</v>
      </c>
      <c r="P15">
        <v>55879550.881927833</v>
      </c>
      <c r="Q15">
        <v>42304200.528976738</v>
      </c>
    </row>
    <row r="16" spans="1:17" x14ac:dyDescent="0.2">
      <c r="A16" t="s">
        <v>31</v>
      </c>
      <c r="B16">
        <v>35780488.386299998</v>
      </c>
      <c r="C16">
        <v>33821944.287232526</v>
      </c>
      <c r="D16">
        <v>46278542.038316481</v>
      </c>
      <c r="E16">
        <v>54624245.819828331</v>
      </c>
      <c r="F16">
        <v>50899218.621493518</v>
      </c>
      <c r="G16">
        <v>41225298.681570321</v>
      </c>
      <c r="H16">
        <v>43835849.142098933</v>
      </c>
      <c r="I16">
        <v>55123227.422775351</v>
      </c>
      <c r="J16">
        <v>32871285.145799998</v>
      </c>
      <c r="K16">
        <v>31448245.296824999</v>
      </c>
      <c r="L16">
        <v>41930574.776639506</v>
      </c>
      <c r="M16">
        <v>49600808.117769167</v>
      </c>
      <c r="N16">
        <v>46947234.419606119</v>
      </c>
      <c r="O16">
        <v>38444838.958107084</v>
      </c>
      <c r="P16">
        <v>41284597.390842892</v>
      </c>
      <c r="Q16">
        <v>52135620.97283867</v>
      </c>
    </row>
    <row r="17" spans="1:17" x14ac:dyDescent="0.2">
      <c r="A17" t="s">
        <v>32</v>
      </c>
      <c r="B17">
        <v>23077820.202799998</v>
      </c>
      <c r="C17">
        <v>32764193.215334907</v>
      </c>
      <c r="D17">
        <v>31221036.771544345</v>
      </c>
      <c r="E17">
        <v>43034416.241430491</v>
      </c>
      <c r="F17">
        <v>51128294.087359324</v>
      </c>
      <c r="G17">
        <v>47926704.253998294</v>
      </c>
      <c r="H17">
        <v>39032112.791710779</v>
      </c>
      <c r="I17">
        <v>41705426.873792924</v>
      </c>
      <c r="J17">
        <v>20429590.751499999</v>
      </c>
      <c r="K17">
        <v>28049067.614911135</v>
      </c>
      <c r="L17">
        <v>27067504.726977278</v>
      </c>
      <c r="M17">
        <v>36383159.733690098</v>
      </c>
      <c r="N17">
        <v>43370946.618177354</v>
      </c>
      <c r="O17">
        <v>41346429.353347108</v>
      </c>
      <c r="P17">
        <v>34092883.188049361</v>
      </c>
      <c r="Q17">
        <v>36846503.171327278</v>
      </c>
    </row>
    <row r="18" spans="1:17" x14ac:dyDescent="0.2">
      <c r="A18" t="s">
        <v>33</v>
      </c>
      <c r="B18">
        <v>13715049.4704</v>
      </c>
      <c r="C18">
        <v>19556144.83985272</v>
      </c>
      <c r="D18">
        <v>28223076.035689492</v>
      </c>
      <c r="E18">
        <v>27290308.242006913</v>
      </c>
      <c r="F18">
        <v>38115582.465034992</v>
      </c>
      <c r="G18">
        <v>45821177.161091425</v>
      </c>
      <c r="H18">
        <v>43412008.713271655</v>
      </c>
      <c r="I18">
        <v>35690963.936740339</v>
      </c>
      <c r="J18">
        <v>11083502.912899999</v>
      </c>
      <c r="K18">
        <v>15616379.170446599</v>
      </c>
      <c r="L18">
        <v>21788515.723262969</v>
      </c>
      <c r="M18">
        <v>21345434.22769428</v>
      </c>
      <c r="N18">
        <v>29099251.15500534</v>
      </c>
      <c r="O18">
        <v>35143478.044709109</v>
      </c>
      <c r="P18">
        <v>33916475.998550631</v>
      </c>
      <c r="Q18">
        <v>28290274.469443358</v>
      </c>
    </row>
    <row r="19" spans="1:17" x14ac:dyDescent="0.2">
      <c r="A19" t="s">
        <v>34</v>
      </c>
      <c r="B19">
        <v>7876073.9000000004</v>
      </c>
      <c r="C19">
        <v>9961240.43035152</v>
      </c>
      <c r="D19">
        <v>14647552.485049687</v>
      </c>
      <c r="E19">
        <v>21723301.624670204</v>
      </c>
      <c r="F19">
        <v>21526595.141295053</v>
      </c>
      <c r="G19">
        <v>30732594.141557716</v>
      </c>
      <c r="H19">
        <v>37678753.979565479</v>
      </c>
      <c r="I19">
        <v>36335851.293008372</v>
      </c>
      <c r="J19">
        <v>5560132.2215999998</v>
      </c>
      <c r="K19">
        <v>6913889.1170670195</v>
      </c>
      <c r="L19">
        <v>9989797.7553346902</v>
      </c>
      <c r="M19">
        <v>14271477.798737245</v>
      </c>
      <c r="N19">
        <v>14290768.21544132</v>
      </c>
      <c r="O19">
        <v>19889338.164446149</v>
      </c>
      <c r="P19">
        <v>24491489.849357776</v>
      </c>
      <c r="Q19">
        <v>24070523.016171385</v>
      </c>
    </row>
    <row r="20" spans="1:17" x14ac:dyDescent="0.2">
      <c r="A20" t="s">
        <v>35</v>
      </c>
      <c r="B20">
        <v>3358310.3433000003</v>
      </c>
      <c r="C20">
        <v>4364132.5479900008</v>
      </c>
      <c r="D20">
        <v>5793457.434292444</v>
      </c>
      <c r="E20">
        <v>8896923.3794191815</v>
      </c>
      <c r="F20">
        <v>13722609.636304168</v>
      </c>
      <c r="G20">
        <v>14087003.860463483</v>
      </c>
      <c r="H20">
        <v>20769087.120864704</v>
      </c>
      <c r="I20">
        <v>26216877.018981658</v>
      </c>
      <c r="J20">
        <v>1951463.5219000001</v>
      </c>
      <c r="K20">
        <v>2532640.2269388</v>
      </c>
      <c r="L20">
        <v>3248145.1071980856</v>
      </c>
      <c r="M20">
        <v>4832065.1742553897</v>
      </c>
      <c r="N20">
        <v>7095778.7615321577</v>
      </c>
      <c r="O20">
        <v>7292579.020339705</v>
      </c>
      <c r="P20">
        <v>10406101.727638226</v>
      </c>
      <c r="Q20">
        <v>13117641.963316023</v>
      </c>
    </row>
    <row r="21" spans="1:17" x14ac:dyDescent="0.2">
      <c r="A21" t="s">
        <v>36</v>
      </c>
      <c r="B21">
        <v>735819.91</v>
      </c>
      <c r="C21">
        <v>1166341.18222809</v>
      </c>
      <c r="D21">
        <v>1622148.0680878833</v>
      </c>
      <c r="E21">
        <v>2288995.0322889448</v>
      </c>
      <c r="F21">
        <v>3716244.8955833921</v>
      </c>
      <c r="G21">
        <v>6029714.6741920514</v>
      </c>
      <c r="H21">
        <v>6485656.5773573872</v>
      </c>
      <c r="I21">
        <v>9979546.3615754899</v>
      </c>
      <c r="J21">
        <v>385387.98920000001</v>
      </c>
      <c r="K21">
        <v>565534.12864661997</v>
      </c>
      <c r="L21">
        <v>753966.99555968074</v>
      </c>
      <c r="M21">
        <v>992633.14475973486</v>
      </c>
      <c r="N21">
        <v>1513886.0190942136</v>
      </c>
      <c r="O21">
        <v>2277744.9824518226</v>
      </c>
      <c r="P21">
        <v>2396341.4660836272</v>
      </c>
      <c r="Q21">
        <v>3497490.7906592079</v>
      </c>
    </row>
    <row r="22" spans="1:17" x14ac:dyDescent="0.2">
      <c r="A22" t="s">
        <v>37</v>
      </c>
      <c r="B22">
        <v>118719.2905</v>
      </c>
      <c r="C22">
        <v>163057.692056</v>
      </c>
      <c r="D22">
        <v>264409.54601110803</v>
      </c>
      <c r="E22">
        <v>376013.92218277138</v>
      </c>
      <c r="F22">
        <v>542034.02364602219</v>
      </c>
      <c r="G22">
        <v>898588.01575206418</v>
      </c>
      <c r="H22">
        <v>1488133.5815905982</v>
      </c>
      <c r="I22">
        <v>1632439.7605208543</v>
      </c>
      <c r="J22">
        <v>61484.557500000003</v>
      </c>
      <c r="K22">
        <v>83860.426449919993</v>
      </c>
      <c r="L22">
        <v>117970.41923568492</v>
      </c>
      <c r="M22">
        <v>150341.01891460034</v>
      </c>
      <c r="N22">
        <v>188798.82413330159</v>
      </c>
      <c r="O22">
        <v>273861.98085414327</v>
      </c>
      <c r="P22">
        <v>390405.48999224236</v>
      </c>
      <c r="Q22">
        <v>387967.68335893919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C751-F155-47B6-9A51-2E5F38988D29}">
  <dimension ref="A1:AF91"/>
  <sheetViews>
    <sheetView zoomScale="70" zoomScaleNormal="70" workbookViewId="0">
      <selection activeCell="O26" sqref="O26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2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2" x14ac:dyDescent="0.2">
      <c r="A2" s="6" t="s">
        <v>17</v>
      </c>
      <c r="B2" s="7">
        <v>36914557</v>
      </c>
      <c r="C2">
        <f>Freeze[[#This Row],[2025女]]</f>
        <v>28791080.87025366</v>
      </c>
      <c r="D2">
        <f>Freeze[[#This Row],[2030女]]</f>
        <v>25167968.20561333</v>
      </c>
      <c r="E2">
        <f>Freeze[[#This Row],[2035女]]</f>
        <v>23484083.816576086</v>
      </c>
      <c r="F2">
        <f>Freeze[[#This Row],[2040女]]</f>
        <v>23914048.496244043</v>
      </c>
      <c r="G2">
        <f>Freeze[[#This Row],[2045女]]</f>
        <v>24107803.234297499</v>
      </c>
      <c r="H2">
        <f>Freeze[[#This Row],[2050女]]</f>
        <v>22441748.725095727</v>
      </c>
      <c r="I2">
        <f>Freeze[[#This Row],[2055女]]</f>
        <v>19569388.74539461</v>
      </c>
      <c r="J2">
        <f>Freeze[[#This Row],[2060女]]</f>
        <v>17018152.654835828</v>
      </c>
      <c r="K2" s="8">
        <v>40969331</v>
      </c>
      <c r="L2" s="6">
        <f>Freeze[[#This Row],[2025男]]</f>
        <v>30230634.913766347</v>
      </c>
      <c r="M2" s="6">
        <f>Freeze[[#This Row],[2030男]]</f>
        <v>26426366.615893997</v>
      </c>
      <c r="N2" s="6">
        <f>Freeze[[#This Row],[2035男]]</f>
        <v>24658288.007404894</v>
      </c>
      <c r="O2" s="6">
        <f>Freeze[[#This Row],[2040男]]</f>
        <v>25109750.921056248</v>
      </c>
      <c r="P2" s="6">
        <f>Freeze[[#This Row],[2045男]]</f>
        <v>25313193.396012373</v>
      </c>
      <c r="Q2" s="6">
        <f>Freeze[[#This Row],[2050男]]</f>
        <v>23563836.161350511</v>
      </c>
      <c r="R2" s="6">
        <f>Freeze[[#This Row],[2055男]]</f>
        <v>20547858.182664342</v>
      </c>
      <c r="S2" s="6">
        <f>Freeze[[#This Row],[2060男]]</f>
        <v>17869060.287577622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3.6378603599780582E-2</v>
      </c>
      <c r="Y2" s="9">
        <f>(SUM(E$2:E2)+SUM(N$2:N2))/(SUM(E$2:E$22)+SUM(N$2:N$22))</f>
        <v>3.4403224751127941E-2</v>
      </c>
      <c r="Z2" s="9">
        <f>(SUM(F$2:F2)+SUM(O$2:O2))/(SUM(F$2:F$22)+SUM(O$2:O$22))</f>
        <v>3.5787249733208064E-2</v>
      </c>
      <c r="AA2" s="9">
        <f>(SUM(G$2:G2)+SUM(P$2:P2))/(SUM(G$2:G$22)+SUM(P$2:P$22))</f>
        <v>3.71552522911427E-2</v>
      </c>
      <c r="AB2" s="9">
        <f>(SUM(H$2:H2)+SUM(Q$2:Q2))/(SUM(H$2:H$22)+SUM(Q$2:Q$22))</f>
        <v>3.5994169873101299E-2</v>
      </c>
      <c r="AC2" s="9">
        <f>(SUM(I$2:I2)+SUM(R$2:R2))/(SUM(I$2:I$22)+SUM(R$2:R$22))</f>
        <v>3.3043062808541121E-2</v>
      </c>
      <c r="AD2" s="9">
        <f>(SUM(J$2:J2)+SUM(S$2:S2))/(SUM(J$2:J$22)+SUM(S$2:S$22))</f>
        <v>3.05411917943164E-2</v>
      </c>
      <c r="AF2" s="9" t="e" cm="1">
        <f t="array" ref="AF2">sum</f>
        <v>#NAME?</v>
      </c>
    </row>
    <row r="3" spans="1:32" x14ac:dyDescent="0.2">
      <c r="A3" s="6" t="s">
        <v>18</v>
      </c>
      <c r="B3" s="7">
        <v>42226598</v>
      </c>
      <c r="C3">
        <f>Freeze[[#This Row],[2025女]]</f>
        <v>36807504.784699999</v>
      </c>
      <c r="D3">
        <f>Freeze[[#This Row],[2030女]]</f>
        <v>28707586.735729925</v>
      </c>
      <c r="E3">
        <f>Freeze[[#This Row],[2035女]]</f>
        <v>25094981.097817052</v>
      </c>
      <c r="F3">
        <f>Freeze[[#This Row],[2040女]]</f>
        <v>23415979.973508015</v>
      </c>
      <c r="G3">
        <f>Freeze[[#This Row],[2045女]]</f>
        <v>23844697.755604934</v>
      </c>
      <c r="H3">
        <f>Freeze[[#This Row],[2050女]]</f>
        <v>24037890.604918037</v>
      </c>
      <c r="I3">
        <f>Freeze[[#This Row],[2055女]]</f>
        <v>22376667.653792948</v>
      </c>
      <c r="J3">
        <f>Freeze[[#This Row],[2060女]]</f>
        <v>19512637.518032964</v>
      </c>
      <c r="K3" s="8">
        <v>48017458</v>
      </c>
      <c r="L3" s="6">
        <f>Freeze[[#This Row],[2025男]]</f>
        <v>40825938.341499999</v>
      </c>
      <c r="M3" s="6">
        <f>Freeze[[#This Row],[2030男]]</f>
        <v>30124827.691568166</v>
      </c>
      <c r="N3" s="6">
        <f>Freeze[[#This Row],[2035男]]</f>
        <v>26333874.33273837</v>
      </c>
      <c r="O3" s="6">
        <f>Freeze[[#This Row],[2040男]]</f>
        <v>24571983.999378979</v>
      </c>
      <c r="P3" s="6">
        <f>Freeze[[#This Row],[2045男]]</f>
        <v>25021866.792832553</v>
      </c>
      <c r="Q3" s="6">
        <f>Freeze[[#This Row],[2050男]]</f>
        <v>25224597.219126333</v>
      </c>
      <c r="R3" s="6">
        <f>Freeze[[#This Row],[2055男]]</f>
        <v>23481362.734785784</v>
      </c>
      <c r="S3" s="6">
        <f>Freeze[[#This Row],[2060男]]</f>
        <v>20475940.679025017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7.7860698304033277E-2</v>
      </c>
      <c r="Y3" s="9">
        <f>(SUM(E$2:E3)+SUM(N$2:N3))/(SUM(E$2:E$22)+SUM(N$2:N$22))</f>
        <v>7.1155017507406756E-2</v>
      </c>
      <c r="Z3" s="9">
        <f>(SUM(F$2:F3)+SUM(O$2:O3))/(SUM(F$2:F$22)+SUM(O$2:O$22))</f>
        <v>7.0818342208669088E-2</v>
      </c>
      <c r="AA3" s="9">
        <f>(SUM(G$2:G3)+SUM(P$2:P3))/(SUM(G$2:G$22)+SUM(P$2:P$22))</f>
        <v>7.3893676406310532E-2</v>
      </c>
      <c r="AB3" s="9">
        <f>(SUM(H$2:H3)+SUM(Q$2:Q3))/(SUM(H$2:H$22)+SUM(Q$2:Q$22))</f>
        <v>7.4536498146654695E-2</v>
      </c>
      <c r="AC3" s="9">
        <f>(SUM(I$2:I3)+SUM(R$2:R3))/(SUM(I$2:I$22)+SUM(R$2:R$22))</f>
        <v>7.0814592373446658E-2</v>
      </c>
      <c r="AD3" s="9">
        <f>(SUM(J$2:J3)+SUM(S$2:S3))/(SUM(J$2:J$22)+SUM(S$2:S$22))</f>
        <v>6.5548254075683002E-2</v>
      </c>
    </row>
    <row r="4" spans="1:32" x14ac:dyDescent="0.2">
      <c r="A4" s="6" t="s">
        <v>19</v>
      </c>
      <c r="B4" s="7">
        <v>39649204</v>
      </c>
      <c r="C4">
        <f>Freeze[[#This Row],[2025女]]</f>
        <v>42197039.381399997</v>
      </c>
      <c r="D4">
        <f>Freeze[[#This Row],[2030女]]</f>
        <v>36781739.531350709</v>
      </c>
      <c r="E4">
        <f>Freeze[[#This Row],[2035女]]</f>
        <v>28687491.425014913</v>
      </c>
      <c r="F4">
        <f>Freeze[[#This Row],[2040女]]</f>
        <v>25077414.611048579</v>
      </c>
      <c r="G4">
        <f>Freeze[[#This Row],[2045女]]</f>
        <v>23399588.787526559</v>
      </c>
      <c r="H4">
        <f>Freeze[[#This Row],[2050女]]</f>
        <v>23828006.467176009</v>
      </c>
      <c r="I4">
        <f>Freeze[[#This Row],[2055女]]</f>
        <v>24021064.081494592</v>
      </c>
      <c r="J4">
        <f>Freeze[[#This Row],[2060女]]</f>
        <v>22361003.98643529</v>
      </c>
      <c r="K4" s="8">
        <v>45606790</v>
      </c>
      <c r="L4" s="6">
        <f>Freeze[[#This Row],[2025男]]</f>
        <v>47969440.542000003</v>
      </c>
      <c r="M4" s="6">
        <f>Freeze[[#This Row],[2030男]]</f>
        <v>40785112.403158501</v>
      </c>
      <c r="N4" s="6">
        <f>Freeze[[#This Row],[2035男]]</f>
        <v>30094702.863876596</v>
      </c>
      <c r="O4" s="6">
        <f>Freeze[[#This Row],[2040男]]</f>
        <v>26307540.458405633</v>
      </c>
      <c r="P4" s="6">
        <f>Freeze[[#This Row],[2045男]]</f>
        <v>24547412.0153796</v>
      </c>
      <c r="Q4" s="6">
        <f>Freeze[[#This Row],[2050男]]</f>
        <v>24996844.926039722</v>
      </c>
      <c r="R4" s="6">
        <f>Freeze[[#This Row],[2055男]]</f>
        <v>25199372.621907204</v>
      </c>
      <c r="S4" s="6">
        <f>Freeze[[#This Row],[2060男]]</f>
        <v>23457881.372050997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0.13255224086913125</v>
      </c>
      <c r="Y4" s="9">
        <f>(SUM(E$2:E4)+SUM(N$2:N4))/(SUM(E$2:E$22)+SUM(N$2:N$22))</f>
        <v>0.11316161096896622</v>
      </c>
      <c r="Z4" s="9">
        <f>(SUM(F$2:F4)+SUM(O$2:O4))/(SUM(F$2:F$22)+SUM(O$2:O$22))</f>
        <v>0.10832922960331857</v>
      </c>
      <c r="AA4" s="9">
        <f>(SUM(G$2:G4)+SUM(P$2:P4))/(SUM(G$2:G$22)+SUM(P$2:P$22))</f>
        <v>0.10994076231924449</v>
      </c>
      <c r="AB4" s="9">
        <f>(SUM(H$2:H4)+SUM(Q$2:Q4))/(SUM(H$2:H$22)+SUM(Q$2:Q$22))</f>
        <v>0.11273642538188232</v>
      </c>
      <c r="AC4" s="9">
        <f>(SUM(I$2:I4)+SUM(R$2:R4))/(SUM(I$2:I$22)+SUM(R$2:R$22))</f>
        <v>0.11135560916781671</v>
      </c>
      <c r="AD4" s="9">
        <f>(SUM(J$2:J4)+SUM(S$2:S4))/(SUM(J$2:J$22)+SUM(S$2:S$22))</f>
        <v>0.10565932192868645</v>
      </c>
    </row>
    <row r="5" spans="1:32" x14ac:dyDescent="0.2">
      <c r="A5" s="6" t="s">
        <v>20</v>
      </c>
      <c r="B5" s="7">
        <v>33630797</v>
      </c>
      <c r="C5">
        <f>Freeze[[#This Row],[2025女]]</f>
        <v>39609554.795999996</v>
      </c>
      <c r="D5">
        <f>Freeze[[#This Row],[2030女]]</f>
        <v>42154842.342018597</v>
      </c>
      <c r="E5">
        <f>Freeze[[#This Row],[2035女]]</f>
        <v>36744957.791819356</v>
      </c>
      <c r="F5">
        <f>Freeze[[#This Row],[2040女]]</f>
        <v>28658803.933589898</v>
      </c>
      <c r="G5">
        <f>Freeze[[#This Row],[2045女]]</f>
        <v>25052337.19643753</v>
      </c>
      <c r="H5">
        <f>Freeze[[#This Row],[2050女]]</f>
        <v>23376189.198739033</v>
      </c>
      <c r="I5">
        <f>Freeze[[#This Row],[2055女]]</f>
        <v>23804178.460708834</v>
      </c>
      <c r="J5">
        <f>Freeze[[#This Row],[2060女]]</f>
        <v>23997043.017413098</v>
      </c>
      <c r="K5" s="8">
        <v>39053343</v>
      </c>
      <c r="L5" s="6">
        <f>Freeze[[#This Row],[2025男]]</f>
        <v>45547501.173</v>
      </c>
      <c r="M5" s="6">
        <f>Freeze[[#This Row],[2030男]]</f>
        <v>47907080.269295402</v>
      </c>
      <c r="N5" s="6">
        <f>Freeze[[#This Row],[2035男]]</f>
        <v>40732091.757034399</v>
      </c>
      <c r="O5" s="6">
        <f>Freeze[[#This Row],[2040男]]</f>
        <v>30055579.750153556</v>
      </c>
      <c r="P5" s="6">
        <f>Freeze[[#This Row],[2045男]]</f>
        <v>26273340.655809704</v>
      </c>
      <c r="Q5" s="6">
        <f>Freeze[[#This Row],[2050男]]</f>
        <v>24515500.379759606</v>
      </c>
      <c r="R5" s="6">
        <f>Freeze[[#This Row],[2055男]]</f>
        <v>24964349.027635872</v>
      </c>
      <c r="S5" s="6">
        <f>Freeze[[#This Row],[2060男]]</f>
        <v>25166613.437498726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0.19605392169214586</v>
      </c>
      <c r="Y5" s="9">
        <f>(SUM(E$2:E5)+SUM(N$2:N5))/(SUM(E$2:E$22)+SUM(N$2:N$22))</f>
        <v>0.16852781432988487</v>
      </c>
      <c r="Z5" s="9">
        <f>(SUM(F$2:F5)+SUM(O$2:O5))/(SUM(F$2:F$22)+SUM(O$2:O$22))</f>
        <v>0.1511905813711705</v>
      </c>
      <c r="AA5" s="9">
        <f>(SUM(G$2:G5)+SUM(P$2:P5))/(SUM(G$2:G$22)+SUM(P$2:P$22))</f>
        <v>0.14852797503531884</v>
      </c>
      <c r="AB5" s="9">
        <f>(SUM(H$2:H5)+SUM(Q$2:Q5))/(SUM(H$2:H$22)+SUM(Q$2:Q$22))</f>
        <v>0.15020625897824144</v>
      </c>
      <c r="AC5" s="9">
        <f>(SUM(I$2:I5)+SUM(R$2:R5))/(SUM(I$2:I$22)+SUM(R$2:R$22))</f>
        <v>0.15152440539072859</v>
      </c>
      <c r="AD5" s="9">
        <f>(SUM(J$2:J5)+SUM(S$2:S5))/(SUM(J$2:J$22)+SUM(S$2:S$22))</f>
        <v>0.14869849113884434</v>
      </c>
    </row>
    <row r="6" spans="1:32" x14ac:dyDescent="0.2">
      <c r="A6" s="6" t="s">
        <v>21</v>
      </c>
      <c r="B6" s="7">
        <v>35265680</v>
      </c>
      <c r="C6">
        <f>Freeze[[#This Row],[2025女]]</f>
        <v>33590440.0436</v>
      </c>
      <c r="D6">
        <f>Freeze[[#This Row],[2030女]]</f>
        <v>39562023.330244794</v>
      </c>
      <c r="E6">
        <f>Freeze[[#This Row],[2035女]]</f>
        <v>42104256.531208172</v>
      </c>
      <c r="F6">
        <f>Freeze[[#This Row],[2040女]]</f>
        <v>36700863.842469171</v>
      </c>
      <c r="G6">
        <f>Freeze[[#This Row],[2045女]]</f>
        <v>28624413.368869592</v>
      </c>
      <c r="H6">
        <f>Freeze[[#This Row],[2050女]]</f>
        <v>25022274.391801804</v>
      </c>
      <c r="I6">
        <f>Freeze[[#This Row],[2055女]]</f>
        <v>23348137.771700546</v>
      </c>
      <c r="J6">
        <f>Freeze[[#This Row],[2060女]]</f>
        <v>23775613.446555983</v>
      </c>
      <c r="K6" s="8">
        <v>39675995</v>
      </c>
      <c r="L6" s="6">
        <f>Freeze[[#This Row],[2025男]]</f>
        <v>38963520.311099999</v>
      </c>
      <c r="M6" s="6">
        <f>Freeze[[#This Row],[2030男]]</f>
        <v>45442741.9203021</v>
      </c>
      <c r="N6" s="6">
        <f>Freeze[[#This Row],[2035男]]</f>
        <v>47796893.984676026</v>
      </c>
      <c r="O6" s="6">
        <f>Freeze[[#This Row],[2040男]]</f>
        <v>40638407.945993222</v>
      </c>
      <c r="P6" s="6">
        <f>Freeze[[#This Row],[2045男]]</f>
        <v>29986451.916728206</v>
      </c>
      <c r="Q6" s="6">
        <f>Freeze[[#This Row],[2050男]]</f>
        <v>26212911.972301342</v>
      </c>
      <c r="R6" s="6">
        <f>Freeze[[#This Row],[2055男]]</f>
        <v>24459114.728886161</v>
      </c>
      <c r="S6" s="6">
        <f>Freeze[[#This Row],[2060男]]</f>
        <v>24906931.02487231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0.25598985593454238</v>
      </c>
      <c r="Y6" s="9">
        <f>(SUM(E$2:E6)+SUM(N$2:N6))/(SUM(E$2:E$22)+SUM(N$2:N$22))</f>
        <v>0.23277245723803291</v>
      </c>
      <c r="Z6" s="9">
        <f>(SUM(F$2:F6)+SUM(O$2:O6))/(SUM(F$2:F$22)+SUM(O$2:O$22))</f>
        <v>0.20764805440622511</v>
      </c>
      <c r="AA6" s="9">
        <f>(SUM(G$2:G6)+SUM(P$2:P6))/(SUM(G$2:G$22)+SUM(P$2:P$22))</f>
        <v>0.19259227230108827</v>
      </c>
      <c r="AB6" s="9">
        <f>(SUM(H$2:H6)+SUM(Q$2:Q6))/(SUM(H$2:H$22)+SUM(Q$2:Q$22))</f>
        <v>0.19029200087287054</v>
      </c>
      <c r="AC6" s="9">
        <f>(SUM(I$2:I6)+SUM(R$2:R6))/(SUM(I$2:I$22)+SUM(R$2:R$22))</f>
        <v>0.19090143567183179</v>
      </c>
      <c r="AD6" s="9">
        <f>(SUM(J$2:J6)+SUM(S$2:S6))/(SUM(J$2:J$22)+SUM(S$2:S$22))</f>
        <v>0.1913164821543907</v>
      </c>
    </row>
    <row r="7" spans="1:32" x14ac:dyDescent="0.2">
      <c r="A7" s="6" t="s">
        <v>22</v>
      </c>
      <c r="B7" s="7">
        <v>43685062</v>
      </c>
      <c r="C7">
        <f>Freeze[[#This Row],[2025女]]</f>
        <v>35219834.616000004</v>
      </c>
      <c r="D7">
        <f>Freeze[[#This Row],[2030女]]</f>
        <v>33546772.471543323</v>
      </c>
      <c r="E7">
        <f>Freeze[[#This Row],[2035女]]</f>
        <v>39510592.699915476</v>
      </c>
      <c r="F7">
        <f>Freeze[[#This Row],[2040女]]</f>
        <v>42049520.997717604</v>
      </c>
      <c r="G7">
        <f>Freeze[[#This Row],[2045女]]</f>
        <v>36653152.719473965</v>
      </c>
      <c r="H7">
        <f>Freeze[[#This Row],[2050女]]</f>
        <v>28587201.631490063</v>
      </c>
      <c r="I7">
        <f>Freeze[[#This Row],[2055女]]</f>
        <v>24989745.435092464</v>
      </c>
      <c r="J7">
        <f>Freeze[[#This Row],[2060女]]</f>
        <v>23317785.192597337</v>
      </c>
      <c r="K7" s="8">
        <v>48162270</v>
      </c>
      <c r="L7" s="6">
        <f>Freeze[[#This Row],[2025男]]</f>
        <v>39568869.813500002</v>
      </c>
      <c r="M7" s="6">
        <f>Freeze[[#This Row],[2030男]]</f>
        <v>38858318.806260027</v>
      </c>
      <c r="N7" s="6">
        <f>Freeze[[#This Row],[2035男]]</f>
        <v>45320046.517117284</v>
      </c>
      <c r="O7" s="6">
        <f>Freeze[[#This Row],[2040男]]</f>
        <v>47667842.370917402</v>
      </c>
      <c r="P7" s="6">
        <f>Freeze[[#This Row],[2045男]]</f>
        <v>40528684.244539037</v>
      </c>
      <c r="Q7" s="6">
        <f>Freeze[[#This Row],[2050男]]</f>
        <v>29905488.496553037</v>
      </c>
      <c r="R7" s="6">
        <f>Freeze[[#This Row],[2055男]]</f>
        <v>26142137.109976128</v>
      </c>
      <c r="S7" s="6">
        <f>Freeze[[#This Row],[2060男]]</f>
        <v>24393075.119118169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0.30704189727422726</v>
      </c>
      <c r="Y7" s="9">
        <f>(SUM(E$2:E7)+SUM(N$2:N7))/(SUM(E$2:E$22)+SUM(N$2:N$22))</f>
        <v>0.29339364053651912</v>
      </c>
      <c r="Z7" s="9">
        <f>(SUM(F$2:F7)+SUM(O$2:O7))/(SUM(F$2:F$22)+SUM(O$2:O$22))</f>
        <v>0.27314150302590229</v>
      </c>
      <c r="AA7" s="9">
        <f>(SUM(G$2:G7)+SUM(P$2:P7))/(SUM(G$2:G$22)+SUM(P$2:P$22))</f>
        <v>0.25061843163056202</v>
      </c>
      <c r="AB7" s="9">
        <f>(SUM(H$2:H7)+SUM(Q$2:Q7))/(SUM(H$2:H$22)+SUM(Q$2:Q$22))</f>
        <v>0.23605591910149695</v>
      </c>
      <c r="AC7" s="9">
        <f>(SUM(I$2:I7)+SUM(R$2:R7))/(SUM(I$2:I$22)+SUM(R$2:R$22))</f>
        <v>0.23301683829368852</v>
      </c>
      <c r="AD7" s="9">
        <f>(SUM(J$2:J7)+SUM(S$2:S7))/(SUM(J$2:J$22)+SUM(S$2:S$22))</f>
        <v>0.23308383507699817</v>
      </c>
    </row>
    <row r="8" spans="1:32" x14ac:dyDescent="0.2">
      <c r="A8" s="6" t="s">
        <v>23</v>
      </c>
      <c r="B8" s="7">
        <v>60273382</v>
      </c>
      <c r="C8">
        <f>Freeze[[#This Row],[2025女]]</f>
        <v>43623902.913199998</v>
      </c>
      <c r="D8">
        <f>Freeze[[#This Row],[2030女]]</f>
        <v>35170526.847537607</v>
      </c>
      <c r="E8">
        <f>Freeze[[#This Row],[2035女]]</f>
        <v>33499806.990083165</v>
      </c>
      <c r="F8">
        <f>Freeze[[#This Row],[2040女]]</f>
        <v>39455277.870135598</v>
      </c>
      <c r="G8">
        <f>Freeze[[#This Row],[2045女]]</f>
        <v>41990651.668320805</v>
      </c>
      <c r="H8">
        <f>Freeze[[#This Row],[2050女]]</f>
        <v>36601838.3056667</v>
      </c>
      <c r="I8">
        <f>Freeze[[#This Row],[2055女]]</f>
        <v>28547179.549205977</v>
      </c>
      <c r="J8">
        <f>Freeze[[#This Row],[2060女]]</f>
        <v>24954759.791483335</v>
      </c>
      <c r="K8" s="8">
        <v>63871808</v>
      </c>
      <c r="L8" s="6">
        <f>Freeze[[#This Row],[2025男]]</f>
        <v>48003334.509000003</v>
      </c>
      <c r="M8" s="6">
        <f>Freeze[[#This Row],[2030男]]</f>
        <v>39438292.543115452</v>
      </c>
      <c r="N8" s="6">
        <f>Freeze[[#This Row],[2035男]]</f>
        <v>38730086.354199372</v>
      </c>
      <c r="O8" s="6">
        <f>Freeze[[#This Row],[2040男]]</f>
        <v>45170490.363610797</v>
      </c>
      <c r="P8" s="6">
        <f>Freeze[[#This Row],[2045男]]</f>
        <v>47510538.491093375</v>
      </c>
      <c r="Q8" s="6">
        <f>Freeze[[#This Row],[2050男]]</f>
        <v>40394939.586532056</v>
      </c>
      <c r="R8" s="6">
        <f>Freeze[[#This Row],[2055男]]</f>
        <v>29806800.384514414</v>
      </c>
      <c r="S8" s="6">
        <f>Freeze[[#This Row],[2060男]]</f>
        <v>26055868.057513207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0.35964776330680526</v>
      </c>
      <c r="Y8" s="9">
        <f>(SUM(E$2:E8)+SUM(N$2:N8))/(SUM(E$2:E$22)+SUM(N$2:N$22))</f>
        <v>0.34501015132163038</v>
      </c>
      <c r="Z8" s="9">
        <f>(SUM(F$2:F8)+SUM(O$2:O8))/(SUM(F$2:F$22)+SUM(O$2:O$22))</f>
        <v>0.33491810005923861</v>
      </c>
      <c r="AA8" s="9">
        <f>(SUM(G$2:G8)+SUM(P$2:P8))/(SUM(G$2:G$22)+SUM(P$2:P$22))</f>
        <v>0.31790641705113692</v>
      </c>
      <c r="AB8" s="9">
        <f>(SUM(H$2:H8)+SUM(Q$2:Q8))/(SUM(H$2:H$22)+SUM(Q$2:Q$22))</f>
        <v>0.29629719437218155</v>
      </c>
      <c r="AC8" s="9">
        <f>(SUM(I$2:I8)+SUM(R$2:R8))/(SUM(I$2:I$22)+SUM(R$2:R$22))</f>
        <v>0.28108081006961932</v>
      </c>
      <c r="AD8" s="9">
        <f>(SUM(J$2:J8)+SUM(S$2:S8))/(SUM(J$2:J$22)+SUM(S$2:S$22))</f>
        <v>0.27773989204710609</v>
      </c>
    </row>
    <row r="9" spans="1:32" x14ac:dyDescent="0.2">
      <c r="A9" s="6" t="s">
        <v>24</v>
      </c>
      <c r="B9" s="7">
        <v>48080895</v>
      </c>
      <c r="C9">
        <f>Freeze[[#This Row],[2025女]]</f>
        <v>60158862.574199997</v>
      </c>
      <c r="D9">
        <f>Freeze[[#This Row],[2030女]]</f>
        <v>43541017.497664921</v>
      </c>
      <c r="E9">
        <f>Freeze[[#This Row],[2035女]]</f>
        <v>35103702.846527286</v>
      </c>
      <c r="F9">
        <f>Freeze[[#This Row],[2040女]]</f>
        <v>33436157.356802005</v>
      </c>
      <c r="G9">
        <f>Freeze[[#This Row],[2045女]]</f>
        <v>39380312.842182338</v>
      </c>
      <c r="H9">
        <f>Freeze[[#This Row],[2050女]]</f>
        <v>41910869.430150993</v>
      </c>
      <c r="I9">
        <f>Freeze[[#This Row],[2055女]]</f>
        <v>36532294.812885933</v>
      </c>
      <c r="J9">
        <f>Freeze[[#This Row],[2060女]]</f>
        <v>28492939.908062484</v>
      </c>
      <c r="K9" s="8">
        <v>50932037</v>
      </c>
      <c r="L9" s="6">
        <f>Freeze[[#This Row],[2025男]]</f>
        <v>63590772.044800006</v>
      </c>
      <c r="M9" s="6">
        <f>Freeze[[#This Row],[2030男]]</f>
        <v>47792119.837160408</v>
      </c>
      <c r="N9" s="6">
        <f>Freeze[[#This Row],[2035男]]</f>
        <v>39264764.055925749</v>
      </c>
      <c r="O9" s="6">
        <f>Freeze[[#This Row],[2040男]]</f>
        <v>38559673.974240899</v>
      </c>
      <c r="P9" s="6">
        <f>Freeze[[#This Row],[2045男]]</f>
        <v>44971740.206010908</v>
      </c>
      <c r="Q9" s="6">
        <f>Freeze[[#This Row],[2050男]]</f>
        <v>47301492.121732563</v>
      </c>
      <c r="R9" s="6">
        <f>Freeze[[#This Row],[2055男]]</f>
        <v>40217201.852351315</v>
      </c>
      <c r="S9" s="6">
        <f>Freeze[[#This Row],[2060男]]</f>
        <v>29675650.462822553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0.42404576378733283</v>
      </c>
      <c r="Y9" s="9">
        <f>(SUM(E$2:E9)+SUM(N$2:N9))/(SUM(E$2:E$22)+SUM(N$2:N$22))</f>
        <v>0.39815491723795043</v>
      </c>
      <c r="Z9" s="9">
        <f>(SUM(F$2:F9)+SUM(O$2:O9))/(SUM(F$2:F$22)+SUM(O$2:O$22))</f>
        <v>0.3874748750587037</v>
      </c>
      <c r="AA9" s="9">
        <f>(SUM(G$2:G9)+SUM(P$2:P9))/(SUM(G$2:G$22)+SUM(P$2:P$22))</f>
        <v>0.3813232241974201</v>
      </c>
      <c r="AB9" s="9">
        <f>(SUM(H$2:H9)+SUM(Q$2:Q9))/(SUM(H$2:H$22)+SUM(Q$2:Q$22))</f>
        <v>0.36609578305233681</v>
      </c>
      <c r="AC9" s="9">
        <f>(SUM(I$2:I9)+SUM(R$2:R9))/(SUM(I$2:I$22)+SUM(R$2:R$22))</f>
        <v>0.34429647497756161</v>
      </c>
      <c r="AD9" s="9">
        <f>(SUM(J$2:J9)+SUM(S$2:S9))/(SUM(J$2:J$22)+SUM(S$2:S$22))</f>
        <v>0.32866221931511308</v>
      </c>
    </row>
    <row r="10" spans="1:32" x14ac:dyDescent="0.2">
      <c r="A10" s="6" t="s">
        <v>25</v>
      </c>
      <c r="B10" s="7">
        <v>45322636</v>
      </c>
      <c r="C10">
        <f>Freeze[[#This Row],[2025女]]</f>
        <v>47951076.583499998</v>
      </c>
      <c r="D10">
        <f>Freeze[[#This Row],[2030女]]</f>
        <v>59996433.645249657</v>
      </c>
      <c r="E10">
        <f>Freeze[[#This Row],[2035女]]</f>
        <v>43423456.750421226</v>
      </c>
      <c r="F10">
        <f>Freeze[[#This Row],[2040女]]</f>
        <v>35008922.84884166</v>
      </c>
      <c r="G10">
        <f>Freeze[[#This Row],[2045女]]</f>
        <v>33345879.731938638</v>
      </c>
      <c r="H10">
        <f>Freeze[[#This Row],[2050女]]</f>
        <v>39273985.997508444</v>
      </c>
      <c r="I10">
        <f>Freeze[[#This Row],[2055女]]</f>
        <v>41797710.082689583</v>
      </c>
      <c r="J10">
        <f>Freeze[[#This Row],[2060女]]</f>
        <v>36433657.616891138</v>
      </c>
      <c r="K10" s="8">
        <v>47632694</v>
      </c>
      <c r="L10" s="6">
        <f>Freeze[[#This Row],[2025男]]</f>
        <v>50580605.944700003</v>
      </c>
      <c r="M10" s="6">
        <f>Freeze[[#This Row],[2030男]]</f>
        <v>63151995.717690885</v>
      </c>
      <c r="N10" s="6">
        <f>Freeze[[#This Row],[2035男]]</f>
        <v>47462354.210284002</v>
      </c>
      <c r="O10" s="6">
        <f>Freeze[[#This Row],[2040男]]</f>
        <v>38993837.183939859</v>
      </c>
      <c r="P10" s="6">
        <f>Freeze[[#This Row],[2045男]]</f>
        <v>38293612.223818637</v>
      </c>
      <c r="Q10" s="6">
        <f>Freeze[[#This Row],[2050男]]</f>
        <v>44661435.198589429</v>
      </c>
      <c r="R10" s="6">
        <f>Freeze[[#This Row],[2055男]]</f>
        <v>46975111.826092608</v>
      </c>
      <c r="S10" s="6">
        <f>Freeze[[#This Row],[2060男]]</f>
        <v>39939703.15957009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0.51087638019567738</v>
      </c>
      <c r="Y10" s="9">
        <f>(SUM(E$2:E10)+SUM(N$2:N10))/(SUM(E$2:E$22)+SUM(N$2:N$22))</f>
        <v>0.46310321252763426</v>
      </c>
      <c r="Z10" s="9">
        <f>(SUM(F$2:F10)+SUM(O$2:O10))/(SUM(F$2:F$22)+SUM(O$2:O$22))</f>
        <v>0.44149670294063703</v>
      </c>
      <c r="AA10" s="9">
        <f>(SUM(G$2:G10)+SUM(P$2:P10))/(SUM(G$2:G$22)+SUM(P$2:P$22))</f>
        <v>0.43518258720332476</v>
      </c>
      <c r="AB10" s="9">
        <f>(SUM(H$2:H10)+SUM(Q$2:Q10))/(SUM(H$2:H$22)+SUM(Q$2:Q$22))</f>
        <v>0.43176576238983955</v>
      </c>
      <c r="AC10" s="9">
        <f>(SUM(I$2:I10)+SUM(R$2:R10))/(SUM(I$2:I$22)+SUM(R$2:R$22))</f>
        <v>0.41741529928979743</v>
      </c>
      <c r="AD10" s="9">
        <f>(SUM(J$2:J10)+SUM(S$2:S10))/(SUM(J$2:J$22)+SUM(S$2:S$22))</f>
        <v>0.39552148558268851</v>
      </c>
    </row>
    <row r="11" spans="1:32" x14ac:dyDescent="0.2">
      <c r="A11" s="6" t="s">
        <v>26</v>
      </c>
      <c r="B11" s="7">
        <v>56033201</v>
      </c>
      <c r="C11">
        <f>Freeze[[#This Row],[2025女]]</f>
        <v>45127748.665200002</v>
      </c>
      <c r="D11">
        <f>Freeze[[#This Row],[2030女]]</f>
        <v>47744886.954190947</v>
      </c>
      <c r="E11">
        <f>Freeze[[#This Row],[2035女]]</f>
        <v>59738448.980575085</v>
      </c>
      <c r="F11">
        <f>Freeze[[#This Row],[2040女]]</f>
        <v>43236735.886394419</v>
      </c>
      <c r="G11">
        <f>Freeze[[#This Row],[2045女]]</f>
        <v>34858384.48059164</v>
      </c>
      <c r="H11">
        <f>Freeze[[#This Row],[2050女]]</f>
        <v>33202492.449091304</v>
      </c>
      <c r="I11">
        <f>Freeze[[#This Row],[2055女]]</f>
        <v>39105107.857719161</v>
      </c>
      <c r="J11">
        <f>Freeze[[#This Row],[2060女]]</f>
        <v>41617979.929334022</v>
      </c>
      <c r="K11" s="8">
        <v>58191686</v>
      </c>
      <c r="L11" s="6">
        <f>Freeze[[#This Row],[2025男]]</f>
        <v>47108734.365999997</v>
      </c>
      <c r="M11" s="6">
        <f>Freeze[[#This Row],[2030男]]</f>
        <v>50024219.279308304</v>
      </c>
      <c r="N11" s="6">
        <f>Freeze[[#This Row],[2035男]]</f>
        <v>62457323.764796287</v>
      </c>
      <c r="O11" s="6">
        <f>Freeze[[#This Row],[2040男]]</f>
        <v>46940268.313970879</v>
      </c>
      <c r="P11" s="6">
        <f>Freeze[[#This Row],[2045男]]</f>
        <v>38564904.974916518</v>
      </c>
      <c r="Q11" s="6">
        <f>Freeze[[#This Row],[2050男]]</f>
        <v>37872382.48935663</v>
      </c>
      <c r="R11" s="6">
        <f>Freeze[[#This Row],[2055男]]</f>
        <v>44170159.411404945</v>
      </c>
      <c r="S11" s="6">
        <f>Freeze[[#This Row],[2060男]]</f>
        <v>46458385.596005589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0.57981231225639418</v>
      </c>
      <c r="Y11" s="9">
        <f>(SUM(E$2:E11)+SUM(N$2:N11))/(SUM(E$2:E$22)+SUM(N$2:N$22))</f>
        <v>0.55042605255652288</v>
      </c>
      <c r="Z11" s="9">
        <f>(SUM(F$2:F11)+SUM(O$2:O11))/(SUM(F$2:F$22)+SUM(O$2:O$22))</f>
        <v>0.50732568820635604</v>
      </c>
      <c r="AA11" s="9">
        <f>(SUM(G$2:G11)+SUM(P$2:P11))/(SUM(G$2:G$22)+SUM(P$2:P$22))</f>
        <v>0.49038302891379981</v>
      </c>
      <c r="AB11" s="9">
        <f>(SUM(H$2:H11)+SUM(Q$2:Q11))/(SUM(H$2:H$22)+SUM(Q$2:Q$22))</f>
        <v>0.48737381798914181</v>
      </c>
      <c r="AC11" s="9">
        <f>(SUM(I$2:I11)+SUM(R$2:R11))/(SUM(I$2:I$22)+SUM(R$2:R$22))</f>
        <v>0.48600599524922361</v>
      </c>
      <c r="AD11" s="9">
        <f>(SUM(J$2:J11)+SUM(S$2:S11))/(SUM(J$2:J$22)+SUM(S$2:S$22))</f>
        <v>0.47262587269712752</v>
      </c>
    </row>
    <row r="12" spans="1:32" x14ac:dyDescent="0.2">
      <c r="A12" s="6" t="s">
        <v>27</v>
      </c>
      <c r="B12" s="7">
        <v>60058826</v>
      </c>
      <c r="C12">
        <f>Freeze[[#This Row],[2025女]]</f>
        <v>55640968.593000002</v>
      </c>
      <c r="D12">
        <f>Freeze[[#This Row],[2030女]]</f>
        <v>44811854.424543604</v>
      </c>
      <c r="E12">
        <f>Freeze[[#This Row],[2035女]]</f>
        <v>47410672.745511614</v>
      </c>
      <c r="F12">
        <f>Freeze[[#This Row],[2040女]]</f>
        <v>59320279.837711059</v>
      </c>
      <c r="G12">
        <f>Freeze[[#This Row],[2045女]]</f>
        <v>42934078.735189654</v>
      </c>
      <c r="H12">
        <f>Freeze[[#This Row],[2050女]]</f>
        <v>34614375.789227501</v>
      </c>
      <c r="I12">
        <f>Freeze[[#This Row],[2055女]]</f>
        <v>32970075.001947664</v>
      </c>
      <c r="J12">
        <f>Freeze[[#This Row],[2060女]]</f>
        <v>38831372.102715127</v>
      </c>
      <c r="K12" s="8">
        <v>61105470</v>
      </c>
      <c r="L12" s="6">
        <f>Freeze[[#This Row],[2025男]]</f>
        <v>57214065.6752</v>
      </c>
      <c r="M12" s="6">
        <f>Freeze[[#This Row],[2030男]]</f>
        <v>46317307.628651194</v>
      </c>
      <c r="N12" s="6">
        <f>Freeze[[#This Row],[2035男]]</f>
        <v>49183812.395415924</v>
      </c>
      <c r="O12" s="6">
        <f>Freeze[[#This Row],[2040男]]</f>
        <v>61408040.725547709</v>
      </c>
      <c r="P12" s="6">
        <f>Freeze[[#This Row],[2045男]]</f>
        <v>46151671.80629617</v>
      </c>
      <c r="Q12" s="6">
        <f>Freeze[[#This Row],[2050男]]</f>
        <v>37917014.571337916</v>
      </c>
      <c r="R12" s="6">
        <f>Freeze[[#This Row],[2055男]]</f>
        <v>37236126.463535435</v>
      </c>
      <c r="S12" s="6">
        <f>Freeze[[#This Row],[2060男]]</f>
        <v>43428100.73329334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0.64406649198721633</v>
      </c>
      <c r="Y12" s="9">
        <f>(SUM(E$2:E12)+SUM(N$2:N12))/(SUM(E$2:E$22)+SUM(N$2:N$22))</f>
        <v>0.61945384774229018</v>
      </c>
      <c r="Z12" s="9">
        <f>(SUM(F$2:F12)+SUM(O$2:O12))/(SUM(F$2:F$22)+SUM(O$2:O$22))</f>
        <v>0.59545705723981046</v>
      </c>
      <c r="AA12" s="9">
        <f>(SUM(G$2:G12)+SUM(P$2:P12))/(SUM(G$2:G$22)+SUM(P$2:P$22))</f>
        <v>0.55735868223125407</v>
      </c>
      <c r="AB12" s="9">
        <f>(SUM(H$2:H12)+SUM(Q$2:Q12))/(SUM(H$2:H$22)+SUM(Q$2:Q$22))</f>
        <v>0.54412143226715437</v>
      </c>
      <c r="AC12" s="9">
        <f>(SUM(I$2:I12)+SUM(R$2:R12))/(SUM(I$2:I$22)+SUM(R$2:R$22))</f>
        <v>0.5438321947572089</v>
      </c>
      <c r="AD12" s="9">
        <f>(SUM(J$2:J12)+SUM(S$2:S12))/(SUM(J$2:J$22)+SUM(S$2:S$22))</f>
        <v>0.54463799762469978</v>
      </c>
    </row>
    <row r="13" spans="1:32" x14ac:dyDescent="0.2">
      <c r="A13" s="6" t="s">
        <v>28</v>
      </c>
      <c r="B13" s="7">
        <v>50584760</v>
      </c>
      <c r="C13">
        <f>Freeze[[#This Row],[2025女]]</f>
        <v>59368149.501000002</v>
      </c>
      <c r="D13">
        <f>Freeze[[#This Row],[2030女]]</f>
        <v>55001097.454180501</v>
      </c>
      <c r="E13">
        <f>Freeze[[#This Row],[2035女]]</f>
        <v>44296518.098661356</v>
      </c>
      <c r="F13">
        <f>Freeze[[#This Row],[2040女]]</f>
        <v>46865450.008938231</v>
      </c>
      <c r="G13">
        <f>Freeze[[#This Row],[2045女]]</f>
        <v>58638096.619577385</v>
      </c>
      <c r="H13">
        <f>Freeze[[#This Row],[2050女]]</f>
        <v>42440336.829734974</v>
      </c>
      <c r="I13">
        <f>Freeze[[#This Row],[2055女]]</f>
        <v>34216310.46765139</v>
      </c>
      <c r="J13">
        <f>Freeze[[#This Row],[2060女]]</f>
        <v>32590919.139425267</v>
      </c>
      <c r="K13" s="8">
        <v>50816026</v>
      </c>
      <c r="L13" s="6">
        <f>Freeze[[#This Row],[2025男]]</f>
        <v>59528948.873999998</v>
      </c>
      <c r="M13" s="6">
        <f>Freeze[[#This Row],[2030男]]</f>
        <v>55737942.780779839</v>
      </c>
      <c r="N13" s="6">
        <f>Freeze[[#This Row],[2035男]]</f>
        <v>45122321.09183199</v>
      </c>
      <c r="O13" s="6">
        <f>Freeze[[#This Row],[2040男]]</f>
        <v>47914870.035614192</v>
      </c>
      <c r="P13" s="6">
        <f>Freeze[[#This Row],[2045男]]</f>
        <v>59823713.274828576</v>
      </c>
      <c r="Q13" s="6">
        <f>Freeze[[#This Row],[2050男]]</f>
        <v>44960958.673693724</v>
      </c>
      <c r="R13" s="6">
        <f>Freeze[[#This Row],[2055男]]</f>
        <v>36938755.595397398</v>
      </c>
      <c r="S13" s="6">
        <f>Freeze[[#This Row],[2060男]]</f>
        <v>36275434.400776222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0.72214738326461414</v>
      </c>
      <c r="Y13" s="9">
        <f>(SUM(E$2:E13)+SUM(N$2:N13))/(SUM(E$2:E$22)+SUM(N$2:N$22))</f>
        <v>0.68335382410621182</v>
      </c>
      <c r="Z13" s="9">
        <f>(SUM(F$2:F13)+SUM(O$2:O13))/(SUM(F$2:F$22)+SUM(O$2:O$22))</f>
        <v>0.66464645144312451</v>
      </c>
      <c r="AA13" s="9">
        <f>(SUM(G$2:G13)+SUM(P$2:P13))/(SUM(G$2:G$22)+SUM(P$2:P$22))</f>
        <v>0.64641958212400552</v>
      </c>
      <c r="AB13" s="9">
        <f>(SUM(H$2:H13)+SUM(Q$2:Q13))/(SUM(H$2:H$22)+SUM(Q$2:Q$22))</f>
        <v>0.61250306648057706</v>
      </c>
      <c r="AC13" s="9">
        <f>(SUM(I$2:I13)+SUM(R$2:R13))/(SUM(I$2:I$22)+SUM(R$2:R$22))</f>
        <v>0.60243993823680309</v>
      </c>
      <c r="AD13" s="9">
        <f>(SUM(J$2:J13)+SUM(S$2:S13))/(SUM(J$2:J$22)+SUM(S$2:S$22))</f>
        <v>0.60492543059099135</v>
      </c>
    </row>
    <row r="14" spans="1:32" x14ac:dyDescent="0.2">
      <c r="A14" s="6" t="s">
        <v>29</v>
      </c>
      <c r="B14" s="7">
        <v>36511813</v>
      </c>
      <c r="C14">
        <f>Freeze[[#This Row],[2025女]]</f>
        <v>49694468.223999999</v>
      </c>
      <c r="D14">
        <f>Freeze[[#This Row],[2030女]]</f>
        <v>58323270.069782406</v>
      </c>
      <c r="E14">
        <f>Freeze[[#This Row],[2035女]]</f>
        <v>54033078.13898693</v>
      </c>
      <c r="F14">
        <f>Freeze[[#This Row],[2040女]]</f>
        <v>43516899.380124919</v>
      </c>
      <c r="G14">
        <f>Freeze[[#This Row],[2045女]]</f>
        <v>46040618.088780917</v>
      </c>
      <c r="H14">
        <f>Freeze[[#This Row],[2050女]]</f>
        <v>57606066.119072825</v>
      </c>
      <c r="I14">
        <f>Freeze[[#This Row],[2055女]]</f>
        <v>41693386.901531637</v>
      </c>
      <c r="J14">
        <f>Freeze[[#This Row],[2060女]]</f>
        <v>33614103.403420724</v>
      </c>
      <c r="K14" s="8">
        <v>36871125</v>
      </c>
      <c r="L14" s="6">
        <f>Freeze[[#This Row],[2025男]]</f>
        <v>48768140.152199998</v>
      </c>
      <c r="M14" s="6">
        <f>Freeze[[#This Row],[2030男]]</f>
        <v>57129932.234377801</v>
      </c>
      <c r="N14" s="6">
        <f>Freeze[[#This Row],[2035男]]</f>
        <v>53491703.686714411</v>
      </c>
      <c r="O14" s="6">
        <f>Freeze[[#This Row],[2040男]]</f>
        <v>43303891.551831163</v>
      </c>
      <c r="P14" s="6">
        <f>Freeze[[#This Row],[2045男]]</f>
        <v>45983900.773178943</v>
      </c>
      <c r="Q14" s="6">
        <f>Freeze[[#This Row],[2050男]]</f>
        <v>57412817.62985298</v>
      </c>
      <c r="R14" s="6">
        <f>Freeze[[#This Row],[2055男]]</f>
        <v>43149032.039143868</v>
      </c>
      <c r="S14" s="6">
        <f>Freeze[[#This Row],[2060男]]</f>
        <v>35450123.744902879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0.80355217887790154</v>
      </c>
      <c r="Y14" s="9">
        <f>(SUM(E$2:E14)+SUM(N$2:N14))/(SUM(E$2:E$22)+SUM(N$2:N$22))</f>
        <v>0.76019256501807797</v>
      </c>
      <c r="Z14" s="9">
        <f>(SUM(F$2:F14)+SUM(O$2:O14))/(SUM(F$2:F$22)+SUM(O$2:O$22))</f>
        <v>0.72802540950119943</v>
      </c>
      <c r="AA14" s="9">
        <f>(SUM(G$2:G14)+SUM(P$2:P14))/(SUM(G$2:G$22)+SUM(P$2:P$22))</f>
        <v>0.71560463399303542</v>
      </c>
      <c r="AB14" s="9">
        <f>(SUM(H$2:H14)+SUM(Q$2:Q14))/(SUM(H$2:H$22)+SUM(Q$2:Q$22))</f>
        <v>0.70249234170644259</v>
      </c>
      <c r="AC14" s="9">
        <f>(SUM(I$2:I14)+SUM(R$2:R14))/(SUM(I$2:I$22)+SUM(R$2:R$22))</f>
        <v>0.67232143790482979</v>
      </c>
      <c r="AD14" s="9">
        <f>(SUM(J$2:J14)+SUM(S$2:S14))/(SUM(J$2:J$22)+SUM(S$2:S$22))</f>
        <v>0.66538608736357197</v>
      </c>
    </row>
    <row r="15" spans="1:32" x14ac:dyDescent="0.2">
      <c r="A15" s="6" t="s">
        <v>30</v>
      </c>
      <c r="B15" s="7">
        <v>37667637</v>
      </c>
      <c r="C15">
        <f>Freeze[[#This Row],[2025女]]</f>
        <v>35463923.966899998</v>
      </c>
      <c r="D15">
        <f>Freeze[[#This Row],[2030女]]</f>
        <v>48268236.985971205</v>
      </c>
      <c r="E15">
        <f>Freeze[[#This Row],[2035女]]</f>
        <v>56649392.218779653</v>
      </c>
      <c r="F15">
        <f>Freeze[[#This Row],[2040女]]</f>
        <v>52482328.796398006</v>
      </c>
      <c r="G15">
        <f>Freeze[[#This Row],[2045女]]</f>
        <v>42267964.36791534</v>
      </c>
      <c r="H15">
        <f>Freeze[[#This Row],[2050女]]</f>
        <v>44719252.349632904</v>
      </c>
      <c r="I15">
        <f>Freeze[[#This Row],[2055女]]</f>
        <v>55952772.021455437</v>
      </c>
      <c r="J15">
        <f>Freeze[[#This Row],[2060女]]</f>
        <v>40496786.697457679</v>
      </c>
      <c r="K15" s="8">
        <v>36337923</v>
      </c>
      <c r="L15" s="6">
        <f>Freeze[[#This Row],[2025男]]</f>
        <v>34585115.25</v>
      </c>
      <c r="M15" s="6">
        <f>Freeze[[#This Row],[2030男]]</f>
        <v>45744515.462763593</v>
      </c>
      <c r="N15" s="6">
        <f>Freeze[[#This Row],[2035男]]</f>
        <v>53587876.435846373</v>
      </c>
      <c r="O15" s="6">
        <f>Freeze[[#This Row],[2040男]]</f>
        <v>50175218.058138117</v>
      </c>
      <c r="P15" s="6">
        <f>Freeze[[#This Row],[2045男]]</f>
        <v>40619050.275617629</v>
      </c>
      <c r="Q15" s="6">
        <f>Freeze[[#This Row],[2050男]]</f>
        <v>43132898.925241843</v>
      </c>
      <c r="R15" s="6">
        <f>Freeze[[#This Row],[2055男]]</f>
        <v>53853222.936802089</v>
      </c>
      <c r="S15" s="6">
        <f>Freeze[[#This Row],[2060男]]</f>
        <v>40473792.052716948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0.86983954679317033</v>
      </c>
      <c r="Y15" s="9">
        <f>(SUM(E$2:E15)+SUM(N$2:N15))/(SUM(E$2:E$22)+SUM(N$2:N$22))</f>
        <v>0.83896968766051527</v>
      </c>
      <c r="Z15" s="9">
        <f>(SUM(F$2:F15)+SUM(O$2:O15))/(SUM(F$2:F$22)+SUM(O$2:O$22))</f>
        <v>0.80296515937675295</v>
      </c>
      <c r="AA15" s="9">
        <f>(SUM(G$2:G15)+SUM(P$2:P15))/(SUM(G$2:G$22)+SUM(P$2:P$22))</f>
        <v>0.77792000905067504</v>
      </c>
      <c r="AB15" s="9">
        <f>(SUM(H$2:H15)+SUM(Q$2:Q15))/(SUM(H$2:H$22)+SUM(Q$2:Q$22))</f>
        <v>0.77122671959795908</v>
      </c>
      <c r="AC15" s="9">
        <f>(SUM(I$2:I15)+SUM(R$2:R15))/(SUM(I$2:I$22)+SUM(R$2:R$22))</f>
        <v>0.76276449334845531</v>
      </c>
      <c r="AD15" s="9">
        <f>(SUM(J$2:J15)+SUM(S$2:S15))/(SUM(J$2:J$22)+SUM(S$2:S$22))</f>
        <v>0.73626988021305617</v>
      </c>
    </row>
    <row r="16" spans="1:32" x14ac:dyDescent="0.2">
      <c r="A16" s="6" t="s">
        <v>31</v>
      </c>
      <c r="B16" s="7">
        <v>25427303</v>
      </c>
      <c r="C16">
        <f>Freeze[[#This Row],[2025女]]</f>
        <v>35780488.386299998</v>
      </c>
      <c r="D16">
        <f>Freeze[[#This Row],[2030女]]</f>
        <v>33687181.376158305</v>
      </c>
      <c r="E16">
        <f>Freeze[[#This Row],[2035女]]</f>
        <v>45849998.312974043</v>
      </c>
      <c r="F16">
        <f>Freeze[[#This Row],[2040女]]</f>
        <v>53811257.668618791</v>
      </c>
      <c r="G16">
        <f>Freeze[[#This Row],[2045女]]</f>
        <v>49852964.123698466</v>
      </c>
      <c r="H16">
        <f>Freeze[[#This Row],[2050女]]</f>
        <v>40150339.353082784</v>
      </c>
      <c r="I16">
        <f>Freeze[[#This Row],[2055女]]</f>
        <v>42478817.806916296</v>
      </c>
      <c r="J16">
        <f>Freeze[[#This Row],[2060女]]</f>
        <v>53149538.143180519</v>
      </c>
      <c r="K16" s="8">
        <v>24162733</v>
      </c>
      <c r="L16" s="6">
        <f>Freeze[[#This Row],[2025男]]</f>
        <v>32871285.145799998</v>
      </c>
      <c r="M16" s="6">
        <f>Freeze[[#This Row],[2030男]]</f>
        <v>31285695.255149998</v>
      </c>
      <c r="N16" s="6">
        <f>Freeze[[#This Row],[2035男]]</f>
        <v>41380488.687615946</v>
      </c>
      <c r="O16" s="6">
        <f>Freeze[[#This Row],[2040男]]</f>
        <v>48475593.023866624</v>
      </c>
      <c r="P16" s="6">
        <f>Freeze[[#This Row],[2045男]]</f>
        <v>45388502.255391739</v>
      </c>
      <c r="Q16" s="6">
        <f>Freeze[[#This Row],[2050男]]</f>
        <v>36743992.879323706</v>
      </c>
      <c r="R16" s="6">
        <f>Freeze[[#This Row],[2055男]]</f>
        <v>39018020.367773771</v>
      </c>
      <c r="S16" s="6">
        <f>Freeze[[#This Row],[2060男]]</f>
        <v>48715625.468631171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0.91565121452539056</v>
      </c>
      <c r="Y16" s="9">
        <f>(SUM(E$2:E16)+SUM(N$2:N16))/(SUM(E$2:E$22)+SUM(N$2:N$22))</f>
        <v>0.90130583637383588</v>
      </c>
      <c r="Z16" s="9">
        <f>(SUM(F$2:F16)+SUM(O$2:O16))/(SUM(F$2:F$22)+SUM(O$2:O$22))</f>
        <v>0.87763430199044334</v>
      </c>
      <c r="AA16" s="9">
        <f>(SUM(G$2:G16)+SUM(P$2:P16))/(SUM(G$2:G$22)+SUM(P$2:P$22))</f>
        <v>0.84952359767039909</v>
      </c>
      <c r="AB16" s="9">
        <f>(SUM(H$2:H16)+SUM(Q$2:Q16))/(SUM(H$2:H$22)+SUM(Q$2:Q$22))</f>
        <v>0.83138784271993338</v>
      </c>
      <c r="AC16" s="9">
        <f>(SUM(I$2:I16)+SUM(R$2:R16))/(SUM(I$2:I$22)+SUM(R$2:R$22))</f>
        <v>0.82989036435682495</v>
      </c>
      <c r="AD16" s="9">
        <f>(SUM(J$2:J16)+SUM(S$2:S16))/(SUM(J$2:J$22)+SUM(S$2:S$22))</f>
        <v>0.82544534699978611</v>
      </c>
    </row>
    <row r="17" spans="1:30" x14ac:dyDescent="0.2">
      <c r="A17" s="6" t="s">
        <v>32</v>
      </c>
      <c r="B17" s="7">
        <v>16486416</v>
      </c>
      <c r="C17">
        <f>Freeze[[#This Row],[2025女]]</f>
        <v>23077820.202799998</v>
      </c>
      <c r="D17">
        <f>Freeze[[#This Row],[2030女]]</f>
        <v>32474371.259405877</v>
      </c>
      <c r="E17">
        <f>Freeze[[#This Row],[2035女]]</f>
        <v>30574485.817001276</v>
      </c>
      <c r="F17">
        <f>Freeze[[#This Row],[2040女]]</f>
        <v>41613458.468855239</v>
      </c>
      <c r="G17">
        <f>Freeze[[#This Row],[2045女]]</f>
        <v>48839097.460038416</v>
      </c>
      <c r="H17">
        <f>Freeze[[#This Row],[2050女]]</f>
        <v>45246550.238668725</v>
      </c>
      <c r="I17">
        <f>Freeze[[#This Row],[2055女]]</f>
        <v>36440447.996857934</v>
      </c>
      <c r="J17">
        <f>Freeze[[#This Row],[2060女]]</f>
        <v>38553775.04155723</v>
      </c>
      <c r="K17" s="8">
        <v>14752433</v>
      </c>
      <c r="L17" s="6">
        <f>Freeze[[#This Row],[2025男]]</f>
        <v>20429590.751499999</v>
      </c>
      <c r="M17" s="6">
        <f>Freeze[[#This Row],[2030男]]</f>
        <v>27792671.590773899</v>
      </c>
      <c r="N17" s="6">
        <f>Freeze[[#This Row],[2035男]]</f>
        <v>26452055.338229325</v>
      </c>
      <c r="O17" s="6">
        <f>Freeze[[#This Row],[2040男]]</f>
        <v>34987203.185379282</v>
      </c>
      <c r="P17" s="6">
        <f>Freeze[[#This Row],[2045男]]</f>
        <v>40986113.901679233</v>
      </c>
      <c r="Q17" s="6">
        <f>Freeze[[#This Row],[2050男]]</f>
        <v>38375978.656933717</v>
      </c>
      <c r="R17" s="6">
        <f>Freeze[[#This Row],[2055男]]</f>
        <v>31067045.979468193</v>
      </c>
      <c r="S17" s="6">
        <f>Freeze[[#This Row],[2060男]]</f>
        <v>32989736.220952723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0.95814485010694184</v>
      </c>
      <c r="Y17" s="9">
        <f>(SUM(E$2:E17)+SUM(N$2:N17))/(SUM(E$2:E$22)+SUM(N$2:N$22))</f>
        <v>0.94205781509470088</v>
      </c>
      <c r="Z17" s="9">
        <f>(SUM(F$2:F17)+SUM(O$2:O17))/(SUM(F$2:F$22)+SUM(O$2:O$22))</f>
        <v>0.93355259149335079</v>
      </c>
      <c r="AA17" s="9">
        <f>(SUM(G$2:G17)+SUM(P$2:P17))/(SUM(G$2:G$22)+SUM(P$2:P$22))</f>
        <v>0.91705518581734813</v>
      </c>
      <c r="AB17" s="9">
        <f>(SUM(H$2:H17)+SUM(Q$2:Q17))/(SUM(H$2:H$22)+SUM(Q$2:Q$22))</f>
        <v>0.89681301920048262</v>
      </c>
      <c r="AC17" s="9">
        <f>(SUM(I$2:I17)+SUM(R$2:R17))/(SUM(I$2:I$22)+SUM(R$2:R$22))</f>
        <v>0.8854937403189671</v>
      </c>
      <c r="AD17" s="9">
        <f>(SUM(J$2:J17)+SUM(S$2:S17))/(SUM(J$2:J$22)+SUM(S$2:S$22))</f>
        <v>0.88807643486323506</v>
      </c>
    </row>
    <row r="18" spans="1:30" x14ac:dyDescent="0.2">
      <c r="A18" s="6" t="s">
        <v>33</v>
      </c>
      <c r="B18" s="7">
        <v>11225875</v>
      </c>
      <c r="C18">
        <f>Freeze[[#This Row],[2025女]]</f>
        <v>13715049.4704</v>
      </c>
      <c r="D18">
        <f>Freeze[[#This Row],[2030女]]</f>
        <v>19198438.62670932</v>
      </c>
      <c r="E18">
        <f>Freeze[[#This Row],[2035女]]</f>
        <v>27015429.45069975</v>
      </c>
      <c r="F18">
        <f>Freeze[[#This Row],[2040女]]</f>
        <v>25434914.75116336</v>
      </c>
      <c r="G18">
        <f>Freeze[[#This Row],[2045女]]</f>
        <v>34618236.10024067</v>
      </c>
      <c r="H18">
        <f>Freeze[[#This Row],[2050女]]</f>
        <v>40629245.177005954</v>
      </c>
      <c r="I18">
        <f>Freeze[[#This Row],[2055女]]</f>
        <v>37640605.143548511</v>
      </c>
      <c r="J18">
        <f>Freeze[[#This Row],[2060女]]</f>
        <v>30314808.688586116</v>
      </c>
      <c r="K18" s="8">
        <v>9157003</v>
      </c>
      <c r="L18" s="6">
        <f>Freeze[[#This Row],[2025男]]</f>
        <v>11083502.912899999</v>
      </c>
      <c r="M18" s="6">
        <f>Freeze[[#This Row],[2030男]]</f>
        <v>15348751.531601949</v>
      </c>
      <c r="N18" s="6">
        <f>Freeze[[#This Row],[2035男]]</f>
        <v>20880634.166148428</v>
      </c>
      <c r="O18" s="6">
        <f>Freeze[[#This Row],[2040男]]</f>
        <v>19873429.17561169</v>
      </c>
      <c r="P18" s="6">
        <f>Freeze[[#This Row],[2045男]]</f>
        <v>26285885.753175452</v>
      </c>
      <c r="Q18" s="6">
        <f>Freeze[[#This Row],[2050男]]</f>
        <v>30792867.374331605</v>
      </c>
      <c r="R18" s="6">
        <f>Freeze[[#This Row],[2055男]]</f>
        <v>28831872.764954302</v>
      </c>
      <c r="S18" s="6">
        <f>Freeze[[#This Row],[2060男]]</f>
        <v>23340671.644374453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0.98250369765490086</v>
      </c>
      <c r="Y18" s="9">
        <f>(SUM(E$2:E18)+SUM(N$2:N18))/(SUM(E$2:E$22)+SUM(N$2:N$22))</f>
        <v>0.97628502449205634</v>
      </c>
      <c r="Z18" s="9">
        <f>(SUM(F$2:F18)+SUM(O$2:O18))/(SUM(F$2:F$22)+SUM(O$2:O$22))</f>
        <v>0.96662756810426953</v>
      </c>
      <c r="AA18" s="9">
        <f>(SUM(G$2:G18)+SUM(P$2:P18))/(SUM(G$2:G$22)+SUM(P$2:P$22))</f>
        <v>0.96284357875409321</v>
      </c>
      <c r="AB18" s="9">
        <f>(SUM(H$2:H18)+SUM(Q$2:Q18))/(SUM(H$2:H$22)+SUM(Q$2:Q$22))</f>
        <v>0.9526927489814202</v>
      </c>
      <c r="AC18" s="9">
        <f>(SUM(I$2:I18)+SUM(R$2:R18))/(SUM(I$2:I$22)+SUM(R$2:R$22))</f>
        <v>0.94024461259364878</v>
      </c>
      <c r="AD18" s="9">
        <f>(SUM(J$2:J18)+SUM(S$2:S18))/(SUM(J$2:J$22)+SUM(S$2:S$22))</f>
        <v>0.93504786586777089</v>
      </c>
    </row>
    <row r="19" spans="1:30" x14ac:dyDescent="0.2">
      <c r="A19" s="6" t="s">
        <v>34</v>
      </c>
      <c r="B19" s="7">
        <v>6400439</v>
      </c>
      <c r="C19">
        <f>Freeze[[#This Row],[2025女]]</f>
        <v>7876073.9000000004</v>
      </c>
      <c r="D19">
        <f>Freeze[[#This Row],[2030女]]</f>
        <v>9622478.7084326409</v>
      </c>
      <c r="E19">
        <f>Freeze[[#This Row],[2035女]]</f>
        <v>13469624.540499259</v>
      </c>
      <c r="F19">
        <f>Freeze[[#This Row],[2040女]]</f>
        <v>18954025.302610945</v>
      </c>
      <c r="G19">
        <f>Freeze[[#This Row],[2045女]]</f>
        <v>17845136.189416215</v>
      </c>
      <c r="H19">
        <f>Freeze[[#This Row],[2050女]]</f>
        <v>24288154.447928853</v>
      </c>
      <c r="I19">
        <f>Freeze[[#This Row],[2055女]]</f>
        <v>28505478.416187376</v>
      </c>
      <c r="J19">
        <f>Freeze[[#This Row],[2060女]]</f>
        <v>26408648.568713635</v>
      </c>
      <c r="K19" s="8">
        <v>4426091</v>
      </c>
      <c r="L19" s="6">
        <f>Freeze[[#This Row],[2025男]]</f>
        <v>5560132.2215999998</v>
      </c>
      <c r="M19" s="6">
        <f>Freeze[[#This Row],[2030男]]</f>
        <v>6729902.9687128793</v>
      </c>
      <c r="N19" s="6">
        <f>Freeze[[#This Row],[2035男]]</f>
        <v>9319761.9299887028</v>
      </c>
      <c r="O19" s="6">
        <f>Freeze[[#This Row],[2040男]]</f>
        <v>12678721.065685324</v>
      </c>
      <c r="P19" s="6">
        <f>Freeze[[#This Row],[2045男]]</f>
        <v>12067146.195431417</v>
      </c>
      <c r="Q19" s="6">
        <f>Freeze[[#This Row],[2050男]]</f>
        <v>15960789.829328133</v>
      </c>
      <c r="R19" s="6">
        <f>Freeze[[#This Row],[2055男]]</f>
        <v>18697429.06969415</v>
      </c>
      <c r="S19" s="6">
        <f>Freeze[[#This Row],[2060男]]</f>
        <v>17506713.14288025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0.99403358389150398</v>
      </c>
      <c r="Y19" s="9">
        <f>(SUM(E$2:E19)+SUM(N$2:N19))/(SUM(E$2:E$22)+SUM(N$2:N$22))</f>
        <v>0.99257064472595535</v>
      </c>
      <c r="Z19" s="9">
        <f>(SUM(F$2:F19)+SUM(O$2:O19))/(SUM(F$2:F$22)+SUM(O$2:O$22))</f>
        <v>0.98971939304409573</v>
      </c>
      <c r="AA19" s="9">
        <f>(SUM(G$2:G19)+SUM(P$2:P19))/(SUM(G$2:G$22)+SUM(P$2:P$22))</f>
        <v>0.98533196374006693</v>
      </c>
      <c r="AB19" s="9">
        <f>(SUM(H$2:H19)+SUM(Q$2:Q19))/(SUM(H$2:H$22)+SUM(Q$2:Q$22))</f>
        <v>0.98418299828711686</v>
      </c>
      <c r="AC19" s="9">
        <f>(SUM(I$2:I19)+SUM(R$2:R19))/(SUM(I$2:I$22)+SUM(R$2:R$22))</f>
        <v>0.97912386668600349</v>
      </c>
      <c r="AD19" s="9">
        <f>(SUM(J$2:J19)+SUM(S$2:S19))/(SUM(J$2:J$22)+SUM(S$2:S$22))</f>
        <v>0.97349253861834173</v>
      </c>
    </row>
    <row r="20" spans="1:30" x14ac:dyDescent="0.2">
      <c r="A20" s="6" t="s">
        <v>35</v>
      </c>
      <c r="B20" s="7">
        <v>2285155</v>
      </c>
      <c r="C20">
        <f>Freeze[[#This Row],[2025女]]</f>
        <v>3358310.3433000003</v>
      </c>
      <c r="D20">
        <f>Freeze[[#This Row],[2030女]]</f>
        <v>4132575.9753300007</v>
      </c>
      <c r="E20">
        <f>Freeze[[#This Row],[2035女]]</f>
        <v>5048914.578314607</v>
      </c>
      <c r="F20">
        <f>Freeze[[#This Row],[2040女]]</f>
        <v>7067511.9963999614</v>
      </c>
      <c r="G20">
        <f>Freeze[[#This Row],[2045女]]</f>
        <v>9945177.0762799643</v>
      </c>
      <c r="H20">
        <f>Freeze[[#This Row],[2050女]]</f>
        <v>9363342.9585866891</v>
      </c>
      <c r="I20">
        <f>Freeze[[#This Row],[2055女]]</f>
        <v>12743994.63882827</v>
      </c>
      <c r="J20">
        <f>Freeze[[#This Row],[2060女]]</f>
        <v>14956824.524973517</v>
      </c>
      <c r="K20" s="8">
        <v>1367594</v>
      </c>
      <c r="L20" s="6">
        <f>Freeze[[#This Row],[2025男]]</f>
        <v>1951463.5219000001</v>
      </c>
      <c r="M20" s="6">
        <f>Freeze[[#This Row],[2030男]]</f>
        <v>2451462.29650344</v>
      </c>
      <c r="N20" s="6">
        <f>Freeze[[#This Row],[2035男]]</f>
        <v>2967214.2189055085</v>
      </c>
      <c r="O20" s="6">
        <f>Freeze[[#This Row],[2040男]]</f>
        <v>4109083.0349320192</v>
      </c>
      <c r="P20" s="6">
        <f>Freeze[[#This Row],[2045男]]</f>
        <v>5590048.11786066</v>
      </c>
      <c r="Q20" s="6">
        <f>Freeze[[#This Row],[2050男]]</f>
        <v>5320404.7575657116</v>
      </c>
      <c r="R20" s="6">
        <f>Freeze[[#This Row],[2055男]]</f>
        <v>7037112.2357507739</v>
      </c>
      <c r="S20" s="6">
        <f>Freeze[[#This Row],[2060男]]</f>
        <v>8243696.4768281514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0.99867591757417351</v>
      </c>
      <c r="Y20" s="9">
        <f>(SUM(E$2:E20)+SUM(N$2:N20))/(SUM(E$2:E$22)+SUM(N$2:N$22))</f>
        <v>0.99829908456379868</v>
      </c>
      <c r="Z20" s="9">
        <f>(SUM(F$2:F20)+SUM(O$2:O20))/(SUM(F$2:F$22)+SUM(O$2:O$22))</f>
        <v>0.99787827918322392</v>
      </c>
      <c r="AA20" s="9">
        <f>(SUM(G$2:G20)+SUM(P$2:P20))/(SUM(G$2:G$22)+SUM(P$2:P$22))</f>
        <v>0.99701151799523136</v>
      </c>
      <c r="AB20" s="9">
        <f>(SUM(H$2:H20)+SUM(Q$2:Q20))/(SUM(H$2:H$22)+SUM(Q$2:Q$22))</f>
        <v>0.99567137107867021</v>
      </c>
      <c r="AC20" s="9">
        <f>(SUM(I$2:I20)+SUM(R$2:R20))/(SUM(I$2:I$22)+SUM(R$2:R$22))</f>
        <v>0.9954168181452927</v>
      </c>
      <c r="AD20" s="9">
        <f>(SUM(J$2:J20)+SUM(S$2:S20))/(SUM(J$2:J$22)+SUM(S$2:S$22))</f>
        <v>0.99380289023094226</v>
      </c>
    </row>
    <row r="21" spans="1:30" x14ac:dyDescent="0.2">
      <c r="A21" s="6" t="s">
        <v>36</v>
      </c>
      <c r="B21" s="7">
        <v>548357</v>
      </c>
      <c r="C21">
        <f>Freeze[[#This Row],[2025女]]</f>
        <v>735819.91</v>
      </c>
      <c r="D21">
        <f>Freeze[[#This Row],[2030女]]</f>
        <v>1081375.9305426001</v>
      </c>
      <c r="E21">
        <f>Freeze[[#This Row],[2035女]]</f>
        <v>1330689.4640562602</v>
      </c>
      <c r="F21">
        <f>Freeze[[#This Row],[2040女]]</f>
        <v>1625750.4942173036</v>
      </c>
      <c r="G21">
        <f>Freeze[[#This Row],[2045女]]</f>
        <v>2275738.8628407875</v>
      </c>
      <c r="H21">
        <f>Freeze[[#This Row],[2050女]]</f>
        <v>3202347.0185621488</v>
      </c>
      <c r="I21">
        <f>Freeze[[#This Row],[2055女]]</f>
        <v>3014996.4326649141</v>
      </c>
      <c r="J21">
        <f>Freeze[[#This Row],[2060女]]</f>
        <v>4103566.273702703</v>
      </c>
      <c r="K21" s="8">
        <v>271455</v>
      </c>
      <c r="L21" s="6">
        <f>Freeze[[#This Row],[2025男]]</f>
        <v>385387.98920000001</v>
      </c>
      <c r="M21" s="6">
        <f>Freeze[[#This Row],[2030男]]</f>
        <v>549922.42047142005</v>
      </c>
      <c r="N21" s="6">
        <f>Freeze[[#This Row],[2035男]]</f>
        <v>690822.07515466935</v>
      </c>
      <c r="O21" s="6">
        <f>Freeze[[#This Row],[2040男]]</f>
        <v>836160.96688757231</v>
      </c>
      <c r="P21" s="6">
        <f>Freeze[[#This Row],[2045男]]</f>
        <v>1157939.599243843</v>
      </c>
      <c r="Q21" s="6">
        <f>Freeze[[#This Row],[2050男]]</f>
        <v>1575275.559613134</v>
      </c>
      <c r="R21" s="6">
        <f>Freeze[[#This Row],[2055男]]</f>
        <v>1499290.0606820176</v>
      </c>
      <c r="S21" s="6">
        <f>Freeze[[#This Row],[2060男]]</f>
        <v>1983058.228034568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0.9998261282759846</v>
      </c>
      <c r="Y21" s="9">
        <f>(SUM(E$2:E21)+SUM(N$2:N21))/(SUM(E$2:E$22)+SUM(N$2:N$22))</f>
        <v>0.99974368550857018</v>
      </c>
      <c r="Z21" s="9">
        <f>(SUM(F$2:F21)+SUM(O$2:O21))/(SUM(F$2:F$22)+SUM(O$2:O$22))</f>
        <v>0.99967546833067533</v>
      </c>
      <c r="AA21" s="9">
        <f>(SUM(G$2:G21)+SUM(P$2:P21))/(SUM(G$2:G$22)+SUM(P$2:P$22))</f>
        <v>0.99959299546926472</v>
      </c>
      <c r="AB21" s="9">
        <f>(SUM(H$2:H21)+SUM(Q$2:Q21))/(SUM(H$2:H$22)+SUM(Q$2:Q$22))</f>
        <v>0.9994093207013709</v>
      </c>
      <c r="AC21" s="9">
        <f>(SUM(I$2:I21)+SUM(R$2:R21))/(SUM(I$2:I$22)+SUM(R$2:R$22))</f>
        <v>0.9991350656213196</v>
      </c>
      <c r="AD21" s="9">
        <f>(SUM(J$2:J21)+SUM(S$2:S21))/(SUM(J$2:J$22)+SUM(S$2:S$22))</f>
        <v>0.99913128280258157</v>
      </c>
    </row>
    <row r="22" spans="1:30" x14ac:dyDescent="0.2">
      <c r="A22" s="6" t="s">
        <v>37</v>
      </c>
      <c r="B22" s="7">
        <v>83737</v>
      </c>
      <c r="C22">
        <f>Freeze[[#This Row],[2025女]]</f>
        <v>118719.2905</v>
      </c>
      <c r="D22">
        <f>Freeze[[#This Row],[2030女]]</f>
        <v>159305.010515</v>
      </c>
      <c r="E22">
        <f>Freeze[[#This Row],[2035女]]</f>
        <v>234117.88896247293</v>
      </c>
      <c r="F22">
        <f>Freeze[[#This Row],[2040女]]</f>
        <v>288094.26896818035</v>
      </c>
      <c r="G22">
        <f>Freeze[[#This Row],[2045女]]</f>
        <v>351974.98199804622</v>
      </c>
      <c r="H22">
        <f>Freeze[[#This Row],[2050女]]</f>
        <v>492697.46380503051</v>
      </c>
      <c r="I22">
        <f>Freeze[[#This Row],[2055女]]</f>
        <v>693308.12951870519</v>
      </c>
      <c r="J22">
        <f>Freeze[[#This Row],[2060女]]</f>
        <v>652746.72767195385</v>
      </c>
      <c r="K22" s="8">
        <v>35129</v>
      </c>
      <c r="L22" s="6">
        <f>Freeze[[#This Row],[2025男]]</f>
        <v>61484.557500000003</v>
      </c>
      <c r="M22" s="6">
        <f>Freeze[[#This Row],[2030男]]</f>
        <v>87290.379553800012</v>
      </c>
      <c r="N22" s="6">
        <f>Freeze[[#This Row],[2035男]]</f>
        <v>124557.42823677664</v>
      </c>
      <c r="O22" s="6">
        <f>Freeze[[#This Row],[2040男]]</f>
        <v>156471.2000225326</v>
      </c>
      <c r="P22" s="6">
        <f>Freeze[[#This Row],[2045男]]</f>
        <v>189390.45900003513</v>
      </c>
      <c r="Q22" s="6">
        <f>Freeze[[#This Row],[2050男]]</f>
        <v>262273.31922873046</v>
      </c>
      <c r="R22" s="6">
        <f>Freeze[[#This Row],[2055男]]</f>
        <v>356799.91425237485</v>
      </c>
      <c r="S22" s="6">
        <f>Freeze[[#This Row],[2060男]]</f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44.373701313801099</v>
      </c>
      <c r="Y23" s="3">
        <f t="shared" si="0"/>
        <v>47.112665338195562</v>
      </c>
      <c r="Z23" s="3">
        <f t="shared" si="0"/>
        <v>49.443581867714819</v>
      </c>
      <c r="AA23" s="3">
        <f t="shared" si="0"/>
        <v>50.717945298765301</v>
      </c>
      <c r="AB23" s="3">
        <f t="shared" si="0"/>
        <v>51.112485711646059</v>
      </c>
      <c r="AC23" s="3">
        <f t="shared" si="0"/>
        <v>51.21000557444934</v>
      </c>
      <c r="AD23" s="3">
        <f t="shared" si="0"/>
        <v>51.900660988021436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6.9913398338271531</v>
      </c>
      <c r="E25" s="3">
        <f t="shared" si="1"/>
        <v>6.9330470018440513</v>
      </c>
      <c r="F25" s="3">
        <f t="shared" si="1"/>
        <v>6.8193369679075708</v>
      </c>
      <c r="G25" s="3">
        <f t="shared" si="1"/>
        <v>6.6486630439121948</v>
      </c>
      <c r="H25" s="3">
        <f t="shared" si="1"/>
        <v>6.4103520494694672</v>
      </c>
      <c r="I25" s="3">
        <f t="shared" si="1"/>
        <v>6.1044166740779282</v>
      </c>
      <c r="J25" s="3">
        <f t="shared" si="1"/>
        <v>5.7515466237304604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7.1912646963309301</v>
      </c>
      <c r="N25" s="3">
        <f t="shared" si="2"/>
        <v>7.0605167330214105</v>
      </c>
      <c r="O25" s="3">
        <f t="shared" si="2"/>
        <v>6.879340573051838</v>
      </c>
      <c r="P25" s="3">
        <f t="shared" si="2"/>
        <v>6.6525510732884463</v>
      </c>
      <c r="Q25" s="3">
        <f t="shared" si="2"/>
        <v>6.3710470072779248</v>
      </c>
      <c r="R25" s="3">
        <f>SUM(R2:R22)/100000000</f>
        <v>6.0364817530767318</v>
      </c>
      <c r="S25" s="3">
        <f t="shared" si="2"/>
        <v>5.6714565050818955</v>
      </c>
      <c r="V25" s="5"/>
      <c r="W25" s="5">
        <f t="shared" ref="W25:X25" si="3">((0.5-W9)/(W10-W9)*5)+$U10</f>
        <v>41.860793424246822</v>
      </c>
      <c r="X25" s="5">
        <f t="shared" si="3"/>
        <v>44.373701313801099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7.1912646963309301</v>
      </c>
      <c r="E26" s="3">
        <f t="shared" si="4"/>
        <v>7.0605167330214105</v>
      </c>
      <c r="F26" s="3">
        <f t="shared" si="4"/>
        <v>6.879340573051838</v>
      </c>
      <c r="G26" s="3">
        <f t="shared" si="4"/>
        <v>6.6525510732884463</v>
      </c>
      <c r="H26" s="3">
        <f t="shared" si="4"/>
        <v>6.3710470072779248</v>
      </c>
      <c r="I26" s="3">
        <f t="shared" si="4"/>
        <v>6.0364817530767318</v>
      </c>
      <c r="J26" s="3">
        <f t="shared" si="4"/>
        <v>5.6714565050818955</v>
      </c>
      <c r="V26" s="5"/>
      <c r="W26" s="5"/>
      <c r="X26" s="5"/>
      <c r="Y26" s="5">
        <f>((0.5-Y10)/(Y11-Y10)*5)+$U11</f>
        <v>47.112665338195562</v>
      </c>
      <c r="Z26" s="5">
        <f>((0.5-Z10)/(Z11-Z10)*5)+$U11</f>
        <v>49.443581867714819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5">C25+C26</f>
        <v>14.227353060274199</v>
      </c>
      <c r="D27" s="3">
        <f t="shared" si="5"/>
        <v>14.182604530158084</v>
      </c>
      <c r="E27" s="3">
        <f t="shared" si="5"/>
        <v>13.993563734865461</v>
      </c>
      <c r="F27" s="3">
        <f t="shared" si="5"/>
        <v>13.698677540959409</v>
      </c>
      <c r="G27" s="3">
        <f t="shared" si="5"/>
        <v>13.30121411720064</v>
      </c>
      <c r="H27" s="3">
        <f t="shared" si="5"/>
        <v>12.781399056747393</v>
      </c>
      <c r="I27" s="3">
        <f t="shared" si="5"/>
        <v>12.14089842715466</v>
      </c>
      <c r="J27" s="3">
        <f t="shared" si="5"/>
        <v>11.423003128812356</v>
      </c>
      <c r="V27" s="5"/>
      <c r="W27" s="5"/>
      <c r="X27" s="5"/>
      <c r="Y27" s="5"/>
      <c r="Z27" s="5"/>
      <c r="AA27" s="5">
        <f>((0.5-AA11)/(AA12-AA11)*5)+$U12</f>
        <v>50.717945298765301</v>
      </c>
      <c r="AB27" s="5">
        <f t="shared" ref="AB27:AD27" si="6">((0.5-AB11)/(AB12-AB11)*5)+$U12</f>
        <v>51.112485711646059</v>
      </c>
      <c r="AC27" s="5">
        <f t="shared" si="6"/>
        <v>51.21000557444934</v>
      </c>
      <c r="AD27" s="5">
        <f t="shared" si="6"/>
        <v>51.900660988021436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1.0385748219776874</v>
      </c>
      <c r="D28" s="2">
        <f t="shared" si="7"/>
        <v>1.0285960727493826</v>
      </c>
      <c r="E28" s="2">
        <f t="shared" si="7"/>
        <v>1.0183858166753312</v>
      </c>
      <c r="F28" s="2">
        <f t="shared" si="7"/>
        <v>1.0087990380042298</v>
      </c>
      <c r="G28" s="2">
        <f t="shared" si="7"/>
        <v>1.000584783640045</v>
      </c>
      <c r="H28" s="2">
        <f t="shared" si="7"/>
        <v>0.99386850489829259</v>
      </c>
      <c r="I28" s="2">
        <f t="shared" si="7"/>
        <v>0.98887118546647079</v>
      </c>
      <c r="J28" s="2">
        <f t="shared" si="7"/>
        <v>0.98607502922464041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0.1721235544614709</v>
      </c>
      <c r="D29" s="2">
        <f t="shared" si="8"/>
        <v>0.2125829489133933</v>
      </c>
      <c r="E29" s="2">
        <f t="shared" si="8"/>
        <v>0.25987513458853667</v>
      </c>
      <c r="F29" s="2">
        <f t="shared" si="8"/>
        <v>0.29515676185890444</v>
      </c>
      <c r="G29" s="2">
        <f t="shared" si="8"/>
        <v>0.30983114620472019</v>
      </c>
      <c r="H29" s="2">
        <f t="shared" si="8"/>
        <v>0.32461856603413092</v>
      </c>
      <c r="I29" s="2">
        <f t="shared" si="8"/>
        <v>0.35625094451604805</v>
      </c>
      <c r="J29" s="2">
        <f t="shared" si="8"/>
        <v>0.36274885403001622</v>
      </c>
      <c r="K29" s="2">
        <f t="shared" ref="K29:S29" si="9">SUM(K15:K22)/(K25*10^8)</f>
        <v>0.12546202408591231</v>
      </c>
      <c r="L29" s="2">
        <f t="shared" si="9"/>
        <v>0.14752174745050295</v>
      </c>
      <c r="M29" s="2">
        <f t="shared" si="9"/>
        <v>0.18076126716883825</v>
      </c>
      <c r="N29" s="2">
        <f t="shared" si="9"/>
        <v>0.22010203524243172</v>
      </c>
      <c r="O29" s="2">
        <f t="shared" si="9"/>
        <v>0.24899462076571394</v>
      </c>
      <c r="P29" s="2">
        <f t="shared" si="9"/>
        <v>0.25897445154410159</v>
      </c>
      <c r="Q29" s="2">
        <f t="shared" si="9"/>
        <v>0.27022949462607254</v>
      </c>
      <c r="R29" s="2">
        <f t="shared" si="9"/>
        <v>0.29878462440054532</v>
      </c>
      <c r="S29" s="2">
        <f t="shared" si="9"/>
        <v>0.30608166046520013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0.14752174745050295</v>
      </c>
      <c r="D30" s="2">
        <f t="shared" si="10"/>
        <v>0.18076126716883825</v>
      </c>
      <c r="E30" s="2">
        <f t="shared" si="10"/>
        <v>0.22010203524243172</v>
      </c>
      <c r="F30" s="2">
        <f t="shared" si="10"/>
        <v>0.24899462076571394</v>
      </c>
      <c r="G30" s="2">
        <f t="shared" si="10"/>
        <v>0.25897445154410159</v>
      </c>
      <c r="H30" s="2">
        <f t="shared" si="10"/>
        <v>0.27022949462607254</v>
      </c>
      <c r="I30" s="2">
        <f t="shared" si="10"/>
        <v>0.29878462440054532</v>
      </c>
      <c r="J30" s="2">
        <f t="shared" si="10"/>
        <v>0.30608166046520013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0.15958988777370234</v>
      </c>
      <c r="D31" s="2">
        <f t="shared" si="11"/>
        <v>0.19644782112209852</v>
      </c>
      <c r="E31" s="2">
        <f t="shared" si="11"/>
        <v>0.239807434981922</v>
      </c>
      <c r="F31" s="2">
        <f t="shared" si="11"/>
        <v>0.27197459049880046</v>
      </c>
      <c r="G31" s="2">
        <f t="shared" si="11"/>
        <v>0.28439536600696447</v>
      </c>
      <c r="H31" s="2">
        <f t="shared" si="11"/>
        <v>0.29750765829355713</v>
      </c>
      <c r="I31" s="2">
        <f t="shared" si="11"/>
        <v>0.3276785620951701</v>
      </c>
      <c r="J31" s="2">
        <f t="shared" si="11"/>
        <v>0.33461391263642792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2">(D2+M2)/50000</f>
        <v>1031.8866964301465</v>
      </c>
      <c r="E32" s="1">
        <f t="shared" si="12"/>
        <v>962.84743647961955</v>
      </c>
      <c r="F32" s="1">
        <f t="shared" si="12"/>
        <v>980.47598834600581</v>
      </c>
      <c r="G32" s="1">
        <f t="shared" si="12"/>
        <v>988.41993260619745</v>
      </c>
      <c r="H32" s="1">
        <f t="shared" si="12"/>
        <v>920.1116977289247</v>
      </c>
      <c r="I32" s="1">
        <f t="shared" si="12"/>
        <v>802.34493856117899</v>
      </c>
      <c r="J32" s="1">
        <f t="shared" si="12"/>
        <v>697.74425884826894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1121.3837566623758</v>
      </c>
      <c r="E33" s="1">
        <f t="shared" si="13"/>
        <v>1340.9290270648598</v>
      </c>
      <c r="F33" s="1">
        <f t="shared" si="13"/>
        <v>1570.2483761581111</v>
      </c>
      <c r="G33" s="1">
        <f t="shared" si="13"/>
        <v>1783.3467801237298</v>
      </c>
      <c r="H33" s="1">
        <f t="shared" si="13"/>
        <v>1959.7418186354232</v>
      </c>
      <c r="I33" s="1">
        <f t="shared" si="13"/>
        <v>2083.3461977466441</v>
      </c>
      <c r="J33" s="1">
        <f t="shared" si="13"/>
        <v>2133.5348555328774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10779.562503635365</v>
      </c>
      <c r="D36" s="4">
        <f t="shared" si="14"/>
        <v>9065.7294472693957</v>
      </c>
      <c r="E36" s="4">
        <f t="shared" si="14"/>
        <v>7726.6556339408053</v>
      </c>
      <c r="F36" s="4">
        <f t="shared" si="14"/>
        <v>7240.744308080064</v>
      </c>
      <c r="G36" s="4">
        <f t="shared" si="14"/>
        <v>7135.2089777429001</v>
      </c>
      <c r="H36" s="4">
        <f t="shared" si="14"/>
        <v>7030.7645797189771</v>
      </c>
      <c r="I36" s="4">
        <f t="shared" si="14"/>
        <v>6596.7120480682152</v>
      </c>
      <c r="J36" s="4">
        <f t="shared" si="14"/>
        <v>5889.1794159304081</v>
      </c>
      <c r="K36" s="4">
        <f t="shared" si="14"/>
        <v>13459.357900000001</v>
      </c>
      <c r="L36" s="4">
        <f t="shared" si="14"/>
        <v>11902.601379726633</v>
      </c>
      <c r="M36" s="4">
        <f t="shared" si="14"/>
        <v>9733.6306710620665</v>
      </c>
      <c r="N36" s="4">
        <f t="shared" si="14"/>
        <v>8108.6865204019859</v>
      </c>
      <c r="O36" s="4">
        <f t="shared" si="14"/>
        <v>7598.9275378840866</v>
      </c>
      <c r="P36" s="4">
        <f t="shared" si="14"/>
        <v>7488.2472204224523</v>
      </c>
      <c r="Q36" s="4">
        <f t="shared" si="14"/>
        <v>7378.5278306516575</v>
      </c>
      <c r="R36" s="4">
        <f t="shared" si="14"/>
        <v>6922.8593539357335</v>
      </c>
      <c r="S36" s="4">
        <f t="shared" si="14"/>
        <v>6180.2882338653635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45985.27250369564</v>
      </c>
      <c r="E37" s="4">
        <f t="shared" si="15"/>
        <v>43586.549157370959</v>
      </c>
      <c r="F37" s="4">
        <f t="shared" si="15"/>
        <v>40824.89119627246</v>
      </c>
      <c r="G37" s="4">
        <f t="shared" si="15"/>
        <v>38751.792545136253</v>
      </c>
      <c r="H37" s="4">
        <f t="shared" si="15"/>
        <v>36263.563014248371</v>
      </c>
      <c r="I37" s="4">
        <f t="shared" si="15"/>
        <v>32700.412634113316</v>
      </c>
      <c r="J37" s="4">
        <f t="shared" si="15"/>
        <v>30762.617354789854</v>
      </c>
      <c r="K37" s="4">
        <f t="shared" si="15"/>
        <v>49631.2454</v>
      </c>
      <c r="L37" s="4">
        <f t="shared" si="15"/>
        <v>49887.449286349998</v>
      </c>
      <c r="M37" s="4">
        <f t="shared" si="15"/>
        <v>49179.995101694141</v>
      </c>
      <c r="N37" s="4">
        <f t="shared" si="15"/>
        <v>46956.139781799546</v>
      </c>
      <c r="O37" s="4">
        <f t="shared" si="15"/>
        <v>44065.29022158197</v>
      </c>
      <c r="P37" s="4">
        <f t="shared" si="15"/>
        <v>41808.855856722002</v>
      </c>
      <c r="Q37" s="4">
        <f t="shared" si="15"/>
        <v>39115.494111970926</v>
      </c>
      <c r="R37" s="4">
        <f t="shared" si="15"/>
        <v>35405.878843893814</v>
      </c>
      <c r="S37" s="4">
        <f t="shared" si="15"/>
        <v>33174.988573637303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14862.396387306493</v>
      </c>
      <c r="E38" s="4">
        <f t="shared" si="16"/>
        <v>18017.265227128733</v>
      </c>
      <c r="F38" s="4">
        <f t="shared" si="16"/>
        <v>20127.73417472318</v>
      </c>
      <c r="G38" s="4">
        <f t="shared" si="16"/>
        <v>20599.628916242793</v>
      </c>
      <c r="H38" s="4">
        <f t="shared" si="16"/>
        <v>20809.192900727307</v>
      </c>
      <c r="I38" s="4">
        <f t="shared" si="16"/>
        <v>21747.042058597748</v>
      </c>
      <c r="J38" s="4">
        <f t="shared" si="16"/>
        <v>20863.669466584335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12999.021190553098</v>
      </c>
      <c r="N38" s="4">
        <f t="shared" si="16"/>
        <v>15540.341028012574</v>
      </c>
      <c r="O38" s="4">
        <f t="shared" si="16"/>
        <v>17129.187971052317</v>
      </c>
      <c r="P38" s="4">
        <f t="shared" si="16"/>
        <v>17228.40765574</v>
      </c>
      <c r="Q38" s="4">
        <f t="shared" si="16"/>
        <v>17216.448130156656</v>
      </c>
      <c r="R38" s="4">
        <f t="shared" si="16"/>
        <v>18036.079332937767</v>
      </c>
      <c r="S38" s="4">
        <f t="shared" si="16"/>
        <v>17359.288243316274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23.411200383581047</v>
      </c>
      <c r="D39">
        <f t="shared" si="17"/>
        <v>19.754434145327551</v>
      </c>
      <c r="E39">
        <f t="shared" si="17"/>
        <v>17.489365889035486</v>
      </c>
      <c r="F39">
        <f t="shared" si="17"/>
        <v>17.481022655516455</v>
      </c>
      <c r="G39">
        <f t="shared" si="17"/>
        <v>18.152108365885546</v>
      </c>
      <c r="H39">
        <f t="shared" si="17"/>
        <v>19.115776927592549</v>
      </c>
      <c r="I39">
        <f t="shared" si="17"/>
        <v>19.85069383255097</v>
      </c>
      <c r="J39">
        <f t="shared" si="17"/>
        <v>18.876946477017825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29.276876195408953</v>
      </c>
      <c r="E40">
        <f t="shared" si="18"/>
        <v>37.062745372722901</v>
      </c>
      <c r="F40">
        <f t="shared" si="18"/>
        <v>43.888376162592905</v>
      </c>
      <c r="G40">
        <f t="shared" si="18"/>
        <v>46.955973322466747</v>
      </c>
      <c r="H40">
        <f t="shared" si="18"/>
        <v>50.445896354489427</v>
      </c>
      <c r="I40">
        <f t="shared" si="18"/>
        <v>58.413283895192379</v>
      </c>
      <c r="J40">
        <f t="shared" si="18"/>
        <v>59.781652995715916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14.227353060274199</v>
      </c>
      <c r="P57" s="5">
        <f t="shared" si="19"/>
        <v>14.182604530158084</v>
      </c>
      <c r="Q57" s="5">
        <f t="shared" si="19"/>
        <v>13.993563734865461</v>
      </c>
      <c r="R57" s="5">
        <f t="shared" si="19"/>
        <v>13.698677540959409</v>
      </c>
      <c r="S57" s="5">
        <f t="shared" si="19"/>
        <v>13.30121411720064</v>
      </c>
      <c r="T57" s="5">
        <f t="shared" si="19"/>
        <v>12.781399056747393</v>
      </c>
      <c r="U57" s="5">
        <f t="shared" si="19"/>
        <v>12.14089842715466</v>
      </c>
      <c r="V57" s="5">
        <f t="shared" si="19"/>
        <v>11.423003128812356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7.2482846901116638</v>
      </c>
      <c r="P62" s="5">
        <f t="shared" si="20"/>
        <v>7.1912646963309301</v>
      </c>
      <c r="Q62" s="5">
        <f t="shared" si="20"/>
        <v>7.0605167330214105</v>
      </c>
      <c r="R62" s="5">
        <f t="shared" si="20"/>
        <v>6.879340573051838</v>
      </c>
      <c r="S62" s="5">
        <f t="shared" si="20"/>
        <v>6.6525510732884463</v>
      </c>
      <c r="T62" s="5">
        <f t="shared" si="20"/>
        <v>6.3710470072779248</v>
      </c>
      <c r="U62" s="5">
        <f t="shared" si="20"/>
        <v>6.0364817530767318</v>
      </c>
      <c r="V62" s="5">
        <f t="shared" si="20"/>
        <v>5.6714565050818955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6.9790683701625351</v>
      </c>
      <c r="P67" s="5">
        <f t="shared" si="21"/>
        <v>6.9913398338271531</v>
      </c>
      <c r="Q67" s="5">
        <f t="shared" si="21"/>
        <v>6.9330470018440513</v>
      </c>
      <c r="R67" s="5">
        <f t="shared" si="21"/>
        <v>6.8193369679075708</v>
      </c>
      <c r="S67" s="5">
        <f t="shared" si="21"/>
        <v>6.6486630439121948</v>
      </c>
      <c r="T67" s="5">
        <f t="shared" si="21"/>
        <v>6.4103520494694672</v>
      </c>
      <c r="U67" s="5">
        <f t="shared" si="21"/>
        <v>6.1044166740779282</v>
      </c>
      <c r="V67" s="5">
        <f t="shared" si="21"/>
        <v>5.7515466237304604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1180.4343156804002</v>
      </c>
      <c r="P72" s="5">
        <f t="shared" si="22"/>
        <v>1031.8866964301465</v>
      </c>
      <c r="Q72" s="5">
        <f t="shared" si="22"/>
        <v>962.84743647961955</v>
      </c>
      <c r="R72" s="5">
        <f t="shared" si="22"/>
        <v>980.47598834600581</v>
      </c>
      <c r="S72" s="5">
        <f t="shared" si="22"/>
        <v>988.41993260619745</v>
      </c>
      <c r="T72" s="5">
        <f t="shared" si="22"/>
        <v>920.1116977289247</v>
      </c>
      <c r="U72" s="5">
        <f t="shared" si="22"/>
        <v>802.34493856117899</v>
      </c>
      <c r="V72" s="5">
        <f t="shared" si="22"/>
        <v>697.74425884826894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1121.3837566623758</v>
      </c>
      <c r="Q77" s="5">
        <f t="shared" si="23"/>
        <v>1340.9290270648598</v>
      </c>
      <c r="R77" s="5">
        <f t="shared" si="23"/>
        <v>1570.2483761581111</v>
      </c>
      <c r="S77" s="5">
        <f t="shared" si="23"/>
        <v>1783.3467801237298</v>
      </c>
      <c r="T77" s="5">
        <f t="shared" si="23"/>
        <v>1959.7418186354232</v>
      </c>
      <c r="U77" s="5">
        <f t="shared" si="23"/>
        <v>2083.3461977466441</v>
      </c>
      <c r="V77" s="5">
        <f t="shared" si="23"/>
        <v>2133.5348555328774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22682.163883361998</v>
      </c>
      <c r="P89" s="4">
        <f t="shared" si="24"/>
        <v>18799.36011833146</v>
      </c>
      <c r="Q89" s="4">
        <f t="shared" si="24"/>
        <v>15835.34215434279</v>
      </c>
      <c r="R89" s="4">
        <f t="shared" si="24"/>
        <v>14839.671845964151</v>
      </c>
      <c r="S89" s="4">
        <f t="shared" si="24"/>
        <v>14623.456198165353</v>
      </c>
      <c r="T89" s="4">
        <f t="shared" si="24"/>
        <v>14409.292410370635</v>
      </c>
      <c r="U89" s="4">
        <f t="shared" si="24"/>
        <v>13519.571402003949</v>
      </c>
      <c r="V89" s="4">
        <f t="shared" si="24"/>
        <v>12069.467649795772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95165.267605389789</v>
      </c>
      <c r="Q90" s="4">
        <f t="shared" si="24"/>
        <v>90542.688939170504</v>
      </c>
      <c r="R90" s="4">
        <f t="shared" si="24"/>
        <v>84890.18141785443</v>
      </c>
      <c r="S90" s="4">
        <f t="shared" si="24"/>
        <v>80560.648401858256</v>
      </c>
      <c r="T90" s="4">
        <f t="shared" si="24"/>
        <v>75379.057126219297</v>
      </c>
      <c r="U90" s="4">
        <f t="shared" si="24"/>
        <v>68106.29147800713</v>
      </c>
      <c r="V90" s="4">
        <f t="shared" si="24"/>
        <v>63937.605928427161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27861.417577859589</v>
      </c>
      <c r="Q91" s="4">
        <f t="shared" si="24"/>
        <v>33557.606255141305</v>
      </c>
      <c r="R91" s="4">
        <f t="shared" si="24"/>
        <v>37256.922145775497</v>
      </c>
      <c r="S91" s="4">
        <f t="shared" si="24"/>
        <v>37828.036571982797</v>
      </c>
      <c r="T91" s="4">
        <f t="shared" si="24"/>
        <v>38025.641030883962</v>
      </c>
      <c r="U91" s="4">
        <f t="shared" si="24"/>
        <v>39783.121391535518</v>
      </c>
      <c r="V91" s="4">
        <f t="shared" si="24"/>
        <v>38222.957709900613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 AF2">
    <cfRule type="cellIs" dxfId="197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7A4D-8A03-408A-834D-72DF3F18C515}">
  <dimension ref="A1:AE91"/>
  <sheetViews>
    <sheetView workbookViewId="0">
      <selection activeCell="AD31" sqref="AD31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10">
        <v>27615678.356957801</v>
      </c>
      <c r="D2" s="10">
        <v>24140480.1020322</v>
      </c>
      <c r="E2" s="10">
        <v>22525340.681337502</v>
      </c>
      <c r="F2" s="10">
        <v>22937436.865057498</v>
      </c>
      <c r="G2" s="10">
        <v>23091214.255263999</v>
      </c>
      <c r="H2" s="10">
        <v>21340327.4223447</v>
      </c>
      <c r="I2" s="10">
        <v>18363352.306496501</v>
      </c>
      <c r="J2" s="10">
        <v>15784108.0944234</v>
      </c>
      <c r="K2" s="8">
        <v>40969331</v>
      </c>
      <c r="L2" s="10">
        <v>31406037.427062199</v>
      </c>
      <c r="M2" s="10">
        <v>27453854.719475199</v>
      </c>
      <c r="N2" s="10">
        <v>25617031.1426435</v>
      </c>
      <c r="O2" s="10">
        <v>26085689.1275088</v>
      </c>
      <c r="P2" s="10">
        <v>26260573.061549298</v>
      </c>
      <c r="Q2" s="10">
        <v>24269370.2131369</v>
      </c>
      <c r="R2" s="10">
        <v>20883793.704776201</v>
      </c>
      <c r="S2" s="10">
        <v>17950538.2108915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4.1484677813205605E-2</v>
      </c>
      <c r="X2" s="9">
        <f>(SUM(D$2:D2)+SUM(M$2:M2))/(SUM(D$2:D$22)+SUM(M$2:M$22))</f>
        <v>3.6378621689345185E-2</v>
      </c>
      <c r="Y2" s="9">
        <f>(SUM(E$2:E2)+SUM(N$2:N2))/(SUM(E$2:E$22)+SUM(N$2:N$22))</f>
        <v>3.4403265872776576E-2</v>
      </c>
      <c r="Z2" s="9">
        <f>(SUM(F$2:F2)+SUM(O$2:O2))/(SUM(F$2:F$22)+SUM(O$2:O$22))</f>
        <v>3.5786851607978287E-2</v>
      </c>
      <c r="AA2" s="9">
        <f>(SUM(G$2:G2)+SUM(P$2:P2))/(SUM(G$2:G$22)+SUM(P$2:P$22))</f>
        <v>3.7105319063752321E-2</v>
      </c>
      <c r="AB2" s="9">
        <f>(SUM(H$2:H2)+SUM(Q$2:Q2))/(SUM(H$2:H$22)+SUM(Q$2:Q$22))</f>
        <v>3.5697694547662868E-2</v>
      </c>
      <c r="AC2" s="9">
        <f>(SUM(I$2:I2)+SUM(R$2:R2))/(SUM(I$2:I$22)+SUM(R$2:R$22))</f>
        <v>3.236236275723408E-2</v>
      </c>
      <c r="AD2" s="9">
        <f>(SUM(J$2:J2)+SUM(S$2:S2))/(SUM(J$2:J$22)+SUM(S$2:S$22))</f>
        <v>2.959716112247876E-2</v>
      </c>
    </row>
    <row r="3" spans="1:30" x14ac:dyDescent="0.2">
      <c r="A3" s="6" t="s">
        <v>18</v>
      </c>
      <c r="B3" s="7">
        <v>42226598</v>
      </c>
      <c r="C3" s="10">
        <v>36807504.784699999</v>
      </c>
      <c r="D3" s="10">
        <v>27535592.889722601</v>
      </c>
      <c r="E3" s="10">
        <v>24070472.709736299</v>
      </c>
      <c r="F3" s="10">
        <v>22460017.193361599</v>
      </c>
      <c r="G3" s="10">
        <v>22870918.2981489</v>
      </c>
      <c r="H3" s="10">
        <v>23024249.7339237</v>
      </c>
      <c r="I3" s="10">
        <v>21278440.472819898</v>
      </c>
      <c r="J3" s="10">
        <v>18310098.584807701</v>
      </c>
      <c r="K3" s="8">
        <v>48017458</v>
      </c>
      <c r="L3" s="10">
        <v>40825938.341499999</v>
      </c>
      <c r="M3" s="10">
        <v>31296116.296067499</v>
      </c>
      <c r="N3" s="10">
        <v>27357766.227956999</v>
      </c>
      <c r="O3" s="10">
        <v>25527371.533644199</v>
      </c>
      <c r="P3" s="10">
        <v>25994389.2155625</v>
      </c>
      <c r="Q3" s="10">
        <v>26168661.055833802</v>
      </c>
      <c r="R3" s="10">
        <v>24184427.417390902</v>
      </c>
      <c r="S3" s="10">
        <v>20810700.426809501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9.6051007050489454E-2</v>
      </c>
      <c r="X3" s="9">
        <f>(SUM(D$2:D3)+SUM(M$2:M3))/(SUM(D$2:D$22)+SUM(M$2:M$22))</f>
        <v>7.7860239762561831E-2</v>
      </c>
      <c r="Y3" s="9">
        <f>(SUM(E$2:E3)+SUM(N$2:N3))/(SUM(E$2:E$22)+SUM(N$2:N$22))</f>
        <v>7.115466200280289E-2</v>
      </c>
      <c r="Z3" s="9">
        <f>(SUM(F$2:F3)+SUM(O$2:O3))/(SUM(F$2:F$22)+SUM(O$2:O$22))</f>
        <v>7.081761565366837E-2</v>
      </c>
      <c r="AA3" s="9">
        <f>(SUM(G$2:G3)+SUM(P$2:P3))/(SUM(G$2:G$22)+SUM(P$2:P$22))</f>
        <v>7.3844876535198181E-2</v>
      </c>
      <c r="AB3" s="9">
        <f>(SUM(H$2:H3)+SUM(Q$2:Q3))/(SUM(H$2:H$22)+SUM(Q$2:Q$22))</f>
        <v>7.419989022801908E-2</v>
      </c>
      <c r="AC3" s="9">
        <f>(SUM(I$2:I3)+SUM(R$2:R3))/(SUM(I$2:I$22)+SUM(R$2:R$22))</f>
        <v>6.985007771680396E-2</v>
      </c>
      <c r="AD3" s="9">
        <f>(SUM(J$2:J3)+SUM(S$2:S3))/(SUM(J$2:J$22)+SUM(S$2:S$22))</f>
        <v>6.391987436831234E-2</v>
      </c>
    </row>
    <row r="4" spans="1:30" x14ac:dyDescent="0.2">
      <c r="A4" s="6" t="s">
        <v>19</v>
      </c>
      <c r="B4" s="7">
        <v>39649204</v>
      </c>
      <c r="C4" s="10">
        <v>42197039.381399997</v>
      </c>
      <c r="D4" s="10">
        <v>36781739.531350702</v>
      </c>
      <c r="E4" s="10">
        <v>27516317.974699799</v>
      </c>
      <c r="F4" s="10">
        <v>24053623.3788394</v>
      </c>
      <c r="G4" s="10">
        <v>22444295.1813263</v>
      </c>
      <c r="H4" s="10">
        <v>22854908.655340102</v>
      </c>
      <c r="I4" s="10">
        <v>23008132.75911</v>
      </c>
      <c r="J4" s="10">
        <v>21263545.564488899</v>
      </c>
      <c r="K4" s="8">
        <v>45606790</v>
      </c>
      <c r="L4" s="10">
        <v>47969440.542000003</v>
      </c>
      <c r="M4" s="10">
        <v>40785112.403158501</v>
      </c>
      <c r="N4" s="10">
        <v>31264820.179771502</v>
      </c>
      <c r="O4" s="10">
        <v>27330408.461729102</v>
      </c>
      <c r="P4" s="10">
        <v>25501844.162110601</v>
      </c>
      <c r="Q4" s="10">
        <v>25968394.826347001</v>
      </c>
      <c r="R4" s="10">
        <v>26142492.394777998</v>
      </c>
      <c r="S4" s="10">
        <v>24160242.9899735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0.13255180952348625</v>
      </c>
      <c r="Y4" s="9">
        <f>(SUM(E$2:E4)+SUM(N$2:N4))/(SUM(E$2:E$22)+SUM(N$2:N$22))</f>
        <v>0.11316055094459668</v>
      </c>
      <c r="Z4" s="9">
        <f>(SUM(F$2:F4)+SUM(O$2:O4))/(SUM(F$2:F$22)+SUM(O$2:O$22))</f>
        <v>0.10832792706826272</v>
      </c>
      <c r="AA4" s="9">
        <f>(SUM(G$2:G4)+SUM(P$2:P4))/(SUM(G$2:G$22)+SUM(P$2:P$22))</f>
        <v>0.10989335410689617</v>
      </c>
      <c r="AB4" s="9">
        <f>(SUM(H$2:H4)+SUM(Q$2:Q4))/(SUM(H$2:H$22)+SUM(Q$2:Q$22))</f>
        <v>0.11241280250001924</v>
      </c>
      <c r="AC4" s="9">
        <f>(SUM(I$2:I4)+SUM(R$2:R4))/(SUM(I$2:I$22)+SUM(R$2:R$22))</f>
        <v>0.11037863896602425</v>
      </c>
      <c r="AD4" s="9">
        <f>(SUM(J$2:J4)+SUM(S$2:S4))/(SUM(J$2:J$22)+SUM(S$2:S$22))</f>
        <v>0.10377252841638568</v>
      </c>
    </row>
    <row r="5" spans="1:30" x14ac:dyDescent="0.2">
      <c r="A5" s="6" t="s">
        <v>20</v>
      </c>
      <c r="B5" s="7">
        <v>33630797</v>
      </c>
      <c r="C5" s="10">
        <v>39609554.795999996</v>
      </c>
      <c r="D5" s="10">
        <v>42154842.342018597</v>
      </c>
      <c r="E5" s="10">
        <v>36744957.791819401</v>
      </c>
      <c r="F5" s="10">
        <v>27488801.656725101</v>
      </c>
      <c r="G5" s="10">
        <v>24029569.755460601</v>
      </c>
      <c r="H5" s="10">
        <v>22421850.886144899</v>
      </c>
      <c r="I5" s="10">
        <v>22832053.746684801</v>
      </c>
      <c r="J5" s="10">
        <v>22985124.626350801</v>
      </c>
      <c r="K5" s="8">
        <v>39053343</v>
      </c>
      <c r="L5" s="10">
        <v>45547501.173</v>
      </c>
      <c r="M5" s="10">
        <v>47907080.269295402</v>
      </c>
      <c r="N5" s="10">
        <v>40732091.757034399</v>
      </c>
      <c r="O5" s="10">
        <v>31224175.9135378</v>
      </c>
      <c r="P5" s="10">
        <v>27294878.930728801</v>
      </c>
      <c r="Q5" s="10">
        <v>25468691.764699899</v>
      </c>
      <c r="R5" s="10">
        <v>25934635.913072702</v>
      </c>
      <c r="S5" s="10">
        <v>26108507.1546648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0.21928091155179874</v>
      </c>
      <c r="X5" s="9">
        <f>(SUM(D$2:D5)+SUM(M$2:M5))/(SUM(D$2:D$22)+SUM(M$2:M$22))</f>
        <v>0.19605352192324219</v>
      </c>
      <c r="Y5" s="9">
        <f>(SUM(E$2:E5)+SUM(N$2:N5))/(SUM(E$2:E$22)+SUM(N$2:N$22))</f>
        <v>0.16852682048389184</v>
      </c>
      <c r="Z5" s="9">
        <f>(SUM(F$2:F5)+SUM(O$2:O5))/(SUM(F$2:F$22)+SUM(O$2:O$22))</f>
        <v>0.15118836432573518</v>
      </c>
      <c r="AA5" s="9">
        <f>(SUM(G$2:G5)+SUM(P$2:P5))/(SUM(G$2:G$22)+SUM(P$2:P$22))</f>
        <v>0.14848182572691879</v>
      </c>
      <c r="AB5" s="9">
        <f>(SUM(H$2:H5)+SUM(Q$2:Q5))/(SUM(H$2:H$22)+SUM(Q$2:Q$22))</f>
        <v>0.14989566364360477</v>
      </c>
      <c r="AC5" s="9">
        <f>(SUM(I$2:I5)+SUM(R$2:R5))/(SUM(I$2:I$22)+SUM(R$2:R$22))</f>
        <v>0.15059061516386629</v>
      </c>
      <c r="AD5" s="9">
        <f>(SUM(J$2:J5)+SUM(S$2:S5))/(SUM(J$2:J$22)+SUM(S$2:S$22))</f>
        <v>0.1468449269457705</v>
      </c>
    </row>
    <row r="6" spans="1:30" x14ac:dyDescent="0.2">
      <c r="A6" s="6" t="s">
        <v>21</v>
      </c>
      <c r="B6" s="7">
        <v>35265680</v>
      </c>
      <c r="C6" s="10">
        <v>33590440.0436</v>
      </c>
      <c r="D6" s="10">
        <v>39562023.330244802</v>
      </c>
      <c r="E6" s="10">
        <v>42104256.531208202</v>
      </c>
      <c r="F6" s="10">
        <v>36700863.8424692</v>
      </c>
      <c r="G6" s="10">
        <v>27455815.094737001</v>
      </c>
      <c r="H6" s="10">
        <v>24000734.271754</v>
      </c>
      <c r="I6" s="10">
        <v>22394944.665081501</v>
      </c>
      <c r="J6" s="10">
        <v>22804655.282188799</v>
      </c>
      <c r="K6" s="8">
        <v>39675995</v>
      </c>
      <c r="L6" s="10">
        <v>38963520.311099999</v>
      </c>
      <c r="M6" s="10">
        <v>45442741.9203021</v>
      </c>
      <c r="N6" s="10">
        <v>47796893.984676003</v>
      </c>
      <c r="O6" s="10">
        <v>40638407.9459932</v>
      </c>
      <c r="P6" s="10">
        <v>31152360.3089366</v>
      </c>
      <c r="Q6" s="10">
        <v>27232100.7091881</v>
      </c>
      <c r="R6" s="10">
        <v>25410113.773641001</v>
      </c>
      <c r="S6" s="10">
        <v>25874986.250472698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0.27027701746645838</v>
      </c>
      <c r="X6" s="9">
        <f>(SUM(D$2:D6)+SUM(M$2:M6))/(SUM(D$2:D$22)+SUM(M$2:M$22))</f>
        <v>0.25598948596928267</v>
      </c>
      <c r="Y6" s="9">
        <f>(SUM(E$2:E6)+SUM(N$2:N6))/(SUM(E$2:E$22)+SUM(N$2:N$22))</f>
        <v>0.23277154018267943</v>
      </c>
      <c r="Z6" s="9">
        <f>(SUM(F$2:F6)+SUM(O$2:O6))/(SUM(F$2:F$22)+SUM(O$2:O$22))</f>
        <v>0.20764598482473184</v>
      </c>
      <c r="AA6" s="9">
        <f>(SUM(G$2:G6)+SUM(P$2:P6))/(SUM(G$2:G$22)+SUM(P$2:P$22))</f>
        <v>0.19254659351612496</v>
      </c>
      <c r="AB6" s="9">
        <f>(SUM(H$2:H6)+SUM(Q$2:Q6))/(SUM(H$2:H$22)+SUM(Q$2:Q$22))</f>
        <v>0.18999446255644209</v>
      </c>
      <c r="AC6" s="9">
        <f>(SUM(I$2:I6)+SUM(R$2:R6))/(SUM(I$2:I$22)+SUM(R$2:R$22))</f>
        <v>0.19000965068763029</v>
      </c>
      <c r="AD6" s="9">
        <f>(SUM(J$2:J6)+SUM(S$2:S6))/(SUM(J$2:J$22)+SUM(S$2:S$22))</f>
        <v>0.18955411028170771</v>
      </c>
    </row>
    <row r="7" spans="1:30" x14ac:dyDescent="0.2">
      <c r="A7" s="6" t="s">
        <v>22</v>
      </c>
      <c r="B7" s="7">
        <v>43685062</v>
      </c>
      <c r="C7" s="10">
        <v>35219834.615999997</v>
      </c>
      <c r="D7" s="10">
        <v>33546772.471543301</v>
      </c>
      <c r="E7" s="10">
        <v>39510592.699915498</v>
      </c>
      <c r="F7" s="10">
        <v>42049520.997717597</v>
      </c>
      <c r="G7" s="10">
        <v>36653152.719474003</v>
      </c>
      <c r="H7" s="10">
        <v>27420122.5351138</v>
      </c>
      <c r="I7" s="10">
        <v>23969533.317200799</v>
      </c>
      <c r="J7" s="10">
        <v>22365831.237016901</v>
      </c>
      <c r="K7" s="8">
        <v>48162270</v>
      </c>
      <c r="L7" s="10">
        <v>39568869.813500002</v>
      </c>
      <c r="M7" s="10">
        <v>38858318.806259997</v>
      </c>
      <c r="N7" s="10">
        <v>45320046.517117299</v>
      </c>
      <c r="O7" s="10">
        <v>47667842.370917402</v>
      </c>
      <c r="P7" s="10">
        <v>40528684.244539</v>
      </c>
      <c r="Q7" s="10">
        <v>31068248.936102498</v>
      </c>
      <c r="R7" s="10">
        <v>27158574.037273299</v>
      </c>
      <c r="S7" s="10">
        <v>25341506.4664522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0.32284386114613478</v>
      </c>
      <c r="X7" s="9">
        <f>(SUM(D$2:D7)+SUM(M$2:M7))/(SUM(D$2:D$22)+SUM(M$2:M$22))</f>
        <v>0.30704155269502159</v>
      </c>
      <c r="Y7" s="9">
        <f>(SUM(E$2:E7)+SUM(N$2:N7))/(SUM(E$2:E$22)+SUM(N$2:N$22))</f>
        <v>0.29339279594073925</v>
      </c>
      <c r="Z7" s="9">
        <f>(SUM(F$2:F7)+SUM(O$2:O7))/(SUM(F$2:F$22)+SUM(O$2:O$22))</f>
        <v>0.27313960450984265</v>
      </c>
      <c r="AA7" s="9">
        <f>(SUM(G$2:G7)+SUM(P$2:P7))/(SUM(G$2:G$22)+SUM(P$2:P$22))</f>
        <v>0.25057603565348296</v>
      </c>
      <c r="AB7" s="9">
        <f>(SUM(H$2:H7)+SUM(Q$2:Q7))/(SUM(H$2:H$22)+SUM(Q$2:Q$22))</f>
        <v>0.23577200828929207</v>
      </c>
      <c r="AC7" s="9">
        <f>(SUM(I$2:I7)+SUM(R$2:R7))/(SUM(I$2:I$22)+SUM(R$2:R$22))</f>
        <v>0.23216880174592763</v>
      </c>
      <c r="AD7" s="9">
        <f>(SUM(J$2:J7)+SUM(S$2:S7))/(SUM(J$2:J$22)+SUM(S$2:S$22))</f>
        <v>0.2314102408590015</v>
      </c>
    </row>
    <row r="8" spans="1:30" x14ac:dyDescent="0.2">
      <c r="A8" s="6" t="s">
        <v>23</v>
      </c>
      <c r="B8" s="7">
        <v>60273382</v>
      </c>
      <c r="C8" s="10">
        <v>43623902.913199998</v>
      </c>
      <c r="D8" s="10">
        <v>35170526.8475376</v>
      </c>
      <c r="E8" s="10">
        <v>33499806.990083199</v>
      </c>
      <c r="F8" s="10">
        <v>39455277.870135598</v>
      </c>
      <c r="G8" s="10">
        <v>41990651.668320797</v>
      </c>
      <c r="H8" s="10">
        <v>36601838.3056667</v>
      </c>
      <c r="I8" s="10">
        <v>27381734.3635647</v>
      </c>
      <c r="J8" s="10">
        <v>23935975.970556699</v>
      </c>
      <c r="K8" s="8">
        <v>63871808</v>
      </c>
      <c r="L8" s="10">
        <v>48003334.509000003</v>
      </c>
      <c r="M8" s="10">
        <v>39438292.543115497</v>
      </c>
      <c r="N8" s="10">
        <v>38730086.354199402</v>
      </c>
      <c r="O8" s="10">
        <v>45170490.363610797</v>
      </c>
      <c r="P8" s="10">
        <v>47510538.491093397</v>
      </c>
      <c r="Q8" s="10">
        <v>40394939.586532101</v>
      </c>
      <c r="R8" s="10">
        <v>30965723.7146133</v>
      </c>
      <c r="S8" s="10">
        <v>27068950.742950302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0.38724602860062973</v>
      </c>
      <c r="X8" s="9">
        <f>(SUM(D$2:D8)+SUM(M$2:M8))/(SUM(D$2:D$22)+SUM(M$2:M$22))</f>
        <v>0.35964744488630601</v>
      </c>
      <c r="Y8" s="9">
        <f>(SUM(E$2:E8)+SUM(N$2:N8))/(SUM(E$2:E$22)+SUM(N$2:N$22))</f>
        <v>0.34500936842227692</v>
      </c>
      <c r="Z8" s="9">
        <f>(SUM(F$2:F8)+SUM(O$2:O8))/(SUM(F$2:F$22)+SUM(O$2:O$22))</f>
        <v>0.33491636290039234</v>
      </c>
      <c r="AA8" s="9">
        <f>(SUM(G$2:G8)+SUM(P$2:P8))/(SUM(G$2:G$22)+SUM(P$2:P$22))</f>
        <v>0.31786782786622897</v>
      </c>
      <c r="AB8" s="9">
        <f>(SUM(H$2:H8)+SUM(Q$2:Q8))/(SUM(H$2:H$22)+SUM(Q$2:Q$22))</f>
        <v>0.29603567151979993</v>
      </c>
      <c r="AC8" s="9">
        <f>(SUM(I$2:I8)+SUM(R$2:R8))/(SUM(I$2:I$22)+SUM(R$2:R$22))</f>
        <v>0.28028087602888702</v>
      </c>
      <c r="AD8" s="9">
        <f>(SUM(J$2:J8)+SUM(S$2:S8))/(SUM(J$2:J$22)+SUM(S$2:S$22))</f>
        <v>0.27615951791728949</v>
      </c>
    </row>
    <row r="9" spans="1:30" x14ac:dyDescent="0.2">
      <c r="A9" s="6" t="s">
        <v>24</v>
      </c>
      <c r="B9" s="7">
        <v>48080895</v>
      </c>
      <c r="C9" s="10">
        <v>60158862.574199997</v>
      </c>
      <c r="D9" s="10">
        <v>43541017.497664899</v>
      </c>
      <c r="E9" s="10">
        <v>35103702.846527301</v>
      </c>
      <c r="F9" s="10">
        <v>33436157.356802002</v>
      </c>
      <c r="G9" s="10">
        <v>39380312.842182301</v>
      </c>
      <c r="H9" s="10">
        <v>41910869.430151001</v>
      </c>
      <c r="I9" s="10">
        <v>36532294.812885903</v>
      </c>
      <c r="J9" s="10">
        <v>27329709.068273898</v>
      </c>
      <c r="K9" s="8">
        <v>50932037</v>
      </c>
      <c r="L9" s="10">
        <v>63590772.044799998</v>
      </c>
      <c r="M9" s="10">
        <v>47792119.837160401</v>
      </c>
      <c r="N9" s="10">
        <v>39264764.055925697</v>
      </c>
      <c r="O9" s="10">
        <v>38559673.974240899</v>
      </c>
      <c r="P9" s="10">
        <v>44971740.2060109</v>
      </c>
      <c r="Q9" s="10">
        <v>47301492.1217326</v>
      </c>
      <c r="R9" s="10">
        <v>40217201.8523513</v>
      </c>
      <c r="S9" s="10">
        <v>30829474.530269001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0.4742261113291138</v>
      </c>
      <c r="X9" s="9">
        <f>(SUM(D$2:D9)+SUM(M$2:M9))/(SUM(D$2:D$22)+SUM(M$2:M$22))</f>
        <v>0.42404547738927745</v>
      </c>
      <c r="Y9" s="9">
        <f>(SUM(E$2:E9)+SUM(N$2:N9))/(SUM(E$2:E$22)+SUM(N$2:N$22))</f>
        <v>0.39815419786172324</v>
      </c>
      <c r="Z9" s="9">
        <f>(SUM(F$2:F9)+SUM(O$2:O9))/(SUM(F$2:F$22)+SUM(O$2:O$22))</f>
        <v>0.38747327517538194</v>
      </c>
      <c r="AA9" s="9">
        <f>(SUM(G$2:G9)+SUM(P$2:P9))/(SUM(G$2:G$22)+SUM(P$2:P$22))</f>
        <v>0.38128822279424535</v>
      </c>
      <c r="AB9" s="9">
        <f>(SUM(H$2:H9)+SUM(Q$2:Q9))/(SUM(H$2:H$22)+SUM(Q$2:Q$22))</f>
        <v>0.36586020002264441</v>
      </c>
      <c r="AC9" s="9">
        <f>(SUM(I$2:I9)+SUM(R$2:R9))/(SUM(I$2:I$22)+SUM(R$2:R$22))</f>
        <v>0.3435668803615875</v>
      </c>
      <c r="AD9" s="9">
        <f>(SUM(J$2:J9)+SUM(S$2:S9))/(SUM(J$2:J$22)+SUM(S$2:S$22))</f>
        <v>0.32718559692635563</v>
      </c>
    </row>
    <row r="10" spans="1:30" x14ac:dyDescent="0.2">
      <c r="A10" s="6" t="s">
        <v>25</v>
      </c>
      <c r="B10" s="7">
        <v>45322636</v>
      </c>
      <c r="C10" s="10">
        <v>47951076.583499998</v>
      </c>
      <c r="D10" s="10">
        <v>59996433.645249702</v>
      </c>
      <c r="E10" s="10">
        <v>43423456.750421204</v>
      </c>
      <c r="F10" s="10">
        <v>35008922.848841697</v>
      </c>
      <c r="G10" s="10">
        <v>33345879.731938601</v>
      </c>
      <c r="H10" s="10">
        <v>39273985.997508399</v>
      </c>
      <c r="I10" s="10">
        <v>41797710.082689598</v>
      </c>
      <c r="J10" s="10">
        <v>36433657.616891101</v>
      </c>
      <c r="K10" s="8">
        <v>47632694</v>
      </c>
      <c r="L10" s="10">
        <v>50580605.944700003</v>
      </c>
      <c r="M10" s="10">
        <v>63151995.7176909</v>
      </c>
      <c r="N10" s="10">
        <v>47462354.210284002</v>
      </c>
      <c r="O10" s="10">
        <v>38993837.183939897</v>
      </c>
      <c r="P10" s="10">
        <v>38293612.2238186</v>
      </c>
      <c r="Q10" s="10">
        <v>44661435.198589399</v>
      </c>
      <c r="R10" s="10">
        <v>46975111.826092601</v>
      </c>
      <c r="S10" s="10">
        <v>39939703.159570098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0.54348121599318611</v>
      </c>
      <c r="X10" s="9">
        <f>(SUM(D$2:D10)+SUM(M$2:M10))/(SUM(D$2:D$22)+SUM(M$2:M$22))</f>
        <v>0.51087613697487133</v>
      </c>
      <c r="Y10" s="9">
        <f>(SUM(E$2:E10)+SUM(N$2:N10))/(SUM(E$2:E$22)+SUM(N$2:N$22))</f>
        <v>0.46310257078311146</v>
      </c>
      <c r="Z10" s="9">
        <f>(SUM(F$2:F10)+SUM(O$2:O10))/(SUM(F$2:F$22)+SUM(O$2:O$22))</f>
        <v>0.4414952441594806</v>
      </c>
      <c r="AA10" s="9">
        <f>(SUM(G$2:G10)+SUM(P$2:P10))/(SUM(G$2:G$22)+SUM(P$2:P$22))</f>
        <v>0.43515063287311773</v>
      </c>
      <c r="AB10" s="9">
        <f>(SUM(H$2:H10)+SUM(Q$2:Q10))/(SUM(H$2:H$22)+SUM(Q$2:Q$22))</f>
        <v>0.43155458483384262</v>
      </c>
      <c r="AC10" s="9">
        <f>(SUM(I$2:I10)+SUM(R$2:R10))/(SUM(I$2:I$22)+SUM(R$2:R$22))</f>
        <v>0.41676706324291563</v>
      </c>
      <c r="AD10" s="9">
        <f>(SUM(J$2:J10)+SUM(S$2:S10))/(SUM(J$2:J$22)+SUM(S$2:S$22))</f>
        <v>0.39419192163799166</v>
      </c>
    </row>
    <row r="11" spans="1:30" x14ac:dyDescent="0.2">
      <c r="A11" s="6" t="s">
        <v>26</v>
      </c>
      <c r="B11" s="7">
        <v>56033201</v>
      </c>
      <c r="C11" s="10">
        <v>45127748.665200002</v>
      </c>
      <c r="D11" s="10">
        <v>47744886.954190902</v>
      </c>
      <c r="E11" s="10">
        <v>59738448.9805751</v>
      </c>
      <c r="F11" s="10">
        <v>43236735.886394396</v>
      </c>
      <c r="G11" s="10">
        <v>34858384.480591603</v>
      </c>
      <c r="H11" s="10">
        <v>33202492.4490913</v>
      </c>
      <c r="I11" s="10">
        <v>39105107.857719198</v>
      </c>
      <c r="J11" s="10">
        <v>41617979.929334</v>
      </c>
      <c r="K11" s="8">
        <v>58191686</v>
      </c>
      <c r="L11" s="10">
        <v>47108734.365999997</v>
      </c>
      <c r="M11" s="10">
        <v>50024219.279308297</v>
      </c>
      <c r="N11" s="10">
        <v>62457323.764796302</v>
      </c>
      <c r="O11" s="10">
        <v>46940268.313970901</v>
      </c>
      <c r="P11" s="10">
        <v>38564904.974916503</v>
      </c>
      <c r="Q11" s="10">
        <v>37872382.4893566</v>
      </c>
      <c r="R11" s="10">
        <v>44170159.4114049</v>
      </c>
      <c r="S11" s="10">
        <v>46458385.596005604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0.57981210331455635</v>
      </c>
      <c r="Y11" s="9">
        <f>(SUM(E$2:E11)+SUM(N$2:N11))/(SUM(E$2:E$22)+SUM(N$2:N$22))</f>
        <v>0.55042551518765592</v>
      </c>
      <c r="Z11" s="9">
        <f>(SUM(F$2:F11)+SUM(O$2:O11))/(SUM(F$2:F$22)+SUM(O$2:O$22))</f>
        <v>0.50732440136703727</v>
      </c>
      <c r="AA11" s="9">
        <f>(SUM(G$2:G11)+SUM(P$2:P11))/(SUM(G$2:G$22)+SUM(P$2:P$22))</f>
        <v>0.49035419752757786</v>
      </c>
      <c r="AB11" s="9">
        <f>(SUM(H$2:H11)+SUM(Q$2:Q11))/(SUM(H$2:H$22)+SUM(Q$2:Q$22))</f>
        <v>0.48718330651149427</v>
      </c>
      <c r="AC11" s="9">
        <f>(SUM(I$2:I11)+SUM(R$2:R11))/(SUM(I$2:I$22)+SUM(R$2:R$22))</f>
        <v>0.48543407936925892</v>
      </c>
      <c r="AD11" s="9">
        <f>(SUM(J$2:J11)+SUM(S$2:S11))/(SUM(J$2:J$22)+SUM(S$2:S$22))</f>
        <v>0.47146590156779167</v>
      </c>
    </row>
    <row r="12" spans="1:30" x14ac:dyDescent="0.2">
      <c r="A12" s="6" t="s">
        <v>27</v>
      </c>
      <c r="B12" s="7">
        <v>60058826</v>
      </c>
      <c r="C12" s="10">
        <v>55640968.593000002</v>
      </c>
      <c r="D12" s="10">
        <v>44811854.424543597</v>
      </c>
      <c r="E12" s="10">
        <v>47410672.745511599</v>
      </c>
      <c r="F12" s="10">
        <v>59320279.837711103</v>
      </c>
      <c r="G12" s="10">
        <v>42934078.735189602</v>
      </c>
      <c r="H12" s="10">
        <v>34614375.789227501</v>
      </c>
      <c r="I12" s="10">
        <v>32970075.001947701</v>
      </c>
      <c r="J12" s="10">
        <v>38831372.102715097</v>
      </c>
      <c r="K12" s="8">
        <v>61105470</v>
      </c>
      <c r="L12" s="10">
        <v>57214065.6752</v>
      </c>
      <c r="M12" s="10">
        <v>46317307.628651202</v>
      </c>
      <c r="N12" s="10">
        <v>49183812.395415902</v>
      </c>
      <c r="O12" s="10">
        <v>61408040.725547701</v>
      </c>
      <c r="P12" s="10">
        <v>46151671.8062962</v>
      </c>
      <c r="Q12" s="10">
        <v>37917014.571337901</v>
      </c>
      <c r="R12" s="10">
        <v>37236126.463535398</v>
      </c>
      <c r="S12" s="10">
        <v>43428100.733293302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0.68763418417393596</v>
      </c>
      <c r="X12" s="9">
        <f>(SUM(D$2:D12)+SUM(M$2:M12))/(SUM(D$2:D$22)+SUM(M$2:M$22))</f>
        <v>0.64406631499630596</v>
      </c>
      <c r="Y12" s="9">
        <f>(SUM(E$2:E12)+SUM(N$2:N12))/(SUM(E$2:E$22)+SUM(N$2:N$22))</f>
        <v>0.61945339288129153</v>
      </c>
      <c r="Z12" s="9">
        <f>(SUM(F$2:F12)+SUM(O$2:O12))/(SUM(F$2:F$22)+SUM(O$2:O$22))</f>
        <v>0.59545600059497972</v>
      </c>
      <c r="AA12" s="9">
        <f>(SUM(G$2:G12)+SUM(P$2:P12))/(SUM(G$2:G$22)+SUM(P$2:P$22))</f>
        <v>0.55733363996713337</v>
      </c>
      <c r="AB12" s="9">
        <f>(SUM(H$2:H12)+SUM(Q$2:Q12))/(SUM(H$2:H$22)+SUM(Q$2:Q$22))</f>
        <v>0.54395201037140584</v>
      </c>
      <c r="AC12" s="9">
        <f>(SUM(I$2:I12)+SUM(R$2:R12))/(SUM(I$2:I$22)+SUM(R$2:R$22))</f>
        <v>0.54332462149889149</v>
      </c>
      <c r="AD12" s="9">
        <f>(SUM(J$2:J12)+SUM(S$2:S12))/(SUM(J$2:J$22)+SUM(S$2:S$22))</f>
        <v>0.54363641876672042</v>
      </c>
    </row>
    <row r="13" spans="1:30" x14ac:dyDescent="0.2">
      <c r="A13" s="6" t="s">
        <v>28</v>
      </c>
      <c r="B13" s="7">
        <v>50584760</v>
      </c>
      <c r="C13" s="10">
        <v>59368149.501000002</v>
      </c>
      <c r="D13" s="10">
        <v>55001097.454180501</v>
      </c>
      <c r="E13" s="10">
        <v>44296518.0986614</v>
      </c>
      <c r="F13" s="10">
        <v>46865450.008938201</v>
      </c>
      <c r="G13" s="10">
        <v>58638096.6195774</v>
      </c>
      <c r="H13" s="10">
        <v>42440336.829735003</v>
      </c>
      <c r="I13" s="10">
        <v>34216310.467651397</v>
      </c>
      <c r="J13" s="10">
        <v>32590919.1394253</v>
      </c>
      <c r="K13" s="8">
        <v>50816026</v>
      </c>
      <c r="L13" s="10">
        <v>59528948.873999998</v>
      </c>
      <c r="M13" s="10">
        <v>55737942.780779801</v>
      </c>
      <c r="N13" s="10">
        <v>45122321.091831997</v>
      </c>
      <c r="O13" s="10">
        <v>47914870.0356142</v>
      </c>
      <c r="P13" s="10">
        <v>59823713.274828598</v>
      </c>
      <c r="Q13" s="10">
        <v>44960958.673693702</v>
      </c>
      <c r="R13" s="10">
        <v>36938755.595397398</v>
      </c>
      <c r="S13" s="10">
        <v>36275434.4007762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0.77120355781026306</v>
      </c>
      <c r="X13" s="9">
        <f>(SUM(D$2:D13)+SUM(M$2:M13))/(SUM(D$2:D$22)+SUM(M$2:M$22))</f>
        <v>0.72214724510007933</v>
      </c>
      <c r="Y13" s="9">
        <f>(SUM(E$2:E13)+SUM(N$2:N13))/(SUM(E$2:E$22)+SUM(N$2:N$22))</f>
        <v>0.68335344562387812</v>
      </c>
      <c r="Z13" s="9">
        <f>(SUM(F$2:F13)+SUM(O$2:O13))/(SUM(F$2:F$22)+SUM(O$2:O$22))</f>
        <v>0.66464557551734227</v>
      </c>
      <c r="AA13" s="9">
        <f>(SUM(G$2:G13)+SUM(P$2:P13))/(SUM(G$2:G$22)+SUM(P$2:P$22))</f>
        <v>0.64639957844640727</v>
      </c>
      <c r="AB13" s="9">
        <f>(SUM(H$2:H13)+SUM(Q$2:Q13))/(SUM(H$2:H$22)+SUM(Q$2:Q$22))</f>
        <v>0.61235905781309352</v>
      </c>
      <c r="AC13" s="9">
        <f>(SUM(I$2:I13)+SUM(R$2:R13))/(SUM(I$2:I$22)+SUM(R$2:R$22))</f>
        <v>0.60199757721612857</v>
      </c>
      <c r="AD13" s="9">
        <f>(SUM(J$2:J13)+SUM(S$2:S13))/(SUM(J$2:J$22)+SUM(S$2:S$22))</f>
        <v>0.60405645528347507</v>
      </c>
    </row>
    <row r="14" spans="1:30" x14ac:dyDescent="0.2">
      <c r="A14" s="6" t="s">
        <v>29</v>
      </c>
      <c r="B14" s="7">
        <v>36511813</v>
      </c>
      <c r="C14" s="10">
        <v>49694468.223999999</v>
      </c>
      <c r="D14" s="10">
        <v>58323270.069782399</v>
      </c>
      <c r="E14" s="10">
        <v>54033078.1389869</v>
      </c>
      <c r="F14" s="10">
        <v>43516899.380124897</v>
      </c>
      <c r="G14" s="10">
        <v>46040618.088780902</v>
      </c>
      <c r="H14" s="10">
        <v>57606066.119072802</v>
      </c>
      <c r="I14" s="10">
        <v>41693386.901531599</v>
      </c>
      <c r="J14" s="10">
        <v>33614103.403420702</v>
      </c>
      <c r="K14" s="8">
        <v>36871125</v>
      </c>
      <c r="L14" s="10">
        <v>48768140.152199998</v>
      </c>
      <c r="M14" s="10">
        <v>57129932.234377801</v>
      </c>
      <c r="N14" s="10">
        <v>53491703.686714403</v>
      </c>
      <c r="O14" s="10">
        <v>43303891.551831201</v>
      </c>
      <c r="P14" s="10">
        <v>45983900.773178898</v>
      </c>
      <c r="Q14" s="10">
        <v>57412817.629853003</v>
      </c>
      <c r="R14" s="10">
        <v>43149032.039143898</v>
      </c>
      <c r="S14" s="10">
        <v>35450123.744902901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0.84041011222629769</v>
      </c>
      <c r="X14" s="9">
        <f>(SUM(D$2:D14)+SUM(M$2:M14))/(SUM(D$2:D$22)+SUM(M$2:M$22))</f>
        <v>0.80355208119258126</v>
      </c>
      <c r="Y14" s="9">
        <f>(SUM(E$2:E14)+SUM(N$2:N14))/(SUM(E$2:E$22)+SUM(N$2:N$22))</f>
        <v>0.76019227837991665</v>
      </c>
      <c r="Z14" s="9">
        <f>(SUM(F$2:F14)+SUM(O$2:O14))/(SUM(F$2:F$22)+SUM(O$2:O$22))</f>
        <v>0.72802469911791323</v>
      </c>
      <c r="AA14" s="9">
        <f>(SUM(G$2:G14)+SUM(P$2:P14))/(SUM(G$2:G$22)+SUM(P$2:P$22))</f>
        <v>0.71558854443342068</v>
      </c>
      <c r="AB14" s="9">
        <f>(SUM(H$2:H14)+SUM(Q$2:Q14))/(SUM(H$2:H$22)+SUM(Q$2:Q$22))</f>
        <v>0.70238177649229261</v>
      </c>
      <c r="AC14" s="9">
        <f>(SUM(I$2:I14)+SUM(R$2:R14))/(SUM(I$2:I$22)+SUM(R$2:R$22))</f>
        <v>0.67195683331517686</v>
      </c>
      <c r="AD14" s="9">
        <f>(SUM(J$2:J14)+SUM(S$2:S14))/(SUM(J$2:J$22)+SUM(S$2:S$22))</f>
        <v>0.66465009661613539</v>
      </c>
    </row>
    <row r="15" spans="1:30" x14ac:dyDescent="0.2">
      <c r="A15" s="6" t="s">
        <v>30</v>
      </c>
      <c r="B15" s="7">
        <v>37667637</v>
      </c>
      <c r="C15" s="10">
        <v>35463923.966899998</v>
      </c>
      <c r="D15" s="10">
        <v>48268236.985971197</v>
      </c>
      <c r="E15" s="10">
        <v>56649392.218779698</v>
      </c>
      <c r="F15" s="10">
        <v>52482328.796397999</v>
      </c>
      <c r="G15" s="10">
        <v>42267964.367915303</v>
      </c>
      <c r="H15" s="10">
        <v>44719252.349632896</v>
      </c>
      <c r="I15" s="10">
        <v>55952772.0214554</v>
      </c>
      <c r="J15" s="10">
        <v>40496786.697457701</v>
      </c>
      <c r="K15" s="8">
        <v>36337923</v>
      </c>
      <c r="L15" s="10">
        <v>34585115.25</v>
      </c>
      <c r="M15" s="10">
        <v>45744515.4627636</v>
      </c>
      <c r="N15" s="10">
        <v>53587876.435846403</v>
      </c>
      <c r="O15" s="10">
        <v>50175218.058138102</v>
      </c>
      <c r="P15" s="10">
        <v>40619050.275617599</v>
      </c>
      <c r="Q15" s="10">
        <v>43132898.925241798</v>
      </c>
      <c r="R15" s="10">
        <v>53853222.936802097</v>
      </c>
      <c r="S15" s="10">
        <v>40473792.052716903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0.88964558063713772</v>
      </c>
      <c r="X15" s="9">
        <f>(SUM(D$2:D15)+SUM(M$2:M15))/(SUM(D$2:D$22)+SUM(M$2:M$22))</f>
        <v>0.86983948206979755</v>
      </c>
      <c r="Y15" s="9">
        <f>(SUM(E$2:E15)+SUM(N$2:N15))/(SUM(E$2:E$22)+SUM(N$2:N$22))</f>
        <v>0.83896949518344444</v>
      </c>
      <c r="Z15" s="9">
        <f>(SUM(F$2:F15)+SUM(O$2:O15))/(SUM(F$2:F$22)+SUM(O$2:O$22))</f>
        <v>0.80296464473214124</v>
      </c>
      <c r="AA15" s="9">
        <f>(SUM(G$2:G15)+SUM(P$2:P15))/(SUM(G$2:G$22)+SUM(P$2:P$22))</f>
        <v>0.77790744495969222</v>
      </c>
      <c r="AB15" s="9">
        <f>(SUM(H$2:H15)+SUM(Q$2:Q15))/(SUM(H$2:H$22)+SUM(Q$2:Q$22))</f>
        <v>0.77114169870510363</v>
      </c>
      <c r="AC15" s="9">
        <f>(SUM(I$2:I15)+SUM(R$2:R15))/(SUM(I$2:I$22)+SUM(R$2:R$22))</f>
        <v>0.7625005238229523</v>
      </c>
      <c r="AD15" s="9">
        <f>(SUM(J$2:J15)+SUM(S$2:S15))/(SUM(J$2:J$22)+SUM(S$2:S$22))</f>
        <v>0.73568979994546024</v>
      </c>
    </row>
    <row r="16" spans="1:30" x14ac:dyDescent="0.2">
      <c r="A16" s="6" t="s">
        <v>31</v>
      </c>
      <c r="B16" s="7">
        <v>25427303</v>
      </c>
      <c r="C16" s="10">
        <v>35780488.386299998</v>
      </c>
      <c r="D16" s="10">
        <v>33687181.376158297</v>
      </c>
      <c r="E16" s="10">
        <v>45849998.312973998</v>
      </c>
      <c r="F16" s="10">
        <v>53811257.668618798</v>
      </c>
      <c r="G16" s="10">
        <v>49852964.123698503</v>
      </c>
      <c r="H16" s="10">
        <v>40150339.353082798</v>
      </c>
      <c r="I16" s="10">
        <v>42478817.806916296</v>
      </c>
      <c r="J16" s="10">
        <v>53149538.143180497</v>
      </c>
      <c r="K16" s="8">
        <v>24162733</v>
      </c>
      <c r="L16" s="10">
        <v>32871285.145799998</v>
      </c>
      <c r="M16" s="10">
        <v>31285695.255150001</v>
      </c>
      <c r="N16" s="10">
        <v>41380488.687615998</v>
      </c>
      <c r="O16" s="10">
        <v>48475593.023866601</v>
      </c>
      <c r="P16" s="10">
        <v>45388502.255391702</v>
      </c>
      <c r="Q16" s="10">
        <v>36743992.879323699</v>
      </c>
      <c r="R16" s="10">
        <v>39018020.367773801</v>
      </c>
      <c r="S16" s="10">
        <v>48715625.4686312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0.91565117258225226</v>
      </c>
      <c r="Y16" s="9">
        <f>(SUM(E$2:E16)+SUM(N$2:N16))/(SUM(E$2:E$22)+SUM(N$2:N$22))</f>
        <v>0.90130571840621054</v>
      </c>
      <c r="Z16" s="9">
        <f>(SUM(F$2:F16)+SUM(O$2:O16))/(SUM(F$2:F$22)+SUM(O$2:O$22))</f>
        <v>0.87763398237769386</v>
      </c>
      <c r="AA16" s="9">
        <f>(SUM(G$2:G16)+SUM(P$2:P16))/(SUM(G$2:G$22)+SUM(P$2:P$22))</f>
        <v>0.8495150845251962</v>
      </c>
      <c r="AB16" s="9">
        <f>(SUM(H$2:H16)+SUM(Q$2:Q16))/(SUM(H$2:H$22)+SUM(Q$2:Q$22))</f>
        <v>0.8313251799993</v>
      </c>
      <c r="AC16" s="9">
        <f>(SUM(I$2:I16)+SUM(R$2:R16))/(SUM(I$2:I$22)+SUM(R$2:R$22))</f>
        <v>0.82970108510247542</v>
      </c>
      <c r="AD16" s="9">
        <f>(SUM(J$2:J16)+SUM(S$2:S16))/(SUM(J$2:J$22)+SUM(S$2:S$22))</f>
        <v>0.8250614101559236</v>
      </c>
    </row>
    <row r="17" spans="1:30" x14ac:dyDescent="0.2">
      <c r="A17" s="6" t="s">
        <v>32</v>
      </c>
      <c r="B17" s="7">
        <v>16486416</v>
      </c>
      <c r="C17" s="10">
        <v>23077820.202799998</v>
      </c>
      <c r="D17" s="10">
        <v>32474371.2594059</v>
      </c>
      <c r="E17" s="10">
        <v>30574485.817001302</v>
      </c>
      <c r="F17" s="10">
        <v>41613458.468855202</v>
      </c>
      <c r="G17" s="10">
        <v>48839097.460038401</v>
      </c>
      <c r="H17" s="10">
        <v>45246550.238668703</v>
      </c>
      <c r="I17" s="10">
        <v>36440447.996857896</v>
      </c>
      <c r="J17" s="10">
        <v>38553775.0415572</v>
      </c>
      <c r="K17" s="8">
        <v>14752433</v>
      </c>
      <c r="L17" s="10">
        <v>20429590.751499999</v>
      </c>
      <c r="M17" s="10">
        <v>27792671.590773899</v>
      </c>
      <c r="N17" s="10">
        <v>26452055.338229299</v>
      </c>
      <c r="O17" s="10">
        <v>34987203.185379297</v>
      </c>
      <c r="P17" s="10">
        <v>40986113.901679203</v>
      </c>
      <c r="Q17" s="10">
        <v>38375978.656933703</v>
      </c>
      <c r="R17" s="10">
        <v>31067045.9794682</v>
      </c>
      <c r="S17" s="10">
        <v>32989736.220952701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0.95814482929411893</v>
      </c>
      <c r="Y17" s="9">
        <f>(SUM(E$2:E17)+SUM(N$2:N17))/(SUM(E$2:E$22)+SUM(N$2:N$22))</f>
        <v>0.94205774583729263</v>
      </c>
      <c r="Z17" s="9">
        <f>(SUM(F$2:F17)+SUM(O$2:O17))/(SUM(F$2:F$22)+SUM(O$2:O$22))</f>
        <v>0.93355241793622434</v>
      </c>
      <c r="AA17" s="9">
        <f>(SUM(G$2:G17)+SUM(P$2:P17))/(SUM(G$2:G$22)+SUM(P$2:P$22))</f>
        <v>0.91705049324604759</v>
      </c>
      <c r="AB17" s="9">
        <f>(SUM(H$2:H17)+SUM(Q$2:Q17))/(SUM(H$2:H$22)+SUM(Q$2:Q$22))</f>
        <v>0.89677467097544883</v>
      </c>
      <c r="AC17" s="9">
        <f>(SUM(I$2:I17)+SUM(R$2:R17))/(SUM(I$2:I$22)+SUM(R$2:R$22))</f>
        <v>0.88536633037320567</v>
      </c>
      <c r="AD17" s="9">
        <f>(SUM(J$2:J17)+SUM(S$2:S17))/(SUM(J$2:J$22)+SUM(S$2:S$22))</f>
        <v>0.88783025649093816</v>
      </c>
    </row>
    <row r="18" spans="1:30" x14ac:dyDescent="0.2">
      <c r="A18" s="6" t="s">
        <v>33</v>
      </c>
      <c r="B18" s="7">
        <v>11225875</v>
      </c>
      <c r="C18" s="10">
        <v>13715049.4704</v>
      </c>
      <c r="D18" s="10">
        <v>19198438.626709301</v>
      </c>
      <c r="E18" s="10">
        <v>27015429.450699799</v>
      </c>
      <c r="F18" s="10">
        <v>25434914.751163401</v>
      </c>
      <c r="G18" s="10">
        <v>34618236.1002407</v>
      </c>
      <c r="H18" s="10">
        <v>40629245.177005902</v>
      </c>
      <c r="I18" s="10">
        <v>37640605.143548504</v>
      </c>
      <c r="J18" s="10">
        <v>30314808.688586101</v>
      </c>
      <c r="K18" s="8">
        <v>9157003</v>
      </c>
      <c r="L18" s="10">
        <v>11083502.912900001</v>
      </c>
      <c r="M18" s="10">
        <v>15348751.531602001</v>
      </c>
      <c r="N18" s="10">
        <v>20880634.166148402</v>
      </c>
      <c r="O18" s="10">
        <v>19873429.175611701</v>
      </c>
      <c r="P18" s="10">
        <v>26285885.7531754</v>
      </c>
      <c r="Q18" s="10">
        <v>30792867.374331601</v>
      </c>
      <c r="R18" s="10">
        <v>28831872.764954299</v>
      </c>
      <c r="S18" s="10">
        <v>23340671.6443744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0.98590926109089339</v>
      </c>
      <c r="X18" s="9">
        <f>(SUM(D$2:D18)+SUM(M$2:M18))/(SUM(D$2:D$22)+SUM(M$2:M$22))</f>
        <v>0.9825036889547184</v>
      </c>
      <c r="Y18" s="9">
        <f>(SUM(E$2:E18)+SUM(N$2:N18))/(SUM(E$2:E$22)+SUM(N$2:N$22))</f>
        <v>0.97628499614590847</v>
      </c>
      <c r="Z18" s="9">
        <f>(SUM(F$2:F18)+SUM(O$2:O18))/(SUM(F$2:F$22)+SUM(O$2:O$22))</f>
        <v>0.9666274809372376</v>
      </c>
      <c r="AA18" s="9">
        <f>(SUM(G$2:G18)+SUM(P$2:P18))/(SUM(G$2:G$22)+SUM(P$2:P$22))</f>
        <v>0.96284147664369979</v>
      </c>
      <c r="AB18" s="9">
        <f>(SUM(H$2:H18)+SUM(Q$2:Q18))/(SUM(H$2:H$22)+SUM(Q$2:Q$22))</f>
        <v>0.95267516779924266</v>
      </c>
      <c r="AC18" s="9">
        <f>(SUM(I$2:I18)+SUM(R$2:R18))/(SUM(I$2:I$22)+SUM(R$2:R$22))</f>
        <v>0.94017812338432871</v>
      </c>
      <c r="AD18" s="9">
        <f>(SUM(J$2:J18)+SUM(S$2:S18))/(SUM(J$2:J$22)+SUM(S$2:S$22))</f>
        <v>0.93490500220328387</v>
      </c>
    </row>
    <row r="19" spans="1:30" x14ac:dyDescent="0.2">
      <c r="A19" s="6" t="s">
        <v>34</v>
      </c>
      <c r="B19" s="7">
        <v>6400439</v>
      </c>
      <c r="C19" s="10">
        <v>7876073.9000000004</v>
      </c>
      <c r="D19" s="10">
        <v>9622478.7084326409</v>
      </c>
      <c r="E19" s="10">
        <v>13469624.5404993</v>
      </c>
      <c r="F19" s="10">
        <v>18954025.3026109</v>
      </c>
      <c r="G19" s="10">
        <v>17845136.1894162</v>
      </c>
      <c r="H19" s="10">
        <v>24288154.447928801</v>
      </c>
      <c r="I19" s="10">
        <v>28505478.416187402</v>
      </c>
      <c r="J19" s="10">
        <v>26408648.568713602</v>
      </c>
      <c r="K19" s="8">
        <v>4426091</v>
      </c>
      <c r="L19" s="10">
        <v>5560132.2215999998</v>
      </c>
      <c r="M19" s="10">
        <v>6729902.9687128803</v>
      </c>
      <c r="N19" s="10">
        <v>9319761.9299887009</v>
      </c>
      <c r="O19" s="10">
        <v>12678721.0656853</v>
      </c>
      <c r="P19" s="10">
        <v>12067146.1954314</v>
      </c>
      <c r="Q19" s="10">
        <v>15960789.829328099</v>
      </c>
      <c r="R19" s="10">
        <v>18697429.069694199</v>
      </c>
      <c r="S19" s="10">
        <v>17506713.142880201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0.99403358092465377</v>
      </c>
      <c r="Y19" s="9">
        <f>(SUM(E$2:E19)+SUM(N$2:N19))/(SUM(E$2:E$22)+SUM(N$2:N$22))</f>
        <v>0.99257063584576044</v>
      </c>
      <c r="Z19" s="9">
        <f>(SUM(F$2:F19)+SUM(O$2:O19))/(SUM(F$2:F$22)+SUM(O$2:O$22))</f>
        <v>0.98971936619169254</v>
      </c>
      <c r="AA19" s="9">
        <f>(SUM(G$2:G19)+SUM(P$2:P19))/(SUM(G$2:G$22)+SUM(P$2:P$22))</f>
        <v>0.98533113390149674</v>
      </c>
      <c r="AB19" s="9">
        <f>(SUM(H$2:H19)+SUM(Q$2:Q19))/(SUM(H$2:H$22)+SUM(Q$2:Q$22))</f>
        <v>0.98417712008488289</v>
      </c>
      <c r="AC19" s="9">
        <f>(SUM(I$2:I19)+SUM(R$2:R19))/(SUM(I$2:I$22)+SUM(R$2:R$22))</f>
        <v>0.97910063802566061</v>
      </c>
      <c r="AD19" s="9">
        <f>(SUM(J$2:J19)+SUM(S$2:S19))/(SUM(J$2:J$22)+SUM(S$2:S$22))</f>
        <v>0.97343423486712821</v>
      </c>
    </row>
    <row r="20" spans="1:30" x14ac:dyDescent="0.2">
      <c r="A20" s="6" t="s">
        <v>35</v>
      </c>
      <c r="B20" s="7">
        <v>2285155</v>
      </c>
      <c r="C20" s="10">
        <v>3358310.3432999998</v>
      </c>
      <c r="D20" s="10">
        <v>4132575.9753299998</v>
      </c>
      <c r="E20" s="10">
        <v>5048914.5783146098</v>
      </c>
      <c r="F20" s="10">
        <v>7067511.9963999595</v>
      </c>
      <c r="G20" s="10">
        <v>9945177.0762799606</v>
      </c>
      <c r="H20" s="10">
        <v>9363342.9585866891</v>
      </c>
      <c r="I20" s="10">
        <v>12743994.6388283</v>
      </c>
      <c r="J20" s="10">
        <v>14956824.524973501</v>
      </c>
      <c r="K20" s="8">
        <v>1367594</v>
      </c>
      <c r="L20" s="10">
        <v>1951463.5219000001</v>
      </c>
      <c r="M20" s="10">
        <v>2451462.29650344</v>
      </c>
      <c r="N20" s="10">
        <v>2967214.2189055099</v>
      </c>
      <c r="O20" s="10">
        <v>4109083.0349320201</v>
      </c>
      <c r="P20" s="10">
        <v>5590048.11786066</v>
      </c>
      <c r="Q20" s="10">
        <v>5320404.7575657098</v>
      </c>
      <c r="R20" s="10">
        <v>7037112.2357507702</v>
      </c>
      <c r="S20" s="10">
        <v>8243696.4768281505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0.99867591691576252</v>
      </c>
      <c r="Y20" s="9">
        <f>(SUM(E$2:E20)+SUM(N$2:N20))/(SUM(E$2:E$22)+SUM(N$2:N$22))</f>
        <v>0.99829908253072019</v>
      </c>
      <c r="Z20" s="9">
        <f>(SUM(F$2:F20)+SUM(O$2:O20))/(SUM(F$2:F$22)+SUM(O$2:O$22))</f>
        <v>0.99787827364140103</v>
      </c>
      <c r="AA20" s="9">
        <f>(SUM(G$2:G20)+SUM(P$2:P20))/(SUM(G$2:G$22)+SUM(P$2:P$22))</f>
        <v>0.99701134892299925</v>
      </c>
      <c r="AB20" s="9">
        <f>(SUM(H$2:H20)+SUM(Q$2:Q20))/(SUM(H$2:H$22)+SUM(Q$2:Q$22))</f>
        <v>0.99566976239475813</v>
      </c>
      <c r="AC20" s="9">
        <f>(SUM(I$2:I20)+SUM(R$2:R20))/(SUM(I$2:I$22)+SUM(R$2:R$22))</f>
        <v>0.99541171848564813</v>
      </c>
      <c r="AD20" s="9">
        <f>(SUM(J$2:J20)+SUM(S$2:S20))/(SUM(J$2:J$22)+SUM(S$2:S$22))</f>
        <v>0.99378925955009301</v>
      </c>
    </row>
    <row r="21" spans="1:30" x14ac:dyDescent="0.2">
      <c r="A21" s="6" t="s">
        <v>36</v>
      </c>
      <c r="B21" s="7">
        <v>548357</v>
      </c>
      <c r="C21" s="10">
        <v>735819.91</v>
      </c>
      <c r="D21" s="10">
        <v>1081375.9305426001</v>
      </c>
      <c r="E21" s="10">
        <v>1330689.46405626</v>
      </c>
      <c r="F21" s="10">
        <v>1625750.4942173001</v>
      </c>
      <c r="G21" s="10">
        <v>2275738.8628407898</v>
      </c>
      <c r="H21" s="10">
        <v>3202347.0185621502</v>
      </c>
      <c r="I21" s="10">
        <v>3014996.4326649099</v>
      </c>
      <c r="J21" s="10">
        <v>4103566.2737027002</v>
      </c>
      <c r="K21" s="8">
        <v>271455</v>
      </c>
      <c r="L21" s="10">
        <v>385387.98920000001</v>
      </c>
      <c r="M21" s="10">
        <v>549922.42047142005</v>
      </c>
      <c r="N21" s="10">
        <v>690822.075154669</v>
      </c>
      <c r="O21" s="10">
        <v>836160.96688757197</v>
      </c>
      <c r="P21" s="10">
        <v>1157939.59924384</v>
      </c>
      <c r="Q21" s="10">
        <v>1575275.5596131301</v>
      </c>
      <c r="R21" s="10">
        <v>1499290.0606820199</v>
      </c>
      <c r="S21" s="10">
        <v>1983058.2280345701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0.99982612818952543</v>
      </c>
      <c r="Y21" s="9">
        <f>(SUM(E$2:E21)+SUM(N$2:N21))/(SUM(E$2:E$22)+SUM(N$2:N$22))</f>
        <v>0.99974368520220147</v>
      </c>
      <c r="Z21" s="9">
        <f>(SUM(F$2:F21)+SUM(O$2:O21))/(SUM(F$2:F$22)+SUM(O$2:O$22))</f>
        <v>0.99967546748301572</v>
      </c>
      <c r="AA21" s="9">
        <f>(SUM(G$2:G21)+SUM(P$2:P21))/(SUM(G$2:G$22)+SUM(P$2:P$22))</f>
        <v>0.99959297244313827</v>
      </c>
      <c r="AB21" s="9">
        <f>(SUM(H$2:H21)+SUM(Q$2:Q21))/(SUM(H$2:H$22)+SUM(Q$2:Q$22))</f>
        <v>0.99940910118237258</v>
      </c>
      <c r="AC21" s="9">
        <f>(SUM(I$2:I21)+SUM(R$2:R21))/(SUM(I$2:I$22)+SUM(R$2:R$22))</f>
        <v>0.99913410321766949</v>
      </c>
      <c r="AD21" s="9">
        <f>(SUM(J$2:J21)+SUM(S$2:S21))/(SUM(J$2:J$22)+SUM(S$2:S$22))</f>
        <v>0.99912937203977314</v>
      </c>
    </row>
    <row r="22" spans="1:30" x14ac:dyDescent="0.2">
      <c r="A22" s="6" t="s">
        <v>37</v>
      </c>
      <c r="B22" s="7">
        <v>83737</v>
      </c>
      <c r="C22" s="10">
        <v>118719.2905</v>
      </c>
      <c r="D22" s="10">
        <v>159305.010515</v>
      </c>
      <c r="E22" s="10">
        <v>234117.88896247299</v>
      </c>
      <c r="F22" s="10">
        <v>288094.26896818</v>
      </c>
      <c r="G22" s="10">
        <v>351974.98199804599</v>
      </c>
      <c r="H22" s="10">
        <v>492697.46380503097</v>
      </c>
      <c r="I22" s="10">
        <v>693308.12951870495</v>
      </c>
      <c r="J22" s="10">
        <v>652746.72767195397</v>
      </c>
      <c r="K22" s="8">
        <v>35129</v>
      </c>
      <c r="L22" s="10">
        <v>61484.557500000003</v>
      </c>
      <c r="M22" s="10">
        <v>87290.379553799998</v>
      </c>
      <c r="N22" s="10">
        <v>124557.42823677701</v>
      </c>
      <c r="O22" s="10">
        <v>156471.20002253301</v>
      </c>
      <c r="P22" s="10">
        <v>189390.45900003501</v>
      </c>
      <c r="Q22" s="10">
        <v>262273.31922873098</v>
      </c>
      <c r="R22" s="10">
        <v>356799.91425237502</v>
      </c>
      <c r="S22" s="10"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44.37371563070127</v>
      </c>
      <c r="Y23" s="3">
        <f t="shared" si="0"/>
        <v>47.112699558431764</v>
      </c>
      <c r="Z23" s="3">
        <f t="shared" si="0"/>
        <v>49.443681061877811</v>
      </c>
      <c r="AA23" s="3">
        <f t="shared" si="0"/>
        <v>50.720056939942943</v>
      </c>
      <c r="AB23" s="3">
        <f t="shared" si="0"/>
        <v>51.128852044969491</v>
      </c>
      <c r="AC23" s="3">
        <f t="shared" si="0"/>
        <v>51.2580570240752</v>
      </c>
      <c r="AD23" s="3">
        <f t="shared" si="0"/>
        <v>51.976852843769827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6.9673143450295774</v>
      </c>
      <c r="D25" s="3">
        <f t="shared" si="1"/>
        <v>6.9693450143312683</v>
      </c>
      <c r="E25" s="3">
        <f t="shared" si="1"/>
        <v>6.9015027521077092</v>
      </c>
      <c r="F25" s="3">
        <f t="shared" si="1"/>
        <v>6.7780732887034985</v>
      </c>
      <c r="G25" s="3">
        <f t="shared" si="1"/>
        <v>6.5972927663342</v>
      </c>
      <c r="H25" s="3">
        <f t="shared" si="1"/>
        <v>6.3480408743234698</v>
      </c>
      <c r="I25" s="3">
        <f t="shared" si="1"/>
        <v>6.0301349734136105</v>
      </c>
      <c r="J25" s="3">
        <f t="shared" si="1"/>
        <v>5.6650377528573657</v>
      </c>
      <c r="K25" s="3">
        <f t="shared" ref="K25:S25" si="2">SUM(K2:K22)/100000000</f>
        <v>7.2141639399999997</v>
      </c>
      <c r="L25" s="3">
        <f t="shared" si="2"/>
        <v>7.2600387152446224</v>
      </c>
      <c r="M25" s="3">
        <f t="shared" si="2"/>
        <v>7.2132524634117354</v>
      </c>
      <c r="N25" s="3">
        <f t="shared" si="2"/>
        <v>7.0920442564849333</v>
      </c>
      <c r="O25" s="3">
        <f t="shared" si="2"/>
        <v>6.9205684721260941</v>
      </c>
      <c r="P25" s="3">
        <f t="shared" si="2"/>
        <v>6.7031688823096971</v>
      </c>
      <c r="Q25" s="3">
        <f t="shared" si="2"/>
        <v>6.4286098907796987</v>
      </c>
      <c r="R25" s="3">
        <f>SUM(R2:R22)/100000000</f>
        <v>6.0972694147284878</v>
      </c>
      <c r="S25" s="3">
        <f t="shared" si="2"/>
        <v>5.7328953684019419</v>
      </c>
      <c r="V25" s="5"/>
      <c r="W25" s="5">
        <f t="shared" ref="W25:X25" si="3">((0.5-W9)/(W10-W9)*5)+$U10</f>
        <v>41.860793424246822</v>
      </c>
      <c r="X25" s="5">
        <f t="shared" si="3"/>
        <v>44.37371563070127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7.2600387152446224</v>
      </c>
      <c r="D26" s="3">
        <f t="shared" si="4"/>
        <v>7.2132524634117354</v>
      </c>
      <c r="E26" s="3">
        <f t="shared" si="4"/>
        <v>7.0920442564849333</v>
      </c>
      <c r="F26" s="3">
        <f t="shared" si="4"/>
        <v>6.9205684721260941</v>
      </c>
      <c r="G26" s="3">
        <f t="shared" si="4"/>
        <v>6.7031688823096971</v>
      </c>
      <c r="H26" s="3">
        <f t="shared" si="4"/>
        <v>6.4286098907796987</v>
      </c>
      <c r="I26" s="3">
        <f t="shared" si="4"/>
        <v>6.0972694147284878</v>
      </c>
      <c r="J26" s="3">
        <f t="shared" si="4"/>
        <v>5.7328953684019419</v>
      </c>
      <c r="V26" s="5"/>
      <c r="W26" s="5"/>
      <c r="X26" s="5"/>
      <c r="Y26" s="5">
        <f t="shared" ref="Y26:Z26" si="5">((0.5-Y10)/(Y11-Y10)*5)+$U11</f>
        <v>47.112699558431764</v>
      </c>
      <c r="Z26" s="5">
        <f t="shared" si="5"/>
        <v>49.443681061877811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14.227353060274201</v>
      </c>
      <c r="D27" s="3">
        <f t="shared" si="6"/>
        <v>14.182597477743004</v>
      </c>
      <c r="E27" s="3">
        <f t="shared" si="6"/>
        <v>13.993547008592643</v>
      </c>
      <c r="F27" s="3">
        <f t="shared" si="6"/>
        <v>13.698641760829592</v>
      </c>
      <c r="G27" s="3">
        <f t="shared" si="6"/>
        <v>13.300461648643896</v>
      </c>
      <c r="H27" s="3">
        <f t="shared" si="6"/>
        <v>12.776650765103168</v>
      </c>
      <c r="I27" s="3">
        <f t="shared" si="6"/>
        <v>12.127404388142098</v>
      </c>
      <c r="J27" s="3">
        <f t="shared" si="6"/>
        <v>11.397933121259307</v>
      </c>
      <c r="V27" s="5"/>
      <c r="W27" s="5"/>
      <c r="X27" s="5"/>
      <c r="Y27" s="5"/>
      <c r="Z27" s="5"/>
      <c r="AA27" s="5">
        <f t="shared" ref="AA27:AD27" si="7">((0.5-AA11)/(AA12-AA11)*5)+$U12</f>
        <v>50.720056939942943</v>
      </c>
      <c r="AB27" s="5">
        <f t="shared" si="7"/>
        <v>51.128852044969491</v>
      </c>
      <c r="AC27" s="5">
        <f t="shared" si="7"/>
        <v>51.2580570240752</v>
      </c>
      <c r="AD27" s="5">
        <f t="shared" si="7"/>
        <v>51.976852843769827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1.042013946223608</v>
      </c>
      <c r="D28" s="2">
        <f t="shared" si="8"/>
        <v>1.0349971838930219</v>
      </c>
      <c r="E28" s="2">
        <f t="shared" si="8"/>
        <v>1.0276086978765651</v>
      </c>
      <c r="F28" s="2">
        <f t="shared" si="8"/>
        <v>1.0210229629207583</v>
      </c>
      <c r="G28" s="2">
        <f t="shared" si="8"/>
        <v>1.0160484186052468</v>
      </c>
      <c r="H28" s="2">
        <f t="shared" si="8"/>
        <v>1.0126919498552875</v>
      </c>
      <c r="I28" s="2">
        <f t="shared" si="8"/>
        <v>1.0111331573191757</v>
      </c>
      <c r="J28" s="2">
        <f t="shared" si="8"/>
        <v>1.0119783165629126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9">SUM(C15:C22)/(C25*10^8)</f>
        <v>0.1724139309946551</v>
      </c>
      <c r="D29" s="2">
        <f t="shared" si="9"/>
        <v>0.21325384748128426</v>
      </c>
      <c r="E29" s="2">
        <f t="shared" si="9"/>
        <v>0.26106292896320721</v>
      </c>
      <c r="F29" s="2">
        <f t="shared" si="9"/>
        <v>0.29695362262117386</v>
      </c>
      <c r="G29" s="2">
        <f t="shared" si="9"/>
        <v>0.31224366790817776</v>
      </c>
      <c r="H29" s="2">
        <f t="shared" si="9"/>
        <v>0.32780496081706462</v>
      </c>
      <c r="I29" s="2">
        <f t="shared" si="9"/>
        <v>0.36063939123218192</v>
      </c>
      <c r="J29" s="2">
        <f t="shared" si="9"/>
        <v>0.36828826879504878</v>
      </c>
      <c r="K29" s="2">
        <f t="shared" ref="K29:S29" si="10">SUM(K15:K22)/(K25*10^8)</f>
        <v>0.12546202408591231</v>
      </c>
      <c r="L29" s="2">
        <f t="shared" si="10"/>
        <v>0.14728290928514301</v>
      </c>
      <c r="M29" s="2">
        <f t="shared" si="10"/>
        <v>0.18021026238148338</v>
      </c>
      <c r="N29" s="2">
        <f t="shared" si="10"/>
        <v>0.21912357658798534</v>
      </c>
      <c r="O29" s="2">
        <f t="shared" si="10"/>
        <v>0.24751128523680349</v>
      </c>
      <c r="P29" s="2">
        <f t="shared" si="10"/>
        <v>0.25701885120644058</v>
      </c>
      <c r="Q29" s="2">
        <f t="shared" si="10"/>
        <v>0.26780981304915569</v>
      </c>
      <c r="R29" s="2">
        <f t="shared" si="10"/>
        <v>0.29580584530790205</v>
      </c>
      <c r="S29" s="2">
        <f t="shared" si="10"/>
        <v>0.30280141408119232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1">L29</f>
        <v>0.14728290928514301</v>
      </c>
      <c r="D30" s="2">
        <f t="shared" si="11"/>
        <v>0.18021026238148338</v>
      </c>
      <c r="E30" s="2">
        <f t="shared" si="11"/>
        <v>0.21912357658798534</v>
      </c>
      <c r="F30" s="2">
        <f t="shared" si="11"/>
        <v>0.24751128523680349</v>
      </c>
      <c r="G30" s="2">
        <f t="shared" si="11"/>
        <v>0.25701885120644058</v>
      </c>
      <c r="H30" s="2">
        <f t="shared" si="11"/>
        <v>0.26780981304915569</v>
      </c>
      <c r="I30" s="2">
        <f t="shared" si="11"/>
        <v>0.29580584530790205</v>
      </c>
      <c r="J30" s="2">
        <f t="shared" si="11"/>
        <v>0.30280141408119232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2">(SUM(C15:C22)+SUM(L15:L22))/(C27*10^8)</f>
        <v>0.15958988777370231</v>
      </c>
      <c r="D31" s="2">
        <f t="shared" si="12"/>
        <v>0.19644791880741874</v>
      </c>
      <c r="E31" s="2">
        <f t="shared" si="12"/>
        <v>0.23980772162008313</v>
      </c>
      <c r="F31" s="2">
        <f t="shared" si="12"/>
        <v>0.27197530088208688</v>
      </c>
      <c r="G31" s="2">
        <f t="shared" si="12"/>
        <v>0.28441145556657943</v>
      </c>
      <c r="H31" s="2">
        <f t="shared" si="12"/>
        <v>0.29761822350770734</v>
      </c>
      <c r="I31" s="2">
        <f t="shared" si="12"/>
        <v>0.32804316668482292</v>
      </c>
      <c r="J31" s="2">
        <f t="shared" si="12"/>
        <v>0.3353499033838645</v>
      </c>
    </row>
    <row r="32" spans="1:30" x14ac:dyDescent="0.2">
      <c r="A32" s="2" t="s">
        <v>45</v>
      </c>
      <c r="B32">
        <v>1200</v>
      </c>
      <c r="C32" s="1">
        <f>(C2+L2)/50000</f>
        <v>1180.4343156804</v>
      </c>
      <c r="D32" s="1">
        <f t="shared" ref="D32:J32" si="13">(D2+M2)/50000</f>
        <v>1031.8866964301478</v>
      </c>
      <c r="E32" s="1">
        <f t="shared" si="13"/>
        <v>962.84743647962</v>
      </c>
      <c r="F32" s="1">
        <f t="shared" si="13"/>
        <v>980.46251985132608</v>
      </c>
      <c r="G32" s="1">
        <f t="shared" si="13"/>
        <v>987.0357463362659</v>
      </c>
      <c r="H32" s="1">
        <f t="shared" si="13"/>
        <v>912.19395270963196</v>
      </c>
      <c r="I32" s="1">
        <f t="shared" si="13"/>
        <v>784.94292022545392</v>
      </c>
      <c r="J32" s="1">
        <f t="shared" si="13"/>
        <v>674.69292610629793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4">(SUM(C2:C22)-SUM(D3:D22)+SUM(L2:L22)-SUM(M3:M22))/50000</f>
        <v>1121.3978614925384</v>
      </c>
      <c r="E33" s="1">
        <f t="shared" si="14"/>
        <v>1340.9483747803426</v>
      </c>
      <c r="F33" s="1">
        <f t="shared" si="14"/>
        <v>1570.2730153774262</v>
      </c>
      <c r="G33" s="1">
        <f t="shared" si="14"/>
        <v>1783.3959707076597</v>
      </c>
      <c r="H33" s="1">
        <f t="shared" si="14"/>
        <v>1959.8157197910882</v>
      </c>
      <c r="I33" s="1">
        <f t="shared" si="14"/>
        <v>2083.435674147594</v>
      </c>
      <c r="J33" s="1">
        <f t="shared" si="14"/>
        <v>2133.6354598718785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5">SUM(C2:C4)/10000</f>
        <v>10662.022252305778</v>
      </c>
      <c r="D36" s="4">
        <f t="shared" si="15"/>
        <v>8845.7812523105495</v>
      </c>
      <c r="E36" s="4">
        <f t="shared" si="15"/>
        <v>7411.2131365773603</v>
      </c>
      <c r="F36" s="4">
        <f t="shared" si="15"/>
        <v>6945.10774372585</v>
      </c>
      <c r="G36" s="4">
        <f t="shared" si="15"/>
        <v>6840.64277347392</v>
      </c>
      <c r="H36" s="4">
        <f t="shared" si="15"/>
        <v>6721.9485811608511</v>
      </c>
      <c r="I36" s="4">
        <f t="shared" si="15"/>
        <v>6264.9925538426396</v>
      </c>
      <c r="J36" s="4">
        <f t="shared" si="15"/>
        <v>5535.7752243719997</v>
      </c>
      <c r="K36" s="4">
        <f t="shared" si="15"/>
        <v>13459.357900000001</v>
      </c>
      <c r="L36" s="4">
        <f t="shared" si="15"/>
        <v>12020.14163105622</v>
      </c>
      <c r="M36" s="4">
        <f t="shared" si="15"/>
        <v>9953.5083418701197</v>
      </c>
      <c r="N36" s="4">
        <f t="shared" si="15"/>
        <v>8423.9617550372004</v>
      </c>
      <c r="O36" s="4">
        <f t="shared" si="15"/>
        <v>7894.3469122882098</v>
      </c>
      <c r="P36" s="4">
        <f t="shared" si="15"/>
        <v>7775.6806439222391</v>
      </c>
      <c r="Q36" s="4">
        <f t="shared" si="15"/>
        <v>7640.6426095317693</v>
      </c>
      <c r="R36" s="4">
        <f t="shared" si="15"/>
        <v>7121.0713516945098</v>
      </c>
      <c r="S36" s="4">
        <f t="shared" si="15"/>
        <v>6292.1481627674502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6">SUM(C5:C14)/10000</f>
        <v>46998.500650969996</v>
      </c>
      <c r="D37" s="4">
        <f t="shared" si="16"/>
        <v>45985.272503695625</v>
      </c>
      <c r="E37" s="4">
        <f t="shared" si="16"/>
        <v>43586.549157370981</v>
      </c>
      <c r="F37" s="4">
        <f t="shared" si="16"/>
        <v>40707.890968585984</v>
      </c>
      <c r="G37" s="4">
        <f t="shared" si="16"/>
        <v>38532.655973625282</v>
      </c>
      <c r="H37" s="4">
        <f t="shared" si="16"/>
        <v>35949.26726134654</v>
      </c>
      <c r="I37" s="4">
        <f t="shared" si="16"/>
        <v>32289.315121695719</v>
      </c>
      <c r="J37" s="4">
        <f t="shared" si="16"/>
        <v>30250.932837617333</v>
      </c>
      <c r="K37" s="4">
        <f t="shared" si="16"/>
        <v>49631.2454</v>
      </c>
      <c r="L37" s="4">
        <f t="shared" si="16"/>
        <v>49887.449286349998</v>
      </c>
      <c r="M37" s="4">
        <f t="shared" si="16"/>
        <v>49179.995101694141</v>
      </c>
      <c r="N37" s="4">
        <f t="shared" si="16"/>
        <v>46956.139781799538</v>
      </c>
      <c r="O37" s="4">
        <f t="shared" si="16"/>
        <v>44182.149837920406</v>
      </c>
      <c r="P37" s="4">
        <f t="shared" si="16"/>
        <v>42027.600523434747</v>
      </c>
      <c r="Q37" s="4">
        <f t="shared" si="16"/>
        <v>39429.008168108579</v>
      </c>
      <c r="R37" s="4">
        <f t="shared" si="16"/>
        <v>35815.543462652582</v>
      </c>
      <c r="S37" s="4">
        <f t="shared" si="16"/>
        <v>33677.517277935716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7">SUM(C15:C22)/10000</f>
        <v>12012.62054702</v>
      </c>
      <c r="D38" s="4">
        <f t="shared" si="17"/>
        <v>14862.396387306491</v>
      </c>
      <c r="E38" s="4">
        <f t="shared" si="17"/>
        <v>18017.265227128741</v>
      </c>
      <c r="F38" s="4">
        <f t="shared" si="17"/>
        <v>20127.734174723177</v>
      </c>
      <c r="G38" s="4">
        <f t="shared" si="17"/>
        <v>20599.628916242793</v>
      </c>
      <c r="H38" s="4">
        <f t="shared" si="17"/>
        <v>20809.192900727296</v>
      </c>
      <c r="I38" s="4">
        <f t="shared" si="17"/>
        <v>21747.042058597741</v>
      </c>
      <c r="J38" s="4">
        <f t="shared" si="17"/>
        <v>20863.669466584324</v>
      </c>
      <c r="K38" s="4">
        <f t="shared" si="17"/>
        <v>9051.0360999999994</v>
      </c>
      <c r="L38" s="4">
        <f t="shared" si="17"/>
        <v>10692.796235039999</v>
      </c>
      <c r="M38" s="4">
        <f t="shared" si="17"/>
        <v>12999.021190553101</v>
      </c>
      <c r="N38" s="4">
        <f t="shared" si="17"/>
        <v>15540.341028012577</v>
      </c>
      <c r="O38" s="4">
        <f t="shared" si="17"/>
        <v>17129.18797105231</v>
      </c>
      <c r="P38" s="4">
        <f t="shared" si="17"/>
        <v>17228.407655739986</v>
      </c>
      <c r="Q38" s="4">
        <f t="shared" si="17"/>
        <v>17216.448130156645</v>
      </c>
      <c r="R38" s="4">
        <f t="shared" si="17"/>
        <v>18036.079332937774</v>
      </c>
      <c r="S38" s="4">
        <f t="shared" si="17"/>
        <v>17359.288243316259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8">(C36+L36)/(C37+L37)*100</f>
        <v>23.411200383581047</v>
      </c>
      <c r="D39">
        <f t="shared" si="18"/>
        <v>19.754360038300316</v>
      </c>
      <c r="E39">
        <f t="shared" si="18"/>
        <v>17.489181155480303</v>
      </c>
      <c r="F39">
        <f t="shared" si="18"/>
        <v>17.480795762412559</v>
      </c>
      <c r="G39">
        <f t="shared" si="18"/>
        <v>18.143342701409555</v>
      </c>
      <c r="H39">
        <f t="shared" si="18"/>
        <v>19.054019356192693</v>
      </c>
      <c r="I39">
        <f t="shared" si="18"/>
        <v>19.655079217231506</v>
      </c>
      <c r="J39">
        <f t="shared" si="18"/>
        <v>18.501814709663755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9">(C38+L38)/(C37+L37)*100</f>
        <v>23.435200662995186</v>
      </c>
      <c r="D40">
        <f t="shared" si="19"/>
        <v>29.276876195408963</v>
      </c>
      <c r="E40">
        <f t="shared" si="19"/>
        <v>37.062745372722908</v>
      </c>
      <c r="F40">
        <f t="shared" si="19"/>
        <v>43.888448859032636</v>
      </c>
      <c r="G40">
        <f t="shared" si="19"/>
        <v>46.956201751124361</v>
      </c>
      <c r="H40">
        <f t="shared" si="19"/>
        <v>50.446419494528371</v>
      </c>
      <c r="I40">
        <f t="shared" si="19"/>
        <v>58.414512882753975</v>
      </c>
      <c r="J40">
        <f t="shared" si="19"/>
        <v>59.790214905587682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0">C27</f>
        <v>14.227353060274201</v>
      </c>
      <c r="P57" s="5">
        <f t="shared" si="20"/>
        <v>14.182597477743004</v>
      </c>
      <c r="Q57" s="5">
        <f t="shared" si="20"/>
        <v>13.993547008592643</v>
      </c>
      <c r="R57" s="5">
        <f t="shared" si="20"/>
        <v>13.698641760829592</v>
      </c>
      <c r="S57" s="5">
        <f t="shared" si="20"/>
        <v>13.300461648643896</v>
      </c>
      <c r="T57" s="5">
        <f t="shared" si="20"/>
        <v>12.776650765103168</v>
      </c>
      <c r="U57" s="5">
        <f t="shared" si="20"/>
        <v>12.127404388142098</v>
      </c>
      <c r="V57" s="5">
        <f t="shared" si="20"/>
        <v>11.397933121259307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1">C26</f>
        <v>7.2600387152446224</v>
      </c>
      <c r="P62" s="5">
        <f t="shared" si="21"/>
        <v>7.2132524634117354</v>
      </c>
      <c r="Q62" s="5">
        <f t="shared" si="21"/>
        <v>7.0920442564849333</v>
      </c>
      <c r="R62" s="5">
        <f t="shared" si="21"/>
        <v>6.9205684721260941</v>
      </c>
      <c r="S62" s="5">
        <f t="shared" si="21"/>
        <v>6.7031688823096971</v>
      </c>
      <c r="T62" s="5">
        <f t="shared" si="21"/>
        <v>6.4286098907796987</v>
      </c>
      <c r="U62" s="5">
        <f t="shared" si="21"/>
        <v>6.0972694147284878</v>
      </c>
      <c r="V62" s="5">
        <f t="shared" si="21"/>
        <v>5.7328953684019419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2">C25</f>
        <v>6.9673143450295774</v>
      </c>
      <c r="P67" s="5">
        <f t="shared" si="22"/>
        <v>6.9693450143312683</v>
      </c>
      <c r="Q67" s="5">
        <f t="shared" si="22"/>
        <v>6.9015027521077092</v>
      </c>
      <c r="R67" s="5">
        <f t="shared" si="22"/>
        <v>6.7780732887034985</v>
      </c>
      <c r="S67" s="5">
        <f t="shared" si="22"/>
        <v>6.5972927663342</v>
      </c>
      <c r="T67" s="5">
        <f t="shared" si="22"/>
        <v>6.3480408743234698</v>
      </c>
      <c r="U67" s="5">
        <f t="shared" si="22"/>
        <v>6.0301349734136105</v>
      </c>
      <c r="V67" s="5">
        <f t="shared" si="22"/>
        <v>5.6650377528573657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3">C32</f>
        <v>1180.4343156804</v>
      </c>
      <c r="P72" s="5">
        <f t="shared" si="23"/>
        <v>1031.8866964301478</v>
      </c>
      <c r="Q72" s="5">
        <f t="shared" si="23"/>
        <v>962.84743647962</v>
      </c>
      <c r="R72" s="5">
        <f t="shared" si="23"/>
        <v>980.46251985132608</v>
      </c>
      <c r="S72" s="5">
        <f t="shared" si="23"/>
        <v>987.0357463362659</v>
      </c>
      <c r="T72" s="5">
        <f t="shared" si="23"/>
        <v>912.19395270963196</v>
      </c>
      <c r="U72" s="5">
        <f t="shared" si="23"/>
        <v>784.94292022545392</v>
      </c>
      <c r="V72" s="5">
        <f t="shared" si="23"/>
        <v>674.69292610629793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4">C33</f>
        <v>921.30267513200045</v>
      </c>
      <c r="P77" s="5">
        <f t="shared" si="24"/>
        <v>1121.3978614925384</v>
      </c>
      <c r="Q77" s="5">
        <f t="shared" si="24"/>
        <v>1340.9483747803426</v>
      </c>
      <c r="R77" s="5">
        <f t="shared" si="24"/>
        <v>1570.2730153774262</v>
      </c>
      <c r="S77" s="5">
        <f t="shared" si="24"/>
        <v>1783.3959707076597</v>
      </c>
      <c r="T77" s="5">
        <f t="shared" si="24"/>
        <v>1959.8157197910882</v>
      </c>
      <c r="U77" s="5">
        <f t="shared" si="24"/>
        <v>2083.435674147594</v>
      </c>
      <c r="V77" s="5">
        <f t="shared" si="24"/>
        <v>2133.6354598718785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5">B36+K36</f>
        <v>25338.393800000002</v>
      </c>
      <c r="O89" s="4">
        <f t="shared" si="25"/>
        <v>22682.163883361998</v>
      </c>
      <c r="P89" s="4">
        <f t="shared" si="25"/>
        <v>18799.289594180671</v>
      </c>
      <c r="Q89" s="4">
        <f t="shared" si="25"/>
        <v>15835.174891614561</v>
      </c>
      <c r="R89" s="4">
        <f t="shared" si="25"/>
        <v>14839.454656014059</v>
      </c>
      <c r="S89" s="4">
        <f t="shared" si="25"/>
        <v>14616.323417396159</v>
      </c>
      <c r="T89" s="4">
        <f t="shared" si="25"/>
        <v>14362.591190692619</v>
      </c>
      <c r="U89" s="4">
        <f t="shared" si="25"/>
        <v>13386.06390553715</v>
      </c>
      <c r="V89" s="4">
        <f t="shared" si="25"/>
        <v>11827.92338713945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5"/>
        <v>96575.950599999996</v>
      </c>
      <c r="O90" s="4">
        <f t="shared" si="25"/>
        <v>96885.949937319994</v>
      </c>
      <c r="P90" s="4">
        <f t="shared" si="25"/>
        <v>95165.267605389759</v>
      </c>
      <c r="Q90" s="4">
        <f t="shared" si="25"/>
        <v>90542.688939170519</v>
      </c>
      <c r="R90" s="4">
        <f t="shared" si="25"/>
        <v>84890.040806506382</v>
      </c>
      <c r="S90" s="4">
        <f t="shared" si="25"/>
        <v>80560.256497060036</v>
      </c>
      <c r="T90" s="4">
        <f t="shared" si="25"/>
        <v>75378.275429455127</v>
      </c>
      <c r="U90" s="4">
        <f t="shared" si="25"/>
        <v>68104.858584348302</v>
      </c>
      <c r="V90" s="4">
        <f t="shared" si="25"/>
        <v>63928.450115553045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5"/>
        <v>19063.527999999998</v>
      </c>
      <c r="O91" s="4">
        <f t="shared" si="25"/>
        <v>22705.416782059998</v>
      </c>
      <c r="P91" s="4">
        <f t="shared" si="25"/>
        <v>27861.417577859593</v>
      </c>
      <c r="Q91" s="4">
        <f t="shared" si="25"/>
        <v>33557.60625514132</v>
      </c>
      <c r="R91" s="4">
        <f t="shared" si="25"/>
        <v>37256.92214577549</v>
      </c>
      <c r="S91" s="4">
        <f t="shared" si="25"/>
        <v>37828.036571982782</v>
      </c>
      <c r="T91" s="4">
        <f t="shared" si="25"/>
        <v>38025.64103088394</v>
      </c>
      <c r="U91" s="4">
        <f t="shared" si="25"/>
        <v>39783.121391535518</v>
      </c>
      <c r="V91" s="4">
        <f t="shared" si="25"/>
        <v>38222.957709900584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75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DA65-F72F-455F-9EDA-6784EB236BD6}">
  <dimension ref="A1:AE91"/>
  <sheetViews>
    <sheetView topLeftCell="H4" workbookViewId="0">
      <selection activeCell="AD28" sqref="AD28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10">
        <v>26681777.229297299</v>
      </c>
      <c r="D2" s="10">
        <v>23324102.488629401</v>
      </c>
      <c r="E2" s="10">
        <v>21763583.5087878</v>
      </c>
      <c r="F2" s="10">
        <v>22161501.6280411</v>
      </c>
      <c r="G2" s="10">
        <v>22285461.599768601</v>
      </c>
      <c r="H2" s="10">
        <v>20476448.335529201</v>
      </c>
      <c r="I2" s="10">
        <v>17429817.885090601</v>
      </c>
      <c r="J2" s="10">
        <v>14836341.793038201</v>
      </c>
      <c r="K2" s="8">
        <v>40969331</v>
      </c>
      <c r="L2" s="10">
        <v>32339938.5547227</v>
      </c>
      <c r="M2" s="10">
        <v>28270232.332878001</v>
      </c>
      <c r="N2" s="10">
        <v>26378788.315193199</v>
      </c>
      <c r="O2" s="10">
        <v>26861089.303462099</v>
      </c>
      <c r="P2" s="10">
        <v>27011336.336651102</v>
      </c>
      <c r="Q2" s="10">
        <v>24818702.116395999</v>
      </c>
      <c r="R2" s="10">
        <v>21126000.512623399</v>
      </c>
      <c r="S2" s="10">
        <v>17982549.582075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4.1484677813205605E-2</v>
      </c>
      <c r="X2" s="9">
        <f>(SUM(D$2:D2)+SUM(M$2:M2))/(SUM(D$2:D$22)+SUM(M$2:M$22))</f>
        <v>3.6378636062191612E-2</v>
      </c>
      <c r="Y2" s="9">
        <f>(SUM(E$2:E2)+SUM(N$2:N2))/(SUM(E$2:E$22)+SUM(N$2:N$22))</f>
        <v>3.4403298545529933E-2</v>
      </c>
      <c r="Z2" s="9">
        <f>(SUM(F$2:F2)+SUM(O$2:O2))/(SUM(F$2:F$22)+SUM(O$2:O$22))</f>
        <v>3.5786535281154476E-2</v>
      </c>
      <c r="AA2" s="9">
        <f>(SUM(G$2:G2)+SUM(P$2:P2))/(SUM(G$2:G$22)+SUM(P$2:P$22))</f>
        <v>3.7065641224181829E-2</v>
      </c>
      <c r="AB2" s="9">
        <f>(SUM(H$2:H2)+SUM(Q$2:Q2))/(SUM(H$2:H$22)+SUM(Q$2:Q$22))</f>
        <v>3.5461976666579097E-2</v>
      </c>
      <c r="AC2" s="9">
        <f>(SUM(I$2:I2)+SUM(R$2:R2))/(SUM(I$2:I$22)+SUM(R$2:R$22))</f>
        <v>3.1820440079568565E-2</v>
      </c>
      <c r="AD2" s="9">
        <f>(SUM(J$2:J2)+SUM(S$2:S2))/(SUM(J$2:J$22)+SUM(S$2:S$22))</f>
        <v>2.8844128978480547E-2</v>
      </c>
    </row>
    <row r="3" spans="1:30" x14ac:dyDescent="0.2">
      <c r="A3" s="6" t="s">
        <v>18</v>
      </c>
      <c r="B3" s="7">
        <v>42226598</v>
      </c>
      <c r="C3" s="10">
        <v>36807504.784699999</v>
      </c>
      <c r="D3" s="10">
        <v>26604400.075332399</v>
      </c>
      <c r="E3" s="10">
        <v>23256462.591412298</v>
      </c>
      <c r="F3" s="10">
        <v>21700469.116612401</v>
      </c>
      <c r="G3" s="10">
        <v>22097233.273319799</v>
      </c>
      <c r="H3" s="10">
        <v>22220833.761129301</v>
      </c>
      <c r="I3" s="10">
        <v>20417066.635356199</v>
      </c>
      <c r="J3" s="10">
        <v>17379271.4132239</v>
      </c>
      <c r="K3" s="8">
        <v>48017458</v>
      </c>
      <c r="L3" s="10">
        <v>40825938.341499999</v>
      </c>
      <c r="M3" s="10">
        <v>32226748.769781198</v>
      </c>
      <c r="N3" s="10">
        <v>28171286.519712899</v>
      </c>
      <c r="O3" s="10">
        <v>26286462.556090001</v>
      </c>
      <c r="P3" s="10">
        <v>26767075.490899999</v>
      </c>
      <c r="Q3" s="10">
        <v>26916796.659472801</v>
      </c>
      <c r="R3" s="10">
        <v>24731836.658988599</v>
      </c>
      <c r="S3" s="10">
        <v>21052059.510829199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9.6051007050489454E-2</v>
      </c>
      <c r="X3" s="9">
        <f>(SUM(D$2:D3)+SUM(M$2:M3))/(SUM(D$2:D$22)+SUM(M$2:M$22))</f>
        <v>7.7859875433938658E-2</v>
      </c>
      <c r="Y3" s="9">
        <f>(SUM(E$2:E3)+SUM(N$2:N3))/(SUM(E$2:E$22)+SUM(N$2:N$22))</f>
        <v>7.1154379540532428E-2</v>
      </c>
      <c r="Z3" s="9">
        <f>(SUM(F$2:F3)+SUM(O$2:O3))/(SUM(F$2:F$22)+SUM(O$2:O$22))</f>
        <v>7.0817038375921362E-2</v>
      </c>
      <c r="AA3" s="9">
        <f>(SUM(G$2:G3)+SUM(P$2:P3))/(SUM(G$2:G$22)+SUM(P$2:P$22))</f>
        <v>7.3806099289190102E-2</v>
      </c>
      <c r="AB3" s="9">
        <f>(SUM(H$2:H3)+SUM(Q$2:Q3))/(SUM(H$2:H$22)+SUM(Q$2:Q$22))</f>
        <v>7.3932265119993776E-2</v>
      </c>
      <c r="AC3" s="9">
        <f>(SUM(I$2:I3)+SUM(R$2:R3))/(SUM(I$2:I$22)+SUM(R$2:R$22))</f>
        <v>6.9082208384326299E-2</v>
      </c>
      <c r="AD3" s="9">
        <f>(SUM(J$2:J3)+SUM(S$2:S3))/(SUM(J$2:J$22)+SUM(S$2:S$22))</f>
        <v>6.2620963586265399E-2</v>
      </c>
    </row>
    <row r="4" spans="1:30" x14ac:dyDescent="0.2">
      <c r="A4" s="6" t="s">
        <v>19</v>
      </c>
      <c r="B4" s="7">
        <v>39649204</v>
      </c>
      <c r="C4" s="10">
        <v>42197039.381399997</v>
      </c>
      <c r="D4" s="10">
        <v>36781739.531350702</v>
      </c>
      <c r="E4" s="10">
        <v>26585776.995279599</v>
      </c>
      <c r="F4" s="10">
        <v>23240183.067598399</v>
      </c>
      <c r="G4" s="10">
        <v>21685278.788230699</v>
      </c>
      <c r="H4" s="10">
        <v>22081765.210028499</v>
      </c>
      <c r="I4" s="10">
        <v>22205279.1774965</v>
      </c>
      <c r="J4" s="10">
        <v>20402774.688711401</v>
      </c>
      <c r="K4" s="8">
        <v>45606790</v>
      </c>
      <c r="L4" s="10">
        <v>47969440.542000003</v>
      </c>
      <c r="M4" s="10">
        <v>40785112.403158501</v>
      </c>
      <c r="N4" s="10">
        <v>32194522.021011401</v>
      </c>
      <c r="O4" s="10">
        <v>28143115.2331932</v>
      </c>
      <c r="P4" s="10">
        <v>26260176.0935339</v>
      </c>
      <c r="Q4" s="10">
        <v>26740308.415409099</v>
      </c>
      <c r="R4" s="10">
        <v>26889879.862813301</v>
      </c>
      <c r="S4" s="10">
        <v>24707104.822329599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0.13255146680298058</v>
      </c>
      <c r="Y4" s="9">
        <f>(SUM(E$2:E4)+SUM(N$2:N4))/(SUM(E$2:E$22)+SUM(N$2:N$22))</f>
        <v>0.11315970871389999</v>
      </c>
      <c r="Z4" s="9">
        <f>(SUM(F$2:F4)+SUM(O$2:O4))/(SUM(F$2:F$22)+SUM(O$2:O$22))</f>
        <v>0.10832689215073854</v>
      </c>
      <c r="AA4" s="9">
        <f>(SUM(G$2:G4)+SUM(P$2:P4))/(SUM(G$2:G$22)+SUM(P$2:P$22))</f>
        <v>0.1098556826976242</v>
      </c>
      <c r="AB4" s="9">
        <f>(SUM(H$2:H4)+SUM(Q$2:Q4))/(SUM(H$2:H$22)+SUM(Q$2:Q$22))</f>
        <v>0.11215550134827058</v>
      </c>
      <c r="AC4" s="9">
        <f>(SUM(I$2:I4)+SUM(R$2:R4))/(SUM(I$2:I$22)+SUM(R$2:R$22))</f>
        <v>0.1096008546318066</v>
      </c>
      <c r="AD4" s="9">
        <f>(SUM(J$2:J4)+SUM(S$2:S4))/(SUM(J$2:J$22)+SUM(S$2:S$22))</f>
        <v>0.10226749423680585</v>
      </c>
    </row>
    <row r="5" spans="1:30" x14ac:dyDescent="0.2">
      <c r="A5" s="6" t="s">
        <v>20</v>
      </c>
      <c r="B5" s="7">
        <v>33630797</v>
      </c>
      <c r="C5" s="10">
        <v>39609554.795999996</v>
      </c>
      <c r="D5" s="10">
        <v>42154842.342018597</v>
      </c>
      <c r="E5" s="10">
        <v>36744957.791819401</v>
      </c>
      <c r="F5" s="10">
        <v>26559191.218284301</v>
      </c>
      <c r="G5" s="10">
        <v>23216942.884530701</v>
      </c>
      <c r="H5" s="10">
        <v>21663593.509442501</v>
      </c>
      <c r="I5" s="10">
        <v>22059683.4448184</v>
      </c>
      <c r="J5" s="10">
        <v>22183073.898318999</v>
      </c>
      <c r="K5" s="8">
        <v>39053343</v>
      </c>
      <c r="L5" s="10">
        <v>45547501.173</v>
      </c>
      <c r="M5" s="10">
        <v>47907080.269295402</v>
      </c>
      <c r="N5" s="10">
        <v>40732091.757034399</v>
      </c>
      <c r="O5" s="10">
        <v>32152669.142384101</v>
      </c>
      <c r="P5" s="10">
        <v>28106529.183389999</v>
      </c>
      <c r="Q5" s="10">
        <v>26226037.8646123</v>
      </c>
      <c r="R5" s="10">
        <v>26705546.014469001</v>
      </c>
      <c r="S5" s="10">
        <v>26854923.018991701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0.19605320429165735</v>
      </c>
      <c r="Y5" s="9">
        <f>(SUM(E$2:E5)+SUM(N$2:N5))/(SUM(E$2:E$22)+SUM(N$2:N$22))</f>
        <v>0.16852603083449591</v>
      </c>
      <c r="Z5" s="9">
        <f>(SUM(F$2:F5)+SUM(O$2:O5))/(SUM(F$2:F$22)+SUM(O$2:O$22))</f>
        <v>0.15118660279220641</v>
      </c>
      <c r="AA5" s="9">
        <f>(SUM(G$2:G5)+SUM(P$2:P5))/(SUM(G$2:G$22)+SUM(P$2:P$22))</f>
        <v>0.14844515466500016</v>
      </c>
      <c r="AB5" s="9">
        <f>(SUM(H$2:H5)+SUM(Q$2:Q5))/(SUM(H$2:H$22)+SUM(Q$2:Q$22))</f>
        <v>0.14964872023403814</v>
      </c>
      <c r="AC5" s="9">
        <f>(SUM(I$2:I5)+SUM(R$2:R5))/(SUM(I$2:I$22)+SUM(R$2:R$22))</f>
        <v>0.14984720723076142</v>
      </c>
      <c r="AD5" s="9">
        <f>(SUM(J$2:J5)+SUM(S$2:S5))/(SUM(J$2:J$22)+SUM(S$2:S$22))</f>
        <v>0.14536640003963364</v>
      </c>
    </row>
    <row r="6" spans="1:30" x14ac:dyDescent="0.2">
      <c r="A6" s="6" t="s">
        <v>21</v>
      </c>
      <c r="B6" s="7">
        <v>35265680</v>
      </c>
      <c r="C6" s="10">
        <v>33590440.0436</v>
      </c>
      <c r="D6" s="10">
        <v>39562023.330244802</v>
      </c>
      <c r="E6" s="10">
        <v>42104256.531208202</v>
      </c>
      <c r="F6" s="10">
        <v>36700863.8424692</v>
      </c>
      <c r="G6" s="10">
        <v>26527320.1888224</v>
      </c>
      <c r="H6" s="10">
        <v>23189082.553069301</v>
      </c>
      <c r="I6" s="10">
        <v>21637597.1972312</v>
      </c>
      <c r="J6" s="10">
        <v>22033211.824684702</v>
      </c>
      <c r="K6" s="8">
        <v>39675995</v>
      </c>
      <c r="L6" s="10">
        <v>38963520.311099999</v>
      </c>
      <c r="M6" s="10">
        <v>45442741.9203021</v>
      </c>
      <c r="N6" s="10">
        <v>47796893.984676003</v>
      </c>
      <c r="O6" s="10">
        <v>40638407.9459932</v>
      </c>
      <c r="P6" s="10">
        <v>32078718.003356598</v>
      </c>
      <c r="Q6" s="10">
        <v>28041884.1662682</v>
      </c>
      <c r="R6" s="10">
        <v>26165717.977523699</v>
      </c>
      <c r="S6" s="10">
        <v>26644123.2586357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0.27027701746645838</v>
      </c>
      <c r="X6" s="9">
        <f>(SUM(D$2:D6)+SUM(M$2:M6))/(SUM(D$2:D$22)+SUM(M$2:M$22))</f>
        <v>0.2559891920178255</v>
      </c>
      <c r="Y6" s="9">
        <f>(SUM(E$2:E6)+SUM(N$2:N6))/(SUM(E$2:E$22)+SUM(N$2:N$22))</f>
        <v>0.23277081154644108</v>
      </c>
      <c r="Z6" s="9">
        <f>(SUM(F$2:F6)+SUM(O$2:O6))/(SUM(F$2:F$22)+SUM(O$2:O$22))</f>
        <v>0.20764434045735305</v>
      </c>
      <c r="AA6" s="9">
        <f>(SUM(G$2:G6)+SUM(P$2:P6))/(SUM(G$2:G$22)+SUM(P$2:P$22))</f>
        <v>0.19251029634019942</v>
      </c>
      <c r="AB6" s="9">
        <f>(SUM(H$2:H6)+SUM(Q$2:Q6))/(SUM(H$2:H$22)+SUM(Q$2:Q$22))</f>
        <v>0.18975790031802256</v>
      </c>
      <c r="AC6" s="9">
        <f>(SUM(I$2:I6)+SUM(R$2:R6))/(SUM(I$2:I$22)+SUM(R$2:R$22))</f>
        <v>0.18929968390839844</v>
      </c>
      <c r="AD6" s="9">
        <f>(SUM(J$2:J6)+SUM(S$2:S6))/(SUM(J$2:J$22)+SUM(S$2:S$22))</f>
        <v>0.18814832449356919</v>
      </c>
    </row>
    <row r="7" spans="1:30" x14ac:dyDescent="0.2">
      <c r="A7" s="6" t="s">
        <v>22</v>
      </c>
      <c r="B7" s="7">
        <v>43685062</v>
      </c>
      <c r="C7" s="10">
        <v>35219834.615999997</v>
      </c>
      <c r="D7" s="10">
        <v>33546772.471543301</v>
      </c>
      <c r="E7" s="10">
        <v>39510592.699915498</v>
      </c>
      <c r="F7" s="10">
        <v>42049520.997717597</v>
      </c>
      <c r="G7" s="10">
        <v>36653152.719474003</v>
      </c>
      <c r="H7" s="10">
        <v>26492834.672576901</v>
      </c>
      <c r="I7" s="10">
        <v>23158936.745750301</v>
      </c>
      <c r="J7" s="10">
        <v>21609468.320874799</v>
      </c>
      <c r="K7" s="8">
        <v>48162270</v>
      </c>
      <c r="L7" s="10">
        <v>39568869.813500002</v>
      </c>
      <c r="M7" s="10">
        <v>38858318.806259997</v>
      </c>
      <c r="N7" s="10">
        <v>45320046.517117299</v>
      </c>
      <c r="O7" s="10">
        <v>47667842.370917402</v>
      </c>
      <c r="P7" s="10">
        <v>40528684.244539</v>
      </c>
      <c r="Q7" s="10">
        <v>31992105.4647475</v>
      </c>
      <c r="R7" s="10">
        <v>27966171.079019301</v>
      </c>
      <c r="S7" s="10">
        <v>26095070.538984399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0.32284386114613478</v>
      </c>
      <c r="X7" s="9">
        <f>(SUM(D$2:D7)+SUM(M$2:M7))/(SUM(D$2:D$22)+SUM(M$2:M$22))</f>
        <v>0.3070412789137491</v>
      </c>
      <c r="Y7" s="9">
        <f>(SUM(E$2:E7)+SUM(N$2:N7))/(SUM(E$2:E$22)+SUM(N$2:N$22))</f>
        <v>0.29339212487645777</v>
      </c>
      <c r="Z7" s="9">
        <f>(SUM(F$2:F7)+SUM(O$2:O7))/(SUM(F$2:F$22)+SUM(O$2:O$22))</f>
        <v>0.27313809606096701</v>
      </c>
      <c r="AA7" s="9">
        <f>(SUM(G$2:G7)+SUM(P$2:P7))/(SUM(G$2:G$22)+SUM(P$2:P$22))</f>
        <v>0.25054234705515854</v>
      </c>
      <c r="AB7" s="9">
        <f>(SUM(H$2:H7)+SUM(Q$2:Q7))/(SUM(H$2:H$22)+SUM(Q$2:Q$22))</f>
        <v>0.23554628079149817</v>
      </c>
      <c r="AC7" s="9">
        <f>(SUM(I$2:I7)+SUM(R$2:R7))/(SUM(I$2:I$22)+SUM(R$2:R$22))</f>
        <v>0.23149366390172718</v>
      </c>
      <c r="AD7" s="9">
        <f>(SUM(J$2:J7)+SUM(S$2:S7))/(SUM(J$2:J$22)+SUM(S$2:S$22))</f>
        <v>0.23007527004469597</v>
      </c>
    </row>
    <row r="8" spans="1:30" x14ac:dyDescent="0.2">
      <c r="A8" s="6" t="s">
        <v>23</v>
      </c>
      <c r="B8" s="7">
        <v>60273382</v>
      </c>
      <c r="C8" s="10">
        <v>43623902.913199998</v>
      </c>
      <c r="D8" s="10">
        <v>35170526.8475376</v>
      </c>
      <c r="E8" s="10">
        <v>33499806.990083199</v>
      </c>
      <c r="F8" s="10">
        <v>39455277.870135598</v>
      </c>
      <c r="G8" s="10">
        <v>41990651.668320797</v>
      </c>
      <c r="H8" s="10">
        <v>36601838.3056667</v>
      </c>
      <c r="I8" s="10">
        <v>26455744.704035301</v>
      </c>
      <c r="J8" s="10">
        <v>23126514.234306298</v>
      </c>
      <c r="K8" s="8">
        <v>63871808</v>
      </c>
      <c r="L8" s="10">
        <v>48003334.509000003</v>
      </c>
      <c r="M8" s="10">
        <v>39438292.543115497</v>
      </c>
      <c r="N8" s="10">
        <v>38730086.354199402</v>
      </c>
      <c r="O8" s="10">
        <v>45170490.363610797</v>
      </c>
      <c r="P8" s="10">
        <v>47510538.491093397</v>
      </c>
      <c r="Q8" s="10">
        <v>40394939.586532101</v>
      </c>
      <c r="R8" s="10">
        <v>31886531.516713899</v>
      </c>
      <c r="S8" s="10">
        <v>27873882.714458499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0.35964719188911976</v>
      </c>
      <c r="Y8" s="9">
        <f>(SUM(E$2:E8)+SUM(N$2:N8))/(SUM(E$2:E$22)+SUM(N$2:N$22))</f>
        <v>0.34500874637821188</v>
      </c>
      <c r="Z8" s="9">
        <f>(SUM(F$2:F8)+SUM(O$2:O8))/(SUM(F$2:F$22)+SUM(O$2:O$22))</f>
        <v>0.33491498265644065</v>
      </c>
      <c r="AA8" s="9">
        <f>(SUM(G$2:G8)+SUM(P$2:P8))/(SUM(G$2:G$22)+SUM(P$2:P$22))</f>
        <v>0.31783716421275054</v>
      </c>
      <c r="AB8" s="9">
        <f>(SUM(H$2:H8)+SUM(Q$2:Q8))/(SUM(H$2:H$22)+SUM(Q$2:Q$22))</f>
        <v>0.29582774390117361</v>
      </c>
      <c r="AC8" s="9">
        <f>(SUM(I$2:I8)+SUM(R$2:R8))/(SUM(I$2:I$22)+SUM(R$2:R$22))</f>
        <v>0.27964403346301919</v>
      </c>
      <c r="AD8" s="9">
        <f>(SUM(J$2:J8)+SUM(S$2:S8))/(SUM(J$2:J$22)+SUM(S$2:S$22))</f>
        <v>0.27489890563707292</v>
      </c>
    </row>
    <row r="9" spans="1:30" x14ac:dyDescent="0.2">
      <c r="A9" s="6" t="s">
        <v>24</v>
      </c>
      <c r="B9" s="7">
        <v>48080895</v>
      </c>
      <c r="C9" s="10">
        <v>60158862.574199997</v>
      </c>
      <c r="D9" s="10">
        <v>43541017.497664899</v>
      </c>
      <c r="E9" s="10">
        <v>35103702.846527301</v>
      </c>
      <c r="F9" s="10">
        <v>33436157.356802002</v>
      </c>
      <c r="G9" s="10">
        <v>39380312.842182301</v>
      </c>
      <c r="H9" s="10">
        <v>41910869.430151001</v>
      </c>
      <c r="I9" s="10">
        <v>36532294.812885903</v>
      </c>
      <c r="J9" s="10">
        <v>26405478.7890977</v>
      </c>
      <c r="K9" s="8">
        <v>50932037</v>
      </c>
      <c r="L9" s="10">
        <v>63590772.044799998</v>
      </c>
      <c r="M9" s="10">
        <v>47792119.837160401</v>
      </c>
      <c r="N9" s="10">
        <v>39264764.055925697</v>
      </c>
      <c r="O9" s="10">
        <v>38559673.974240899</v>
      </c>
      <c r="P9" s="10">
        <v>44971740.2060109</v>
      </c>
      <c r="Q9" s="10">
        <v>47301492.1217326</v>
      </c>
      <c r="R9" s="10">
        <v>40217201.8523513</v>
      </c>
      <c r="S9" s="10">
        <v>31746230.778040301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0.4742261113291138</v>
      </c>
      <c r="X9" s="9">
        <f>(SUM(D$2:D9)+SUM(M$2:M9))/(SUM(D$2:D$22)+SUM(M$2:M$22))</f>
        <v>0.42404524983513942</v>
      </c>
      <c r="Y9" s="9">
        <f>(SUM(E$2:E9)+SUM(N$2:N9))/(SUM(E$2:E$22)+SUM(N$2:N$22))</f>
        <v>0.39815362628925904</v>
      </c>
      <c r="Z9" s="9">
        <f>(SUM(F$2:F9)+SUM(O$2:O9))/(SUM(F$2:F$22)+SUM(O$2:O$22))</f>
        <v>0.38747200400246468</v>
      </c>
      <c r="AA9" s="9">
        <f>(SUM(G$2:G9)+SUM(P$2:P9))/(SUM(G$2:G$22)+SUM(P$2:P$22))</f>
        <v>0.38126041005601913</v>
      </c>
      <c r="AB9" s="9">
        <f>(SUM(H$2:H9)+SUM(Q$2:Q9))/(SUM(H$2:H$22)+SUM(Q$2:Q$22))</f>
        <v>0.36567289624438315</v>
      </c>
      <c r="AC9" s="9">
        <f>(SUM(I$2:I9)+SUM(R$2:R9))/(SUM(I$2:I$22)+SUM(R$2:R$22))</f>
        <v>0.34298603633742908</v>
      </c>
      <c r="AD9" s="9">
        <f>(SUM(J$2:J9)+SUM(S$2:S9))/(SUM(J$2:J$22)+SUM(S$2:S$22))</f>
        <v>0.32600774389434584</v>
      </c>
    </row>
    <row r="10" spans="1:30" x14ac:dyDescent="0.2">
      <c r="A10" s="6" t="s">
        <v>25</v>
      </c>
      <c r="B10" s="7">
        <v>45322636</v>
      </c>
      <c r="C10" s="10">
        <v>47951076.583499998</v>
      </c>
      <c r="D10" s="10">
        <v>59996433.645249702</v>
      </c>
      <c r="E10" s="10">
        <v>43423456.750421204</v>
      </c>
      <c r="F10" s="10">
        <v>35008922.848841697</v>
      </c>
      <c r="G10" s="10">
        <v>33345879.731938601</v>
      </c>
      <c r="H10" s="10">
        <v>39273985.997508399</v>
      </c>
      <c r="I10" s="10">
        <v>41797710.082689598</v>
      </c>
      <c r="J10" s="10">
        <v>36433657.616891101</v>
      </c>
      <c r="K10" s="8">
        <v>47632694</v>
      </c>
      <c r="L10" s="10">
        <v>50580605.944700003</v>
      </c>
      <c r="M10" s="10">
        <v>63151995.7176909</v>
      </c>
      <c r="N10" s="10">
        <v>47462354.210284002</v>
      </c>
      <c r="O10" s="10">
        <v>38993837.183939897</v>
      </c>
      <c r="P10" s="10">
        <v>38293612.2238186</v>
      </c>
      <c r="Q10" s="10">
        <v>44661435.198589399</v>
      </c>
      <c r="R10" s="10">
        <v>46975111.826092601</v>
      </c>
      <c r="S10" s="10">
        <v>39939703.159570098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0.54348121599318611</v>
      </c>
      <c r="X10" s="9">
        <f>(SUM(D$2:D10)+SUM(M$2:M10))/(SUM(D$2:D$22)+SUM(M$2:M$22))</f>
        <v>0.51087594372669864</v>
      </c>
      <c r="Y10" s="9">
        <f>(SUM(E$2:E10)+SUM(N$2:N10))/(SUM(E$2:E$22)+SUM(N$2:N$22))</f>
        <v>0.46310206089206374</v>
      </c>
      <c r="Z10" s="9">
        <f>(SUM(F$2:F10)+SUM(O$2:O10))/(SUM(F$2:F$22)+SUM(O$2:O$22))</f>
        <v>0.44149408509802096</v>
      </c>
      <c r="AA10" s="9">
        <f>(SUM(G$2:G10)+SUM(P$2:P10))/(SUM(G$2:G$22)+SUM(P$2:P$22))</f>
        <v>0.43512524139333031</v>
      </c>
      <c r="AB10" s="9">
        <f>(SUM(H$2:H10)+SUM(Q$2:Q10))/(SUM(H$2:H$22)+SUM(Q$2:Q$22))</f>
        <v>0.43138668498904542</v>
      </c>
      <c r="AC10" s="9">
        <f>(SUM(I$2:I10)+SUM(R$2:R10))/(SUM(I$2:I$22)+SUM(R$2:R$22))</f>
        <v>0.4162509903089443</v>
      </c>
      <c r="AD10" s="9">
        <f>(SUM(J$2:J10)+SUM(S$2:S10))/(SUM(J$2:J$22)+SUM(S$2:S$22))</f>
        <v>0.39313137228195089</v>
      </c>
    </row>
    <row r="11" spans="1:30" x14ac:dyDescent="0.2">
      <c r="A11" s="6" t="s">
        <v>26</v>
      </c>
      <c r="B11" s="7">
        <v>56033201</v>
      </c>
      <c r="C11" s="10">
        <v>45127748.665200002</v>
      </c>
      <c r="D11" s="10">
        <v>47744886.954190902</v>
      </c>
      <c r="E11" s="10">
        <v>59738448.9805751</v>
      </c>
      <c r="F11" s="10">
        <v>43236735.886394396</v>
      </c>
      <c r="G11" s="10">
        <v>34858384.480591603</v>
      </c>
      <c r="H11" s="10">
        <v>33202492.4490913</v>
      </c>
      <c r="I11" s="10">
        <v>39105107.857719198</v>
      </c>
      <c r="J11" s="10">
        <v>41617979.929334</v>
      </c>
      <c r="K11" s="8">
        <v>58191686</v>
      </c>
      <c r="L11" s="10">
        <v>47108734.365999997</v>
      </c>
      <c r="M11" s="10">
        <v>50024219.279308297</v>
      </c>
      <c r="N11" s="10">
        <v>62457323.764796302</v>
      </c>
      <c r="O11" s="10">
        <v>46940268.313970901</v>
      </c>
      <c r="P11" s="10">
        <v>38564904.974916503</v>
      </c>
      <c r="Q11" s="10">
        <v>37872382.4893566</v>
      </c>
      <c r="R11" s="10">
        <v>44170159.4114049</v>
      </c>
      <c r="S11" s="10">
        <v>46458385.596005604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0.57981193730232639</v>
      </c>
      <c r="Y11" s="9">
        <f>(SUM(E$2:E11)+SUM(N$2:N11))/(SUM(E$2:E$22)+SUM(N$2:N$22))</f>
        <v>0.55042508822713676</v>
      </c>
      <c r="Z11" s="9">
        <f>(SUM(F$2:F11)+SUM(O$2:O11))/(SUM(F$2:F$22)+SUM(O$2:O$22))</f>
        <v>0.50732337892041979</v>
      </c>
      <c r="AA11" s="9">
        <f>(SUM(G$2:G11)+SUM(P$2:P11))/(SUM(G$2:G$22)+SUM(P$2:P$22))</f>
        <v>0.49033128759469075</v>
      </c>
      <c r="AB11" s="9">
        <f>(SUM(H$2:H11)+SUM(Q$2:Q11))/(SUM(H$2:H$22)+SUM(Q$2:Q$22))</f>
        <v>0.48703183753848667</v>
      </c>
      <c r="AC11" s="9">
        <f>(SUM(I$2:I11)+SUM(R$2:R11))/(SUM(I$2:I$22)+SUM(R$2:R$22))</f>
        <v>0.48497876635854653</v>
      </c>
      <c r="AD11" s="9">
        <f>(SUM(J$2:J11)+SUM(S$2:S11))/(SUM(J$2:J$22)+SUM(S$2:S$22))</f>
        <v>0.47054063081330888</v>
      </c>
    </row>
    <row r="12" spans="1:30" x14ac:dyDescent="0.2">
      <c r="A12" s="6" t="s">
        <v>27</v>
      </c>
      <c r="B12" s="7">
        <v>60058826</v>
      </c>
      <c r="C12" s="10">
        <v>55640968.593000002</v>
      </c>
      <c r="D12" s="10">
        <v>44811854.424543597</v>
      </c>
      <c r="E12" s="10">
        <v>47410672.745511599</v>
      </c>
      <c r="F12" s="10">
        <v>59320279.837711103</v>
      </c>
      <c r="G12" s="10">
        <v>42934078.735189602</v>
      </c>
      <c r="H12" s="10">
        <v>34614375.789227501</v>
      </c>
      <c r="I12" s="10">
        <v>32970075.001947701</v>
      </c>
      <c r="J12" s="10">
        <v>38831372.102715097</v>
      </c>
      <c r="K12" s="8">
        <v>61105470</v>
      </c>
      <c r="L12" s="10">
        <v>57214065.6752</v>
      </c>
      <c r="M12" s="10">
        <v>46317307.628651202</v>
      </c>
      <c r="N12" s="10">
        <v>49183812.395415902</v>
      </c>
      <c r="O12" s="10">
        <v>61408040.725547701</v>
      </c>
      <c r="P12" s="10">
        <v>46151671.8062962</v>
      </c>
      <c r="Q12" s="10">
        <v>37917014.571337901</v>
      </c>
      <c r="R12" s="10">
        <v>37236126.463535398</v>
      </c>
      <c r="S12" s="10">
        <v>43428100.733293302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0.68763418417393596</v>
      </c>
      <c r="X12" s="9">
        <f>(SUM(D$2:D12)+SUM(M$2:M12))/(SUM(D$2:D$22)+SUM(M$2:M$22))</f>
        <v>0.64406617437030222</v>
      </c>
      <c r="Y12" s="9">
        <f>(SUM(E$2:E12)+SUM(N$2:N12))/(SUM(E$2:E$22)+SUM(N$2:N$22))</f>
        <v>0.61945303147649122</v>
      </c>
      <c r="Z12" s="9">
        <f>(SUM(F$2:F12)+SUM(O$2:O12))/(SUM(F$2:F$22)+SUM(O$2:O$22))</f>
        <v>0.59545516104732399</v>
      </c>
      <c r="AA12" s="9">
        <f>(SUM(G$2:G12)+SUM(P$2:P12))/(SUM(G$2:G$22)+SUM(P$2:P$22))</f>
        <v>0.5573137409381399</v>
      </c>
      <c r="AB12" s="9">
        <f>(SUM(H$2:H12)+SUM(Q$2:Q12))/(SUM(H$2:H$22)+SUM(Q$2:Q$22))</f>
        <v>0.54381730898295977</v>
      </c>
      <c r="AC12" s="9">
        <f>(SUM(I$2:I12)+SUM(R$2:R12))/(SUM(I$2:I$22)+SUM(R$2:R$22))</f>
        <v>0.54292053286191233</v>
      </c>
      <c r="AD12" s="9">
        <f>(SUM(J$2:J12)+SUM(S$2:S12))/(SUM(J$2:J$22)+SUM(S$2:S$22))</f>
        <v>0.54283749230884615</v>
      </c>
    </row>
    <row r="13" spans="1:30" x14ac:dyDescent="0.2">
      <c r="A13" s="6" t="s">
        <v>28</v>
      </c>
      <c r="B13" s="7">
        <v>50584760</v>
      </c>
      <c r="C13" s="10">
        <v>59368149.501000002</v>
      </c>
      <c r="D13" s="10">
        <v>55001097.454180501</v>
      </c>
      <c r="E13" s="10">
        <v>44296518.0986614</v>
      </c>
      <c r="F13" s="10">
        <v>46865450.008938201</v>
      </c>
      <c r="G13" s="10">
        <v>58638096.6195774</v>
      </c>
      <c r="H13" s="10">
        <v>42440336.829735003</v>
      </c>
      <c r="I13" s="10">
        <v>34216310.467651397</v>
      </c>
      <c r="J13" s="10">
        <v>32590919.1394253</v>
      </c>
      <c r="K13" s="8">
        <v>50816026</v>
      </c>
      <c r="L13" s="10">
        <v>59528948.873999998</v>
      </c>
      <c r="M13" s="10">
        <v>55737942.780779801</v>
      </c>
      <c r="N13" s="10">
        <v>45122321.091831997</v>
      </c>
      <c r="O13" s="10">
        <v>47914870.0356142</v>
      </c>
      <c r="P13" s="10">
        <v>59823713.274828598</v>
      </c>
      <c r="Q13" s="10">
        <v>44960958.673693702</v>
      </c>
      <c r="R13" s="10">
        <v>36938755.595397398</v>
      </c>
      <c r="S13" s="10">
        <v>36275434.4007762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0.77120355781026306</v>
      </c>
      <c r="X13" s="9">
        <f>(SUM(D$2:D13)+SUM(M$2:M13))/(SUM(D$2:D$22)+SUM(M$2:M$22))</f>
        <v>0.72214713532310615</v>
      </c>
      <c r="Y13" s="9">
        <f>(SUM(E$2:E13)+SUM(N$2:N13))/(SUM(E$2:E$22)+SUM(N$2:N$22))</f>
        <v>0.6833531449049054</v>
      </c>
      <c r="Z13" s="9">
        <f>(SUM(F$2:F13)+SUM(O$2:O13))/(SUM(F$2:F$22)+SUM(O$2:O$22))</f>
        <v>0.6646448795583827</v>
      </c>
      <c r="AA13" s="9">
        <f>(SUM(G$2:G13)+SUM(P$2:P13))/(SUM(G$2:G$22)+SUM(P$2:P$22))</f>
        <v>0.64638368316798578</v>
      </c>
      <c r="AB13" s="9">
        <f>(SUM(H$2:H13)+SUM(Q$2:Q13))/(SUM(H$2:H$22)+SUM(Q$2:Q$22))</f>
        <v>0.6122445615883132</v>
      </c>
      <c r="AC13" s="9">
        <f>(SUM(I$2:I13)+SUM(R$2:R13))/(SUM(I$2:I$22)+SUM(R$2:R$22))</f>
        <v>0.60164540527056631</v>
      </c>
      <c r="AD13" s="9">
        <f>(SUM(J$2:J13)+SUM(S$2:S13))/(SUM(J$2:J$22)+SUM(S$2:S$22))</f>
        <v>0.60336330230916524</v>
      </c>
    </row>
    <row r="14" spans="1:30" x14ac:dyDescent="0.2">
      <c r="A14" s="6" t="s">
        <v>29</v>
      </c>
      <c r="B14" s="7">
        <v>36511813</v>
      </c>
      <c r="C14" s="10">
        <v>49694468.223999999</v>
      </c>
      <c r="D14" s="10">
        <v>58323270.069782399</v>
      </c>
      <c r="E14" s="10">
        <v>54033078.1389869</v>
      </c>
      <c r="F14" s="10">
        <v>43516899.380124897</v>
      </c>
      <c r="G14" s="10">
        <v>46040618.088780902</v>
      </c>
      <c r="H14" s="10">
        <v>57606066.119072802</v>
      </c>
      <c r="I14" s="10">
        <v>41693386.901531599</v>
      </c>
      <c r="J14" s="10">
        <v>33614103.403420702</v>
      </c>
      <c r="K14" s="8">
        <v>36871125</v>
      </c>
      <c r="L14" s="10">
        <v>48768140.152199998</v>
      </c>
      <c r="M14" s="10">
        <v>57129932.234377801</v>
      </c>
      <c r="N14" s="10">
        <v>53491703.686714403</v>
      </c>
      <c r="O14" s="10">
        <v>43303891.551831201</v>
      </c>
      <c r="P14" s="10">
        <v>45983900.773178898</v>
      </c>
      <c r="Q14" s="10">
        <v>57412817.629853003</v>
      </c>
      <c r="R14" s="10">
        <v>43149032.039143898</v>
      </c>
      <c r="S14" s="10">
        <v>35450123.744902901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0.84041011222629769</v>
      </c>
      <c r="X14" s="9">
        <f>(SUM(D$2:D14)+SUM(M$2:M14))/(SUM(D$2:D$22)+SUM(M$2:M$22))</f>
        <v>0.80355200357788237</v>
      </c>
      <c r="Y14" s="9">
        <f>(SUM(E$2:E14)+SUM(N$2:N14))/(SUM(E$2:E$22)+SUM(N$2:N$22))</f>
        <v>0.76019205063472028</v>
      </c>
      <c r="Z14" s="9">
        <f>(SUM(F$2:F14)+SUM(O$2:O14))/(SUM(F$2:F$22)+SUM(O$2:O$22))</f>
        <v>0.72802413468925609</v>
      </c>
      <c r="AA14" s="9">
        <f>(SUM(G$2:G14)+SUM(P$2:P14))/(SUM(G$2:G$22)+SUM(P$2:P$22))</f>
        <v>0.71557575938284668</v>
      </c>
      <c r="AB14" s="9">
        <f>(SUM(H$2:H14)+SUM(Q$2:Q14))/(SUM(H$2:H$22)+SUM(Q$2:Q$22))</f>
        <v>0.70229386998059851</v>
      </c>
      <c r="AC14" s="9">
        <f>(SUM(I$2:I14)+SUM(R$2:R14))/(SUM(I$2:I$22)+SUM(R$2:R$22))</f>
        <v>0.67166656472979569</v>
      </c>
      <c r="AD14" s="9">
        <f>(SUM(J$2:J14)+SUM(S$2:S14))/(SUM(J$2:J$22)+SUM(S$2:S$22))</f>
        <v>0.664063021044209</v>
      </c>
    </row>
    <row r="15" spans="1:30" x14ac:dyDescent="0.2">
      <c r="A15" s="6" t="s">
        <v>30</v>
      </c>
      <c r="B15" s="7">
        <v>37667637</v>
      </c>
      <c r="C15" s="10">
        <v>35463923.966899998</v>
      </c>
      <c r="D15" s="10">
        <v>48268236.985971197</v>
      </c>
      <c r="E15" s="10">
        <v>56649392.218779698</v>
      </c>
      <c r="F15" s="10">
        <v>52482328.796397999</v>
      </c>
      <c r="G15" s="10">
        <v>42267964.367915303</v>
      </c>
      <c r="H15" s="10">
        <v>44719252.349632896</v>
      </c>
      <c r="I15" s="10">
        <v>55952772.0214554</v>
      </c>
      <c r="J15" s="10">
        <v>40496786.697457701</v>
      </c>
      <c r="K15" s="8">
        <v>36337923</v>
      </c>
      <c r="L15" s="10">
        <v>34585115.25</v>
      </c>
      <c r="M15" s="10">
        <v>45744515.4627636</v>
      </c>
      <c r="N15" s="10">
        <v>53587876.435846403</v>
      </c>
      <c r="O15" s="10">
        <v>50175218.058138102</v>
      </c>
      <c r="P15" s="10">
        <v>40619050.275617599</v>
      </c>
      <c r="Q15" s="10">
        <v>43132898.925241798</v>
      </c>
      <c r="R15" s="10">
        <v>53853222.936802097</v>
      </c>
      <c r="S15" s="10">
        <v>40473792.052716903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0.88964558063713772</v>
      </c>
      <c r="X15" s="9">
        <f>(SUM(D$2:D15)+SUM(M$2:M15))/(SUM(D$2:D$22)+SUM(M$2:M$22))</f>
        <v>0.86983943064461855</v>
      </c>
      <c r="Y15" s="9">
        <f>(SUM(E$2:E15)+SUM(N$2:N15))/(SUM(E$2:E$22)+SUM(N$2:N$22))</f>
        <v>0.8389693422529062</v>
      </c>
      <c r="Z15" s="9">
        <f>(SUM(F$2:F15)+SUM(O$2:O15))/(SUM(F$2:F$22)+SUM(O$2:O$22))</f>
        <v>0.80296423582588883</v>
      </c>
      <c r="AA15" s="9">
        <f>(SUM(G$2:G15)+SUM(P$2:P15))/(SUM(G$2:G$22)+SUM(P$2:P$22))</f>
        <v>0.77789746130927062</v>
      </c>
      <c r="AB15" s="9">
        <f>(SUM(H$2:H15)+SUM(Q$2:Q15))/(SUM(H$2:H$22)+SUM(Q$2:Q$22))</f>
        <v>0.77107410158453116</v>
      </c>
      <c r="AC15" s="9">
        <f>(SUM(I$2:I15)+SUM(R$2:R15))/(SUM(I$2:I$22)+SUM(R$2:R$22))</f>
        <v>0.76229037270876998</v>
      </c>
      <c r="AD15" s="9">
        <f>(SUM(J$2:J15)+SUM(S$2:S15))/(SUM(J$2:J$22)+SUM(S$2:S$22))</f>
        <v>0.73522708902681289</v>
      </c>
    </row>
    <row r="16" spans="1:30" x14ac:dyDescent="0.2">
      <c r="A16" s="6" t="s">
        <v>31</v>
      </c>
      <c r="B16" s="7">
        <v>25427303</v>
      </c>
      <c r="C16" s="10">
        <v>35780488.386299998</v>
      </c>
      <c r="D16" s="10">
        <v>33687181.376158297</v>
      </c>
      <c r="E16" s="10">
        <v>45849998.312973998</v>
      </c>
      <c r="F16" s="10">
        <v>53811257.668618798</v>
      </c>
      <c r="G16" s="10">
        <v>49852964.123698503</v>
      </c>
      <c r="H16" s="10">
        <v>40150339.353082798</v>
      </c>
      <c r="I16" s="10">
        <v>42478817.806916296</v>
      </c>
      <c r="J16" s="10">
        <v>53149538.143180497</v>
      </c>
      <c r="K16" s="8">
        <v>24162733</v>
      </c>
      <c r="L16" s="10">
        <v>32871285.145799998</v>
      </c>
      <c r="M16" s="10">
        <v>31285695.255150001</v>
      </c>
      <c r="N16" s="10">
        <v>41380488.687615998</v>
      </c>
      <c r="O16" s="10">
        <v>48475593.023866601</v>
      </c>
      <c r="P16" s="10">
        <v>45388502.255391702</v>
      </c>
      <c r="Q16" s="10">
        <v>36743992.879323699</v>
      </c>
      <c r="R16" s="10">
        <v>39018020.367773801</v>
      </c>
      <c r="S16" s="10">
        <v>48715625.4686312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0.91565113925683517</v>
      </c>
      <c r="Y16" s="9">
        <f>(SUM(E$2:E16)+SUM(N$2:N16))/(SUM(E$2:E$22)+SUM(N$2:N$22))</f>
        <v>0.90130562467633224</v>
      </c>
      <c r="Z16" s="9">
        <f>(SUM(F$2:F16)+SUM(O$2:O16))/(SUM(F$2:F$22)+SUM(O$2:O$22))</f>
        <v>0.87763372843225551</v>
      </c>
      <c r="AA16" s="9">
        <f>(SUM(G$2:G16)+SUM(P$2:P16))/(SUM(G$2:G$22)+SUM(P$2:P$22))</f>
        <v>0.84950831982842578</v>
      </c>
      <c r="AB16" s="9">
        <f>(SUM(H$2:H16)+SUM(Q$2:Q16))/(SUM(H$2:H$22)+SUM(Q$2:Q$22))</f>
        <v>0.8312753590748212</v>
      </c>
      <c r="AC16" s="9">
        <f>(SUM(I$2:I16)+SUM(R$2:R16))/(SUM(I$2:I$22)+SUM(R$2:R$22))</f>
        <v>0.8295503963208164</v>
      </c>
      <c r="AD16" s="9">
        <f>(SUM(J$2:J16)+SUM(S$2:S16))/(SUM(J$2:J$22)+SUM(S$2:S$22))</f>
        <v>0.82475515638441976</v>
      </c>
    </row>
    <row r="17" spans="1:30" x14ac:dyDescent="0.2">
      <c r="A17" s="6" t="s">
        <v>32</v>
      </c>
      <c r="B17" s="7">
        <v>16486416</v>
      </c>
      <c r="C17" s="10">
        <v>23077820.202799998</v>
      </c>
      <c r="D17" s="10">
        <v>32474371.2594059</v>
      </c>
      <c r="E17" s="10">
        <v>30574485.817001302</v>
      </c>
      <c r="F17" s="10">
        <v>41613458.468855202</v>
      </c>
      <c r="G17" s="10">
        <v>48839097.460038401</v>
      </c>
      <c r="H17" s="10">
        <v>45246550.238668703</v>
      </c>
      <c r="I17" s="10">
        <v>36440447.996857896</v>
      </c>
      <c r="J17" s="10">
        <v>38553775.0415572</v>
      </c>
      <c r="K17" s="8">
        <v>14752433</v>
      </c>
      <c r="L17" s="10">
        <v>20429590.751499999</v>
      </c>
      <c r="M17" s="10">
        <v>27792671.590773899</v>
      </c>
      <c r="N17" s="10">
        <v>26452055.338229299</v>
      </c>
      <c r="O17" s="10">
        <v>34987203.185379297</v>
      </c>
      <c r="P17" s="10">
        <v>40986113.901679203</v>
      </c>
      <c r="Q17" s="10">
        <v>38375978.656933703</v>
      </c>
      <c r="R17" s="10">
        <v>31067045.9794682</v>
      </c>
      <c r="S17" s="10">
        <v>32989736.220952701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0.95814481275754038</v>
      </c>
      <c r="Y17" s="9">
        <f>(SUM(E$2:E17)+SUM(N$2:N17))/(SUM(E$2:E$22)+SUM(N$2:N$22))</f>
        <v>0.94205769080958157</v>
      </c>
      <c r="Z17" s="9">
        <f>(SUM(F$2:F17)+SUM(O$2:O17))/(SUM(F$2:F$22)+SUM(O$2:O$22))</f>
        <v>0.93355228003796886</v>
      </c>
      <c r="AA17" s="9">
        <f>(SUM(G$2:G17)+SUM(P$2:P17))/(SUM(G$2:G$22)+SUM(P$2:P$22))</f>
        <v>0.9170467644453324</v>
      </c>
      <c r="AB17" s="9">
        <f>(SUM(H$2:H17)+SUM(Q$2:Q17))/(SUM(H$2:H$22)+SUM(Q$2:Q$22))</f>
        <v>0.89674418165095071</v>
      </c>
      <c r="AC17" s="9">
        <f>(SUM(I$2:I17)+SUM(R$2:R17))/(SUM(I$2:I$22)+SUM(R$2:R$22))</f>
        <v>0.88526489691414034</v>
      </c>
      <c r="AD17" s="9">
        <f>(SUM(J$2:J17)+SUM(S$2:S17))/(SUM(J$2:J$22)+SUM(S$2:S$22))</f>
        <v>0.88763388811373301</v>
      </c>
    </row>
    <row r="18" spans="1:30" x14ac:dyDescent="0.2">
      <c r="A18" s="6" t="s">
        <v>33</v>
      </c>
      <c r="B18" s="7">
        <v>11225875</v>
      </c>
      <c r="C18" s="10">
        <v>13715049.4704</v>
      </c>
      <c r="D18" s="10">
        <v>19198438.626709301</v>
      </c>
      <c r="E18" s="10">
        <v>27015429.450699799</v>
      </c>
      <c r="F18" s="10">
        <v>25434914.751163401</v>
      </c>
      <c r="G18" s="10">
        <v>34618236.1002407</v>
      </c>
      <c r="H18" s="10">
        <v>40629245.177005902</v>
      </c>
      <c r="I18" s="10">
        <v>37640605.143548504</v>
      </c>
      <c r="J18" s="10">
        <v>30314808.688586101</v>
      </c>
      <c r="K18" s="8">
        <v>9157003</v>
      </c>
      <c r="L18" s="10">
        <v>11083502.912900001</v>
      </c>
      <c r="M18" s="10">
        <v>15348751.531602001</v>
      </c>
      <c r="N18" s="10">
        <v>20880634.166148402</v>
      </c>
      <c r="O18" s="10">
        <v>19873429.175611701</v>
      </c>
      <c r="P18" s="10">
        <v>26285885.7531754</v>
      </c>
      <c r="Q18" s="10">
        <v>30792867.374331601</v>
      </c>
      <c r="R18" s="10">
        <v>28831872.764954299</v>
      </c>
      <c r="S18" s="10">
        <v>23340671.6443744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0.98590926109089339</v>
      </c>
      <c r="X18" s="9">
        <f>(SUM(D$2:D18)+SUM(M$2:M18))/(SUM(D$2:D$22)+SUM(M$2:M$22))</f>
        <v>0.98250368204209293</v>
      </c>
      <c r="Y18" s="9">
        <f>(SUM(E$2:E18)+SUM(N$2:N18))/(SUM(E$2:E$22)+SUM(N$2:N$22))</f>
        <v>0.97628497362378874</v>
      </c>
      <c r="Z18" s="9">
        <f>(SUM(F$2:F18)+SUM(O$2:O18))/(SUM(F$2:F$22)+SUM(O$2:O$22))</f>
        <v>0.96662741167945554</v>
      </c>
      <c r="AA18" s="9">
        <f>(SUM(G$2:G18)+SUM(P$2:P18))/(SUM(G$2:G$22)+SUM(P$2:P$22))</f>
        <v>0.96283980626934929</v>
      </c>
      <c r="AB18" s="9">
        <f>(SUM(H$2:H18)+SUM(Q$2:Q18))/(SUM(H$2:H$22)+SUM(Q$2:Q$22))</f>
        <v>0.95266118961986168</v>
      </c>
      <c r="AC18" s="9">
        <f>(SUM(I$2:I18)+SUM(R$2:R18))/(SUM(I$2:I$22)+SUM(R$2:R$22))</f>
        <v>0.94012519007169315</v>
      </c>
      <c r="AD18" s="9">
        <f>(SUM(J$2:J18)+SUM(S$2:S18))/(SUM(J$2:J$22)+SUM(S$2:S$22))</f>
        <v>0.93479104456478324</v>
      </c>
    </row>
    <row r="19" spans="1:30" x14ac:dyDescent="0.2">
      <c r="A19" s="6" t="s">
        <v>34</v>
      </c>
      <c r="B19" s="7">
        <v>6400439</v>
      </c>
      <c r="C19" s="10">
        <v>7876073.9000000004</v>
      </c>
      <c r="D19" s="10">
        <v>9622478.7084326409</v>
      </c>
      <c r="E19" s="10">
        <v>13469624.5404993</v>
      </c>
      <c r="F19" s="10">
        <v>18954025.3026109</v>
      </c>
      <c r="G19" s="10">
        <v>17845136.1894162</v>
      </c>
      <c r="H19" s="10">
        <v>24288154.447928801</v>
      </c>
      <c r="I19" s="10">
        <v>28505478.416187402</v>
      </c>
      <c r="J19" s="10">
        <v>26408648.568713602</v>
      </c>
      <c r="K19" s="8">
        <v>4426091</v>
      </c>
      <c r="L19" s="10">
        <v>5560132.2215999998</v>
      </c>
      <c r="M19" s="10">
        <v>6729902.9687128803</v>
      </c>
      <c r="N19" s="10">
        <v>9319761.9299887009</v>
      </c>
      <c r="O19" s="10">
        <v>12678721.0656853</v>
      </c>
      <c r="P19" s="10">
        <v>12067146.1954314</v>
      </c>
      <c r="Q19" s="10">
        <v>15960789.829328099</v>
      </c>
      <c r="R19" s="10">
        <v>18697429.069694199</v>
      </c>
      <c r="S19" s="10">
        <v>17506713.142880201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0.99403357856737862</v>
      </c>
      <c r="Y19" s="9">
        <f>(SUM(E$2:E19)+SUM(N$2:N19))/(SUM(E$2:E$22)+SUM(N$2:N$22))</f>
        <v>0.99257062879009939</v>
      </c>
      <c r="Z19" s="9">
        <f>(SUM(F$2:F19)+SUM(O$2:O19))/(SUM(F$2:F$22)+SUM(O$2:O$22))</f>
        <v>0.98971934485635693</v>
      </c>
      <c r="AA19" s="9">
        <f>(SUM(G$2:G19)+SUM(P$2:P19))/(SUM(G$2:G$22)+SUM(P$2:P$22))</f>
        <v>0.98533047449699229</v>
      </c>
      <c r="AB19" s="9">
        <f>(SUM(H$2:H19)+SUM(Q$2:Q19))/(SUM(H$2:H$22)+SUM(Q$2:Q$22))</f>
        <v>0.98417244653310276</v>
      </c>
      <c r="AC19" s="9">
        <f>(SUM(I$2:I19)+SUM(R$2:R19))/(SUM(I$2:I$22)+SUM(R$2:R$22))</f>
        <v>0.9790821452513806</v>
      </c>
      <c r="AD19" s="9">
        <f>(SUM(J$2:J19)+SUM(S$2:S19))/(SUM(J$2:J$22)+SUM(S$2:S$22))</f>
        <v>0.97338772788560934</v>
      </c>
    </row>
    <row r="20" spans="1:30" x14ac:dyDescent="0.2">
      <c r="A20" s="6" t="s">
        <v>35</v>
      </c>
      <c r="B20" s="7">
        <v>2285155</v>
      </c>
      <c r="C20" s="10">
        <v>3358310.3432999998</v>
      </c>
      <c r="D20" s="10">
        <v>4132575.9753299998</v>
      </c>
      <c r="E20" s="10">
        <v>5048914.5783146098</v>
      </c>
      <c r="F20" s="10">
        <v>7067511.9963999595</v>
      </c>
      <c r="G20" s="10">
        <v>9945177.0762799606</v>
      </c>
      <c r="H20" s="10">
        <v>9363342.9585866891</v>
      </c>
      <c r="I20" s="10">
        <v>12743994.6388283</v>
      </c>
      <c r="J20" s="10">
        <v>14956824.524973501</v>
      </c>
      <c r="K20" s="8">
        <v>1367594</v>
      </c>
      <c r="L20" s="10">
        <v>1951463.5219000001</v>
      </c>
      <c r="M20" s="10">
        <v>2451462.29650344</v>
      </c>
      <c r="N20" s="10">
        <v>2967214.2189055099</v>
      </c>
      <c r="O20" s="10">
        <v>4109083.0349320201</v>
      </c>
      <c r="P20" s="10">
        <v>5590048.11786066</v>
      </c>
      <c r="Q20" s="10">
        <v>5320404.7575657098</v>
      </c>
      <c r="R20" s="10">
        <v>7037112.2357507702</v>
      </c>
      <c r="S20" s="10">
        <v>8243696.4768281505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0.99867591639263009</v>
      </c>
      <c r="Y20" s="9">
        <f>(SUM(E$2:E20)+SUM(N$2:N20))/(SUM(E$2:E$22)+SUM(N$2:N$22))</f>
        <v>0.99829908091536035</v>
      </c>
      <c r="Z20" s="9">
        <f>(SUM(F$2:F20)+SUM(O$2:O20))/(SUM(F$2:F$22)+SUM(O$2:O$22))</f>
        <v>0.99787826923819545</v>
      </c>
      <c r="AA20" s="9">
        <f>(SUM(G$2:G20)+SUM(P$2:P20))/(SUM(G$2:G$22)+SUM(P$2:P$22))</f>
        <v>0.99701121457519293</v>
      </c>
      <c r="AB20" s="9">
        <f>(SUM(H$2:H20)+SUM(Q$2:Q20))/(SUM(H$2:H$22)+SUM(Q$2:Q$22))</f>
        <v>0.99566848338677871</v>
      </c>
      <c r="AC20" s="9">
        <f>(SUM(I$2:I20)+SUM(R$2:R20))/(SUM(I$2:I$22)+SUM(R$2:R$22))</f>
        <v>0.99540765855049396</v>
      </c>
      <c r="AD20" s="9">
        <f>(SUM(J$2:J20)+SUM(S$2:S20))/(SUM(J$2:J$22)+SUM(S$2:S$22))</f>
        <v>0.99377838680504416</v>
      </c>
    </row>
    <row r="21" spans="1:30" x14ac:dyDescent="0.2">
      <c r="A21" s="6" t="s">
        <v>36</v>
      </c>
      <c r="B21" s="7">
        <v>548357</v>
      </c>
      <c r="C21" s="10">
        <v>735819.91</v>
      </c>
      <c r="D21" s="10">
        <v>1081375.9305426001</v>
      </c>
      <c r="E21" s="10">
        <v>1330689.46405626</v>
      </c>
      <c r="F21" s="10">
        <v>1625750.4942173001</v>
      </c>
      <c r="G21" s="10">
        <v>2275738.8628407898</v>
      </c>
      <c r="H21" s="10">
        <v>3202347.0185621502</v>
      </c>
      <c r="I21" s="10">
        <v>3014996.4326649099</v>
      </c>
      <c r="J21" s="10">
        <v>4103566.2737027002</v>
      </c>
      <c r="K21" s="8">
        <v>271455</v>
      </c>
      <c r="L21" s="10">
        <v>385387.98920000001</v>
      </c>
      <c r="M21" s="10">
        <v>549922.42047142005</v>
      </c>
      <c r="N21" s="10">
        <v>690822.075154669</v>
      </c>
      <c r="O21" s="10">
        <v>836160.96688757197</v>
      </c>
      <c r="P21" s="10">
        <v>1157939.59924384</v>
      </c>
      <c r="Q21" s="10">
        <v>1575275.5596131301</v>
      </c>
      <c r="R21" s="10">
        <v>1499290.0606820199</v>
      </c>
      <c r="S21" s="10">
        <v>1983058.2280345701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0.99982612812083049</v>
      </c>
      <c r="Y21" s="9">
        <f>(SUM(E$2:E21)+SUM(N$2:N21))/(SUM(E$2:E$22)+SUM(N$2:N$22))</f>
        <v>0.99974368495877952</v>
      </c>
      <c r="Z21" s="9">
        <f>(SUM(F$2:F21)+SUM(O$2:O21))/(SUM(F$2:F$22)+SUM(O$2:O$22))</f>
        <v>0.99967546680951536</v>
      </c>
      <c r="AA21" s="9">
        <f>(SUM(G$2:G21)+SUM(P$2:P21))/(SUM(G$2:G$22)+SUM(P$2:P$22))</f>
        <v>0.99959295414616811</v>
      </c>
      <c r="AB21" s="9">
        <f>(SUM(H$2:H21)+SUM(Q$2:Q21))/(SUM(H$2:H$22)+SUM(Q$2:Q$22))</f>
        <v>0.99940892665054037</v>
      </c>
      <c r="AC21" s="9">
        <f>(SUM(I$2:I21)+SUM(R$2:R21))/(SUM(I$2:I$22)+SUM(R$2:R$22))</f>
        <v>0.99913333702998586</v>
      </c>
      <c r="AD21" s="9">
        <f>(SUM(J$2:J21)+SUM(S$2:S21))/(SUM(J$2:J$22)+SUM(S$2:S$22))</f>
        <v>0.99912784788723119</v>
      </c>
    </row>
    <row r="22" spans="1:30" x14ac:dyDescent="0.2">
      <c r="A22" s="6" t="s">
        <v>37</v>
      </c>
      <c r="B22" s="7">
        <v>83737</v>
      </c>
      <c r="C22" s="10">
        <v>118719.2905</v>
      </c>
      <c r="D22" s="10">
        <v>159305.010515</v>
      </c>
      <c r="E22" s="10">
        <v>234117.88896247299</v>
      </c>
      <c r="F22" s="10">
        <v>288094.26896818</v>
      </c>
      <c r="G22" s="10">
        <v>351974.98199804599</v>
      </c>
      <c r="H22" s="10">
        <v>492697.46380503097</v>
      </c>
      <c r="I22" s="10">
        <v>693308.12951870495</v>
      </c>
      <c r="J22" s="10">
        <v>652746.72767195397</v>
      </c>
      <c r="K22" s="8">
        <v>35129</v>
      </c>
      <c r="L22" s="10">
        <v>61484.557500000003</v>
      </c>
      <c r="M22" s="10">
        <v>87290.379553799998</v>
      </c>
      <c r="N22" s="10">
        <v>124557.42823677701</v>
      </c>
      <c r="O22" s="10">
        <v>156471.20002253301</v>
      </c>
      <c r="P22" s="10">
        <v>189390.45900003501</v>
      </c>
      <c r="Q22" s="10">
        <v>262273.31922873098</v>
      </c>
      <c r="R22" s="10">
        <v>356799.91425237502</v>
      </c>
      <c r="S22" s="10">
        <v>339589.19874447701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44.373727006012338</v>
      </c>
      <c r="Y23" s="3">
        <f t="shared" si="0"/>
        <v>47.112726747685507</v>
      </c>
      <c r="Z23" s="3">
        <f t="shared" si="0"/>
        <v>49.443759875339268</v>
      </c>
      <c r="AA23" s="3">
        <f t="shared" si="0"/>
        <v>50.721734717279865</v>
      </c>
      <c r="AB23" s="3">
        <f t="shared" si="0"/>
        <v>51.141855665862884</v>
      </c>
      <c r="AC23" s="3">
        <f t="shared" si="0"/>
        <v>51.296235388386101</v>
      </c>
      <c r="AD23" s="3">
        <f t="shared" si="0"/>
        <v>52.037389215609977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6.9579753337529722</v>
      </c>
      <c r="D25" s="3">
        <f t="shared" si="1"/>
        <v>6.951869310053338</v>
      </c>
      <c r="E25" s="3">
        <f t="shared" si="1"/>
        <v>6.8764396694047702</v>
      </c>
      <c r="F25" s="3">
        <f t="shared" si="1"/>
        <v>6.7452879480690262</v>
      </c>
      <c r="G25" s="3">
        <f t="shared" si="1"/>
        <v>6.5564970078315534</v>
      </c>
      <c r="H25" s="3">
        <f t="shared" si="1"/>
        <v>6.2986645196950137</v>
      </c>
      <c r="I25" s="3">
        <f t="shared" si="1"/>
        <v>5.9714943150018129</v>
      </c>
      <c r="J25" s="3">
        <f t="shared" si="1"/>
        <v>5.5970086181988536</v>
      </c>
      <c r="K25" s="3">
        <f t="shared" ref="K25:S25" si="2">SUM(K2:K22)/100000000</f>
        <v>7.2141639399999997</v>
      </c>
      <c r="L25" s="3">
        <f t="shared" si="2"/>
        <v>7.2693777265212276</v>
      </c>
      <c r="M25" s="3">
        <f t="shared" si="2"/>
        <v>7.2307225642829014</v>
      </c>
      <c r="N25" s="3">
        <f t="shared" si="2"/>
        <v>7.1170940495403876</v>
      </c>
      <c r="O25" s="3">
        <f t="shared" si="2"/>
        <v>6.9533253841131888</v>
      </c>
      <c r="P25" s="3">
        <f t="shared" si="2"/>
        <v>6.7433667765991343</v>
      </c>
      <c r="Q25" s="3">
        <f t="shared" si="2"/>
        <v>6.4742135625956765</v>
      </c>
      <c r="R25" s="3">
        <f>SUM(R2:R22)/100000000</f>
        <v>6.1451886413945447</v>
      </c>
      <c r="S25" s="3">
        <f t="shared" si="2"/>
        <v>5.7810057429205512</v>
      </c>
      <c r="V25" s="5"/>
      <c r="W25" s="5">
        <f t="shared" ref="W25:X25" si="3">((0.5-W9)/(W10-W9)*5)+$U10</f>
        <v>41.860793424246822</v>
      </c>
      <c r="X25" s="5">
        <f t="shared" si="3"/>
        <v>44.373727006012338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7.2693777265212276</v>
      </c>
      <c r="D26" s="3">
        <f t="shared" si="4"/>
        <v>7.2307225642829014</v>
      </c>
      <c r="E26" s="3">
        <f t="shared" si="4"/>
        <v>7.1170940495403876</v>
      </c>
      <c r="F26" s="3">
        <f t="shared" si="4"/>
        <v>6.9533253841131888</v>
      </c>
      <c r="G26" s="3">
        <f t="shared" si="4"/>
        <v>6.7433667765991343</v>
      </c>
      <c r="H26" s="3">
        <f t="shared" si="4"/>
        <v>6.4742135625956765</v>
      </c>
      <c r="I26" s="3">
        <f t="shared" si="4"/>
        <v>6.1451886413945447</v>
      </c>
      <c r="J26" s="3">
        <f t="shared" si="4"/>
        <v>5.7810057429205512</v>
      </c>
      <c r="V26" s="5"/>
      <c r="W26" s="5"/>
      <c r="X26" s="5"/>
      <c r="Y26" s="5">
        <f>((0.5-Y10)/(Y11-Y10)*5)+$U11</f>
        <v>47.112726747685507</v>
      </c>
      <c r="Z26" s="5">
        <f>((0.5-Z10)/(Z11-Z10)*5)+$U11</f>
        <v>49.443759875339268</v>
      </c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5">C25+C26</f>
        <v>14.227353060274201</v>
      </c>
      <c r="D27" s="3">
        <f t="shared" si="5"/>
        <v>14.182591874336239</v>
      </c>
      <c r="E27" s="3">
        <f t="shared" si="5"/>
        <v>13.993533718945159</v>
      </c>
      <c r="F27" s="3">
        <f t="shared" si="5"/>
        <v>13.698613332182216</v>
      </c>
      <c r="G27" s="3">
        <f t="shared" si="5"/>
        <v>13.299863784430688</v>
      </c>
      <c r="H27" s="3">
        <f t="shared" si="5"/>
        <v>12.77287808229069</v>
      </c>
      <c r="I27" s="3">
        <f t="shared" si="5"/>
        <v>12.116682956396357</v>
      </c>
      <c r="J27" s="3">
        <f t="shared" si="5"/>
        <v>11.378014361119405</v>
      </c>
      <c r="V27" s="5"/>
      <c r="W27" s="5"/>
      <c r="X27" s="5"/>
      <c r="Y27" s="5"/>
      <c r="Z27" s="5"/>
      <c r="AA27" s="5">
        <f>((0.5-AA11)/(AA12-AA11)*5)+$U12</f>
        <v>50.721734717279865</v>
      </c>
      <c r="AB27" s="5">
        <f>((0.5-AB11)/(AB12-AB11)*5)+$U12</f>
        <v>51.141855665862884</v>
      </c>
      <c r="AC27" s="5">
        <f t="shared" ref="AC27" si="6">((0.5-AC11)/(AC12-AC11)*5)+$U12</f>
        <v>51.296235388386101</v>
      </c>
      <c r="AD27" s="5">
        <f>((0.5-AD11)/(AD12-AD11)*5)+$U12</f>
        <v>52.037389215609977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1.044754742267862</v>
      </c>
      <c r="D28" s="2">
        <f t="shared" si="7"/>
        <v>1.0401119816545319</v>
      </c>
      <c r="E28" s="2">
        <f t="shared" si="7"/>
        <v>1.0349969448879712</v>
      </c>
      <c r="F28" s="2">
        <f t="shared" si="7"/>
        <v>1.0308418910572554</v>
      </c>
      <c r="G28" s="2">
        <f t="shared" si="7"/>
        <v>1.0285014648133555</v>
      </c>
      <c r="H28" s="2">
        <f t="shared" si="7"/>
        <v>1.0278708355321586</v>
      </c>
      <c r="I28" s="2">
        <f t="shared" si="7"/>
        <v>1.0290872463792473</v>
      </c>
      <c r="J28" s="2">
        <f t="shared" si="7"/>
        <v>1.0328741899956031</v>
      </c>
      <c r="V28" s="5"/>
      <c r="W28" s="5"/>
      <c r="X28" s="5"/>
      <c r="Y28" s="5"/>
      <c r="Z28" s="5"/>
      <c r="AA28" s="5"/>
      <c r="AB28" s="5"/>
      <c r="AC28" s="5"/>
      <c r="AD28" s="5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0.17264534538872342</v>
      </c>
      <c r="D29" s="2">
        <f t="shared" si="8"/>
        <v>0.21378992792360851</v>
      </c>
      <c r="E29" s="2">
        <f t="shared" si="8"/>
        <v>0.26201444487752379</v>
      </c>
      <c r="F29" s="2">
        <f t="shared" si="8"/>
        <v>0.29839695991755461</v>
      </c>
      <c r="G29" s="2">
        <f t="shared" si="8"/>
        <v>0.31418650678307503</v>
      </c>
      <c r="H29" s="2">
        <f t="shared" si="8"/>
        <v>0.33037468237369932</v>
      </c>
      <c r="I29" s="2">
        <f t="shared" si="8"/>
        <v>0.36418090533828362</v>
      </c>
      <c r="J29" s="2">
        <f t="shared" si="8"/>
        <v>0.37276464786467245</v>
      </c>
      <c r="K29" s="2">
        <f t="shared" ref="K29:S29" si="9">SUM(K15:K22)/(K25*10^8)</f>
        <v>0.12546202408591231</v>
      </c>
      <c r="L29" s="2">
        <f t="shared" si="9"/>
        <v>0.14709369408648207</v>
      </c>
      <c r="M29" s="2">
        <f t="shared" si="9"/>
        <v>0.17977485756075701</v>
      </c>
      <c r="N29" s="2">
        <f t="shared" si="9"/>
        <v>0.21835233481305691</v>
      </c>
      <c r="O29" s="2">
        <f t="shared" si="9"/>
        <v>0.24634526683000793</v>
      </c>
      <c r="P29" s="2">
        <f t="shared" si="9"/>
        <v>0.2554867357285992</v>
      </c>
      <c r="Q29" s="2">
        <f t="shared" si="9"/>
        <v>0.26592338920704578</v>
      </c>
      <c r="R29" s="2">
        <f t="shared" si="9"/>
        <v>0.29349919726540397</v>
      </c>
      <c r="S29" s="2">
        <f t="shared" si="9"/>
        <v>0.30028145646757975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0.14709369408648207</v>
      </c>
      <c r="D30" s="2">
        <f t="shared" si="10"/>
        <v>0.17977485756075701</v>
      </c>
      <c r="E30" s="2">
        <f t="shared" si="10"/>
        <v>0.21835233481305691</v>
      </c>
      <c r="F30" s="2">
        <f t="shared" si="10"/>
        <v>0.24634526683000793</v>
      </c>
      <c r="G30" s="2">
        <f t="shared" si="10"/>
        <v>0.2554867357285992</v>
      </c>
      <c r="H30" s="2">
        <f t="shared" si="10"/>
        <v>0.26592338920704578</v>
      </c>
      <c r="I30" s="2">
        <f t="shared" si="10"/>
        <v>0.29349919726540397</v>
      </c>
      <c r="J30" s="2">
        <f t="shared" si="10"/>
        <v>0.30028145646757975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0.15958988777370231</v>
      </c>
      <c r="D31" s="2">
        <f t="shared" si="11"/>
        <v>0.19644799642211755</v>
      </c>
      <c r="E31" s="2">
        <f t="shared" si="11"/>
        <v>0.23980794936527947</v>
      </c>
      <c r="F31" s="2">
        <f t="shared" si="11"/>
        <v>0.27197586531074369</v>
      </c>
      <c r="G31" s="2">
        <f t="shared" si="11"/>
        <v>0.28442424061715338</v>
      </c>
      <c r="H31" s="2">
        <f t="shared" si="11"/>
        <v>0.29770613001940138</v>
      </c>
      <c r="I31" s="2">
        <f t="shared" si="11"/>
        <v>0.32833343527020437</v>
      </c>
      <c r="J31" s="2">
        <f t="shared" si="11"/>
        <v>0.33593697895579111</v>
      </c>
    </row>
    <row r="32" spans="1:30" x14ac:dyDescent="0.2">
      <c r="A32" s="2" t="s">
        <v>45</v>
      </c>
      <c r="B32">
        <v>1200</v>
      </c>
      <c r="C32" s="1">
        <f>(C2+L2)/50000</f>
        <v>1180.4343156804</v>
      </c>
      <c r="D32" s="1">
        <f t="shared" ref="D32:J32" si="12">(D2+M2)/50000</f>
        <v>1031.886696430148</v>
      </c>
      <c r="E32" s="1">
        <f t="shared" si="12"/>
        <v>962.84743647962</v>
      </c>
      <c r="F32" s="1">
        <f t="shared" si="12"/>
        <v>980.45181863006394</v>
      </c>
      <c r="G32" s="1">
        <f t="shared" si="12"/>
        <v>985.9359587283941</v>
      </c>
      <c r="H32" s="1">
        <f t="shared" si="12"/>
        <v>905.90300903850402</v>
      </c>
      <c r="I32" s="1">
        <f t="shared" si="12"/>
        <v>771.11636795428012</v>
      </c>
      <c r="J32" s="1">
        <f t="shared" si="12"/>
        <v>656.37782750226404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1121.409068306067</v>
      </c>
      <c r="E33" s="1">
        <f t="shared" si="13"/>
        <v>1340.9637472617817</v>
      </c>
      <c r="F33" s="1">
        <f t="shared" si="13"/>
        <v>1570.2925921559524</v>
      </c>
      <c r="G33" s="1">
        <f t="shared" si="13"/>
        <v>1783.4350542314482</v>
      </c>
      <c r="H33" s="1">
        <f t="shared" si="13"/>
        <v>1959.8744133184982</v>
      </c>
      <c r="I33" s="1">
        <f t="shared" si="13"/>
        <v>2083.5066197429442</v>
      </c>
      <c r="J33" s="1">
        <f t="shared" si="13"/>
        <v>2133.7150180561684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10568.63213953973</v>
      </c>
      <c r="D36" s="4">
        <f t="shared" si="14"/>
        <v>8671.0242095312515</v>
      </c>
      <c r="E36" s="4">
        <f t="shared" si="14"/>
        <v>7160.58230954797</v>
      </c>
      <c r="F36" s="4">
        <f t="shared" si="14"/>
        <v>6710.21538122519</v>
      </c>
      <c r="G36" s="4">
        <f t="shared" si="14"/>
        <v>6606.7973661319111</v>
      </c>
      <c r="H36" s="4">
        <f t="shared" si="14"/>
        <v>6477.9047306686998</v>
      </c>
      <c r="I36" s="4">
        <f t="shared" si="14"/>
        <v>6005.2163697943297</v>
      </c>
      <c r="J36" s="4">
        <f t="shared" si="14"/>
        <v>5261.8387894973503</v>
      </c>
      <c r="K36" s="4">
        <f t="shared" si="14"/>
        <v>13459.357900000001</v>
      </c>
      <c r="L36" s="4">
        <f t="shared" si="14"/>
        <v>12113.53174382227</v>
      </c>
      <c r="M36" s="4">
        <f t="shared" si="14"/>
        <v>10128.20935058177</v>
      </c>
      <c r="N36" s="4">
        <f t="shared" si="14"/>
        <v>8674.4596855917498</v>
      </c>
      <c r="O36" s="4">
        <f t="shared" si="14"/>
        <v>8129.0667092745307</v>
      </c>
      <c r="P36" s="4">
        <f t="shared" si="14"/>
        <v>8003.8587921085</v>
      </c>
      <c r="Q36" s="4">
        <f t="shared" si="14"/>
        <v>7847.5807191277909</v>
      </c>
      <c r="R36" s="4">
        <f t="shared" si="14"/>
        <v>7274.7717034425286</v>
      </c>
      <c r="S36" s="4">
        <f t="shared" si="14"/>
        <v>6374.1713915233795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45985.272503695625</v>
      </c>
      <c r="E37" s="4">
        <f t="shared" si="15"/>
        <v>43586.549157370981</v>
      </c>
      <c r="F37" s="4">
        <f t="shared" si="15"/>
        <v>40614.929924741897</v>
      </c>
      <c r="G37" s="4">
        <f t="shared" si="15"/>
        <v>38358.54379594083</v>
      </c>
      <c r="H37" s="4">
        <f t="shared" si="15"/>
        <v>35699.547565554138</v>
      </c>
      <c r="I37" s="4">
        <f t="shared" si="15"/>
        <v>31962.684721626054</v>
      </c>
      <c r="J37" s="4">
        <f t="shared" si="15"/>
        <v>29844.577925906866</v>
      </c>
      <c r="K37" s="4">
        <f t="shared" si="15"/>
        <v>49631.2454</v>
      </c>
      <c r="L37" s="4">
        <f t="shared" si="15"/>
        <v>49887.449286349998</v>
      </c>
      <c r="M37" s="4">
        <f t="shared" si="15"/>
        <v>49179.995101694141</v>
      </c>
      <c r="N37" s="4">
        <f t="shared" si="15"/>
        <v>46956.139781799538</v>
      </c>
      <c r="O37" s="4">
        <f t="shared" si="15"/>
        <v>44274.999160805033</v>
      </c>
      <c r="P37" s="4">
        <f t="shared" si="15"/>
        <v>42201.401318142867</v>
      </c>
      <c r="Q37" s="4">
        <f t="shared" si="15"/>
        <v>39678.106776672335</v>
      </c>
      <c r="R37" s="4">
        <f t="shared" si="15"/>
        <v>36141.035377565138</v>
      </c>
      <c r="S37" s="4">
        <f t="shared" si="15"/>
        <v>34076.597794365873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14862.396387306491</v>
      </c>
      <c r="E38" s="4">
        <f t="shared" si="16"/>
        <v>18017.265227128741</v>
      </c>
      <c r="F38" s="4">
        <f t="shared" si="16"/>
        <v>20127.734174723177</v>
      </c>
      <c r="G38" s="4">
        <f t="shared" si="16"/>
        <v>20599.628916242793</v>
      </c>
      <c r="H38" s="4">
        <f t="shared" si="16"/>
        <v>20809.192900727296</v>
      </c>
      <c r="I38" s="4">
        <f t="shared" si="16"/>
        <v>21747.042058597741</v>
      </c>
      <c r="J38" s="4">
        <f t="shared" si="16"/>
        <v>20863.669466584324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12999.021190553101</v>
      </c>
      <c r="N38" s="4">
        <f t="shared" si="16"/>
        <v>15540.341028012577</v>
      </c>
      <c r="O38" s="4">
        <f t="shared" si="16"/>
        <v>17129.18797105231</v>
      </c>
      <c r="P38" s="4">
        <f t="shared" si="16"/>
        <v>17228.407655739986</v>
      </c>
      <c r="Q38" s="4">
        <f t="shared" si="16"/>
        <v>17216.448130156645</v>
      </c>
      <c r="R38" s="4">
        <f t="shared" si="16"/>
        <v>18036.079332937774</v>
      </c>
      <c r="S38" s="4">
        <f t="shared" si="16"/>
        <v>17359.288243316259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23.41120038358105</v>
      </c>
      <c r="D39">
        <f t="shared" si="17"/>
        <v>19.754301157503722</v>
      </c>
      <c r="E39">
        <f t="shared" si="17"/>
        <v>17.489034377781966</v>
      </c>
      <c r="F39">
        <f t="shared" si="17"/>
        <v>17.48061548684484</v>
      </c>
      <c r="G39">
        <f t="shared" si="17"/>
        <v>18.136377994733934</v>
      </c>
      <c r="H39">
        <f t="shared" si="17"/>
        <v>19.004949908306408</v>
      </c>
      <c r="I39">
        <f t="shared" si="17"/>
        <v>19.499651493185571</v>
      </c>
      <c r="J39">
        <f t="shared" si="17"/>
        <v>18.203686102304193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29.276876195408963</v>
      </c>
      <c r="E40">
        <f t="shared" si="18"/>
        <v>37.062745372722908</v>
      </c>
      <c r="F40">
        <f t="shared" si="18"/>
        <v>43.888506619236566</v>
      </c>
      <c r="G40">
        <f t="shared" si="18"/>
        <v>46.956383247795415</v>
      </c>
      <c r="H40">
        <f t="shared" si="18"/>
        <v>50.446835156532607</v>
      </c>
      <c r="I40">
        <f t="shared" si="18"/>
        <v>58.415489394107247</v>
      </c>
      <c r="J40">
        <f t="shared" si="18"/>
        <v>59.797019186832777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14.227353060274201</v>
      </c>
      <c r="P57" s="5">
        <f t="shared" si="19"/>
        <v>14.182591874336239</v>
      </c>
      <c r="Q57" s="5">
        <f t="shared" si="19"/>
        <v>13.993533718945159</v>
      </c>
      <c r="R57" s="5">
        <f t="shared" si="19"/>
        <v>13.698613332182216</v>
      </c>
      <c r="S57" s="5">
        <f t="shared" si="19"/>
        <v>13.299863784430688</v>
      </c>
      <c r="T57" s="5">
        <f t="shared" si="19"/>
        <v>12.77287808229069</v>
      </c>
      <c r="U57" s="5">
        <f t="shared" si="19"/>
        <v>12.116682956396357</v>
      </c>
      <c r="V57" s="5">
        <f t="shared" si="19"/>
        <v>11.378014361119405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7.2693777265212276</v>
      </c>
      <c r="P62" s="5">
        <f t="shared" si="20"/>
        <v>7.2307225642829014</v>
      </c>
      <c r="Q62" s="5">
        <f t="shared" si="20"/>
        <v>7.1170940495403876</v>
      </c>
      <c r="R62" s="5">
        <f t="shared" si="20"/>
        <v>6.9533253841131888</v>
      </c>
      <c r="S62" s="5">
        <f t="shared" si="20"/>
        <v>6.7433667765991343</v>
      </c>
      <c r="T62" s="5">
        <f t="shared" si="20"/>
        <v>6.4742135625956765</v>
      </c>
      <c r="U62" s="5">
        <f t="shared" si="20"/>
        <v>6.1451886413945447</v>
      </c>
      <c r="V62" s="5">
        <f t="shared" si="20"/>
        <v>5.7810057429205512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6.9579753337529722</v>
      </c>
      <c r="P67" s="5">
        <f t="shared" si="21"/>
        <v>6.951869310053338</v>
      </c>
      <c r="Q67" s="5">
        <f t="shared" si="21"/>
        <v>6.8764396694047702</v>
      </c>
      <c r="R67" s="5">
        <f t="shared" si="21"/>
        <v>6.7452879480690262</v>
      </c>
      <c r="S67" s="5">
        <f t="shared" si="21"/>
        <v>6.5564970078315534</v>
      </c>
      <c r="T67" s="5">
        <f t="shared" si="21"/>
        <v>6.2986645196950137</v>
      </c>
      <c r="U67" s="5">
        <f t="shared" si="21"/>
        <v>5.9714943150018129</v>
      </c>
      <c r="V67" s="5">
        <f t="shared" si="21"/>
        <v>5.5970086181988536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</v>
      </c>
      <c r="P72" s="5">
        <f t="shared" si="22"/>
        <v>1031.886696430148</v>
      </c>
      <c r="Q72" s="5">
        <f t="shared" si="22"/>
        <v>962.84743647962</v>
      </c>
      <c r="R72" s="5">
        <f t="shared" si="22"/>
        <v>980.45181863006394</v>
      </c>
      <c r="S72" s="5">
        <f t="shared" si="22"/>
        <v>985.9359587283941</v>
      </c>
      <c r="T72" s="5">
        <f t="shared" si="22"/>
        <v>905.90300903850402</v>
      </c>
      <c r="U72" s="5">
        <f t="shared" si="22"/>
        <v>771.11636795428012</v>
      </c>
      <c r="V72" s="5">
        <f t="shared" si="22"/>
        <v>656.37782750226404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1121.409068306067</v>
      </c>
      <c r="Q77" s="5">
        <f t="shared" si="23"/>
        <v>1340.9637472617817</v>
      </c>
      <c r="R77" s="5">
        <f t="shared" si="23"/>
        <v>1570.2925921559524</v>
      </c>
      <c r="S77" s="5">
        <f t="shared" si="23"/>
        <v>1783.4350542314482</v>
      </c>
      <c r="T77" s="5">
        <f t="shared" si="23"/>
        <v>1959.8744133184982</v>
      </c>
      <c r="U77" s="5">
        <f t="shared" si="23"/>
        <v>2083.5066197429442</v>
      </c>
      <c r="V77" s="5">
        <f t="shared" si="23"/>
        <v>2133.7150180561684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22682.163883362002</v>
      </c>
      <c r="P89" s="4">
        <f t="shared" si="24"/>
        <v>18799.233560113022</v>
      </c>
      <c r="Q89" s="4">
        <f t="shared" si="24"/>
        <v>15835.04199513972</v>
      </c>
      <c r="R89" s="4">
        <f t="shared" si="24"/>
        <v>14839.282090499721</v>
      </c>
      <c r="S89" s="4">
        <f t="shared" si="24"/>
        <v>14610.65615824041</v>
      </c>
      <c r="T89" s="4">
        <f t="shared" si="24"/>
        <v>14325.485449796492</v>
      </c>
      <c r="U89" s="4">
        <f t="shared" si="24"/>
        <v>13279.988073236858</v>
      </c>
      <c r="V89" s="4">
        <f t="shared" si="24"/>
        <v>11636.010181020731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95165.267605389759</v>
      </c>
      <c r="Q90" s="4">
        <f t="shared" si="24"/>
        <v>90542.688939170519</v>
      </c>
      <c r="R90" s="4">
        <f t="shared" si="24"/>
        <v>84889.92908554693</v>
      </c>
      <c r="S90" s="4">
        <f t="shared" si="24"/>
        <v>80559.945114083705</v>
      </c>
      <c r="T90" s="4">
        <f t="shared" si="24"/>
        <v>75377.65434222648</v>
      </c>
      <c r="U90" s="4">
        <f t="shared" si="24"/>
        <v>68103.720099191196</v>
      </c>
      <c r="V90" s="4">
        <f t="shared" si="24"/>
        <v>63921.175720272739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27861.417577859593</v>
      </c>
      <c r="Q91" s="4">
        <f t="shared" si="24"/>
        <v>33557.60625514132</v>
      </c>
      <c r="R91" s="4">
        <f t="shared" si="24"/>
        <v>37256.92214577549</v>
      </c>
      <c r="S91" s="4">
        <f t="shared" si="24"/>
        <v>37828.036571982782</v>
      </c>
      <c r="T91" s="4">
        <f t="shared" si="24"/>
        <v>38025.64103088394</v>
      </c>
      <c r="U91" s="4">
        <f t="shared" si="24"/>
        <v>39783.121391535518</v>
      </c>
      <c r="V91" s="4">
        <f t="shared" si="24"/>
        <v>38222.957709900584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53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326C-52C0-4150-ADB2-7AEE8C269A7C}">
  <dimension ref="A1:AE91"/>
  <sheetViews>
    <sheetView topLeftCell="H1" workbookViewId="0">
      <selection activeCell="J2" sqref="J2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  <col min="21" max="21" width="10" bestFit="1" customWidth="1"/>
    <col min="22" max="22" width="12.75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Low_2060[[#This Row],[2025女]]</f>
        <v>28791080.87025366</v>
      </c>
      <c r="D2" s="6">
        <f>Low_2060[[#This Row],[2030女]]</f>
        <v>19269554.26416178</v>
      </c>
      <c r="E2" s="6">
        <f>Low_2060[[#This Row],[2035女]]</f>
        <v>15942028.501546873</v>
      </c>
      <c r="F2" s="6">
        <f>Low_2060[[#This Row],[2040女]]</f>
        <v>14647876.828196727</v>
      </c>
      <c r="G2" s="6">
        <f>Low_2060[[#This Row],[2045女]]</f>
        <v>15829213.943808425</v>
      </c>
      <c r="H2" s="6">
        <f>Low_2060[[#This Row],[2050女]]</f>
        <v>16010239.02259757</v>
      </c>
      <c r="I2" s="6">
        <f>Low_2060[[#This Row],[2055女]]</f>
        <v>14383691.79623363</v>
      </c>
      <c r="J2" s="6">
        <f>Low_2060[[#This Row],[2060女]]</f>
        <v>11493066.355073135</v>
      </c>
      <c r="K2" s="8">
        <v>40969331</v>
      </c>
      <c r="L2" s="6">
        <f>Low_2060[[#This Row],[2025男]]</f>
        <v>30230634.913766347</v>
      </c>
      <c r="M2" s="6">
        <f>Low_2060[[#This Row],[2030男]]</f>
        <v>20233031.977369867</v>
      </c>
      <c r="N2" s="6">
        <f>Low_2060[[#This Row],[2035男]]</f>
        <v>16739129.926624218</v>
      </c>
      <c r="O2" s="6">
        <f>Low_2060[[#This Row],[2040男]]</f>
        <v>15380270.669606563</v>
      </c>
      <c r="P2" s="6">
        <f>Low_2060[[#This Row],[2045男]]</f>
        <v>16620674.640998848</v>
      </c>
      <c r="Q2" s="6">
        <f>Low_2060[[#This Row],[2050男]]</f>
        <v>16810750.97372745</v>
      </c>
      <c r="R2" s="6">
        <f>Low_2060[[#This Row],[2055男]]</f>
        <v>15102876.386045313</v>
      </c>
      <c r="S2" s="6">
        <f>Low_2060[[#This Row],[2060男]]</f>
        <v>12067719.672826793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2.8031047746417553E-2</v>
      </c>
      <c r="Y2" s="9">
        <f>(SUM(E$2:E2)+SUM(N$2:N2))/(SUM(E$2:E$22)+SUM(N$2:N$22))</f>
        <v>2.3660921218310815E-2</v>
      </c>
      <c r="Z2" s="9">
        <f>(SUM(F$2:F2)+SUM(O$2:O2))/(SUM(F$2:F$22)+SUM(O$2:O$22))</f>
        <v>2.2372446768786514E-2</v>
      </c>
      <c r="AA2" s="9">
        <f>(SUM(G$2:G2)+SUM(P$2:P2))/(SUM(G$2:G$22)+SUM(P$2:P$22))</f>
        <v>2.5010032534287827E-2</v>
      </c>
      <c r="AB2" s="9">
        <f>(SUM(H$2:H2)+SUM(Q$2:Q2))/(SUM(H$2:H$22)+SUM(Q$2:Q$22))</f>
        <v>2.6342347795491109E-2</v>
      </c>
      <c r="AC2" s="9">
        <f>(SUM(I$2:I2)+SUM(R$2:R2))/(SUM(I$2:I$22)+SUM(R$2:R$22))</f>
        <v>2.4878161893632567E-2</v>
      </c>
      <c r="AD2" s="9">
        <f>(SUM(J$2:J2)+SUM(S$2:S2))/(SUM(J$2:J$22)+SUM(S$2:S$22))</f>
        <v>2.1141177525159639E-2</v>
      </c>
    </row>
    <row r="3" spans="1:30" x14ac:dyDescent="0.2">
      <c r="A3" s="6" t="s">
        <v>18</v>
      </c>
      <c r="B3" s="7">
        <v>42226598</v>
      </c>
      <c r="C3" s="6">
        <f>Low_2060[[#This Row],[2025女]]</f>
        <v>36807504.784699999</v>
      </c>
      <c r="D3" s="6">
        <f>Low_2060[[#This Row],[2030女]]</f>
        <v>28710465.843816947</v>
      </c>
      <c r="E3" s="6">
        <f>Low_2060[[#This Row],[2035女]]</f>
        <v>19215599.512222126</v>
      </c>
      <c r="F3" s="6">
        <f>Low_2060[[#This Row],[2040女]]</f>
        <v>15898985.024592696</v>
      </c>
      <c r="G3" s="6">
        <f>Low_2060[[#This Row],[2045女]]</f>
        <v>14608327.560760595</v>
      </c>
      <c r="H3" s="6">
        <f>Low_2060[[#This Row],[2050女]]</f>
        <v>15788057.987554522</v>
      </c>
      <c r="I3" s="6">
        <f>Low_2060[[#This Row],[2055女]]</f>
        <v>15968612.401138816</v>
      </c>
      <c r="J3" s="6">
        <f>Low_2060[[#This Row],[2060女]]</f>
        <v>14347732.566743046</v>
      </c>
      <c r="K3" s="8">
        <v>48017458</v>
      </c>
      <c r="L3" s="6">
        <f>Low_2060[[#This Row],[2025男]]</f>
        <v>40825938.341499999</v>
      </c>
      <c r="M3" s="6">
        <f>Low_2060[[#This Row],[2030男]]</f>
        <v>30127850.755059544</v>
      </c>
      <c r="N3" s="6">
        <f>Low_2060[[#This Row],[2035男]]</f>
        <v>20166262.971844546</v>
      </c>
      <c r="O3" s="6">
        <f>Low_2060[[#This Row],[2040男]]</f>
        <v>16683890.797866359</v>
      </c>
      <c r="P3" s="6">
        <f>Low_2060[[#This Row],[2045男]]</f>
        <v>15331053.803463822</v>
      </c>
      <c r="Q3" s="6">
        <f>Low_2060[[#This Row],[2050男]]</f>
        <v>16569150.549611751</v>
      </c>
      <c r="R3" s="6">
        <f>Low_2060[[#This Row],[2055男]]</f>
        <v>16760318.720806267</v>
      </c>
      <c r="S3" s="6">
        <f>Low_2060[[#This Row],[2060男]]</f>
        <v>15057567.756887177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6.9782735897101808E-2</v>
      </c>
      <c r="Y3" s="9">
        <f>(SUM(E$2:E3)+SUM(N$2:N3))/(SUM(E$2:E$22)+SUM(N$2:N$22))</f>
        <v>5.2173103481184105E-2</v>
      </c>
      <c r="Z3" s="9">
        <f>(SUM(F$2:F3)+SUM(O$2:O3))/(SUM(F$2:F$22)+SUM(O$2:O$22))</f>
        <v>4.6648291789371729E-2</v>
      </c>
      <c r="AA3" s="9">
        <f>(SUM(G$2:G3)+SUM(P$2:P3))/(SUM(G$2:G$22)+SUM(P$2:P$22))</f>
        <v>4.8085147261377442E-2</v>
      </c>
      <c r="AB3" s="9">
        <f>(SUM(H$2:H3)+SUM(Q$2:Q3))/(SUM(H$2:H$22)+SUM(Q$2:Q$22))</f>
        <v>5.2312461465819395E-2</v>
      </c>
      <c r="AC3" s="9">
        <f>(SUM(I$2:I3)+SUM(R$2:R3))/(SUM(I$2:I$22)+SUM(R$2:R$22))</f>
        <v>5.2491943260927952E-2</v>
      </c>
      <c r="AD3" s="9">
        <f>(SUM(J$2:J3)+SUM(S$2:S3))/(SUM(J$2:J$22)+SUM(S$2:S$22))</f>
        <v>4.752665862015993E-2</v>
      </c>
    </row>
    <row r="4" spans="1:30" x14ac:dyDescent="0.2">
      <c r="A4" s="6" t="s">
        <v>19</v>
      </c>
      <c r="B4" s="7">
        <v>39649204</v>
      </c>
      <c r="C4" s="6">
        <f>Low_2060[[#This Row],[2025女]]</f>
        <v>42197039.381399997</v>
      </c>
      <c r="D4" s="6">
        <f>Low_2060[[#This Row],[2030女]]</f>
        <v>36781739.531350709</v>
      </c>
      <c r="E4" s="6">
        <f>Low_2060[[#This Row],[2035女]]</f>
        <v>28693239.564310655</v>
      </c>
      <c r="F4" s="6">
        <f>Low_2060[[#This Row],[2040女]]</f>
        <v>19204070.152514793</v>
      </c>
      <c r="G4" s="6">
        <f>Low_2060[[#This Row],[2045女]]</f>
        <v>15891035.532080401</v>
      </c>
      <c r="H4" s="6">
        <f>Low_2060[[#This Row],[2050女]]</f>
        <v>14601023.396980215</v>
      </c>
      <c r="I4" s="6">
        <f>Low_2060[[#This Row],[2055女]]</f>
        <v>15780163.958560746</v>
      </c>
      <c r="J4" s="6">
        <f>Low_2060[[#This Row],[2060女]]</f>
        <v>15962224.956178362</v>
      </c>
      <c r="K4" s="8">
        <v>45606790</v>
      </c>
      <c r="L4" s="6">
        <f>Low_2060[[#This Row],[2025男]]</f>
        <v>47969440.542000003</v>
      </c>
      <c r="M4" s="6">
        <f>Low_2060[[#This Row],[2030男]]</f>
        <v>40789194.996992648</v>
      </c>
      <c r="N4" s="6">
        <f>Low_2060[[#This Row],[2035男]]</f>
        <v>30103748.474455494</v>
      </c>
      <c r="O4" s="6">
        <f>Low_2060[[#This Row],[2040男]]</f>
        <v>20150129.961467069</v>
      </c>
      <c r="P4" s="6">
        <f>Low_2060[[#This Row],[2045男]]</f>
        <v>16672212.074307851</v>
      </c>
      <c r="Q4" s="6">
        <f>Low_2060[[#This Row],[2050男]]</f>
        <v>15321855.171181744</v>
      </c>
      <c r="R4" s="6">
        <f>Low_2060[[#This Row],[2055男]]</f>
        <v>16559209.059281982</v>
      </c>
      <c r="S4" s="6">
        <f>Low_2060[[#This Row],[2060男]]</f>
        <v>16751938.561445866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0.12482709568163002</v>
      </c>
      <c r="Y4" s="9">
        <f>(SUM(E$2:E4)+SUM(N$2:N4))/(SUM(E$2:E$22)+SUM(N$2:N$22))</f>
        <v>9.4741695562057388E-2</v>
      </c>
      <c r="Z4" s="9">
        <f>(SUM(F$2:F4)+SUM(O$2:O4))/(SUM(F$2:F$22)+SUM(O$2:O$22))</f>
        <v>7.596910644311089E-2</v>
      </c>
      <c r="AA4" s="9">
        <f>(SUM(G$2:G4)+SUM(P$2:P4))/(SUM(G$2:G$22)+SUM(P$2:P$22))</f>
        <v>7.3182548749502696E-2</v>
      </c>
      <c r="AB4" s="9">
        <f>(SUM(H$2:H4)+SUM(Q$2:Q4))/(SUM(H$2:H$22)+SUM(Q$2:Q$22))</f>
        <v>7.6328765494827311E-2</v>
      </c>
      <c r="AC4" s="9">
        <f>(SUM(I$2:I4)+SUM(R$2:R4))/(SUM(I$2:I$22)+SUM(R$2:R$22))</f>
        <v>7.9777049906874814E-2</v>
      </c>
      <c r="AD4" s="9">
        <f>(SUM(J$2:J4)+SUM(S$2:S4))/(SUM(J$2:J$22)+SUM(S$2:S$22))</f>
        <v>7.6881194487265783E-2</v>
      </c>
    </row>
    <row r="5" spans="1:30" x14ac:dyDescent="0.2">
      <c r="A5" s="6" t="s">
        <v>20</v>
      </c>
      <c r="B5" s="7">
        <v>33630797</v>
      </c>
      <c r="C5" s="6">
        <f>Low_2060[[#This Row],[2025女]]</f>
        <v>39609554.795999996</v>
      </c>
      <c r="D5" s="6">
        <f>Low_2060[[#This Row],[2030女]]</f>
        <v>42159062.045956738</v>
      </c>
      <c r="E5" s="6">
        <f>Low_2060[[#This Row],[2035女]]</f>
        <v>36752314.139725626</v>
      </c>
      <c r="F5" s="6">
        <f>Low_2060[[#This Row],[2040女]]</f>
        <v>28673154.296615638</v>
      </c>
      <c r="G5" s="6">
        <f>Low_2060[[#This Row],[2045女]]</f>
        <v>19192547.710423283</v>
      </c>
      <c r="H5" s="6">
        <f>Low_2060[[#This Row],[2050女]]</f>
        <v>15881500.910761151</v>
      </c>
      <c r="I5" s="6">
        <f>Low_2060[[#This Row],[2055女]]</f>
        <v>14593722.885281725</v>
      </c>
      <c r="J5" s="6">
        <f>Low_2060[[#This Row],[2060女]]</f>
        <v>15773851.892977323</v>
      </c>
      <c r="K5" s="8">
        <v>39053343</v>
      </c>
      <c r="L5" s="6">
        <f>Low_2060[[#This Row],[2025男]]</f>
        <v>45547501.173</v>
      </c>
      <c r="M5" s="6">
        <f>Low_2060[[#This Row],[2030男]]</f>
        <v>47911877.213349603</v>
      </c>
      <c r="N5" s="6">
        <f>Low_2060[[#This Row],[2035男]]</f>
        <v>40748405.801995657</v>
      </c>
      <c r="O5" s="6">
        <f>Low_2060[[#This Row],[2040男]]</f>
        <v>30076655.100828484</v>
      </c>
      <c r="P5" s="6">
        <f>Low_2060[[#This Row],[2045男]]</f>
        <v>20134009.857497893</v>
      </c>
      <c r="Q5" s="6">
        <f>Low_2060[[#This Row],[2050男]]</f>
        <v>16660541.525855836</v>
      </c>
      <c r="R5" s="6">
        <f>Low_2060[[#This Row],[2055男]]</f>
        <v>15312662.058079034</v>
      </c>
      <c r="S5" s="6">
        <f>Low_2060[[#This Row],[2060男]]</f>
        <v>16549273.533846412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0.18874146279432863</v>
      </c>
      <c r="Y5" s="9">
        <f>(SUM(E$2:E5)+SUM(N$2:N5))/(SUM(E$2:E$22)+SUM(N$2:N$22))</f>
        <v>0.15085165362654135</v>
      </c>
      <c r="Z5" s="9">
        <f>(SUM(F$2:F5)+SUM(O$2:O5))/(SUM(F$2:F$22)+SUM(O$2:O$22))</f>
        <v>0.11974060395279994</v>
      </c>
      <c r="AA5" s="9">
        <f>(SUM(G$2:G5)+SUM(P$2:P5))/(SUM(G$2:G$22)+SUM(P$2:P$22))</f>
        <v>0.10349262151492181</v>
      </c>
      <c r="AB5" s="9">
        <f>(SUM(H$2:H5)+SUM(Q$2:Q5))/(SUM(H$2:H$22)+SUM(Q$2:Q$22))</f>
        <v>0.10244722809869698</v>
      </c>
      <c r="AC5" s="9">
        <f>(SUM(I$2:I5)+SUM(R$2:R5))/(SUM(I$2:I$22)+SUM(R$2:R$22))</f>
        <v>0.10500941610408349</v>
      </c>
      <c r="AD5" s="9">
        <f>(SUM(J$2:J5)+SUM(S$2:S5))/(SUM(J$2:J$22)+SUM(S$2:S$22))</f>
        <v>0.10588485047765939</v>
      </c>
    </row>
    <row r="6" spans="1:30" x14ac:dyDescent="0.2">
      <c r="A6" s="6" t="s">
        <v>21</v>
      </c>
      <c r="B6" s="7">
        <v>35265680</v>
      </c>
      <c r="C6" s="6">
        <f>Low_2060[[#This Row],[2025女]]</f>
        <v>33590440.0436</v>
      </c>
      <c r="D6" s="6">
        <f>Low_2060[[#This Row],[2030女]]</f>
        <v>39565984.285724394</v>
      </c>
      <c r="E6" s="6">
        <f>Low_2060[[#This Row],[2035女]]</f>
        <v>42116902.983910784</v>
      </c>
      <c r="F6" s="6">
        <f>Low_2060[[#This Row],[2040女]]</f>
        <v>36715561.825585902</v>
      </c>
      <c r="G6" s="6">
        <f>Low_2060[[#This Row],[2045女]]</f>
        <v>28647348.457748685</v>
      </c>
      <c r="H6" s="6">
        <f>Low_2060[[#This Row],[2050女]]</f>
        <v>19175274.417483903</v>
      </c>
      <c r="I6" s="6">
        <f>Low_2060[[#This Row],[2055女]]</f>
        <v>15868795.710032541</v>
      </c>
      <c r="J6" s="6">
        <f>Low_2060[[#This Row],[2060女]]</f>
        <v>14583507.279262027</v>
      </c>
      <c r="K6" s="8">
        <v>39675995</v>
      </c>
      <c r="L6" s="6">
        <f>Low_2060[[#This Row],[2025男]]</f>
        <v>38963520.311099999</v>
      </c>
      <c r="M6" s="6">
        <f>Low_2060[[#This Row],[2030男]]</f>
        <v>45447296.670419402</v>
      </c>
      <c r="N6" s="6">
        <f>Low_2060[[#This Row],[2035男]]</f>
        <v>47816053.4589229</v>
      </c>
      <c r="O6" s="6">
        <f>Low_2060[[#This Row],[2040男]]</f>
        <v>40670983.830971867</v>
      </c>
      <c r="P6" s="6">
        <f>Low_2060[[#This Row],[2045男]]</f>
        <v>30022517.121646993</v>
      </c>
      <c r="Q6" s="6">
        <f>Low_2060[[#This Row],[2050男]]</f>
        <v>20099782.040740147</v>
      </c>
      <c r="R6" s="6">
        <f>Low_2060[[#This Row],[2055男]]</f>
        <v>16633884.659414465</v>
      </c>
      <c r="S6" s="6">
        <f>Low_2060[[#This Row],[2060男]]</f>
        <v>15289693.064991916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0.24906691396835484</v>
      </c>
      <c r="Y6" s="9">
        <f>(SUM(E$2:E6)+SUM(N$2:N6))/(SUM(E$2:E$22)+SUM(N$2:N$22))</f>
        <v>0.21596246057668375</v>
      </c>
      <c r="Z6" s="9">
        <f>(SUM(F$2:F6)+SUM(O$2:O6))/(SUM(F$2:F$22)+SUM(O$2:O$22))</f>
        <v>0.17739738659143128</v>
      </c>
      <c r="AA6" s="9">
        <f>(SUM(G$2:G6)+SUM(P$2:P6))/(SUM(G$2:G$22)+SUM(P$2:P$22))</f>
        <v>0.14871112028073796</v>
      </c>
      <c r="AB6" s="9">
        <f>(SUM(H$2:H6)+SUM(Q$2:Q6))/(SUM(H$2:H$22)+SUM(Q$2:Q$22))</f>
        <v>0.13396965313907302</v>
      </c>
      <c r="AC6" s="9">
        <f>(SUM(I$2:I6)+SUM(R$2:R6))/(SUM(I$2:I$22)+SUM(R$2:R$22))</f>
        <v>0.13243230706953871</v>
      </c>
      <c r="AD6" s="9">
        <f>(SUM(J$2:J6)+SUM(S$2:S6))/(SUM(J$2:J$22)+SUM(S$2:S$22))</f>
        <v>0.13269017993375928</v>
      </c>
    </row>
    <row r="7" spans="1:30" x14ac:dyDescent="0.2">
      <c r="A7" s="6" t="s">
        <v>22</v>
      </c>
      <c r="B7" s="7">
        <v>43685062</v>
      </c>
      <c r="C7" s="6">
        <f>Low_2060[[#This Row],[2025女]]</f>
        <v>35219834.616000004</v>
      </c>
      <c r="D7" s="6">
        <f>Low_2060[[#This Row],[2030女]]</f>
        <v>33546772.471543323</v>
      </c>
      <c r="E7" s="6">
        <f>Low_2060[[#This Row],[2035女]]</f>
        <v>39518505.104581527</v>
      </c>
      <c r="F7" s="6">
        <f>Low_2060[[#This Row],[2040女]]</f>
        <v>42066362.700330094</v>
      </c>
      <c r="G7" s="6">
        <f>Low_2060[[#This Row],[2045女]]</f>
        <v>36675174.707577758</v>
      </c>
      <c r="H7" s="6">
        <f>Low_2060[[#This Row],[2050女]]</f>
        <v>28615836.374445163</v>
      </c>
      <c r="I7" s="6">
        <f>Low_2060[[#This Row],[2055女]]</f>
        <v>19154181.61562467</v>
      </c>
      <c r="J7" s="6">
        <f>Low_2060[[#This Row],[2060女]]</f>
        <v>15852926.914322508</v>
      </c>
      <c r="K7" s="8">
        <v>48162270</v>
      </c>
      <c r="L7" s="6">
        <f>Low_2060[[#This Row],[2025男]]</f>
        <v>39568869.813500002</v>
      </c>
      <c r="M7" s="6">
        <f>Low_2060[[#This Row],[2030男]]</f>
        <v>38858318.806260027</v>
      </c>
      <c r="N7" s="6">
        <f>Low_2060[[#This Row],[2035男]]</f>
        <v>45329133.69907631</v>
      </c>
      <c r="O7" s="6">
        <f>Low_2060[[#This Row],[2040男]]</f>
        <v>47691731.719929695</v>
      </c>
      <c r="P7" s="6">
        <f>Low_2060[[#This Row],[2045男]]</f>
        <v>40565239.273011342</v>
      </c>
      <c r="Q7" s="6">
        <f>Low_2060[[#This Row],[2050男]]</f>
        <v>29944458.577130709</v>
      </c>
      <c r="R7" s="6">
        <f>Low_2060[[#This Row],[2055男]]</f>
        <v>20049532.5856383</v>
      </c>
      <c r="S7" s="6">
        <f>Low_2060[[#This Row],[2060男]]</f>
        <v>16592299.94776593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0.30044558974118274</v>
      </c>
      <c r="Y7" s="9">
        <f>(SUM(E$2:E7)+SUM(N$2:N7))/(SUM(E$2:E$22)+SUM(N$2:N$22))</f>
        <v>0.27739153450946441</v>
      </c>
      <c r="Z7" s="9">
        <f>(SUM(F$2:F7)+SUM(O$2:O7))/(SUM(F$2:F$22)+SUM(O$2:O$22))</f>
        <v>0.2442715815324239</v>
      </c>
      <c r="AA7" s="9">
        <f>(SUM(G$2:G7)+SUM(P$2:P7))/(SUM(G$2:G$22)+SUM(P$2:P$22))</f>
        <v>0.20824245770174954</v>
      </c>
      <c r="AB7" s="9">
        <f>(SUM(H$2:H7)+SUM(Q$2:Q7))/(SUM(H$2:H$22)+SUM(Q$2:Q$22))</f>
        <v>0.18097054058316539</v>
      </c>
      <c r="AC7" s="9">
        <f>(SUM(I$2:I7)+SUM(R$2:R7))/(SUM(I$2:I$22)+SUM(R$2:R$22))</f>
        <v>0.16550893852768425</v>
      </c>
      <c r="AD7" s="9">
        <f>(SUM(J$2:J7)+SUM(S$2:S7))/(SUM(J$2:J$22)+SUM(S$2:S$22))</f>
        <v>0.16180339797848975</v>
      </c>
    </row>
    <row r="8" spans="1:30" x14ac:dyDescent="0.2">
      <c r="A8" s="6" t="s">
        <v>23</v>
      </c>
      <c r="B8" s="7">
        <v>60273382</v>
      </c>
      <c r="C8" s="6">
        <f>Low_2060[[#This Row],[2025女]]</f>
        <v>43623902.913199998</v>
      </c>
      <c r="D8" s="6">
        <f>Low_2060[[#This Row],[2030女]]</f>
        <v>35170526.847537607</v>
      </c>
      <c r="E8" s="6">
        <f>Low_2060[[#This Row],[2035女]]</f>
        <v>33499806.990083165</v>
      </c>
      <c r="F8" s="6">
        <f>Low_2060[[#This Row],[2040女]]</f>
        <v>39463179.197435118</v>
      </c>
      <c r="G8" s="6">
        <f>Low_2060[[#This Row],[2045女]]</f>
        <v>42011676.428819664</v>
      </c>
      <c r="H8" s="6">
        <f>Low_2060[[#This Row],[2050女]]</f>
        <v>36627496.980457909</v>
      </c>
      <c r="I8" s="6">
        <f>Low_2060[[#This Row],[2055女]]</f>
        <v>28578635.787158385</v>
      </c>
      <c r="J8" s="6">
        <f>Low_2060[[#This Row],[2060女]]</f>
        <v>19129281.179524358</v>
      </c>
      <c r="K8" s="8">
        <v>63871808</v>
      </c>
      <c r="L8" s="6">
        <f>Low_2060[[#This Row],[2025男]]</f>
        <v>48003334.509000003</v>
      </c>
      <c r="M8" s="6">
        <f>Low_2060[[#This Row],[2030男]]</f>
        <v>39442249.430096805</v>
      </c>
      <c r="N8" s="6">
        <f>Low_2060[[#This Row],[2035男]]</f>
        <v>38733972.186079994</v>
      </c>
      <c r="O8" s="6">
        <f>Low_2060[[#This Row],[2040男]]</f>
        <v>45188613.38460917</v>
      </c>
      <c r="P8" s="6">
        <f>Low_2060[[#This Row],[2045男]]</f>
        <v>47548656.524769902</v>
      </c>
      <c r="Q8" s="6">
        <f>Low_2060[[#This Row],[2050男]]</f>
        <v>40443543.555192307</v>
      </c>
      <c r="R8" s="6">
        <f>Low_2060[[#This Row],[2055男]]</f>
        <v>29857619.64725703</v>
      </c>
      <c r="S8" s="6">
        <f>Low_2060[[#This Row],[2060男]]</f>
        <v>19991388.941139948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0.35339083949124184</v>
      </c>
      <c r="Y8" s="9">
        <f>(SUM(E$2:E8)+SUM(N$2:N8))/(SUM(E$2:E$22)+SUM(N$2:N$22))</f>
        <v>0.32968826573288396</v>
      </c>
      <c r="Z8" s="9">
        <f>(SUM(F$2:F8)+SUM(O$2:O8))/(SUM(F$2:F$22)+SUM(O$2:O$22))</f>
        <v>0.30734133045924955</v>
      </c>
      <c r="AA8" s="9">
        <f>(SUM(G$2:G8)+SUM(P$2:P8))/(SUM(G$2:G$22)+SUM(P$2:P$22))</f>
        <v>0.27726909966068769</v>
      </c>
      <c r="AB8" s="9">
        <f>(SUM(H$2:H8)+SUM(Q$2:Q8))/(SUM(H$2:H$22)+SUM(Q$2:Q$22))</f>
        <v>0.24282827720164699</v>
      </c>
      <c r="AC8" s="9">
        <f>(SUM(I$2:I8)+SUM(R$2:R8))/(SUM(I$2:I$22)+SUM(R$2:R$22))</f>
        <v>0.21481228960496426</v>
      </c>
      <c r="AD8" s="9">
        <f>(SUM(J$2:J8)+SUM(S$2:S8))/(SUM(J$2:J$22)+SUM(S$2:S$22))</f>
        <v>0.1969065151217293</v>
      </c>
    </row>
    <row r="9" spans="1:30" x14ac:dyDescent="0.2">
      <c r="A9" s="6" t="s">
        <v>24</v>
      </c>
      <c r="B9" s="7">
        <v>48080895</v>
      </c>
      <c r="C9" s="6">
        <f>Low_2060[[#This Row],[2025女]]</f>
        <v>60158862.574199997</v>
      </c>
      <c r="D9" s="6">
        <f>Low_2060[[#This Row],[2030女]]</f>
        <v>43541017.497664921</v>
      </c>
      <c r="E9" s="6">
        <f>Low_2060[[#This Row],[2035女]]</f>
        <v>35107219.89921204</v>
      </c>
      <c r="F9" s="6">
        <f>Low_2060[[#This Row],[2040女]]</f>
        <v>33439507.337501016</v>
      </c>
      <c r="G9" s="6">
        <f>Low_2060[[#This Row],[2045女]]</f>
        <v>39392145.474879734</v>
      </c>
      <c r="H9" s="6">
        <f>Low_2060[[#This Row],[2050女]]</f>
        <v>41936055.41124779</v>
      </c>
      <c r="I9" s="6">
        <f>Low_2060[[#This Row],[2055女]]</f>
        <v>36565230.235591128</v>
      </c>
      <c r="J9" s="6">
        <f>Low_2060[[#This Row],[2060女]]</f>
        <v>28530052.106320214</v>
      </c>
      <c r="K9" s="8">
        <v>50932037</v>
      </c>
      <c r="L9" s="6">
        <f>Low_2060[[#This Row],[2025男]]</f>
        <v>63590772.044800006</v>
      </c>
      <c r="M9" s="6">
        <f>Low_2060[[#This Row],[2030男]]</f>
        <v>47801720.504062206</v>
      </c>
      <c r="N9" s="6">
        <f>Low_2060[[#This Row],[2035男]]</f>
        <v>39280536.20743341</v>
      </c>
      <c r="O9" s="6">
        <f>Low_2060[[#This Row],[2040男]]</f>
        <v>38582909.694554284</v>
      </c>
      <c r="P9" s="6">
        <f>Low_2060[[#This Row],[2045男]]</f>
        <v>45016896.653747655</v>
      </c>
      <c r="Q9" s="6">
        <f>Low_2060[[#This Row],[2050男]]</f>
        <v>47377481.361280732</v>
      </c>
      <c r="R9" s="6">
        <f>Low_2060[[#This Row],[2055男]]</f>
        <v>40301991.152749136</v>
      </c>
      <c r="S9" s="6">
        <f>Low_2060[[#This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0.41820767539559511</v>
      </c>
      <c r="Y9" s="9">
        <f>(SUM(E$2:E9)+SUM(N$2:N9))/(SUM(E$2:E$22)+SUM(N$2:N$22))</f>
        <v>0.38354446060170078</v>
      </c>
      <c r="Z9" s="9">
        <f>(SUM(F$2:F9)+SUM(O$2:O9))/(SUM(F$2:F$22)+SUM(O$2:O$22))</f>
        <v>0.36100157344716205</v>
      </c>
      <c r="AA9" s="9">
        <f>(SUM(G$2:G9)+SUM(P$2:P9))/(SUM(G$2:G$22)+SUM(P$2:P$22))</f>
        <v>0.34232549836935466</v>
      </c>
      <c r="AB9" s="9">
        <f>(SUM(H$2:H9)+SUM(Q$2:Q9))/(SUM(H$2:H$22)+SUM(Q$2:Q$22))</f>
        <v>0.3145119238183629</v>
      </c>
      <c r="AC9" s="9">
        <f>(SUM(I$2:I9)+SUM(R$2:R9))/(SUM(I$2:I$22)+SUM(R$2:R$22))</f>
        <v>0.27966606187820225</v>
      </c>
      <c r="AD9" s="9">
        <f>(SUM(J$2:J9)+SUM(S$2:S9))/(SUM(J$2:J$22)+SUM(S$2:S$22))</f>
        <v>0.24920957025241625</v>
      </c>
    </row>
    <row r="10" spans="1:30" x14ac:dyDescent="0.2">
      <c r="A10" s="6" t="s">
        <v>25</v>
      </c>
      <c r="B10" s="7">
        <v>45322636</v>
      </c>
      <c r="C10" s="6">
        <f>Low_2060[[#This Row],[2025女]]</f>
        <v>47951076.583499998</v>
      </c>
      <c r="D10" s="6">
        <f>Low_2060[[#This Row],[2030女]]</f>
        <v>59996433.645249657</v>
      </c>
      <c r="E10" s="6">
        <f>Low_2060[[#This Row],[2035女]]</f>
        <v>43427810.852170989</v>
      </c>
      <c r="F10" s="6">
        <f>Low_2060[[#This Row],[2040女]]</f>
        <v>35015941.127474084</v>
      </c>
      <c r="G10" s="6">
        <f>Low_2060[[#This Row],[2045女]]</f>
        <v>33355908.569157265</v>
      </c>
      <c r="H10" s="6">
        <f>Low_2060[[#This Row],[2050女]]</f>
        <v>39293665.111192539</v>
      </c>
      <c r="I10" s="6">
        <f>Low_2060[[#This Row],[2055女]]</f>
        <v>41831215.272719674</v>
      </c>
      <c r="J10" s="6">
        <f>Low_2060[[#This Row],[2060女]]</f>
        <v>36477473.68302571</v>
      </c>
      <c r="K10" s="8">
        <v>47632694</v>
      </c>
      <c r="L10" s="6">
        <f>Low_2060[[#This Row],[2025男]]</f>
        <v>50580605.944700003</v>
      </c>
      <c r="M10" s="6">
        <f>Low_2060[[#This Row],[2030男]]</f>
        <v>63177432.026508808</v>
      </c>
      <c r="N10" s="6">
        <f>Low_2060[[#This Row],[2035男]]</f>
        <v>47510130.008987427</v>
      </c>
      <c r="O10" s="6">
        <f>Low_2060[[#This Row],[2040男]]</f>
        <v>39056637.151051037</v>
      </c>
      <c r="P10" s="6">
        <f>Low_2060[[#This Row],[2045男]]</f>
        <v>38378420.273173146</v>
      </c>
      <c r="Q10" s="6">
        <f>Low_2060[[#This Row],[2050男]]</f>
        <v>44791812.170478918</v>
      </c>
      <c r="R10" s="6">
        <f>Low_2060[[#This Row],[2055男]]</f>
        <v>47154807.198882714</v>
      </c>
      <c r="S10" s="6">
        <f>Low_2060[[#This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0.50561188960691283</v>
      </c>
      <c r="Y10" s="9">
        <f>(SUM(E$2:E10)+SUM(N$2:N10))/(SUM(E$2:E$22)+SUM(N$2:N$22))</f>
        <v>0.44938286896780494</v>
      </c>
      <c r="Z10" s="9">
        <f>(SUM(F$2:F10)+SUM(O$2:O10))/(SUM(F$2:F$22)+SUM(O$2:O$22))</f>
        <v>0.4161892873973585</v>
      </c>
      <c r="AA10" s="9">
        <f>(SUM(G$2:G10)+SUM(P$2:P10))/(SUM(G$2:G$22)+SUM(P$2:P$22))</f>
        <v>0.39761314268539572</v>
      </c>
      <c r="AB10" s="9">
        <f>(SUM(H$2:H10)+SUM(Q$2:Q10))/(SUM(H$2:H$22)+SUM(Q$2:Q$22))</f>
        <v>0.3819994946488488</v>
      </c>
      <c r="AC10" s="9">
        <f>(SUM(I$2:I10)+SUM(R$2:R10))/(SUM(I$2:I$22)+SUM(R$2:R$22))</f>
        <v>0.35474460813810316</v>
      </c>
      <c r="AD10" s="9">
        <f>(SUM(J$2:J10)+SUM(S$2:S10))/(SUM(J$2:J$22)+SUM(S$2:S$22))</f>
        <v>0.3179449407805478</v>
      </c>
    </row>
    <row r="11" spans="1:30" x14ac:dyDescent="0.2">
      <c r="A11" s="6" t="s">
        <v>26</v>
      </c>
      <c r="B11" s="7">
        <v>56033201</v>
      </c>
      <c r="C11" s="6">
        <f>Low_2060[[#This Row],[2025女]]</f>
        <v>45127748.665200002</v>
      </c>
      <c r="D11" s="6">
        <f>Low_2060[[#This Row],[2030女]]</f>
        <v>47749682.061849296</v>
      </c>
      <c r="E11" s="6">
        <f>Low_2060[[#This Row],[2035女]]</f>
        <v>59750448.267304137</v>
      </c>
      <c r="F11" s="6">
        <f>Low_2060[[#This Row],[2040女]]</f>
        <v>43249756.827677086</v>
      </c>
      <c r="G11" s="6">
        <f>Low_2060[[#This Row],[2045女]]</f>
        <v>34875877.362964191</v>
      </c>
      <c r="H11" s="6">
        <f>Low_2060[[#This Row],[2050女]]</f>
        <v>33225820.52573755</v>
      </c>
      <c r="I11" s="6">
        <f>Low_2060[[#This Row],[2055女]]</f>
        <v>39144349.183770008</v>
      </c>
      <c r="J11" s="6">
        <f>Low_2060[[#This Row],[2060女]]</f>
        <v>41672256.654683337</v>
      </c>
      <c r="K11" s="8">
        <v>58191686</v>
      </c>
      <c r="L11" s="6">
        <f>Low_2060[[#This Row],[2025男]]</f>
        <v>47108734.365999997</v>
      </c>
      <c r="M11" s="6">
        <f>Low_2060[[#This Row],[2030男]]</f>
        <v>50059625.703469597</v>
      </c>
      <c r="N11" s="6">
        <f>Low_2060[[#This Row],[2035男]]</f>
        <v>62570928.67905432</v>
      </c>
      <c r="O11" s="6">
        <f>Low_2060[[#This Row],[2040男]]</f>
        <v>47087289.85190744</v>
      </c>
      <c r="P11" s="6">
        <f>Low_2060[[#This Row],[2045男]]</f>
        <v>38732467.062697314</v>
      </c>
      <c r="Q11" s="6">
        <f>Low_2060[[#This Row],[2050男]]</f>
        <v>38079068.595042393</v>
      </c>
      <c r="R11" s="6">
        <f>Low_2060[[#This Row],[2055男]]</f>
        <v>44469311.122851469</v>
      </c>
      <c r="S11" s="6">
        <f>Low_2060[[#This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0.57501740546985081</v>
      </c>
      <c r="Y11" s="9">
        <f>(SUM(E$2:E11)+SUM(N$2:N11))/(SUM(E$2:E$22)+SUM(N$2:N$22))</f>
        <v>0.53794265700604849</v>
      </c>
      <c r="Z11" s="9">
        <f>(SUM(F$2:F11)+SUM(O$2:O11))/(SUM(F$2:F$22)+SUM(O$2:O$22))</f>
        <v>0.48349483024632167</v>
      </c>
      <c r="AA11" s="9">
        <f>(SUM(G$2:G11)+SUM(P$2:P11))/(SUM(G$2:G$22)+SUM(P$2:P$22))</f>
        <v>0.45434514298393514</v>
      </c>
      <c r="AB11" s="9">
        <f>(SUM(H$2:H11)+SUM(Q$2:Q11))/(SUM(H$2:H$22)+SUM(Q$2:Q$22))</f>
        <v>0.43922927927596811</v>
      </c>
      <c r="AC11" s="9">
        <f>(SUM(I$2:I11)+SUM(R$2:R11))/(SUM(I$2:I$22)+SUM(R$2:R$22))</f>
        <v>0.42529042970568298</v>
      </c>
      <c r="AD11" s="9">
        <f>(SUM(J$2:J11)+SUM(S$2:S11))/(SUM(J$2:J$22)+SUM(S$2:S$22))</f>
        <v>0.39736205990085793</v>
      </c>
    </row>
    <row r="12" spans="1:30" x14ac:dyDescent="0.2">
      <c r="A12" s="6" t="s">
        <v>27</v>
      </c>
      <c r="B12" s="7">
        <v>60058826</v>
      </c>
      <c r="C12" s="6">
        <f>Low_2060[[#This Row],[2025女]]</f>
        <v>55640968.593000002</v>
      </c>
      <c r="D12" s="6">
        <f>Low_2060[[#This Row],[2030女]]</f>
        <v>44820879.97427664</v>
      </c>
      <c r="E12" s="6">
        <f>Low_2060[[#This Row],[2035女]]</f>
        <v>47434534.16024109</v>
      </c>
      <c r="F12" s="6">
        <f>Low_2060[[#This Row],[2040女]]</f>
        <v>59362070.353566661</v>
      </c>
      <c r="G12" s="6">
        <f>Low_2060[[#This Row],[2045女]]</f>
        <v>42977283.359662719</v>
      </c>
      <c r="H12" s="6">
        <f>Low_2060[[#This Row],[2050女]]</f>
        <v>34659646.923313811</v>
      </c>
      <c r="I12" s="6">
        <f>Low_2060[[#This Row],[2055女]]</f>
        <v>33026465.602583125</v>
      </c>
      <c r="J12" s="6">
        <f>Low_2060[[#This Row],[2060女]]</f>
        <v>38917311.95850414</v>
      </c>
      <c r="K12" s="8">
        <v>61105470</v>
      </c>
      <c r="L12" s="6">
        <f>Low_2060[[#This Row],[2025男]]</f>
        <v>57214065.6752</v>
      </c>
      <c r="M12" s="6">
        <f>Low_2060[[#This Row],[2030男]]</f>
        <v>46369127.236453794</v>
      </c>
      <c r="N12" s="6">
        <f>Low_2060[[#This Row],[2035男]]</f>
        <v>49323749.205628589</v>
      </c>
      <c r="O12" s="6">
        <f>Low_2060[[#This Row],[2040男]]</f>
        <v>61707449.863283366</v>
      </c>
      <c r="P12" s="6">
        <f>Low_2060[[#This Row],[2045男]]</f>
        <v>46479863.812817834</v>
      </c>
      <c r="Q12" s="6">
        <f>Low_2060[[#This Row],[2050男]]</f>
        <v>38263804.211238675</v>
      </c>
      <c r="R12" s="6">
        <f>Low_2060[[#This Row],[2055男]]</f>
        <v>37648775.119918413</v>
      </c>
      <c r="S12" s="6">
        <f>Low_2060[[#This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0.63972586355639249</v>
      </c>
      <c r="Y12" s="9">
        <f>(SUM(E$2:E12)+SUM(N$2:N12))/(SUM(E$2:E$22)+SUM(N$2:N$22))</f>
        <v>0.60799495105096779</v>
      </c>
      <c r="Z12" s="9">
        <f>(SUM(F$2:F12)+SUM(O$2:O12))/(SUM(F$2:F$22)+SUM(O$2:O$22))</f>
        <v>0.57369757740453886</v>
      </c>
      <c r="AA12" s="9">
        <f>(SUM(G$2:G12)+SUM(P$2:P12))/(SUM(G$2:G$22)+SUM(P$2:P$22))</f>
        <v>0.52329225678868974</v>
      </c>
      <c r="AB12" s="9">
        <f>(SUM(H$2:H12)+SUM(Q$2:Q12))/(SUM(H$2:H$22)+SUM(Q$2:Q$22))</f>
        <v>0.49775813268499003</v>
      </c>
      <c r="AC12" s="9">
        <f>(SUM(I$2:I12)+SUM(R$2:R12))/(SUM(I$2:I$22)+SUM(R$2:R$22))</f>
        <v>0.48491995558664147</v>
      </c>
      <c r="AD12" s="9">
        <f>(SUM(J$2:J12)+SUM(S$2:S12))/(SUM(J$2:J$22)+SUM(S$2:S$22))</f>
        <v>0.47176220867100238</v>
      </c>
    </row>
    <row r="13" spans="1:30" x14ac:dyDescent="0.2">
      <c r="A13" s="6" t="s">
        <v>28</v>
      </c>
      <c r="B13" s="7">
        <v>50584760</v>
      </c>
      <c r="C13" s="6">
        <f>Low_2060[[#This Row],[2025女]]</f>
        <v>59368149.501000002</v>
      </c>
      <c r="D13" s="6">
        <f>Low_2060[[#This Row],[2030女]]</f>
        <v>55023353.841617703</v>
      </c>
      <c r="E13" s="6">
        <f>Low_2060[[#This Row],[2035女]]</f>
        <v>44341296.558551878</v>
      </c>
      <c r="F13" s="6">
        <f>Low_2060[[#This Row],[2040女]]</f>
        <v>46941215.004974581</v>
      </c>
      <c r="G13" s="6">
        <f>Low_2060[[#This Row],[2045女]]</f>
        <v>58768449.650030993</v>
      </c>
      <c r="H13" s="6">
        <f>Low_2060[[#This Row],[2050女]]</f>
        <v>42560403.711073987</v>
      </c>
      <c r="I13" s="6">
        <f>Low_2060[[#This Row],[2055女]]</f>
        <v>34337312.206926994</v>
      </c>
      <c r="J13" s="6">
        <f>Low_2060[[#This Row],[2060女]]</f>
        <v>32729227.412159875</v>
      </c>
      <c r="K13" s="8">
        <v>50816026</v>
      </c>
      <c r="L13" s="6">
        <f>Low_2060[[#This Row],[2025男]]</f>
        <v>59528948.873999998</v>
      </c>
      <c r="M13" s="6">
        <f>Low_2060[[#This Row],[2030男]]</f>
        <v>55823763.879292645</v>
      </c>
      <c r="N13" s="6">
        <f>Low_2060[[#This Row],[2035男]]</f>
        <v>45307274.222739004</v>
      </c>
      <c r="O13" s="6">
        <f>Low_2060[[#This Row],[2040男]]</f>
        <v>48258356.222787015</v>
      </c>
      <c r="P13" s="6">
        <f>Low_2060[[#This Row],[2045男]]</f>
        <v>60454788.631058715</v>
      </c>
      <c r="Q13" s="6">
        <f>Low_2060[[#This Row],[2050男]]</f>
        <v>45592098.413993016</v>
      </c>
      <c r="R13" s="6">
        <f>Low_2060[[#This Row],[2055男]]</f>
        <v>37575055.73543638</v>
      </c>
      <c r="S13" s="6">
        <f>Low_2060[[#This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0.71838301350575062</v>
      </c>
      <c r="Y13" s="9">
        <f>(SUM(E$2:E13)+SUM(N$2:N13))/(SUM(E$2:E$22)+SUM(N$2:N$22))</f>
        <v>0.67289986484869413</v>
      </c>
      <c r="Z13" s="9">
        <f>(SUM(F$2:F13)+SUM(O$2:O13))/(SUM(F$2:F$22)+SUM(O$2:O$22))</f>
        <v>0.64462594019682262</v>
      </c>
      <c r="AA13" s="9">
        <f>(SUM(G$2:G13)+SUM(P$2:P13))/(SUM(G$2:G$22)+SUM(P$2:P$22))</f>
        <v>0.61518092569614602</v>
      </c>
      <c r="AB13" s="9">
        <f>(SUM(H$2:H13)+SUM(Q$2:Q13))/(SUM(H$2:H$22)+SUM(Q$2:Q$22))</f>
        <v>0.56850992506789177</v>
      </c>
      <c r="AC13" s="9">
        <f>(SUM(I$2:I13)+SUM(R$2:R13))/(SUM(I$2:I$22)+SUM(R$2:R$22))</f>
        <v>0.54559326014908227</v>
      </c>
      <c r="AD13" s="9">
        <f>(SUM(J$2:J13)+SUM(S$2:S13))/(SUM(J$2:J$22)+SUM(S$2:S$22))</f>
        <v>0.53433834145357917</v>
      </c>
    </row>
    <row r="14" spans="1:30" x14ac:dyDescent="0.2">
      <c r="A14" s="6" t="s">
        <v>29</v>
      </c>
      <c r="B14" s="7">
        <v>36511813</v>
      </c>
      <c r="C14" s="6">
        <f>Low_2060[[#This Row],[2025女]]</f>
        <v>49694468.223999999</v>
      </c>
      <c r="D14" s="6">
        <f>Low_2060[[#This Row],[2030女]]</f>
        <v>58370764.5893832</v>
      </c>
      <c r="E14" s="6">
        <f>Low_2060[[#This Row],[2035女]]</f>
        <v>54137477.84476766</v>
      </c>
      <c r="F14" s="6">
        <f>Low_2060[[#This Row],[2040女]]</f>
        <v>43662874.721206032</v>
      </c>
      <c r="G14" s="6">
        <f>Low_2060[[#This Row],[2045女]]</f>
        <v>46251179.144401453</v>
      </c>
      <c r="H14" s="6">
        <f>Low_2060[[#This Row],[2050女]]</f>
        <v>57945691.354930557</v>
      </c>
      <c r="I14" s="6">
        <f>Low_2060[[#This Row],[2055女]]</f>
        <v>41990094.301345594</v>
      </c>
      <c r="J14" s="6">
        <f>Low_2060[[#This Row],[2060女]]</f>
        <v>33897794.61067833</v>
      </c>
      <c r="K14" s="8">
        <v>36871125</v>
      </c>
      <c r="L14" s="6">
        <f>Low_2060[[#This Row],[2025男]]</f>
        <v>48768140.152199998</v>
      </c>
      <c r="M14" s="6">
        <f>Low_2060[[#This Row],[2030男]]</f>
        <v>57260895.9219006</v>
      </c>
      <c r="N14" s="6">
        <f>Low_2060[[#This Row],[2035男]]</f>
        <v>53814108.379638106</v>
      </c>
      <c r="O14" s="6">
        <f>Low_2060[[#This Row],[2040男]]</f>
        <v>43766826.899165876</v>
      </c>
      <c r="P14" s="6">
        <f>Low_2060[[#This Row],[2045男]]</f>
        <v>46704437.152413271</v>
      </c>
      <c r="Q14" s="6">
        <f>Low_2060[[#This Row],[2050男]]</f>
        <v>58616963.056674533</v>
      </c>
      <c r="R14" s="6">
        <f>Low_2060[[#This Row],[2055男]]</f>
        <v>44279045.979670018</v>
      </c>
      <c r="S14" s="6">
        <f>Low_2060[[#This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0.80043527653914104</v>
      </c>
      <c r="Y14" s="9">
        <f>(SUM(E$2:E14)+SUM(N$2:N14))/(SUM(E$2:E$22)+SUM(N$2:N$22))</f>
        <v>0.75105602882498734</v>
      </c>
      <c r="Z14" s="9">
        <f>(SUM(F$2:F14)+SUM(O$2:O14))/(SUM(F$2:F$22)+SUM(O$2:O$22))</f>
        <v>0.709765367983893</v>
      </c>
      <c r="AA14" s="9">
        <f>(SUM(G$2:G14)+SUM(P$2:P14))/(SUM(G$2:G$22)+SUM(P$2:P$22))</f>
        <v>0.68682440705209036</v>
      </c>
      <c r="AB14" s="9">
        <f>(SUM(H$2:H14)+SUM(Q$2:Q14))/(SUM(H$2:H$22)+SUM(Q$2:Q$22))</f>
        <v>0.66206389716988956</v>
      </c>
      <c r="AC14" s="9">
        <f>(SUM(I$2:I14)+SUM(R$2:R14))/(SUM(I$2:I$22)+SUM(R$2:R$22))</f>
        <v>0.61837954117942118</v>
      </c>
      <c r="AD14" s="9">
        <f>(SUM(J$2:J14)+SUM(S$2:S14))/(SUM(J$2:J$22)+SUM(S$2:S$22))</f>
        <v>0.59755410405609766</v>
      </c>
    </row>
    <row r="15" spans="1:30" x14ac:dyDescent="0.2">
      <c r="A15" s="6" t="s">
        <v>30</v>
      </c>
      <c r="B15" s="7">
        <v>37667637</v>
      </c>
      <c r="C15" s="6">
        <f>Low_2060[[#This Row],[2025女]]</f>
        <v>35463923.966899998</v>
      </c>
      <c r="D15" s="6">
        <f>Low_2060[[#This Row],[2030女]]</f>
        <v>48342778.688307196</v>
      </c>
      <c r="E15" s="6">
        <f>Low_2060[[#This Row],[2035女]]</f>
        <v>56870635.939436056</v>
      </c>
      <c r="F15" s="6">
        <f>Low_2060[[#This Row],[2040女]]</f>
        <v>52821937.133139804</v>
      </c>
      <c r="G15" s="6">
        <f>Low_2060[[#This Row],[2045女]]</f>
        <v>42658628.602618292</v>
      </c>
      <c r="H15" s="6">
        <f>Low_2060[[#This Row],[2050女]]</f>
        <v>45242903.439053498</v>
      </c>
      <c r="I15" s="6">
        <f>Low_2060[[#This Row],[2055女]]</f>
        <v>56752010.11301899</v>
      </c>
      <c r="J15" s="6">
        <f>Low_2060[[#This Row],[2060女]]</f>
        <v>41171287.462469354</v>
      </c>
      <c r="K15" s="8">
        <v>36337923</v>
      </c>
      <c r="L15" s="6">
        <f>Low_2060[[#This Row],[2025男]]</f>
        <v>34585115.25</v>
      </c>
      <c r="M15" s="6">
        <f>Low_2060[[#This Row],[2030男]]</f>
        <v>45885943.069204979</v>
      </c>
      <c r="N15" s="6">
        <f>Low_2060[[#This Row],[2035男]]</f>
        <v>54031381.391905405</v>
      </c>
      <c r="O15" s="6">
        <f>Low_2060[[#This Row],[2040男]]</f>
        <v>50918909.348813578</v>
      </c>
      <c r="P15" s="6">
        <f>Low_2060[[#This Row],[2045男]]</f>
        <v>41521588.67923867</v>
      </c>
      <c r="Q15" s="6">
        <f>Low_2060[[#This Row],[2050男]]</f>
        <v>44415919.731945015</v>
      </c>
      <c r="R15" s="6">
        <f>Low_2060[[#This Row],[2055男]]</f>
        <v>55879550.881927833</v>
      </c>
      <c r="S15" s="6">
        <f>Low_2060[[#This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0.86730000743343649</v>
      </c>
      <c r="Y15" s="9">
        <f>(SUM(E$2:E15)+SUM(N$2:N15))/(SUM(E$2:E$22)+SUM(N$2:N$22))</f>
        <v>0.83134828348284817</v>
      </c>
      <c r="Z15" s="9">
        <f>(SUM(F$2:F15)+SUM(O$2:O15))/(SUM(F$2:F$22)+SUM(O$2:O$22))</f>
        <v>0.78705740092852083</v>
      </c>
      <c r="AA15" s="9">
        <f>(SUM(G$2:G15)+SUM(P$2:P15))/(SUM(G$2:G$22)+SUM(P$2:P$22))</f>
        <v>0.75170444408088821</v>
      </c>
      <c r="AB15" s="9">
        <f>(SUM(H$2:H15)+SUM(Q$2:Q15))/(SUM(H$2:H$22)+SUM(Q$2:Q$22))</f>
        <v>0.73402467297736318</v>
      </c>
      <c r="AC15" s="9">
        <f>(SUM(I$2:I15)+SUM(R$2:R15))/(SUM(I$2:I$22)+SUM(R$2:R$22))</f>
        <v>0.7134081044032976</v>
      </c>
      <c r="AD15" s="9">
        <f>(SUM(J$2:J15)+SUM(S$2:S15))/(SUM(J$2:J$22)+SUM(S$2:S$22))</f>
        <v>0.67245695782917259</v>
      </c>
    </row>
    <row r="16" spans="1:30" x14ac:dyDescent="0.2">
      <c r="A16" s="6" t="s">
        <v>31</v>
      </c>
      <c r="B16" s="7">
        <v>25427303</v>
      </c>
      <c r="C16" s="6">
        <f>Low_2060[[#This Row],[2025女]]</f>
        <v>35780488.386299998</v>
      </c>
      <c r="D16" s="6">
        <f>Low_2060[[#This Row],[2030女]]</f>
        <v>33821944.287232526</v>
      </c>
      <c r="E16" s="6">
        <f>Low_2060[[#This Row],[2035女]]</f>
        <v>46278542.038316481</v>
      </c>
      <c r="F16" s="6">
        <f>Low_2060[[#This Row],[2040女]]</f>
        <v>54624245.819828331</v>
      </c>
      <c r="G16" s="6">
        <f>Low_2060[[#This Row],[2045女]]</f>
        <v>50899218.621493518</v>
      </c>
      <c r="H16" s="6">
        <f>Low_2060[[#This Row],[2050女]]</f>
        <v>41225298.681570321</v>
      </c>
      <c r="I16" s="6">
        <f>Low_2060[[#This Row],[2055女]]</f>
        <v>43835849.142098933</v>
      </c>
      <c r="J16" s="6">
        <f>Low_2060[[#This Row],[2060女]]</f>
        <v>55123227.422775351</v>
      </c>
      <c r="K16" s="8">
        <v>24162733</v>
      </c>
      <c r="L16" s="6">
        <f>Low_2060[[#This Row],[2025男]]</f>
        <v>32871285.145799998</v>
      </c>
      <c r="M16" s="6">
        <f>Low_2060[[#This Row],[2030男]]</f>
        <v>31448245.296824999</v>
      </c>
      <c r="N16" s="6">
        <f>Low_2060[[#This Row],[2035男]]</f>
        <v>41930574.776639506</v>
      </c>
      <c r="O16" s="6">
        <f>Low_2060[[#This Row],[2040男]]</f>
        <v>49600808.117769167</v>
      </c>
      <c r="P16" s="6">
        <f>Low_2060[[#This Row],[2045男]]</f>
        <v>46947234.419606119</v>
      </c>
      <c r="Q16" s="6">
        <f>Low_2060[[#This Row],[2050男]]</f>
        <v>38444838.958107084</v>
      </c>
      <c r="R16" s="6">
        <f>Low_2060[[#This Row],[2055男]]</f>
        <v>41284597.390842892</v>
      </c>
      <c r="S16" s="6">
        <f>Low_2060[[#This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0.91361575469772238</v>
      </c>
      <c r="Y16" s="9">
        <f>(SUM(E$2:E16)+SUM(N$2:N16))/(SUM(E$2:E$22)+SUM(N$2:N$22))</f>
        <v>0.8952110430690069</v>
      </c>
      <c r="Z16" s="9">
        <f>(SUM(F$2:F16)+SUM(O$2:O16))/(SUM(F$2:F$22)+SUM(O$2:O$22))</f>
        <v>0.86471019224251666</v>
      </c>
      <c r="AA16" s="9">
        <f>(SUM(G$2:G16)+SUM(P$2:P16))/(SUM(G$2:G$22)+SUM(P$2:P$22))</f>
        <v>0.82711742947610767</v>
      </c>
      <c r="AB16" s="9">
        <f>(SUM(H$2:H16)+SUM(Q$2:Q16))/(SUM(H$2:H$22)+SUM(Q$2:Q$22))</f>
        <v>0.79796846245032005</v>
      </c>
      <c r="AC16" s="9">
        <f>(SUM(I$2:I16)+SUM(R$2:R16))/(SUM(I$2:I$22)+SUM(R$2:R$22))</f>
        <v>0.78522521910495013</v>
      </c>
      <c r="AD16" s="9">
        <f>(SUM(J$2:J16)+SUM(S$2:S16))/(SUM(J$2:J$22)+SUM(S$2:S$22))</f>
        <v>0.76870070591086503</v>
      </c>
    </row>
    <row r="17" spans="1:30" x14ac:dyDescent="0.2">
      <c r="A17" s="6" t="s">
        <v>32</v>
      </c>
      <c r="B17" s="7">
        <v>16486416</v>
      </c>
      <c r="C17" s="6">
        <f>Low_2060[[#This Row],[2025女]]</f>
        <v>23077820.202799998</v>
      </c>
      <c r="D17" s="6">
        <f>Low_2060[[#This Row],[2030女]]</f>
        <v>32764193.215334907</v>
      </c>
      <c r="E17" s="6">
        <f>Low_2060[[#This Row],[2035女]]</f>
        <v>31221036.771544345</v>
      </c>
      <c r="F17" s="6">
        <f>Low_2060[[#This Row],[2040女]]</f>
        <v>43034416.241430491</v>
      </c>
      <c r="G17" s="6">
        <f>Low_2060[[#This Row],[2045女]]</f>
        <v>51128294.087359324</v>
      </c>
      <c r="H17" s="6">
        <f>Low_2060[[#This Row],[2050女]]</f>
        <v>47926704.253998294</v>
      </c>
      <c r="I17" s="6">
        <f>Low_2060[[#This Row],[2055女]]</f>
        <v>39032112.791710779</v>
      </c>
      <c r="J17" s="6">
        <f>Low_2060[[#This Row],[2060女]]</f>
        <v>41705426.873792924</v>
      </c>
      <c r="K17" s="8">
        <v>14752433</v>
      </c>
      <c r="L17" s="6">
        <f>Low_2060[[#This Row],[2025男]]</f>
        <v>20429590.751499999</v>
      </c>
      <c r="M17" s="6">
        <f>Low_2060[[#This Row],[2030男]]</f>
        <v>28049067.614911135</v>
      </c>
      <c r="N17" s="6">
        <f>Low_2060[[#This Row],[2035男]]</f>
        <v>27067504.726977278</v>
      </c>
      <c r="O17" s="6">
        <f>Low_2060[[#This Row],[2040男]]</f>
        <v>36383159.733690098</v>
      </c>
      <c r="P17" s="6">
        <f>Low_2060[[#This Row],[2045男]]</f>
        <v>43370946.618177354</v>
      </c>
      <c r="Q17" s="6">
        <f>Low_2060[[#This Row],[2050男]]</f>
        <v>41346429.353347108</v>
      </c>
      <c r="R17" s="6">
        <f>Low_2060[[#This Row],[2055男]]</f>
        <v>34092883.188049361</v>
      </c>
      <c r="S17" s="6">
        <f>Low_2060[[#This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0.95676886390239901</v>
      </c>
      <c r="Y17" s="9">
        <f>(SUM(E$2:E17)+SUM(N$2:N17))/(SUM(E$2:E$22)+SUM(N$2:N$22))</f>
        <v>0.93741152354946378</v>
      </c>
      <c r="Z17" s="9">
        <f>(SUM(F$2:F17)+SUM(O$2:O17))/(SUM(F$2:F$22)+SUM(O$2:O$22))</f>
        <v>0.92388019236121932</v>
      </c>
      <c r="AA17" s="9">
        <f>(SUM(G$2:G17)+SUM(P$2:P17))/(SUM(G$2:G$22)+SUM(P$2:P$22))</f>
        <v>0.89995062513821844</v>
      </c>
      <c r="AB17" s="9">
        <f>(SUM(H$2:H17)+SUM(Q$2:Q17))/(SUM(H$2:H$22)+SUM(Q$2:Q$22))</f>
        <v>0.86961968121432909</v>
      </c>
      <c r="AC17" s="9">
        <f>(SUM(I$2:I17)+SUM(R$2:R17))/(SUM(I$2:I$22)+SUM(R$2:R$22))</f>
        <v>0.84692163210254778</v>
      </c>
      <c r="AD17" s="9">
        <f>(SUM(J$2:J17)+SUM(S$2:S17))/(SUM(J$2:J$22)+SUM(S$2:S$22))</f>
        <v>0.83918563353854614</v>
      </c>
    </row>
    <row r="18" spans="1:30" x14ac:dyDescent="0.2">
      <c r="A18" s="6" t="s">
        <v>33</v>
      </c>
      <c r="B18" s="7">
        <v>11225875</v>
      </c>
      <c r="C18" s="6">
        <f>Low_2060[[#This Row],[2025女]]</f>
        <v>13715049.4704</v>
      </c>
      <c r="D18" s="6">
        <f>Low_2060[[#This Row],[2030女]]</f>
        <v>19556144.83985272</v>
      </c>
      <c r="E18" s="6">
        <f>Low_2060[[#This Row],[2035女]]</f>
        <v>28223076.035689492</v>
      </c>
      <c r="F18" s="6">
        <f>Low_2060[[#This Row],[2040女]]</f>
        <v>27290308.242006913</v>
      </c>
      <c r="G18" s="6">
        <f>Low_2060[[#This Row],[2045女]]</f>
        <v>38115582.465034992</v>
      </c>
      <c r="H18" s="6">
        <f>Low_2060[[#This Row],[2050女]]</f>
        <v>45821177.161091425</v>
      </c>
      <c r="I18" s="6">
        <f>Low_2060[[#This Row],[2055女]]</f>
        <v>43412008.713271655</v>
      </c>
      <c r="J18" s="6">
        <f>Low_2060[[#This Row],[2060女]]</f>
        <v>35690963.936740339</v>
      </c>
      <c r="K18" s="8">
        <v>9157003</v>
      </c>
      <c r="L18" s="6">
        <f>Low_2060[[#This Row],[2025男]]</f>
        <v>11083502.912899999</v>
      </c>
      <c r="M18" s="6">
        <f>Low_2060[[#This Row],[2030男]]</f>
        <v>15616379.170446599</v>
      </c>
      <c r="N18" s="6">
        <f>Low_2060[[#This Row],[2035男]]</f>
        <v>21788515.723262969</v>
      </c>
      <c r="O18" s="6">
        <f>Low_2060[[#This Row],[2040男]]</f>
        <v>21345434.22769428</v>
      </c>
      <c r="P18" s="6">
        <f>Low_2060[[#This Row],[2045男]]</f>
        <v>29099251.15500534</v>
      </c>
      <c r="Q18" s="6">
        <f>Low_2060[[#This Row],[2050男]]</f>
        <v>35143478.044709109</v>
      </c>
      <c r="R18" s="6">
        <f>Low_2060[[#This Row],[2055男]]</f>
        <v>33916475.998550631</v>
      </c>
      <c r="S18" s="6">
        <f>Low_2060[[#This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0.98172729811393311</v>
      </c>
      <c r="Y18" s="9">
        <f>(SUM(E$2:E18)+SUM(N$2:N18))/(SUM(E$2:E$22)+SUM(N$2:N$22))</f>
        <v>0.97361955256445976</v>
      </c>
      <c r="Z18" s="9">
        <f>(SUM(F$2:F18)+SUM(O$2:O18))/(SUM(F$2:F$22)+SUM(O$2:O$22))</f>
        <v>0.96011621256670832</v>
      </c>
      <c r="AA18" s="9">
        <f>(SUM(G$2:G18)+SUM(P$2:P18))/(SUM(G$2:G$22)+SUM(P$2:P$22))</f>
        <v>0.95175496866410048</v>
      </c>
      <c r="AB18" s="9">
        <f>(SUM(H$2:H18)+SUM(Q$2:Q18))/(SUM(H$2:H$22)+SUM(Q$2:Q$22))</f>
        <v>0.93460245921133733</v>
      </c>
      <c r="AC18" s="9">
        <f>(SUM(I$2:I18)+SUM(R$2:R18))/(SUM(I$2:I$22)+SUM(R$2:R$22))</f>
        <v>0.91216457762803538</v>
      </c>
      <c r="AD18" s="9">
        <f>(SUM(J$2:J18)+SUM(S$2:S18))/(SUM(J$2:J$22)+SUM(S$2:S$22))</f>
        <v>0.89659622747301593</v>
      </c>
    </row>
    <row r="19" spans="1:30" x14ac:dyDescent="0.2">
      <c r="A19" s="6" t="s">
        <v>34</v>
      </c>
      <c r="B19" s="7">
        <v>6400439</v>
      </c>
      <c r="C19" s="6">
        <f>Low_2060[[#This Row],[2025女]]</f>
        <v>7876073.9000000004</v>
      </c>
      <c r="D19" s="6">
        <f>Low_2060[[#This Row],[2030女]]</f>
        <v>9961240.43035152</v>
      </c>
      <c r="E19" s="6">
        <f>Low_2060[[#This Row],[2035女]]</f>
        <v>14647552.485049687</v>
      </c>
      <c r="F19" s="6">
        <f>Low_2060[[#This Row],[2040女]]</f>
        <v>21723301.624670204</v>
      </c>
      <c r="G19" s="6">
        <f>Low_2060[[#This Row],[2045女]]</f>
        <v>21526595.141295053</v>
      </c>
      <c r="H19" s="6">
        <f>Low_2060[[#This Row],[2050女]]</f>
        <v>30732594.141557716</v>
      </c>
      <c r="I19" s="6">
        <f>Low_2060[[#This Row],[2055女]]</f>
        <v>37678753.979565479</v>
      </c>
      <c r="J19" s="6">
        <f>Low_2060[[#This Row],[2060女]]</f>
        <v>36335851.293008372</v>
      </c>
      <c r="K19" s="8">
        <v>4426091</v>
      </c>
      <c r="L19" s="6">
        <f>Low_2060[[#This Row],[2025男]]</f>
        <v>5560132.2215999998</v>
      </c>
      <c r="M19" s="6">
        <f>Low_2060[[#This Row],[2030男]]</f>
        <v>6913889.1170670195</v>
      </c>
      <c r="N19" s="6">
        <f>Low_2060[[#This Row],[2035男]]</f>
        <v>9989797.7553346902</v>
      </c>
      <c r="O19" s="6">
        <f>Low_2060[[#This Row],[2040男]]</f>
        <v>14271477.798737245</v>
      </c>
      <c r="P19" s="6">
        <f>Low_2060[[#This Row],[2045男]]</f>
        <v>14290768.21544132</v>
      </c>
      <c r="Q19" s="6">
        <f>Low_2060[[#This Row],[2050男]]</f>
        <v>19889338.164446149</v>
      </c>
      <c r="R19" s="6">
        <f>Low_2060[[#This Row],[2055男]]</f>
        <v>24491489.849357776</v>
      </c>
      <c r="S19" s="6">
        <f>Low_2060[[#This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0.99370189540177711</v>
      </c>
      <c r="Y19" s="9">
        <f>(SUM(E$2:E19)+SUM(N$2:N19))/(SUM(E$2:E$22)+SUM(N$2:N$22))</f>
        <v>0.99145681510663375</v>
      </c>
      <c r="Z19" s="9">
        <f>(SUM(F$2:F19)+SUM(O$2:O19))/(SUM(F$2:F$22)+SUM(O$2:O$22))</f>
        <v>0.9869340935786256</v>
      </c>
      <c r="AA19" s="9">
        <f>(SUM(G$2:G19)+SUM(P$2:P19))/(SUM(G$2:G$22)+SUM(P$2:P$22))</f>
        <v>0.97936040775530864</v>
      </c>
      <c r="AB19" s="9">
        <f>(SUM(H$2:H19)+SUM(Q$2:Q19))/(SUM(H$2:H$22)+SUM(Q$2:Q$22))</f>
        <v>0.97523196328887651</v>
      </c>
      <c r="AC19" s="9">
        <f>(SUM(I$2:I19)+SUM(R$2:R19))/(SUM(I$2:I$22)+SUM(R$2:R$22))</f>
        <v>0.96461833831599841</v>
      </c>
      <c r="AD19" s="9">
        <f>(SUM(J$2:J19)+SUM(S$2:S19))/(SUM(J$2:J$22)+SUM(S$2:S$22))</f>
        <v>0.95079908307424066</v>
      </c>
    </row>
    <row r="20" spans="1:30" x14ac:dyDescent="0.2">
      <c r="A20" s="6" t="s">
        <v>35</v>
      </c>
      <c r="B20" s="7">
        <v>2285155</v>
      </c>
      <c r="C20" s="6">
        <f>Low_2060[[#This Row],[2025女]]</f>
        <v>3358310.3433000003</v>
      </c>
      <c r="D20" s="6">
        <f>Low_2060[[#This Row],[2030女]]</f>
        <v>4364132.5479900008</v>
      </c>
      <c r="E20" s="6">
        <f>Low_2060[[#This Row],[2035女]]</f>
        <v>5793457.434292444</v>
      </c>
      <c r="F20" s="6">
        <f>Low_2060[[#This Row],[2040女]]</f>
        <v>8896923.3794191815</v>
      </c>
      <c r="G20" s="6">
        <f>Low_2060[[#This Row],[2045女]]</f>
        <v>13722609.636304168</v>
      </c>
      <c r="H20" s="6">
        <f>Low_2060[[#This Row],[2050女]]</f>
        <v>14087003.860463483</v>
      </c>
      <c r="I20" s="6">
        <f>Low_2060[[#This Row],[2055女]]</f>
        <v>20769087.120864704</v>
      </c>
      <c r="J20" s="6">
        <f>Low_2060[[#This Row],[2060女]]</f>
        <v>26216877.018981658</v>
      </c>
      <c r="K20" s="8">
        <v>1367594</v>
      </c>
      <c r="L20" s="6">
        <f>Low_2060[[#This Row],[2025男]]</f>
        <v>1951463.5219000001</v>
      </c>
      <c r="M20" s="6">
        <f>Low_2060[[#This Row],[2030男]]</f>
        <v>2532640.2269388</v>
      </c>
      <c r="N20" s="6">
        <f>Low_2060[[#This Row],[2035男]]</f>
        <v>3248145.1071980856</v>
      </c>
      <c r="O20" s="6">
        <f>Low_2060[[#This Row],[2040男]]</f>
        <v>4832065.1742553897</v>
      </c>
      <c r="P20" s="6">
        <f>Low_2060[[#This Row],[2045男]]</f>
        <v>7095778.7615321577</v>
      </c>
      <c r="Q20" s="6">
        <f>Low_2060[[#This Row],[2050男]]</f>
        <v>7292579.020339705</v>
      </c>
      <c r="R20" s="6">
        <f>Low_2060[[#This Row],[2055男]]</f>
        <v>10406101.727638226</v>
      </c>
      <c r="S20" s="6">
        <f>Low_2060[[#This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0.99859584755387631</v>
      </c>
      <c r="Y20" s="9">
        <f>(SUM(E$2:E20)+SUM(N$2:N20))/(SUM(E$2:E$22)+SUM(N$2:N$22))</f>
        <v>0.99800286964419505</v>
      </c>
      <c r="Z20" s="9">
        <f>(SUM(F$2:F20)+SUM(O$2:O20))/(SUM(F$2:F$22)+SUM(O$2:O$22))</f>
        <v>0.9971628652878638</v>
      </c>
      <c r="AA20" s="9">
        <f>(SUM(G$2:G20)+SUM(P$2:P20))/(SUM(G$2:G$22)+SUM(P$2:P$22))</f>
        <v>0.99540571927557997</v>
      </c>
      <c r="AB20" s="9">
        <f>(SUM(H$2:H20)+SUM(Q$2:Q20))/(SUM(H$2:H$22)+SUM(Q$2:Q$22))</f>
        <v>0.99239136061454247</v>
      </c>
      <c r="AC20" s="9">
        <f>(SUM(I$2:I20)+SUM(R$2:R20))/(SUM(I$2:I$22)+SUM(R$2:R$22))</f>
        <v>0.99092120918395321</v>
      </c>
      <c r="AD20" s="9">
        <f>(SUM(J$2:J20)+SUM(S$2:S20))/(SUM(J$2:J$22)+SUM(S$2:S$22))</f>
        <v>0.98609408756546546</v>
      </c>
    </row>
    <row r="21" spans="1:30" x14ac:dyDescent="0.2">
      <c r="A21" s="6" t="s">
        <v>36</v>
      </c>
      <c r="B21" s="7">
        <v>548357</v>
      </c>
      <c r="C21" s="6">
        <f>Low_2060[[#This Row],[2025女]]</f>
        <v>735819.91</v>
      </c>
      <c r="D21" s="6">
        <f>Low_2060[[#This Row],[2030女]]</f>
        <v>1166341.18222809</v>
      </c>
      <c r="E21" s="6">
        <f>Low_2060[[#This Row],[2035女]]</f>
        <v>1622148.0680878833</v>
      </c>
      <c r="F21" s="6">
        <f>Low_2060[[#This Row],[2040女]]</f>
        <v>2288995.0322889448</v>
      </c>
      <c r="G21" s="6">
        <f>Low_2060[[#This Row],[2045女]]</f>
        <v>3716244.8955833921</v>
      </c>
      <c r="H21" s="6">
        <f>Low_2060[[#This Row],[2050女]]</f>
        <v>6029714.6741920514</v>
      </c>
      <c r="I21" s="6">
        <f>Low_2060[[#This Row],[2055女]]</f>
        <v>6485656.5773573872</v>
      </c>
      <c r="J21" s="6">
        <f>Low_2060[[#This Row],[2060女]]</f>
        <v>9979546.3615754899</v>
      </c>
      <c r="K21" s="8">
        <v>271455</v>
      </c>
      <c r="L21" s="6">
        <f>Low_2060[[#This Row],[2025男]]</f>
        <v>385387.98920000001</v>
      </c>
      <c r="M21" s="6">
        <f>Low_2060[[#This Row],[2030男]]</f>
        <v>565534.12864661997</v>
      </c>
      <c r="N21" s="6">
        <f>Low_2060[[#This Row],[2035男]]</f>
        <v>753966.99555968074</v>
      </c>
      <c r="O21" s="6">
        <f>Low_2060[[#This Row],[2040男]]</f>
        <v>992633.14475973486</v>
      </c>
      <c r="P21" s="6">
        <f>Low_2060[[#This Row],[2045男]]</f>
        <v>1513886.0190942136</v>
      </c>
      <c r="Q21" s="6">
        <f>Low_2060[[#This Row],[2050男]]</f>
        <v>2277744.9824518226</v>
      </c>
      <c r="R21" s="6">
        <f>Low_2060[[#This Row],[2055男]]</f>
        <v>2396341.4660836272</v>
      </c>
      <c r="S21" s="6">
        <f>Low_2060[[#This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0.99982478682466569</v>
      </c>
      <c r="Y21" s="9">
        <f>(SUM(E$2:E21)+SUM(N$2:N21))/(SUM(E$2:E$22)+SUM(N$2:N$22))</f>
        <v>0.99972315968379599</v>
      </c>
      <c r="Z21" s="9">
        <f>(SUM(F$2:F21)+SUM(O$2:O21))/(SUM(F$2:F$22)+SUM(O$2:O$22))</f>
        <v>0.99960783968101752</v>
      </c>
      <c r="AA21" s="9">
        <f>(SUM(G$2:G21)+SUM(P$2:P21))/(SUM(G$2:G$22)+SUM(P$2:P$22))</f>
        <v>0.99943672677789586</v>
      </c>
      <c r="AB21" s="9">
        <f>(SUM(H$2:H21)+SUM(Q$2:Q21))/(SUM(H$2:H$22)+SUM(Q$2:Q$22))</f>
        <v>0.99905898373001911</v>
      </c>
      <c r="AC21" s="9">
        <f>(SUM(I$2:I21)+SUM(R$2:R21))/(SUM(I$2:I$22)+SUM(R$2:R$22))</f>
        <v>0.99841505464937608</v>
      </c>
      <c r="AD21" s="9">
        <f>(SUM(J$2:J21)+SUM(S$2:S21))/(SUM(J$2:J$22)+SUM(S$2:S$22))</f>
        <v>0.99818708117829191</v>
      </c>
    </row>
    <row r="22" spans="1:30" x14ac:dyDescent="0.2">
      <c r="A22" s="6" t="s">
        <v>37</v>
      </c>
      <c r="B22" s="7">
        <v>83737</v>
      </c>
      <c r="C22" s="6">
        <f>Low_2060[[#This Row],[2025女]]</f>
        <v>118719.2905</v>
      </c>
      <c r="D22" s="6">
        <f>Low_2060[[#This Row],[2030女]]</f>
        <v>163057.692056</v>
      </c>
      <c r="E22" s="6">
        <f>Low_2060[[#This Row],[2035女]]</f>
        <v>264409.54601110803</v>
      </c>
      <c r="F22" s="6">
        <f>Low_2060[[#This Row],[2040女]]</f>
        <v>376013.92218277138</v>
      </c>
      <c r="G22" s="6">
        <f>Low_2060[[#This Row],[2045女]]</f>
        <v>542034.02364602219</v>
      </c>
      <c r="H22" s="6">
        <f>Low_2060[[#This Row],[2050女]]</f>
        <v>898588.01575206418</v>
      </c>
      <c r="I22" s="6">
        <f>Low_2060[[#This Row],[2055女]]</f>
        <v>1488133.5815905982</v>
      </c>
      <c r="J22" s="6">
        <f>Low_2060[[#This Row],[2060女]]</f>
        <v>1632439.7605208543</v>
      </c>
      <c r="K22" s="8">
        <v>35129</v>
      </c>
      <c r="L22" s="6">
        <f>Low_2060[[#This Row],[2025男]]</f>
        <v>61484.557500000003</v>
      </c>
      <c r="M22" s="6">
        <f>Low_2060[[#This Row],[2030男]]</f>
        <v>83860.426449919993</v>
      </c>
      <c r="N22" s="6">
        <f>Low_2060[[#This Row],[2035男]]</f>
        <v>117970.41923568492</v>
      </c>
      <c r="O22" s="6">
        <f>Low_2060[[#This Row],[2040男]]</f>
        <v>150341.01891460034</v>
      </c>
      <c r="P22" s="6">
        <f>Low_2060[[#This Row],[2045男]]</f>
        <v>188798.82413330159</v>
      </c>
      <c r="Q22" s="6">
        <f>Low_2060[[#This Row],[2050男]]</f>
        <v>273861.98085414327</v>
      </c>
      <c r="R22" s="6">
        <f>Low_2060[[#This Row],[2055男]]</f>
        <v>390405.48999224236</v>
      </c>
      <c r="S22" s="6">
        <f>Low_2060[[#This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44.678969163126112</v>
      </c>
      <c r="Y23" s="3">
        <f t="shared" si="0"/>
        <v>47.857794273984524</v>
      </c>
      <c r="Z23" s="3">
        <f t="shared" si="0"/>
        <v>50.914892853802336</v>
      </c>
      <c r="AA23" s="3">
        <f t="shared" si="0"/>
        <v>53.310860636266149</v>
      </c>
      <c r="AB23" s="3">
        <f t="shared" si="0"/>
        <v>55.158431838933296</v>
      </c>
      <c r="AC23" s="3">
        <f t="shared" si="0"/>
        <v>56.242724829487337</v>
      </c>
      <c r="AD23" s="3">
        <f t="shared" si="0"/>
        <v>57.256274882558735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 s="5">
        <f>((0.5-V8)/(V9-V8)*5)+$U9</f>
        <v>39.438162027158228</v>
      </c>
      <c r="W24" s="5"/>
      <c r="X24" s="5"/>
      <c r="Y24" s="5"/>
      <c r="Z24" s="5"/>
      <c r="AA24" s="5"/>
      <c r="AB24" s="5"/>
      <c r="AC24" s="5"/>
      <c r="AD24" s="5"/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6.9484606978348564</v>
      </c>
      <c r="E25" s="3">
        <f t="shared" si="1"/>
        <v>6.8485804269705604</v>
      </c>
      <c r="F25" s="3">
        <f t="shared" si="1"/>
        <v>6.6939669679263698</v>
      </c>
      <c r="G25" s="3">
        <f t="shared" si="1"/>
        <v>6.507853753756498</v>
      </c>
      <c r="H25" s="3">
        <f t="shared" si="1"/>
        <v>6.2828469635545563</v>
      </c>
      <c r="I25" s="3">
        <f t="shared" si="1"/>
        <v>6.006760829764457</v>
      </c>
      <c r="J25" s="3">
        <f t="shared" si="1"/>
        <v>5.672223276993166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7.1439794417172555</v>
      </c>
      <c r="N25" s="3">
        <f t="shared" si="2"/>
        <v>6.9637129011859331</v>
      </c>
      <c r="O25" s="3">
        <f t="shared" si="2"/>
        <v>6.727965737126623</v>
      </c>
      <c r="P25" s="3">
        <f t="shared" si="2"/>
        <v>6.4668948957383297</v>
      </c>
      <c r="Q25" s="3">
        <f t="shared" si="2"/>
        <v>6.1765550043834834</v>
      </c>
      <c r="R25" s="3">
        <f>SUM(R2:R22)/100000000</f>
        <v>5.8456293541847311</v>
      </c>
      <c r="S25" s="3">
        <f t="shared" si="2"/>
        <v>5.472277070662857</v>
      </c>
      <c r="V25" s="5"/>
      <c r="W25" s="5">
        <f t="shared" ref="W25:X25" si="3">((0.5-W9)/(W10-W9)*5)+$U10</f>
        <v>41.860793424246822</v>
      </c>
      <c r="X25" s="5">
        <f t="shared" si="3"/>
        <v>44.678969163126112</v>
      </c>
      <c r="Y25" s="5"/>
      <c r="Z25" s="5"/>
      <c r="AA25" s="5"/>
      <c r="AB25" s="5"/>
      <c r="AC25" s="5"/>
      <c r="AD25" s="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7.1439794417172555</v>
      </c>
      <c r="E26" s="3">
        <f t="shared" si="4"/>
        <v>6.9637129011859331</v>
      </c>
      <c r="F26" s="3">
        <f t="shared" si="4"/>
        <v>6.727965737126623</v>
      </c>
      <c r="G26" s="3">
        <f t="shared" si="4"/>
        <v>6.4668948957383297</v>
      </c>
      <c r="H26" s="3">
        <f t="shared" si="4"/>
        <v>6.1765550043834834</v>
      </c>
      <c r="I26" s="3">
        <f t="shared" si="4"/>
        <v>5.8456293541847311</v>
      </c>
      <c r="J26" s="3">
        <f t="shared" si="4"/>
        <v>5.472277070662857</v>
      </c>
      <c r="V26" s="5"/>
      <c r="W26" s="5"/>
      <c r="X26" s="5"/>
      <c r="Y26" s="5">
        <f t="shared" ref="Y26" si="5">((0.5-Y10)/(Y11-Y10)*5)+$U11</f>
        <v>47.857794273984524</v>
      </c>
      <c r="Z26" s="5"/>
      <c r="AA26" s="5"/>
      <c r="AB26" s="5"/>
      <c r="AC26" s="5"/>
      <c r="AD26" s="5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14.092440139552112</v>
      </c>
      <c r="E27" s="3">
        <f t="shared" si="6"/>
        <v>13.812293328156493</v>
      </c>
      <c r="F27" s="3">
        <f t="shared" si="6"/>
        <v>13.421932705052992</v>
      </c>
      <c r="G27" s="3">
        <f t="shared" si="6"/>
        <v>12.974748649494828</v>
      </c>
      <c r="H27" s="3">
        <f t="shared" si="6"/>
        <v>12.459401967938039</v>
      </c>
      <c r="I27" s="3">
        <f t="shared" si="6"/>
        <v>11.852390183949188</v>
      </c>
      <c r="J27" s="3">
        <f t="shared" si="6"/>
        <v>11.144500347656024</v>
      </c>
      <c r="V27" s="5"/>
      <c r="W27" s="5"/>
      <c r="X27" s="5"/>
      <c r="Y27" s="5"/>
      <c r="Z27" s="5">
        <f t="shared" ref="Z27:AA27" si="7">((0.5-Z11)/(Z12-Z11)*5)+$U12</f>
        <v>50.914892853802336</v>
      </c>
      <c r="AA27" s="5">
        <f t="shared" si="7"/>
        <v>53.310860636266149</v>
      </c>
      <c r="AB27" s="5"/>
      <c r="AC27" s="5"/>
      <c r="AD27" s="5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1.0281384255283077</v>
      </c>
      <c r="E28" s="2">
        <f t="shared" si="8"/>
        <v>1.0168111443594889</v>
      </c>
      <c r="F28" s="2">
        <f t="shared" si="8"/>
        <v>1.0050790165776371</v>
      </c>
      <c r="G28" s="2">
        <f t="shared" si="8"/>
        <v>0.9937062417860073</v>
      </c>
      <c r="H28" s="2">
        <f t="shared" si="8"/>
        <v>0.98308219827927534</v>
      </c>
      <c r="I28" s="2">
        <f t="shared" si="8"/>
        <v>0.97317498063493824</v>
      </c>
      <c r="J28" s="2">
        <f t="shared" si="8"/>
        <v>0.96474994079635379</v>
      </c>
      <c r="V28" s="5"/>
      <c r="W28" s="5"/>
      <c r="X28" s="5"/>
      <c r="Y28" s="5"/>
      <c r="Z28" s="5"/>
      <c r="AA28" s="5"/>
      <c r="AB28" s="5">
        <f t="shared" ref="AB28:AC28" si="9">((0.5-AB12)/(AB13-AB12)*5)+$U13</f>
        <v>55.158431838933296</v>
      </c>
      <c r="AC28" s="5">
        <f t="shared" si="9"/>
        <v>56.242724829487337</v>
      </c>
      <c r="AD28" s="5">
        <f t="shared" ref="AD28" si="10">((0.5-AD12)/(AD13-AD12)*5)+$U13</f>
        <v>57.256274882558735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1">SUM(C15:C22)/(C25*10^8)</f>
        <v>0.1721235544614709</v>
      </c>
      <c r="D29" s="2">
        <f t="shared" si="11"/>
        <v>0.21607639362504644</v>
      </c>
      <c r="E29" s="2">
        <f t="shared" si="11"/>
        <v>0.2700134141524953</v>
      </c>
      <c r="F29" s="2">
        <f t="shared" si="11"/>
        <v>0.31529307271192997</v>
      </c>
      <c r="G29" s="2">
        <f t="shared" si="11"/>
        <v>0.34160141866281529</v>
      </c>
      <c r="H29" s="2">
        <f t="shared" si="11"/>
        <v>0.3692020282735709</v>
      </c>
      <c r="I29" s="2">
        <f t="shared" si="11"/>
        <v>0.41528807137350315</v>
      </c>
      <c r="J29" s="2">
        <f t="shared" si="11"/>
        <v>0.43696379360660864</v>
      </c>
      <c r="K29" s="2">
        <f t="shared" ref="K29:S29" si="12">SUM(K15:K22)/(K25*10^8)</f>
        <v>0.12546202408591231</v>
      </c>
      <c r="L29" s="2">
        <f t="shared" si="12"/>
        <v>0.14752174745050295</v>
      </c>
      <c r="M29" s="2">
        <f t="shared" si="12"/>
        <v>0.1835049500352112</v>
      </c>
      <c r="N29" s="2">
        <f t="shared" si="12"/>
        <v>0.22822287356080925</v>
      </c>
      <c r="O29" s="2">
        <f t="shared" si="12"/>
        <v>0.26530282040476866</v>
      </c>
      <c r="P29" s="2">
        <f t="shared" si="12"/>
        <v>0.28456972884081155</v>
      </c>
      <c r="Q29" s="2">
        <f t="shared" si="12"/>
        <v>0.30613212397850847</v>
      </c>
      <c r="R29" s="2">
        <f t="shared" si="12"/>
        <v>0.34702481751981423</v>
      </c>
      <c r="S29" s="2">
        <f t="shared" si="12"/>
        <v>0.36666678241090389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3">L29</f>
        <v>0.14752174745050295</v>
      </c>
      <c r="D30" s="2">
        <f t="shared" si="13"/>
        <v>0.1835049500352112</v>
      </c>
      <c r="E30" s="2">
        <f t="shared" si="13"/>
        <v>0.22822287356080925</v>
      </c>
      <c r="F30" s="2">
        <f t="shared" si="13"/>
        <v>0.26530282040476866</v>
      </c>
      <c r="G30" s="2">
        <f t="shared" si="13"/>
        <v>0.28456972884081155</v>
      </c>
      <c r="H30" s="2">
        <f t="shared" si="13"/>
        <v>0.30613212397850847</v>
      </c>
      <c r="I30" s="2">
        <f t="shared" si="13"/>
        <v>0.34702481751981423</v>
      </c>
      <c r="J30" s="2">
        <f t="shared" si="13"/>
        <v>0.36666678241090389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4">(SUM(C15:C22)+SUM(L15:L22))/(C27*10^8)</f>
        <v>0.15958988777370234</v>
      </c>
      <c r="D31" s="2">
        <f t="shared" si="14"/>
        <v>0.19956472346085927</v>
      </c>
      <c r="E31" s="2">
        <f t="shared" si="14"/>
        <v>0.24894397117501257</v>
      </c>
      <c r="F31" s="2">
        <f t="shared" si="14"/>
        <v>0.29023463201610711</v>
      </c>
      <c r="G31" s="2">
        <f t="shared" si="14"/>
        <v>0.31317559294790964</v>
      </c>
      <c r="H31" s="2">
        <f t="shared" si="14"/>
        <v>0.33793610283011044</v>
      </c>
      <c r="I31" s="2">
        <f t="shared" si="14"/>
        <v>0.38162045882057849</v>
      </c>
      <c r="J31" s="2">
        <f t="shared" si="14"/>
        <v>0.40244589594390234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5">(D2+M2)/50000</f>
        <v>790.05172483063291</v>
      </c>
      <c r="E32" s="1">
        <f t="shared" si="15"/>
        <v>653.62316856342181</v>
      </c>
      <c r="F32" s="1">
        <f t="shared" si="15"/>
        <v>600.56294995606584</v>
      </c>
      <c r="G32" s="1">
        <f t="shared" si="15"/>
        <v>648.99777169614549</v>
      </c>
      <c r="H32" s="1">
        <f t="shared" si="15"/>
        <v>656.41979992650045</v>
      </c>
      <c r="I32" s="1">
        <f t="shared" si="15"/>
        <v>589.73136364557888</v>
      </c>
      <c r="J32" s="1">
        <f t="shared" si="15"/>
        <v>471.21572055799857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6">(SUM(C2:C22)-SUM(D3:D22)+SUM(L2:L22)-SUM(M3:M22))/50000</f>
        <v>1059.8775662748026</v>
      </c>
      <c r="E33" s="1">
        <f t="shared" si="16"/>
        <v>1213.9167913546587</v>
      </c>
      <c r="F33" s="1">
        <f t="shared" si="16"/>
        <v>1381.2841961630631</v>
      </c>
      <c r="G33" s="1">
        <f t="shared" si="16"/>
        <v>1543.3658828124762</v>
      </c>
      <c r="H33" s="1">
        <f t="shared" si="16"/>
        <v>1687.1131630400778</v>
      </c>
      <c r="I33" s="1">
        <f t="shared" si="16"/>
        <v>1803.7549316232776</v>
      </c>
      <c r="J33" s="1">
        <f t="shared" si="16"/>
        <v>1886.9953931443274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7">SUM(C2:C4)/10000</f>
        <v>10779.562503635365</v>
      </c>
      <c r="D36" s="4">
        <f t="shared" si="17"/>
        <v>8476.175963932943</v>
      </c>
      <c r="E36" s="4">
        <f t="shared" si="17"/>
        <v>6385.086757807966</v>
      </c>
      <c r="F36" s="4">
        <f t="shared" si="17"/>
        <v>4975.0932005304221</v>
      </c>
      <c r="G36" s="4">
        <f t="shared" si="17"/>
        <v>4632.8577036649422</v>
      </c>
      <c r="H36" s="4">
        <f t="shared" si="17"/>
        <v>4639.9320407132309</v>
      </c>
      <c r="I36" s="4">
        <f t="shared" si="17"/>
        <v>4613.2468155933184</v>
      </c>
      <c r="J36" s="4">
        <f t="shared" si="17"/>
        <v>4180.3023877994547</v>
      </c>
      <c r="K36" s="4">
        <f t="shared" si="17"/>
        <v>13459.357900000001</v>
      </c>
      <c r="L36" s="4">
        <f t="shared" si="17"/>
        <v>11902.601379726633</v>
      </c>
      <c r="M36" s="4">
        <f t="shared" si="17"/>
        <v>9115.0077729422064</v>
      </c>
      <c r="N36" s="4">
        <f t="shared" si="17"/>
        <v>6700.914137292425</v>
      </c>
      <c r="O36" s="4">
        <f t="shared" si="17"/>
        <v>5221.4291428939987</v>
      </c>
      <c r="P36" s="4">
        <f t="shared" si="17"/>
        <v>4862.3940518770523</v>
      </c>
      <c r="Q36" s="4">
        <f t="shared" si="17"/>
        <v>4870.1756694520946</v>
      </c>
      <c r="R36" s="4">
        <f t="shared" si="17"/>
        <v>4842.2404166133556</v>
      </c>
      <c r="S36" s="4">
        <f t="shared" si="17"/>
        <v>4387.7225991159839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8">SUM(C5:C14)/10000</f>
        <v>46998.500650969996</v>
      </c>
      <c r="D37" s="4">
        <f t="shared" si="18"/>
        <v>45994.447726080354</v>
      </c>
      <c r="E37" s="4">
        <f t="shared" si="18"/>
        <v>43608.631680054888</v>
      </c>
      <c r="F37" s="4">
        <f t="shared" si="18"/>
        <v>40858.962339236619</v>
      </c>
      <c r="G37" s="4">
        <f t="shared" si="18"/>
        <v>38214.75908656657</v>
      </c>
      <c r="H37" s="4">
        <f t="shared" si="18"/>
        <v>34992.139172064439</v>
      </c>
      <c r="I37" s="4">
        <f t="shared" si="18"/>
        <v>30509.000280103384</v>
      </c>
      <c r="J37" s="4">
        <f t="shared" si="18"/>
        <v>27756.368369145781</v>
      </c>
      <c r="K37" s="4">
        <f t="shared" si="18"/>
        <v>49631.2454</v>
      </c>
      <c r="L37" s="4">
        <f t="shared" si="18"/>
        <v>49887.449286349998</v>
      </c>
      <c r="M37" s="4">
        <f t="shared" si="18"/>
        <v>49215.230739181352</v>
      </c>
      <c r="N37" s="4">
        <f t="shared" si="18"/>
        <v>47043.429184955574</v>
      </c>
      <c r="O37" s="4">
        <f t="shared" si="18"/>
        <v>44208.745371908823</v>
      </c>
      <c r="P37" s="4">
        <f t="shared" si="18"/>
        <v>41403.729636283402</v>
      </c>
      <c r="Q37" s="4">
        <f t="shared" si="18"/>
        <v>37986.955350762728</v>
      </c>
      <c r="R37" s="4">
        <f t="shared" si="18"/>
        <v>33328.268525989697</v>
      </c>
      <c r="S37" s="4">
        <f t="shared" si="18"/>
        <v>30270.025847903424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9">SUM(C15:C22)/10000</f>
        <v>12012.62054702</v>
      </c>
      <c r="D38" s="4">
        <f t="shared" si="19"/>
        <v>15013.983288335294</v>
      </c>
      <c r="E38" s="4">
        <f t="shared" si="19"/>
        <v>18492.085831842749</v>
      </c>
      <c r="F38" s="4">
        <f t="shared" si="19"/>
        <v>21105.614139496662</v>
      </c>
      <c r="G38" s="4">
        <f t="shared" si="19"/>
        <v>22230.920747333475</v>
      </c>
      <c r="H38" s="4">
        <f t="shared" si="19"/>
        <v>23196.398422767885</v>
      </c>
      <c r="I38" s="4">
        <f t="shared" si="19"/>
        <v>24945.361201947846</v>
      </c>
      <c r="J38" s="4">
        <f t="shared" si="19"/>
        <v>24785.562012986433</v>
      </c>
      <c r="K38" s="4">
        <f t="shared" si="19"/>
        <v>9051.0360999999994</v>
      </c>
      <c r="L38" s="4">
        <f t="shared" si="19"/>
        <v>10692.796235039999</v>
      </c>
      <c r="M38" s="4">
        <f t="shared" si="19"/>
        <v>13109.55590504901</v>
      </c>
      <c r="N38" s="4">
        <f t="shared" si="19"/>
        <v>15892.785689611334</v>
      </c>
      <c r="O38" s="4">
        <f t="shared" si="19"/>
        <v>17849.482856463415</v>
      </c>
      <c r="P38" s="4">
        <f t="shared" si="19"/>
        <v>18402.825269222845</v>
      </c>
      <c r="Q38" s="4">
        <f t="shared" si="19"/>
        <v>18908.419023620012</v>
      </c>
      <c r="R38" s="4">
        <f t="shared" si="19"/>
        <v>20285.784599244256</v>
      </c>
      <c r="S38" s="4">
        <f t="shared" si="19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20">(C36+L36)/(C37+L37)*100</f>
        <v>23.411200383581047</v>
      </c>
      <c r="D39">
        <f t="shared" si="20"/>
        <v>18.476255797138823</v>
      </c>
      <c r="E39">
        <f t="shared" si="20"/>
        <v>14.43541467257616</v>
      </c>
      <c r="F39">
        <f t="shared" si="20"/>
        <v>11.986360768116112</v>
      </c>
      <c r="G39">
        <f t="shared" si="20"/>
        <v>11.925938193319313</v>
      </c>
      <c r="H39">
        <f t="shared" si="20"/>
        <v>13.031276658537678</v>
      </c>
      <c r="I39">
        <f t="shared" si="20"/>
        <v>14.81186054642766</v>
      </c>
      <c r="J39">
        <f t="shared" si="20"/>
        <v>14.765737389896266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1">(C38+L38)/(C37+L37)*100</f>
        <v>23.435200662995186</v>
      </c>
      <c r="D40">
        <f t="shared" si="21"/>
        <v>29.538529744794261</v>
      </c>
      <c r="E40">
        <f t="shared" si="21"/>
        <v>37.930601018168169</v>
      </c>
      <c r="F40">
        <f t="shared" si="21"/>
        <v>45.793048906684291</v>
      </c>
      <c r="G40">
        <f t="shared" si="21"/>
        <v>51.035565568195359</v>
      </c>
      <c r="H40">
        <f t="shared" si="21"/>
        <v>57.694354419837204</v>
      </c>
      <c r="I40">
        <f t="shared" si="21"/>
        <v>70.853823553420767</v>
      </c>
      <c r="J40">
        <f t="shared" si="21"/>
        <v>77.293419447761721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2">C27</f>
        <v>14.227353060274199</v>
      </c>
      <c r="P57" s="5">
        <f t="shared" si="22"/>
        <v>14.092440139552112</v>
      </c>
      <c r="Q57" s="5">
        <f t="shared" si="22"/>
        <v>13.812293328156493</v>
      </c>
      <c r="R57" s="5">
        <f t="shared" si="22"/>
        <v>13.421932705052992</v>
      </c>
      <c r="S57" s="5">
        <f t="shared" si="22"/>
        <v>12.974748649494828</v>
      </c>
      <c r="T57" s="5">
        <f t="shared" si="22"/>
        <v>12.459401967938039</v>
      </c>
      <c r="U57" s="5">
        <f t="shared" si="22"/>
        <v>11.852390183949188</v>
      </c>
      <c r="V57" s="5">
        <f t="shared" si="22"/>
        <v>11.144500347656024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3">C26</f>
        <v>7.2482846901116638</v>
      </c>
      <c r="P62" s="5">
        <f t="shared" si="23"/>
        <v>7.1439794417172555</v>
      </c>
      <c r="Q62" s="5">
        <f t="shared" si="23"/>
        <v>6.9637129011859331</v>
      </c>
      <c r="R62" s="5">
        <f t="shared" si="23"/>
        <v>6.727965737126623</v>
      </c>
      <c r="S62" s="5">
        <f t="shared" si="23"/>
        <v>6.4668948957383297</v>
      </c>
      <c r="T62" s="5">
        <f t="shared" si="23"/>
        <v>6.1765550043834834</v>
      </c>
      <c r="U62" s="5">
        <f t="shared" si="23"/>
        <v>5.8456293541847311</v>
      </c>
      <c r="V62" s="5">
        <f t="shared" si="23"/>
        <v>5.472277070662857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4">C25</f>
        <v>6.9790683701625351</v>
      </c>
      <c r="P67" s="5">
        <f t="shared" si="24"/>
        <v>6.9484606978348564</v>
      </c>
      <c r="Q67" s="5">
        <f t="shared" si="24"/>
        <v>6.8485804269705604</v>
      </c>
      <c r="R67" s="5">
        <f t="shared" si="24"/>
        <v>6.6939669679263698</v>
      </c>
      <c r="S67" s="5">
        <f t="shared" si="24"/>
        <v>6.507853753756498</v>
      </c>
      <c r="T67" s="5">
        <f t="shared" si="24"/>
        <v>6.2828469635545563</v>
      </c>
      <c r="U67" s="5">
        <f t="shared" si="24"/>
        <v>6.006760829764457</v>
      </c>
      <c r="V67" s="5">
        <f t="shared" si="24"/>
        <v>5.672223276993166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5">C32</f>
        <v>1180.4343156804002</v>
      </c>
      <c r="P72" s="5">
        <f t="shared" si="25"/>
        <v>790.05172483063291</v>
      </c>
      <c r="Q72" s="5">
        <f t="shared" si="25"/>
        <v>653.62316856342181</v>
      </c>
      <c r="R72" s="5">
        <f t="shared" si="25"/>
        <v>600.56294995606584</v>
      </c>
      <c r="S72" s="5">
        <f t="shared" si="25"/>
        <v>648.99777169614549</v>
      </c>
      <c r="T72" s="5">
        <f t="shared" si="25"/>
        <v>656.41979992650045</v>
      </c>
      <c r="U72" s="5">
        <f t="shared" si="25"/>
        <v>589.73136364557888</v>
      </c>
      <c r="V72" s="5">
        <f t="shared" si="25"/>
        <v>471.21572055799857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6">C33</f>
        <v>921.30267513200045</v>
      </c>
      <c r="P77" s="5">
        <f t="shared" si="26"/>
        <v>1059.8775662748026</v>
      </c>
      <c r="Q77" s="5">
        <f t="shared" si="26"/>
        <v>1213.9167913546587</v>
      </c>
      <c r="R77" s="5">
        <f t="shared" si="26"/>
        <v>1381.2841961630631</v>
      </c>
      <c r="S77" s="5">
        <f t="shared" si="26"/>
        <v>1543.3658828124762</v>
      </c>
      <c r="T77" s="5">
        <f t="shared" si="26"/>
        <v>1687.1131630400778</v>
      </c>
      <c r="U77" s="5">
        <f t="shared" si="26"/>
        <v>1803.7549316232776</v>
      </c>
      <c r="V77" s="5">
        <f t="shared" si="26"/>
        <v>1886.9953931443274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7">B36+K36</f>
        <v>25338.393800000002</v>
      </c>
      <c r="O89" s="4">
        <f t="shared" si="27"/>
        <v>22682.163883361998</v>
      </c>
      <c r="P89" s="4">
        <f t="shared" si="27"/>
        <v>17591.183736875151</v>
      </c>
      <c r="Q89" s="4">
        <f t="shared" si="27"/>
        <v>13086.000895100391</v>
      </c>
      <c r="R89" s="4">
        <f t="shared" si="27"/>
        <v>10196.522343424422</v>
      </c>
      <c r="S89" s="4">
        <f t="shared" si="27"/>
        <v>9495.2517555419945</v>
      </c>
      <c r="T89" s="4">
        <f t="shared" si="27"/>
        <v>9510.1077101653245</v>
      </c>
      <c r="U89" s="4">
        <f t="shared" si="27"/>
        <v>9455.4872322066731</v>
      </c>
      <c r="V89" s="4">
        <f t="shared" si="27"/>
        <v>8568.0249869154395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7"/>
        <v>96575.950599999996</v>
      </c>
      <c r="O90" s="4">
        <f t="shared" si="27"/>
        <v>96885.949937319994</v>
      </c>
      <c r="P90" s="4">
        <f t="shared" si="27"/>
        <v>95209.678465261706</v>
      </c>
      <c r="Q90" s="4">
        <f t="shared" si="27"/>
        <v>90652.060865010455</v>
      </c>
      <c r="R90" s="4">
        <f t="shared" si="27"/>
        <v>85067.707711145442</v>
      </c>
      <c r="S90" s="4">
        <f t="shared" si="27"/>
        <v>79618.488722849972</v>
      </c>
      <c r="T90" s="4">
        <f t="shared" si="27"/>
        <v>72979.094522827159</v>
      </c>
      <c r="U90" s="4">
        <f t="shared" si="27"/>
        <v>63837.268806093081</v>
      </c>
      <c r="V90" s="4">
        <f t="shared" si="27"/>
        <v>58026.394217049208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7"/>
        <v>19063.527999999998</v>
      </c>
      <c r="O91" s="4">
        <f t="shared" si="27"/>
        <v>22705.416782059998</v>
      </c>
      <c r="P91" s="4">
        <f t="shared" si="27"/>
        <v>28123.539193384306</v>
      </c>
      <c r="Q91" s="4">
        <f t="shared" si="27"/>
        <v>34384.871521454086</v>
      </c>
      <c r="R91" s="4">
        <f t="shared" si="27"/>
        <v>38955.096995960077</v>
      </c>
      <c r="S91" s="4">
        <f t="shared" si="27"/>
        <v>40633.746016556324</v>
      </c>
      <c r="T91" s="4">
        <f t="shared" si="27"/>
        <v>42104.817446387897</v>
      </c>
      <c r="U91" s="4">
        <f t="shared" si="27"/>
        <v>45231.145801192106</v>
      </c>
      <c r="V91" s="4">
        <f t="shared" si="27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31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D74F-906C-4CA1-9C91-74295BC4AF02}">
  <dimension ref="A1:AE91"/>
  <sheetViews>
    <sheetView workbookViewId="0">
      <selection activeCell="J26" sqref="J26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Medium_2060[[#This Row],[2025女]]</f>
        <v>28791080.87025366</v>
      </c>
      <c r="D2" s="6">
        <f>Medium_2060[[#This Row],[2030女]]</f>
        <v>24265336.046333991</v>
      </c>
      <c r="E2" s="6">
        <f>Medium_2060[[#This Row],[2035女]]</f>
        <v>23277788.392194625</v>
      </c>
      <c r="F2" s="6">
        <f>Medium_2060[[#This Row],[2040女]]</f>
        <v>23723586.369104799</v>
      </c>
      <c r="G2" s="6">
        <f>Medium_2060[[#This Row],[2045女]]</f>
        <v>25210372.246870365</v>
      </c>
      <c r="H2" s="6">
        <f>Medium_2060[[#This Row],[2050女]]</f>
        <v>25263955.0396505</v>
      </c>
      <c r="I2" s="6">
        <f>Medium_2060[[#This Row],[2055女]]</f>
        <v>22830053.973520234</v>
      </c>
      <c r="J2" s="6">
        <f>Medium_2060[[#This Row],[2060女]]</f>
        <v>19518675.574301358</v>
      </c>
      <c r="K2" s="8">
        <v>40969331</v>
      </c>
      <c r="L2" s="6">
        <f>Medium_2060[[#This Row],[2025男]]</f>
        <v>30230634.913766347</v>
      </c>
      <c r="M2" s="6">
        <f>Medium_2060[[#This Row],[2030男]]</f>
        <v>25478602.848650694</v>
      </c>
      <c r="N2" s="6">
        <f>Medium_2060[[#This Row],[2035男]]</f>
        <v>24441677.811804358</v>
      </c>
      <c r="O2" s="6">
        <f>Medium_2060[[#This Row],[2040男]]</f>
        <v>24909765.687560041</v>
      </c>
      <c r="P2" s="6">
        <f>Medium_2060[[#This Row],[2045男]]</f>
        <v>26470890.859213885</v>
      </c>
      <c r="Q2" s="6">
        <f>Medium_2060[[#This Row],[2050男]]</f>
        <v>26527152.791633025</v>
      </c>
      <c r="R2" s="6">
        <f>Medium_2060[[#This Row],[2055男]]</f>
        <v>23971556.672196247</v>
      </c>
      <c r="S2" s="6">
        <f>Medium_2060[[#This Row],[2060男]]</f>
        <v>20494609.353016425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3.5043643326756829E-2</v>
      </c>
      <c r="Y2" s="9">
        <f>(SUM(E$2:E2)+SUM(N$2:N2))/(SUM(E$2:E$22)+SUM(N$2:N$22))</f>
        <v>3.3928349084217282E-2</v>
      </c>
      <c r="Z2" s="9">
        <f>(SUM(F$2:F2)+SUM(O$2:O2))/(SUM(F$2:F$22)+SUM(O$2:O$22))</f>
        <v>3.5089139352513954E-2</v>
      </c>
      <c r="AA2" s="9">
        <f>(SUM(G$2:G2)+SUM(P$2:P2))/(SUM(G$2:G$22)+SUM(P$2:P$22))</f>
        <v>3.7988744090235602E-2</v>
      </c>
      <c r="AB2" s="9">
        <f>(SUM(H$2:H2)+SUM(Q$2:Q2))/(SUM(H$2:H$22)+SUM(Q$2:Q$22))</f>
        <v>3.9005690100766092E-2</v>
      </c>
      <c r="AC2" s="9">
        <f>(SUM(I$2:I2)+SUM(R$2:R2))/(SUM(I$2:I$22)+SUM(R$2:R$22))</f>
        <v>3.6441716790737926E-2</v>
      </c>
      <c r="AD2" s="9">
        <f>(SUM(J$2:J2)+SUM(S$2:S2))/(SUM(J$2:J$22)+SUM(S$2:S$22))</f>
        <v>3.253599953278602E-2</v>
      </c>
    </row>
    <row r="3" spans="1:30" x14ac:dyDescent="0.2">
      <c r="A3" s="6" t="s">
        <v>18</v>
      </c>
      <c r="B3" s="7">
        <v>42226598</v>
      </c>
      <c r="C3" s="6">
        <f>Medium_2060[[#This Row],[2025女]]</f>
        <v>36807504.784699999</v>
      </c>
      <c r="D3" s="6">
        <f>Medium_2060[[#This Row],[2030女]]</f>
        <v>28710465.843816947</v>
      </c>
      <c r="E3" s="6">
        <f>Medium_2060[[#This Row],[2035女]]</f>
        <v>24197393.105404254</v>
      </c>
      <c r="F3" s="6">
        <f>Medium_2060[[#This Row],[2040女]]</f>
        <v>23214938.363535699</v>
      </c>
      <c r="G3" s="6">
        <f>Medium_2060[[#This Row],[2045女]]</f>
        <v>23659532.685908213</v>
      </c>
      <c r="H3" s="6">
        <f>Medium_2060[[#This Row],[2050女]]</f>
        <v>25144825.279028501</v>
      </c>
      <c r="I3" s="6">
        <f>Medium_2060[[#This Row],[2055女]]</f>
        <v>25198268.756547406</v>
      </c>
      <c r="J3" s="6">
        <f>Medium_2060[[#This Row],[2060女]]</f>
        <v>22772978.838586435</v>
      </c>
      <c r="K3" s="8">
        <v>48017458</v>
      </c>
      <c r="L3" s="6">
        <f>Medium_2060[[#This Row],[2025男]]</f>
        <v>40825938.341499999</v>
      </c>
      <c r="M3" s="6">
        <f>Medium_2060[[#This Row],[2030男]]</f>
        <v>30127850.755059544</v>
      </c>
      <c r="N3" s="6">
        <f>Medium_2060[[#This Row],[2035男]]</f>
        <v>25394523.459250148</v>
      </c>
      <c r="O3" s="6">
        <f>Medium_2060[[#This Row],[2040男]]</f>
        <v>24361020.275025405</v>
      </c>
      <c r="P3" s="6">
        <f>Medium_2060[[#This Row],[2045男]]</f>
        <v>24830054.437359847</v>
      </c>
      <c r="Q3" s="6">
        <f>Medium_2060[[#This Row],[2050男]]</f>
        <v>26388831.097550321</v>
      </c>
      <c r="R3" s="6">
        <f>Medium_2060[[#This Row],[2055男]]</f>
        <v>26447571.333258126</v>
      </c>
      <c r="S3" s="6">
        <f>Medium_2060[[#This Row],[2060男]]</f>
        <v>23899642.002179656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7.6494099937978469E-2</v>
      </c>
      <c r="Y3" s="9">
        <f>(SUM(E$2:E3)+SUM(N$2:N3))/(SUM(E$2:E$22)+SUM(N$2:N$22))</f>
        <v>6.9188002865088152E-2</v>
      </c>
      <c r="Z3" s="9">
        <f>(SUM(F$2:F3)+SUM(O$2:O3))/(SUM(F$2:F$22)+SUM(O$2:O$22))</f>
        <v>6.9415365530648282E-2</v>
      </c>
      <c r="AA3" s="9">
        <f>(SUM(G$2:G3)+SUM(P$2:P3))/(SUM(G$2:G$22)+SUM(P$2:P$22))</f>
        <v>7.3631420092288555E-2</v>
      </c>
      <c r="AB3" s="9">
        <f>(SUM(H$2:H3)+SUM(Q$2:Q3))/(SUM(H$2:H$22)+SUM(Q$2:Q$22))</f>
        <v>7.7817484529500672E-2</v>
      </c>
      <c r="AC3" s="9">
        <f>(SUM(I$2:I3)+SUM(R$2:R3))/(SUM(I$2:I$22)+SUM(R$2:R$22))</f>
        <v>7.6655355851569865E-2</v>
      </c>
      <c r="AD3" s="9">
        <f>(SUM(J$2:J3)+SUM(S$2:S3))/(SUM(J$2:J$22)+SUM(S$2:S$22))</f>
        <v>7.0486904404191114E-2</v>
      </c>
    </row>
    <row r="4" spans="1:30" x14ac:dyDescent="0.2">
      <c r="A4" s="6" t="s">
        <v>19</v>
      </c>
      <c r="B4" s="7">
        <v>39649204</v>
      </c>
      <c r="C4" s="6">
        <f>Medium_2060[[#This Row],[2025女]]</f>
        <v>42197039.381399997</v>
      </c>
      <c r="D4" s="6">
        <f>Medium_2060[[#This Row],[2030女]]</f>
        <v>36781739.531350709</v>
      </c>
      <c r="E4" s="6">
        <f>Medium_2060[[#This Row],[2035女]]</f>
        <v>28693239.564310655</v>
      </c>
      <c r="F4" s="6">
        <f>Medium_2060[[#This Row],[2040女]]</f>
        <v>24182874.669541009</v>
      </c>
      <c r="G4" s="6">
        <f>Medium_2060[[#This Row],[2045女]]</f>
        <v>23203330.894353934</v>
      </c>
      <c r="H4" s="6">
        <f>Medium_2060[[#This Row],[2050女]]</f>
        <v>23647702.91956526</v>
      </c>
      <c r="I4" s="6">
        <f>Medium_2060[[#This Row],[2055女]]</f>
        <v>25132252.866388988</v>
      </c>
      <c r="J4" s="6">
        <f>Medium_2060[[#This Row],[2060女]]</f>
        <v>25188189.44904479</v>
      </c>
      <c r="K4" s="8">
        <v>45606790</v>
      </c>
      <c r="L4" s="6">
        <f>Medium_2060[[#This Row],[2025男]]</f>
        <v>47969440.542000003</v>
      </c>
      <c r="M4" s="6">
        <f>Medium_2060[[#This Row],[2030男]]</f>
        <v>40789194.996992648</v>
      </c>
      <c r="N4" s="6">
        <f>Medium_2060[[#This Row],[2035男]]</f>
        <v>30103748.474455494</v>
      </c>
      <c r="O4" s="6">
        <f>Medium_2060[[#This Row],[2040男]]</f>
        <v>25374207.840482749</v>
      </c>
      <c r="P4" s="6">
        <f>Medium_2060[[#This Row],[2045男]]</f>
        <v>24343967.560832888</v>
      </c>
      <c r="Q4" s="6">
        <f>Medium_2060[[#This Row],[2050男]]</f>
        <v>24815156.404697429</v>
      </c>
      <c r="R4" s="6">
        <f>Medium_2060[[#This Row],[2055男]]</f>
        <v>26372997.79889179</v>
      </c>
      <c r="S4" s="6">
        <f>Medium_2060[[#This Row],[2060男]]</f>
        <v>26434347.5475915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0.13114132375097939</v>
      </c>
      <c r="Y4" s="9">
        <f>(SUM(E$2:E4)+SUM(N$2:N4))/(SUM(E$2:E$22)+SUM(N$2:N$22))</f>
        <v>0.11099242554558809</v>
      </c>
      <c r="Z4" s="9">
        <f>(SUM(F$2:F4)+SUM(O$2:O4))/(SUM(F$2:F$22)+SUM(O$2:O$22))</f>
        <v>0.10517097974519325</v>
      </c>
      <c r="AA4" s="9">
        <f>(SUM(G$2:G4)+SUM(P$2:P4))/(SUM(G$2:G$22)+SUM(P$2:P$22))</f>
        <v>0.10858145893883335</v>
      </c>
      <c r="AB4" s="9">
        <f>(SUM(H$2:H4)+SUM(Q$2:Q4))/(SUM(H$2:H$22)+SUM(Q$2:Q$22))</f>
        <v>0.11431655456980967</v>
      </c>
      <c r="AC4" s="9">
        <f>(SUM(I$2:I4)+SUM(R$2:R4))/(SUM(I$2:I$22)+SUM(R$2:R$22))</f>
        <v>0.11675952603042064</v>
      </c>
      <c r="AD4" s="9">
        <f>(SUM(J$2:J4)+SUM(S$2:S4))/(SUM(J$2:J$22)+SUM(S$2:S$22))</f>
        <v>0.11246273424807132</v>
      </c>
    </row>
    <row r="5" spans="1:30" x14ac:dyDescent="0.2">
      <c r="A5" s="6" t="s">
        <v>20</v>
      </c>
      <c r="B5" s="7">
        <v>33630797</v>
      </c>
      <c r="C5" s="6">
        <f>Medium_2060[[#This Row],[2025女]]</f>
        <v>39609554.795999996</v>
      </c>
      <c r="D5" s="6">
        <f>Medium_2060[[#This Row],[2030女]]</f>
        <v>42159062.045956738</v>
      </c>
      <c r="E5" s="6">
        <f>Medium_2060[[#This Row],[2035女]]</f>
        <v>36752314.139725626</v>
      </c>
      <c r="F5" s="6">
        <f>Medium_2060[[#This Row],[2040女]]</f>
        <v>28673154.296615638</v>
      </c>
      <c r="G5" s="6">
        <f>Medium_2060[[#This Row],[2045女]]</f>
        <v>24168364.944739282</v>
      </c>
      <c r="H5" s="6">
        <f>Medium_2060[[#This Row],[2050女]]</f>
        <v>23189408.895817321</v>
      </c>
      <c r="I5" s="6">
        <f>Medium_2060[[#This Row],[2055女]]</f>
        <v>23635879.068105478</v>
      </c>
      <c r="J5" s="6">
        <f>Medium_2060[[#This Row],[2060女]]</f>
        <v>25122199.965242434</v>
      </c>
      <c r="K5" s="8">
        <v>39053343</v>
      </c>
      <c r="L5" s="6">
        <f>Medium_2060[[#This Row],[2025男]]</f>
        <v>45547501.173</v>
      </c>
      <c r="M5" s="6">
        <f>Medium_2060[[#This Row],[2030男]]</f>
        <v>47911877.213349603</v>
      </c>
      <c r="N5" s="6">
        <f>Medium_2060[[#This Row],[2035男]]</f>
        <v>40748405.801995657</v>
      </c>
      <c r="O5" s="6">
        <f>Medium_2060[[#This Row],[2040男]]</f>
        <v>30076655.100828484</v>
      </c>
      <c r="P5" s="6">
        <f>Medium_2060[[#This Row],[2045男]]</f>
        <v>25353908.474210363</v>
      </c>
      <c r="Q5" s="6">
        <f>Medium_2060[[#This Row],[2050男]]</f>
        <v>24326926.783540305</v>
      </c>
      <c r="R5" s="6">
        <f>Medium_2060[[#This Row],[2055男]]</f>
        <v>24800267.31085461</v>
      </c>
      <c r="S5" s="6">
        <f>Medium_2060[[#This Row],[2060男]]</f>
        <v>26357174.000212453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0.19459455925315125</v>
      </c>
      <c r="Y5" s="9">
        <f>(SUM(E$2:E5)+SUM(N$2:N5))/(SUM(E$2:E$22)+SUM(N$2:N$22))</f>
        <v>0.16609512659467326</v>
      </c>
      <c r="Z5" s="9">
        <f>(SUM(F$2:F5)+SUM(O$2:O5))/(SUM(F$2:F$22)+SUM(O$2:O$22))</f>
        <v>0.14755917964715826</v>
      </c>
      <c r="AA5" s="9">
        <f>(SUM(G$2:G5)+SUM(P$2:P5))/(SUM(G$2:G$22)+SUM(P$2:P$22))</f>
        <v>0.14498321962756694</v>
      </c>
      <c r="AB5" s="9">
        <f>(SUM(H$2:H5)+SUM(Q$2:Q5))/(SUM(H$2:H$22)+SUM(Q$2:Q$22))</f>
        <v>0.15010276463256256</v>
      </c>
      <c r="AC5" s="9">
        <f>(SUM(I$2:I5)+SUM(R$2:R5))/(SUM(I$2:I$22)+SUM(R$2:R$22))</f>
        <v>0.15447396158988019</v>
      </c>
      <c r="AD5" s="9">
        <f>(SUM(J$2:J5)+SUM(S$2:S5))/(SUM(J$2:J$22)+SUM(S$2:S$22))</f>
        <v>0.15432215394656876</v>
      </c>
    </row>
    <row r="6" spans="1:30" x14ac:dyDescent="0.2">
      <c r="A6" s="6" t="s">
        <v>21</v>
      </c>
      <c r="B6" s="7">
        <v>35265680</v>
      </c>
      <c r="C6" s="6">
        <f>Medium_2060[[#This Row],[2025女]]</f>
        <v>33590440.0436</v>
      </c>
      <c r="D6" s="6">
        <f>Medium_2060[[#This Row],[2030女]]</f>
        <v>39565984.285724394</v>
      </c>
      <c r="E6" s="6">
        <f>Medium_2060[[#This Row],[2035女]]</f>
        <v>42116902.983910784</v>
      </c>
      <c r="F6" s="6">
        <f>Medium_2060[[#This Row],[2040女]]</f>
        <v>36715561.825585902</v>
      </c>
      <c r="G6" s="6">
        <f>Medium_2060[[#This Row],[2045女]]</f>
        <v>28647348.457748685</v>
      </c>
      <c r="H6" s="6">
        <f>Medium_2060[[#This Row],[2050女]]</f>
        <v>24146613.416289017</v>
      </c>
      <c r="I6" s="6">
        <f>Medium_2060[[#This Row],[2055女]]</f>
        <v>23170857.368700668</v>
      </c>
      <c r="J6" s="6">
        <f>Medium_2060[[#This Row],[2060女]]</f>
        <v>23619333.952757802</v>
      </c>
      <c r="K6" s="8">
        <v>39675995</v>
      </c>
      <c r="L6" s="6">
        <f>Medium_2060[[#This Row],[2025男]]</f>
        <v>38963520.311099999</v>
      </c>
      <c r="M6" s="6">
        <f>Medium_2060[[#This Row],[2030男]]</f>
        <v>45447296.670419402</v>
      </c>
      <c r="N6" s="6">
        <f>Medium_2060[[#This Row],[2035男]]</f>
        <v>47816053.4589229</v>
      </c>
      <c r="O6" s="6">
        <f>Medium_2060[[#This Row],[2040男]]</f>
        <v>40670983.830971867</v>
      </c>
      <c r="P6" s="6">
        <f>Medium_2060[[#This Row],[2045男]]</f>
        <v>30022517.121646993</v>
      </c>
      <c r="Q6" s="6">
        <f>Medium_2060[[#This Row],[2050男]]</f>
        <v>25310806.829804204</v>
      </c>
      <c r="R6" s="6">
        <f>Medium_2060[[#This Row],[2055男]]</f>
        <v>24288003.700686637</v>
      </c>
      <c r="S6" s="6">
        <f>Medium_2060[[#This Row],[2060男]]</f>
        <v>24763066.909888331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0.25448477225284682</v>
      </c>
      <c r="Y6" s="9">
        <f>(SUM(E$2:E6)+SUM(N$2:N6))/(SUM(E$2:E$22)+SUM(N$2:N$22))</f>
        <v>0.23003709793450491</v>
      </c>
      <c r="Z6" s="9">
        <f>(SUM(F$2:F6)+SUM(O$2:O6))/(SUM(F$2:F$22)+SUM(O$2:O$22))</f>
        <v>0.20339385214492844</v>
      </c>
      <c r="AA6" s="9">
        <f>(SUM(G$2:G6)+SUM(P$2:P6))/(SUM(G$2:G$22)+SUM(P$2:P$22))</f>
        <v>0.18810899433491529</v>
      </c>
      <c r="AB6" s="9">
        <f>(SUM(H$2:H6)+SUM(Q$2:Q6))/(SUM(H$2:H$22)+SUM(Q$2:Q$22))</f>
        <v>0.18735087319951649</v>
      </c>
      <c r="AC6" s="9">
        <f>(SUM(I$2:I6)+SUM(R$2:R6))/(SUM(I$2:I$22)+SUM(R$2:R$22))</f>
        <v>0.19142744140478651</v>
      </c>
      <c r="AD6" s="9">
        <f>(SUM(J$2:J6)+SUM(S$2:S6))/(SUM(J$2:J$22)+SUM(S$2:S$22))</f>
        <v>0.19366333212580411</v>
      </c>
    </row>
    <row r="7" spans="1:30" x14ac:dyDescent="0.2">
      <c r="A7" s="6" t="s">
        <v>22</v>
      </c>
      <c r="B7" s="7">
        <v>43685062</v>
      </c>
      <c r="C7" s="6">
        <f>Medium_2060[[#This Row],[2025女]]</f>
        <v>35219834.616000004</v>
      </c>
      <c r="D7" s="6">
        <f>Medium_2060[[#This Row],[2030女]]</f>
        <v>33546772.471543323</v>
      </c>
      <c r="E7" s="6">
        <f>Medium_2060[[#This Row],[2035女]]</f>
        <v>39518505.104581527</v>
      </c>
      <c r="F7" s="6">
        <f>Medium_2060[[#This Row],[2040女]]</f>
        <v>42066362.700330094</v>
      </c>
      <c r="G7" s="6">
        <f>Medium_2060[[#This Row],[2045女]]</f>
        <v>36675174.707577758</v>
      </c>
      <c r="H7" s="6">
        <f>Medium_2060[[#This Row],[2050女]]</f>
        <v>28615836.374445163</v>
      </c>
      <c r="I7" s="6">
        <f>Medium_2060[[#This Row],[2055女]]</f>
        <v>24120052.141531099</v>
      </c>
      <c r="J7" s="6">
        <f>Medium_2060[[#This Row],[2060女]]</f>
        <v>23147686.511331968</v>
      </c>
      <c r="K7" s="8">
        <v>48162270</v>
      </c>
      <c r="L7" s="6">
        <f>Medium_2060[[#This Row],[2025男]]</f>
        <v>39568869.813500002</v>
      </c>
      <c r="M7" s="6">
        <f>Medium_2060[[#This Row],[2030男]]</f>
        <v>38858318.806260027</v>
      </c>
      <c r="N7" s="6">
        <f>Medium_2060[[#This Row],[2035男]]</f>
        <v>45329133.69907631</v>
      </c>
      <c r="O7" s="6">
        <f>Medium_2060[[#This Row],[2040男]]</f>
        <v>47691731.719929695</v>
      </c>
      <c r="P7" s="6">
        <f>Medium_2060[[#This Row],[2045男]]</f>
        <v>40565239.273011342</v>
      </c>
      <c r="Q7" s="6">
        <f>Medium_2060[[#This Row],[2050男]]</f>
        <v>29944458.577130709</v>
      </c>
      <c r="R7" s="6">
        <f>Medium_2060[[#This Row],[2055男]]</f>
        <v>25247529.812729694</v>
      </c>
      <c r="S7" s="6">
        <f>Medium_2060[[#This Row],[2060男]]</f>
        <v>24227283.691434924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0.30549275935932085</v>
      </c>
      <c r="Y7" s="9">
        <f>(SUM(E$2:E7)+SUM(N$2:N7))/(SUM(E$2:E$22)+SUM(N$2:N$22))</f>
        <v>0.29036342882839156</v>
      </c>
      <c r="Z7" s="9">
        <f>(SUM(F$2:F7)+SUM(O$2:O7))/(SUM(F$2:F$22)+SUM(O$2:O$22))</f>
        <v>0.26815464180752341</v>
      </c>
      <c r="AA7" s="9">
        <f>(SUM(G$2:G7)+SUM(P$2:P7))/(SUM(G$2:G$22)+SUM(P$2:P$22))</f>
        <v>0.24488520574657133</v>
      </c>
      <c r="AB7" s="9">
        <f>(SUM(H$2:H7)+SUM(Q$2:Q7))/(SUM(H$2:H$22)+SUM(Q$2:Q$22))</f>
        <v>0.2314546742715396</v>
      </c>
      <c r="AC7" s="9">
        <f>(SUM(I$2:I7)+SUM(R$2:R7))/(SUM(I$2:I$22)+SUM(R$2:R$22))</f>
        <v>0.22986713216327914</v>
      </c>
      <c r="AD7" s="9">
        <f>(SUM(J$2:J7)+SUM(S$2:S7))/(SUM(J$2:J$22)+SUM(S$2:S$22))</f>
        <v>0.23218533828407978</v>
      </c>
    </row>
    <row r="8" spans="1:30" x14ac:dyDescent="0.2">
      <c r="A8" s="6" t="s">
        <v>23</v>
      </c>
      <c r="B8" s="7">
        <v>60273382</v>
      </c>
      <c r="C8" s="6">
        <f>Medium_2060[[#This Row],[2025女]]</f>
        <v>43623902.913199998</v>
      </c>
      <c r="D8" s="6">
        <f>Medium_2060[[#This Row],[2030女]]</f>
        <v>35170526.847537607</v>
      </c>
      <c r="E8" s="6">
        <f>Medium_2060[[#This Row],[2035女]]</f>
        <v>33499806.990083165</v>
      </c>
      <c r="F8" s="6">
        <f>Medium_2060[[#This Row],[2040女]]</f>
        <v>39463179.197435118</v>
      </c>
      <c r="G8" s="6">
        <f>Medium_2060[[#This Row],[2045女]]</f>
        <v>42011676.428819664</v>
      </c>
      <c r="H8" s="6">
        <f>Medium_2060[[#This Row],[2050女]]</f>
        <v>36627496.980457909</v>
      </c>
      <c r="I8" s="6">
        <f>Medium_2060[[#This Row],[2055女]]</f>
        <v>28578635.787158385</v>
      </c>
      <c r="J8" s="6">
        <f>Medium_2060[[#This Row],[2060女]]</f>
        <v>24088696.07374711</v>
      </c>
      <c r="K8" s="8">
        <v>63871808</v>
      </c>
      <c r="L8" s="6">
        <f>Medium_2060[[#This Row],[2025男]]</f>
        <v>48003334.509000003</v>
      </c>
      <c r="M8" s="6">
        <f>Medium_2060[[#This Row],[2030男]]</f>
        <v>39442249.430096805</v>
      </c>
      <c r="N8" s="6">
        <f>Medium_2060[[#This Row],[2035男]]</f>
        <v>38733972.186079994</v>
      </c>
      <c r="O8" s="6">
        <f>Medium_2060[[#This Row],[2040男]]</f>
        <v>45188613.38460917</v>
      </c>
      <c r="P8" s="6">
        <f>Medium_2060[[#This Row],[2045男]]</f>
        <v>47548656.524769902</v>
      </c>
      <c r="Q8" s="6">
        <f>Medium_2060[[#This Row],[2050男]]</f>
        <v>40443543.555192307</v>
      </c>
      <c r="R8" s="6">
        <f>Medium_2060[[#This Row],[2055男]]</f>
        <v>29857619.64725703</v>
      </c>
      <c r="S8" s="6">
        <f>Medium_2060[[#This Row],[2060男]]</f>
        <v>25174311.976272777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0.35805601787032193</v>
      </c>
      <c r="Y8" s="9">
        <f>(SUM(E$2:E8)+SUM(N$2:N8))/(SUM(E$2:E$22)+SUM(N$2:N$22))</f>
        <v>0.34172135611710353</v>
      </c>
      <c r="Z8" s="9">
        <f>(SUM(F$2:F8)+SUM(O$2:O8))/(SUM(F$2:F$22)+SUM(O$2:O$22))</f>
        <v>0.32923121623098828</v>
      </c>
      <c r="AA8" s="9">
        <f>(SUM(G$2:G8)+SUM(P$2:P8))/(SUM(G$2:G$22)+SUM(P$2:P$22))</f>
        <v>0.31071727649581871</v>
      </c>
      <c r="AB8" s="9">
        <f>(SUM(H$2:H8)+SUM(Q$2:Q8))/(SUM(H$2:H$22)+SUM(Q$2:Q$22))</f>
        <v>0.2894995636118155</v>
      </c>
      <c r="AC8" s="9">
        <f>(SUM(I$2:I8)+SUM(R$2:R8))/(SUM(I$2:I$22)+SUM(R$2:R$22))</f>
        <v>0.2753680762861731</v>
      </c>
      <c r="AD8" s="9">
        <f>(SUM(J$2:J8)+SUM(S$2:S8))/(SUM(J$2:J$22)+SUM(S$2:S$22))</f>
        <v>0.27224256452307843</v>
      </c>
    </row>
    <row r="9" spans="1:30" x14ac:dyDescent="0.2">
      <c r="A9" s="6" t="s">
        <v>24</v>
      </c>
      <c r="B9" s="7">
        <v>48080895</v>
      </c>
      <c r="C9" s="6">
        <f>Medium_2060[[#This Row],[2025女]]</f>
        <v>60158862.574199997</v>
      </c>
      <c r="D9" s="6">
        <f>Medium_2060[[#This Row],[2030女]]</f>
        <v>43541017.497664921</v>
      </c>
      <c r="E9" s="6">
        <f>Medium_2060[[#This Row],[2035女]]</f>
        <v>35107219.89921204</v>
      </c>
      <c r="F9" s="6">
        <f>Medium_2060[[#This Row],[2040女]]</f>
        <v>33439507.337501016</v>
      </c>
      <c r="G9" s="6">
        <f>Medium_2060[[#This Row],[2045女]]</f>
        <v>39392145.474879734</v>
      </c>
      <c r="H9" s="6">
        <f>Medium_2060[[#This Row],[2050女]]</f>
        <v>41936055.41124779</v>
      </c>
      <c r="I9" s="6">
        <f>Medium_2060[[#This Row],[2055女]]</f>
        <v>36565230.235591128</v>
      </c>
      <c r="J9" s="6">
        <f>Medium_2060[[#This Row],[2060女]]</f>
        <v>28530052.106320214</v>
      </c>
      <c r="K9" s="8">
        <v>50932037</v>
      </c>
      <c r="L9" s="6">
        <f>Medium_2060[[#This Row],[2025男]]</f>
        <v>63590772.044800006</v>
      </c>
      <c r="M9" s="6">
        <f>Medium_2060[[#This Row],[2030男]]</f>
        <v>47801720.504062206</v>
      </c>
      <c r="N9" s="6">
        <f>Medium_2060[[#This Row],[2035男]]</f>
        <v>39280536.20743341</v>
      </c>
      <c r="O9" s="6">
        <f>Medium_2060[[#This Row],[2040男]]</f>
        <v>38582909.694554284</v>
      </c>
      <c r="P9" s="6">
        <f>Medium_2060[[#This Row],[2045男]]</f>
        <v>45016896.653747655</v>
      </c>
      <c r="Q9" s="6">
        <f>Medium_2060[[#This Row],[2050男]]</f>
        <v>47377481.361280732</v>
      </c>
      <c r="R9" s="6">
        <f>Medium_2060[[#This Row],[2055男]]</f>
        <v>40301991.152749136</v>
      </c>
      <c r="S9" s="6">
        <f>Medium_2060[[#This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0.4224052110007569</v>
      </c>
      <c r="Y9" s="9">
        <f>(SUM(E$2:E9)+SUM(N$2:N9))/(SUM(E$2:E$22)+SUM(N$2:N$22))</f>
        <v>0.39461075236450699</v>
      </c>
      <c r="Z9" s="9">
        <f>(SUM(F$2:F9)+SUM(O$2:O9))/(SUM(F$2:F$22)+SUM(O$2:O$22))</f>
        <v>0.38119565053109794</v>
      </c>
      <c r="AA9" s="9">
        <f>(SUM(G$2:G9)+SUM(P$2:P9))/(SUM(G$2:G$22)+SUM(P$2:P$22))</f>
        <v>0.3727628479003775</v>
      </c>
      <c r="AB9" s="9">
        <f>(SUM(H$2:H9)+SUM(Q$2:Q9))/(SUM(H$2:H$22)+SUM(Q$2:Q$22))</f>
        <v>0.35676470396180304</v>
      </c>
      <c r="AC9" s="9">
        <f>(SUM(I$2:I9)+SUM(R$2:R9))/(SUM(I$2:I$22)+SUM(R$2:R$22))</f>
        <v>0.33522015132541594</v>
      </c>
      <c r="AD9" s="9">
        <f>(SUM(J$2:J9)+SUM(S$2:S9))/(SUM(J$2:J$22)+SUM(S$2:S$22))</f>
        <v>0.31963921010200047</v>
      </c>
    </row>
    <row r="10" spans="1:30" x14ac:dyDescent="0.2">
      <c r="A10" s="6" t="s">
        <v>25</v>
      </c>
      <c r="B10" s="7">
        <v>45322636</v>
      </c>
      <c r="C10" s="6">
        <f>Medium_2060[[#This Row],[2025女]]</f>
        <v>47951076.583499998</v>
      </c>
      <c r="D10" s="6">
        <f>Medium_2060[[#This Row],[2030女]]</f>
        <v>59996433.645249657</v>
      </c>
      <c r="E10" s="6">
        <f>Medium_2060[[#This Row],[2035女]]</f>
        <v>43427810.852170989</v>
      </c>
      <c r="F10" s="6">
        <f>Medium_2060[[#This Row],[2040女]]</f>
        <v>35015941.127474084</v>
      </c>
      <c r="G10" s="6">
        <f>Medium_2060[[#This Row],[2045女]]</f>
        <v>33355908.569157265</v>
      </c>
      <c r="H10" s="6">
        <f>Medium_2060[[#This Row],[2050女]]</f>
        <v>39293665.111192539</v>
      </c>
      <c r="I10" s="6">
        <f>Medium_2060[[#This Row],[2055女]]</f>
        <v>41831215.272719674</v>
      </c>
      <c r="J10" s="6">
        <f>Medium_2060[[#This Row],[2060女]]</f>
        <v>36477473.68302571</v>
      </c>
      <c r="K10" s="8">
        <v>47632694</v>
      </c>
      <c r="L10" s="6">
        <f>Medium_2060[[#This Row],[2025男]]</f>
        <v>50580605.944700003</v>
      </c>
      <c r="M10" s="6">
        <f>Medium_2060[[#This Row],[2030男]]</f>
        <v>63177432.026508808</v>
      </c>
      <c r="N10" s="6">
        <f>Medium_2060[[#This Row],[2035男]]</f>
        <v>47510130.008987427</v>
      </c>
      <c r="O10" s="6">
        <f>Medium_2060[[#This Row],[2040男]]</f>
        <v>39056637.151051037</v>
      </c>
      <c r="P10" s="6">
        <f>Medium_2060[[#This Row],[2045男]]</f>
        <v>38378420.273173146</v>
      </c>
      <c r="Q10" s="6">
        <f>Medium_2060[[#This Row],[2050男]]</f>
        <v>44791812.170478918</v>
      </c>
      <c r="R10" s="6">
        <f>Medium_2060[[#This Row],[2055男]]</f>
        <v>47154807.198882714</v>
      </c>
      <c r="S10" s="6">
        <f>Medium_2060[[#This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0.50917881823140898</v>
      </c>
      <c r="Y10" s="9">
        <f>(SUM(E$2:E10)+SUM(N$2:N10))/(SUM(E$2:E$22)+SUM(N$2:N$22))</f>
        <v>0.45926726359511105</v>
      </c>
      <c r="Z10" s="9">
        <f>(SUM(F$2:F10)+SUM(O$2:O10))/(SUM(F$2:F$22)+SUM(O$2:O$22))</f>
        <v>0.43463928358330439</v>
      </c>
      <c r="AA10" s="9">
        <f>(SUM(G$2:G10)+SUM(P$2:P10))/(SUM(G$2:G$22)+SUM(P$2:P$22))</f>
        <v>0.42549176544409911</v>
      </c>
      <c r="AB10" s="9">
        <f>(SUM(H$2:H10)+SUM(Q$2:Q10))/(SUM(H$2:H$22)+SUM(Q$2:Q$22))</f>
        <v>0.42009241032229094</v>
      </c>
      <c r="AC10" s="9">
        <f>(SUM(I$2:I10)+SUM(R$2:R10))/(SUM(I$2:I$22)+SUM(R$2:R$22))</f>
        <v>0.40450843829895777</v>
      </c>
      <c r="AD10" s="9">
        <f>(SUM(J$2:J10)+SUM(S$2:S10))/(SUM(J$2:J$22)+SUM(S$2:S$22))</f>
        <v>0.38192669957116382</v>
      </c>
    </row>
    <row r="11" spans="1:30" x14ac:dyDescent="0.2">
      <c r="A11" s="6" t="s">
        <v>26</v>
      </c>
      <c r="B11" s="7">
        <v>56033201</v>
      </c>
      <c r="C11" s="6">
        <f>Medium_2060[[#This Row],[2025女]]</f>
        <v>45127748.665200002</v>
      </c>
      <c r="D11" s="6">
        <f>Medium_2060[[#This Row],[2030女]]</f>
        <v>47749682.061849296</v>
      </c>
      <c r="E11" s="6">
        <f>Medium_2060[[#This Row],[2035女]]</f>
        <v>59750448.267304137</v>
      </c>
      <c r="F11" s="6">
        <f>Medium_2060[[#This Row],[2040女]]</f>
        <v>43249756.827677086</v>
      </c>
      <c r="G11" s="6">
        <f>Medium_2060[[#This Row],[2045女]]</f>
        <v>34875877.362964191</v>
      </c>
      <c r="H11" s="6">
        <f>Medium_2060[[#This Row],[2050女]]</f>
        <v>33225820.52573755</v>
      </c>
      <c r="I11" s="6">
        <f>Medium_2060[[#This Row],[2055女]]</f>
        <v>39144349.183770008</v>
      </c>
      <c r="J11" s="6">
        <f>Medium_2060[[#This Row],[2060女]]</f>
        <v>41672256.654683337</v>
      </c>
      <c r="K11" s="8">
        <v>58191686</v>
      </c>
      <c r="L11" s="6">
        <f>Medium_2060[[#This Row],[2025男]]</f>
        <v>47108734.365999997</v>
      </c>
      <c r="M11" s="6">
        <f>Medium_2060[[#This Row],[2030男]]</f>
        <v>50059625.703469597</v>
      </c>
      <c r="N11" s="6">
        <f>Medium_2060[[#This Row],[2035男]]</f>
        <v>62570928.67905432</v>
      </c>
      <c r="O11" s="6">
        <f>Medium_2060[[#This Row],[2040男]]</f>
        <v>47087289.85190744</v>
      </c>
      <c r="P11" s="6">
        <f>Medium_2060[[#This Row],[2045男]]</f>
        <v>38732467.062697314</v>
      </c>
      <c r="Q11" s="6">
        <f>Medium_2060[[#This Row],[2050男]]</f>
        <v>38079068.595042393</v>
      </c>
      <c r="R11" s="6">
        <f>Medium_2060[[#This Row],[2055男]]</f>
        <v>44469311.122851469</v>
      </c>
      <c r="S11" s="6">
        <f>Medium_2060[[#This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0.5780835847518262</v>
      </c>
      <c r="Y11" s="9">
        <f>(SUM(E$2:E11)+SUM(N$2:N11))/(SUM(E$2:E$22)+SUM(N$2:N$22))</f>
        <v>0.54623727201382188</v>
      </c>
      <c r="Z11" s="9">
        <f>(SUM(F$2:F11)+SUM(O$2:O11))/(SUM(F$2:F$22)+SUM(O$2:O$22))</f>
        <v>0.49981778939432003</v>
      </c>
      <c r="AA11" s="9">
        <f>(SUM(G$2:G11)+SUM(P$2:P11))/(SUM(G$2:G$22)+SUM(P$2:P$22))</f>
        <v>0.47959819379420604</v>
      </c>
      <c r="AB11" s="9">
        <f>(SUM(H$2:H11)+SUM(Q$2:Q11))/(SUM(H$2:H$22)+SUM(Q$2:Q$22))</f>
        <v>0.47379460987313038</v>
      </c>
      <c r="AC11" s="9">
        <f>(SUM(I$2:I11)+SUM(R$2:R11))/(SUM(I$2:I$22)+SUM(R$2:R$22))</f>
        <v>0.46961357649166968</v>
      </c>
      <c r="AD11" s="9">
        <f>(SUM(J$2:J11)+SUM(S$2:S11))/(SUM(J$2:J$22)+SUM(S$2:S$22))</f>
        <v>0.45389391139921476</v>
      </c>
    </row>
    <row r="12" spans="1:30" x14ac:dyDescent="0.2">
      <c r="A12" s="6" t="s">
        <v>27</v>
      </c>
      <c r="B12" s="7">
        <v>60058826</v>
      </c>
      <c r="C12" s="6">
        <f>Medium_2060[[#This Row],[2025女]]</f>
        <v>55640968.593000002</v>
      </c>
      <c r="D12" s="6">
        <f>Medium_2060[[#This Row],[2030女]]</f>
        <v>44820879.97427664</v>
      </c>
      <c r="E12" s="6">
        <f>Medium_2060[[#This Row],[2035女]]</f>
        <v>47434534.16024109</v>
      </c>
      <c r="F12" s="6">
        <f>Medium_2060[[#This Row],[2040女]]</f>
        <v>59362070.353566661</v>
      </c>
      <c r="G12" s="6">
        <f>Medium_2060[[#This Row],[2045女]]</f>
        <v>42977283.359662719</v>
      </c>
      <c r="H12" s="6">
        <f>Medium_2060[[#This Row],[2050女]]</f>
        <v>34659646.923313811</v>
      </c>
      <c r="I12" s="6">
        <f>Medium_2060[[#This Row],[2055女]]</f>
        <v>33026465.602583125</v>
      </c>
      <c r="J12" s="6">
        <f>Medium_2060[[#This Row],[2060女]]</f>
        <v>38917311.95850414</v>
      </c>
      <c r="K12" s="8">
        <v>61105470</v>
      </c>
      <c r="L12" s="6">
        <f>Medium_2060[[#This Row],[2025男]]</f>
        <v>57214065.6752</v>
      </c>
      <c r="M12" s="6">
        <f>Medium_2060[[#This Row],[2030男]]</f>
        <v>46369127.236453794</v>
      </c>
      <c r="N12" s="6">
        <f>Medium_2060[[#This Row],[2035男]]</f>
        <v>49323749.205628589</v>
      </c>
      <c r="O12" s="6">
        <f>Medium_2060[[#This Row],[2040男]]</f>
        <v>61707449.863283366</v>
      </c>
      <c r="P12" s="6">
        <f>Medium_2060[[#This Row],[2045男]]</f>
        <v>46479863.812817834</v>
      </c>
      <c r="Q12" s="6">
        <f>Medium_2060[[#This Row],[2050男]]</f>
        <v>38263804.211238675</v>
      </c>
      <c r="R12" s="6">
        <f>Medium_2060[[#This Row],[2055男]]</f>
        <v>37648775.119918413</v>
      </c>
      <c r="S12" s="6">
        <f>Medium_2060[[#This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0.64232518199251865</v>
      </c>
      <c r="Y12" s="9">
        <f>(SUM(E$2:E12)+SUM(N$2:N12))/(SUM(E$2:E$22)+SUM(N$2:N$22))</f>
        <v>0.6150320234218275</v>
      </c>
      <c r="Z12" s="9">
        <f>(SUM(F$2:F12)+SUM(O$2:O12))/(SUM(F$2:F$22)+SUM(O$2:O$22))</f>
        <v>0.58716988598188946</v>
      </c>
      <c r="AA12" s="9">
        <f>(SUM(G$2:G12)+SUM(P$2:P12))/(SUM(G$2:G$22)+SUM(P$2:P$22))</f>
        <v>0.54535441697323728</v>
      </c>
      <c r="AB12" s="9">
        <f>(SUM(H$2:H12)+SUM(Q$2:Q12))/(SUM(H$2:H$22)+SUM(Q$2:Q$22))</f>
        <v>0.52871580494196002</v>
      </c>
      <c r="AC12" s="9">
        <f>(SUM(I$2:I12)+SUM(R$2:R12))/(SUM(I$2:I$22)+SUM(R$2:R$22))</f>
        <v>0.52464431306232129</v>
      </c>
      <c r="AD12" s="9">
        <f>(SUM(J$2:J12)+SUM(S$2:S12))/(SUM(J$2:J$22)+SUM(S$2:S$22))</f>
        <v>0.52131478143188448</v>
      </c>
    </row>
    <row r="13" spans="1:30" x14ac:dyDescent="0.2">
      <c r="A13" s="6" t="s">
        <v>28</v>
      </c>
      <c r="B13" s="7">
        <v>50584760</v>
      </c>
      <c r="C13" s="6">
        <f>Medium_2060[[#This Row],[2025女]]</f>
        <v>59368149.501000002</v>
      </c>
      <c r="D13" s="6">
        <f>Medium_2060[[#This Row],[2030女]]</f>
        <v>55023353.841617703</v>
      </c>
      <c r="E13" s="6">
        <f>Medium_2060[[#This Row],[2035女]]</f>
        <v>44341296.558551878</v>
      </c>
      <c r="F13" s="6">
        <f>Medium_2060[[#This Row],[2040女]]</f>
        <v>46941215.004974581</v>
      </c>
      <c r="G13" s="6">
        <f>Medium_2060[[#This Row],[2045女]]</f>
        <v>58768449.650030993</v>
      </c>
      <c r="H13" s="6">
        <f>Medium_2060[[#This Row],[2050女]]</f>
        <v>42560403.711073987</v>
      </c>
      <c r="I13" s="6">
        <f>Medium_2060[[#This Row],[2055女]]</f>
        <v>34337312.206926994</v>
      </c>
      <c r="J13" s="6">
        <f>Medium_2060[[#This Row],[2060女]]</f>
        <v>32729227.412159875</v>
      </c>
      <c r="K13" s="8">
        <v>50816026</v>
      </c>
      <c r="L13" s="6">
        <f>Medium_2060[[#This Row],[2025男]]</f>
        <v>59528948.873999998</v>
      </c>
      <c r="M13" s="6">
        <f>Medium_2060[[#This Row],[2030男]]</f>
        <v>55823763.879292645</v>
      </c>
      <c r="N13" s="6">
        <f>Medium_2060[[#This Row],[2035男]]</f>
        <v>45307274.222739004</v>
      </c>
      <c r="O13" s="6">
        <f>Medium_2060[[#This Row],[2040男]]</f>
        <v>48258356.222787015</v>
      </c>
      <c r="P13" s="6">
        <f>Medium_2060[[#This Row],[2045男]]</f>
        <v>60454788.631058715</v>
      </c>
      <c r="Q13" s="6">
        <f>Medium_2060[[#This Row],[2050男]]</f>
        <v>45592098.413993016</v>
      </c>
      <c r="R13" s="6">
        <f>Medium_2060[[#This Row],[2055男]]</f>
        <v>37575055.73543638</v>
      </c>
      <c r="S13" s="6">
        <f>Medium_2060[[#This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0.720414833586278</v>
      </c>
      <c r="Y13" s="9">
        <f>(SUM(E$2:E13)+SUM(N$2:N13))/(SUM(E$2:E$22)+SUM(N$2:N$22))</f>
        <v>0.67877179769687801</v>
      </c>
      <c r="Z13" s="9">
        <f>(SUM(F$2:F13)+SUM(O$2:O13))/(SUM(F$2:F$22)+SUM(O$2:O$22))</f>
        <v>0.6558567208358469</v>
      </c>
      <c r="AA13" s="9">
        <f>(SUM(G$2:G13)+SUM(P$2:P13))/(SUM(G$2:G$22)+SUM(P$2:P$22))</f>
        <v>0.63299045402931098</v>
      </c>
      <c r="AB13" s="9">
        <f>(SUM(H$2:H13)+SUM(Q$2:Q13))/(SUM(H$2:H$22)+SUM(Q$2:Q$22))</f>
        <v>0.5951065295949004</v>
      </c>
      <c r="AC13" s="9">
        <f>(SUM(I$2:I13)+SUM(R$2:R13))/(SUM(I$2:I$22)+SUM(R$2:R$22))</f>
        <v>0.58063832929703385</v>
      </c>
      <c r="AD13" s="9">
        <f>(SUM(J$2:J13)+SUM(S$2:S13))/(SUM(J$2:J$22)+SUM(S$2:S$22))</f>
        <v>0.57802081475603018</v>
      </c>
    </row>
    <row r="14" spans="1:30" x14ac:dyDescent="0.2">
      <c r="A14" s="6" t="s">
        <v>29</v>
      </c>
      <c r="B14" s="7">
        <v>36511813</v>
      </c>
      <c r="C14" s="6">
        <f>Medium_2060[[#This Row],[2025女]]</f>
        <v>49694468.223999999</v>
      </c>
      <c r="D14" s="6">
        <f>Medium_2060[[#This Row],[2030女]]</f>
        <v>58370764.5893832</v>
      </c>
      <c r="E14" s="6">
        <f>Medium_2060[[#This Row],[2035女]]</f>
        <v>54137477.84476766</v>
      </c>
      <c r="F14" s="6">
        <f>Medium_2060[[#This Row],[2040女]]</f>
        <v>43662874.721206032</v>
      </c>
      <c r="G14" s="6">
        <f>Medium_2060[[#This Row],[2045女]]</f>
        <v>46251179.144401453</v>
      </c>
      <c r="H14" s="6">
        <f>Medium_2060[[#This Row],[2050女]]</f>
        <v>57945691.354930557</v>
      </c>
      <c r="I14" s="6">
        <f>Medium_2060[[#This Row],[2055女]]</f>
        <v>41990094.301345594</v>
      </c>
      <c r="J14" s="6">
        <f>Medium_2060[[#This Row],[2060女]]</f>
        <v>33897794.61067833</v>
      </c>
      <c r="K14" s="8">
        <v>36871125</v>
      </c>
      <c r="L14" s="6">
        <f>Medium_2060[[#This Row],[2025男]]</f>
        <v>48768140.152199998</v>
      </c>
      <c r="M14" s="6">
        <f>Medium_2060[[#This Row],[2030男]]</f>
        <v>57260895.9219006</v>
      </c>
      <c r="N14" s="6">
        <f>Medium_2060[[#This Row],[2035男]]</f>
        <v>53814108.379638106</v>
      </c>
      <c r="O14" s="6">
        <f>Medium_2060[[#This Row],[2040男]]</f>
        <v>43766826.899165876</v>
      </c>
      <c r="P14" s="6">
        <f>Medium_2060[[#This Row],[2045男]]</f>
        <v>46704437.152413271</v>
      </c>
      <c r="Q14" s="6">
        <f>Medium_2060[[#This Row],[2050男]]</f>
        <v>58616963.056674533</v>
      </c>
      <c r="R14" s="6">
        <f>Medium_2060[[#This Row],[2055男]]</f>
        <v>44279045.979670018</v>
      </c>
      <c r="S14" s="6">
        <f>Medium_2060[[#This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0.8018751030834852</v>
      </c>
      <c r="Y14" s="9">
        <f>(SUM(E$2:E14)+SUM(N$2:N14))/(SUM(E$2:E$22)+SUM(N$2:N$22))</f>
        <v>0.75552494254470715</v>
      </c>
      <c r="Z14" s="9">
        <f>(SUM(F$2:F14)+SUM(O$2:O14))/(SUM(F$2:F$22)+SUM(O$2:O$22))</f>
        <v>0.71893756667455189</v>
      </c>
      <c r="AA14" s="9">
        <f>(SUM(G$2:G14)+SUM(P$2:P14))/(SUM(G$2:G$22)+SUM(P$2:P$22))</f>
        <v>0.70131825615754695</v>
      </c>
      <c r="AB14" s="9">
        <f>(SUM(H$2:H14)+SUM(Q$2:Q14))/(SUM(H$2:H$22)+SUM(Q$2:Q$22))</f>
        <v>0.68289393105603435</v>
      </c>
      <c r="AC14" s="9">
        <f>(SUM(I$2:I14)+SUM(R$2:R14))/(SUM(I$2:I$22)+SUM(R$2:R$22))</f>
        <v>0.64781113669674983</v>
      </c>
      <c r="AD14" s="9">
        <f>(SUM(J$2:J14)+SUM(S$2:S14))/(SUM(J$2:J$22)+SUM(S$2:S$22))</f>
        <v>0.63530647593942291</v>
      </c>
    </row>
    <row r="15" spans="1:30" x14ac:dyDescent="0.2">
      <c r="A15" s="6" t="s">
        <v>30</v>
      </c>
      <c r="B15" s="7">
        <v>37667637</v>
      </c>
      <c r="C15" s="6">
        <f>Medium_2060[[#This Row],[2025女]]</f>
        <v>35463923.966899998</v>
      </c>
      <c r="D15" s="6">
        <f>Medium_2060[[#This Row],[2030女]]</f>
        <v>48342778.688307196</v>
      </c>
      <c r="E15" s="6">
        <f>Medium_2060[[#This Row],[2035女]]</f>
        <v>56870635.939436056</v>
      </c>
      <c r="F15" s="6">
        <f>Medium_2060[[#This Row],[2040女]]</f>
        <v>52821937.133139804</v>
      </c>
      <c r="G15" s="6">
        <f>Medium_2060[[#This Row],[2045女]]</f>
        <v>42658628.602618292</v>
      </c>
      <c r="H15" s="6">
        <f>Medium_2060[[#This Row],[2050女]]</f>
        <v>45242903.439053498</v>
      </c>
      <c r="I15" s="6">
        <f>Medium_2060[[#This Row],[2055女]]</f>
        <v>56752010.11301899</v>
      </c>
      <c r="J15" s="6">
        <f>Medium_2060[[#This Row],[2060女]]</f>
        <v>41171287.462469354</v>
      </c>
      <c r="K15" s="8">
        <v>36337923</v>
      </c>
      <c r="L15" s="6">
        <f>Medium_2060[[#This Row],[2025男]]</f>
        <v>34585115.25</v>
      </c>
      <c r="M15" s="6">
        <f>Medium_2060[[#This Row],[2030男]]</f>
        <v>45885943.069204979</v>
      </c>
      <c r="N15" s="6">
        <f>Medium_2060[[#This Row],[2035男]]</f>
        <v>54031381.391905405</v>
      </c>
      <c r="O15" s="6">
        <f>Medium_2060[[#This Row],[2040男]]</f>
        <v>50918909.348813578</v>
      </c>
      <c r="P15" s="6">
        <f>Medium_2060[[#This Row],[2045男]]</f>
        <v>41521588.67923867</v>
      </c>
      <c r="Q15" s="6">
        <f>Medium_2060[[#This Row],[2050男]]</f>
        <v>44415919.731945015</v>
      </c>
      <c r="R15" s="6">
        <f>Medium_2060[[#This Row],[2055男]]</f>
        <v>55879550.881927833</v>
      </c>
      <c r="S15" s="6">
        <f>Medium_2060[[#This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0.86825741597948691</v>
      </c>
      <c r="Y15" s="9">
        <f>(SUM(E$2:E15)+SUM(N$2:N15))/(SUM(E$2:E$22)+SUM(N$2:N$22))</f>
        <v>0.83437583207637489</v>
      </c>
      <c r="Z15" s="9">
        <f>(SUM(F$2:F15)+SUM(O$2:O15))/(SUM(F$2:F$22)+SUM(O$2:O$22))</f>
        <v>0.7937869625071009</v>
      </c>
      <c r="AA15" s="9">
        <f>(SUM(G$2:G15)+SUM(P$2:P15))/(SUM(G$2:G$22)+SUM(P$2:P$22))</f>
        <v>0.76319562794733231</v>
      </c>
      <c r="AB15" s="9">
        <f>(SUM(H$2:H15)+SUM(Q$2:Q15))/(SUM(H$2:H$22)+SUM(Q$2:Q$22))</f>
        <v>0.75041911863842714</v>
      </c>
      <c r="AC15" s="9">
        <f>(SUM(I$2:I15)+SUM(R$2:R15))/(SUM(I$2:I$22)+SUM(R$2:R$22))</f>
        <v>0.73551084170363812</v>
      </c>
      <c r="AD15" s="9">
        <f>(SUM(J$2:J15)+SUM(S$2:S15))/(SUM(J$2:J$22)+SUM(S$2:S$22))</f>
        <v>0.70318289356477359</v>
      </c>
    </row>
    <row r="16" spans="1:30" x14ac:dyDescent="0.2">
      <c r="A16" s="6" t="s">
        <v>31</v>
      </c>
      <c r="B16" s="7">
        <v>25427303</v>
      </c>
      <c r="C16" s="6">
        <f>Medium_2060[[#This Row],[2025女]]</f>
        <v>35780488.386299998</v>
      </c>
      <c r="D16" s="6">
        <f>Medium_2060[[#This Row],[2030女]]</f>
        <v>33821944.287232526</v>
      </c>
      <c r="E16" s="6">
        <f>Medium_2060[[#This Row],[2035女]]</f>
        <v>46278542.038316481</v>
      </c>
      <c r="F16" s="6">
        <f>Medium_2060[[#This Row],[2040女]]</f>
        <v>54624245.819828331</v>
      </c>
      <c r="G16" s="6">
        <f>Medium_2060[[#This Row],[2045女]]</f>
        <v>50899218.621493518</v>
      </c>
      <c r="H16" s="6">
        <f>Medium_2060[[#This Row],[2050女]]</f>
        <v>41225298.681570321</v>
      </c>
      <c r="I16" s="6">
        <f>Medium_2060[[#This Row],[2055女]]</f>
        <v>43835849.142098933</v>
      </c>
      <c r="J16" s="6">
        <f>Medium_2060[[#This Row],[2060女]]</f>
        <v>55123227.422775351</v>
      </c>
      <c r="K16" s="8">
        <v>24162733</v>
      </c>
      <c r="L16" s="6">
        <f>Medium_2060[[#This Row],[2025男]]</f>
        <v>32871285.145799998</v>
      </c>
      <c r="M16" s="6">
        <f>Medium_2060[[#This Row],[2030男]]</f>
        <v>31448245.296824999</v>
      </c>
      <c r="N16" s="6">
        <f>Medium_2060[[#This Row],[2035男]]</f>
        <v>41930574.776639506</v>
      </c>
      <c r="O16" s="6">
        <f>Medium_2060[[#This Row],[2040男]]</f>
        <v>49600808.117769167</v>
      </c>
      <c r="P16" s="6">
        <f>Medium_2060[[#This Row],[2045男]]</f>
        <v>46947234.419606119</v>
      </c>
      <c r="Q16" s="6">
        <f>Medium_2060[[#This Row],[2050男]]</f>
        <v>38444838.958107084</v>
      </c>
      <c r="R16" s="6">
        <f>Medium_2060[[#This Row],[2055男]]</f>
        <v>41284597.390842892</v>
      </c>
      <c r="S16" s="6">
        <f>Medium_2060[[#This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0.91423900277104131</v>
      </c>
      <c r="Y16" s="9">
        <f>(SUM(E$2:E16)+SUM(N$2:N16))/(SUM(E$2:E$22)+SUM(N$2:N$22))</f>
        <v>0.89709216035452977</v>
      </c>
      <c r="Z16" s="9">
        <f>(SUM(F$2:F16)+SUM(O$2:O16))/(SUM(F$2:F$22)+SUM(O$2:O$22))</f>
        <v>0.86898571576964612</v>
      </c>
      <c r="AA16" s="9">
        <f>(SUM(G$2:G16)+SUM(P$2:P16))/(SUM(G$2:G$22)+SUM(P$2:P$22))</f>
        <v>0.83511848047293147</v>
      </c>
      <c r="AB16" s="9">
        <f>(SUM(H$2:H16)+SUM(Q$2:Q16))/(SUM(H$2:H$22)+SUM(Q$2:Q$22))</f>
        <v>0.81042147868027103</v>
      </c>
      <c r="AC16" s="9">
        <f>(SUM(I$2:I16)+SUM(R$2:R16))/(SUM(I$2:I$22)+SUM(R$2:R$22))</f>
        <v>0.80178922748689574</v>
      </c>
      <c r="AD16" s="9">
        <f>(SUM(J$2:J16)+SUM(S$2:S16))/(SUM(J$2:J$22)+SUM(S$2:S$22))</f>
        <v>0.7903982733474102</v>
      </c>
    </row>
    <row r="17" spans="1:30" x14ac:dyDescent="0.2">
      <c r="A17" s="6" t="s">
        <v>32</v>
      </c>
      <c r="B17" s="7">
        <v>16486416</v>
      </c>
      <c r="C17" s="6">
        <f>Medium_2060[[#This Row],[2025女]]</f>
        <v>23077820.202799998</v>
      </c>
      <c r="D17" s="6">
        <f>Medium_2060[[#This Row],[2030女]]</f>
        <v>32764193.215334907</v>
      </c>
      <c r="E17" s="6">
        <f>Medium_2060[[#This Row],[2035女]]</f>
        <v>31221036.771544345</v>
      </c>
      <c r="F17" s="6">
        <f>Medium_2060[[#This Row],[2040女]]</f>
        <v>43034416.241430491</v>
      </c>
      <c r="G17" s="6">
        <f>Medium_2060[[#This Row],[2045女]]</f>
        <v>51128294.087359324</v>
      </c>
      <c r="H17" s="6">
        <f>Medium_2060[[#This Row],[2050女]]</f>
        <v>47926704.253998294</v>
      </c>
      <c r="I17" s="6">
        <f>Medium_2060[[#This Row],[2055女]]</f>
        <v>39032112.791710779</v>
      </c>
      <c r="J17" s="6">
        <f>Medium_2060[[#This Row],[2060女]]</f>
        <v>41705426.873792924</v>
      </c>
      <c r="K17" s="8">
        <v>14752433</v>
      </c>
      <c r="L17" s="6">
        <f>Medium_2060[[#This Row],[2025男]]</f>
        <v>20429590.751499999</v>
      </c>
      <c r="M17" s="6">
        <f>Medium_2060[[#This Row],[2030男]]</f>
        <v>28049067.614911135</v>
      </c>
      <c r="N17" s="6">
        <f>Medium_2060[[#This Row],[2035男]]</f>
        <v>27067504.726977278</v>
      </c>
      <c r="O17" s="6">
        <f>Medium_2060[[#This Row],[2040男]]</f>
        <v>36383159.733690098</v>
      </c>
      <c r="P17" s="6">
        <f>Medium_2060[[#This Row],[2045男]]</f>
        <v>43370946.618177354</v>
      </c>
      <c r="Q17" s="6">
        <f>Medium_2060[[#This Row],[2050男]]</f>
        <v>41346429.353347108</v>
      </c>
      <c r="R17" s="6">
        <f>Medium_2060[[#This Row],[2055男]]</f>
        <v>34092883.188049361</v>
      </c>
      <c r="S17" s="6">
        <f>Medium_2060[[#This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0.95708076941463616</v>
      </c>
      <c r="Y17" s="9">
        <f>(SUM(E$2:E17)+SUM(N$2:N17))/(SUM(E$2:E$22)+SUM(N$2:N$22))</f>
        <v>0.93853507958412508</v>
      </c>
      <c r="Z17" s="9">
        <f>(SUM(F$2:F17)+SUM(O$2:O17))/(SUM(F$2:F$22)+SUM(O$2:O$22))</f>
        <v>0.92628578398585659</v>
      </c>
      <c r="AA17" s="9">
        <f>(SUM(G$2:G17)+SUM(P$2:P17))/(SUM(G$2:G$22)+SUM(P$2:P$22))</f>
        <v>0.90458093661521533</v>
      </c>
      <c r="AB17" s="9">
        <f>(SUM(H$2:H17)+SUM(Q$2:Q17))/(SUM(H$2:H$22)+SUM(Q$2:Q$22))</f>
        <v>0.87765618999704775</v>
      </c>
      <c r="AC17" s="9">
        <f>(SUM(I$2:I17)+SUM(R$2:R17))/(SUM(I$2:I$22)+SUM(R$2:R$22))</f>
        <v>0.8587274472842984</v>
      </c>
      <c r="AD17" s="9">
        <f>(SUM(J$2:J17)+SUM(S$2:S17))/(SUM(J$2:J$22)+SUM(S$2:S$22))</f>
        <v>0.85427119864934165</v>
      </c>
    </row>
    <row r="18" spans="1:30" x14ac:dyDescent="0.2">
      <c r="A18" s="6" t="s">
        <v>33</v>
      </c>
      <c r="B18" s="7">
        <v>11225875</v>
      </c>
      <c r="C18" s="6">
        <f>Medium_2060[[#This Row],[2025女]]</f>
        <v>13715049.4704</v>
      </c>
      <c r="D18" s="6">
        <f>Medium_2060[[#This Row],[2030女]]</f>
        <v>19556144.83985272</v>
      </c>
      <c r="E18" s="6">
        <f>Medium_2060[[#This Row],[2035女]]</f>
        <v>28223076.035689492</v>
      </c>
      <c r="F18" s="6">
        <f>Medium_2060[[#This Row],[2040女]]</f>
        <v>27290308.242006913</v>
      </c>
      <c r="G18" s="6">
        <f>Medium_2060[[#This Row],[2045女]]</f>
        <v>38115582.465034992</v>
      </c>
      <c r="H18" s="6">
        <f>Medium_2060[[#This Row],[2050女]]</f>
        <v>45821177.161091425</v>
      </c>
      <c r="I18" s="6">
        <f>Medium_2060[[#This Row],[2055女]]</f>
        <v>43412008.713271655</v>
      </c>
      <c r="J18" s="6">
        <f>Medium_2060[[#This Row],[2060女]]</f>
        <v>35690963.936740339</v>
      </c>
      <c r="K18" s="8">
        <v>9157003</v>
      </c>
      <c r="L18" s="6">
        <f>Medium_2060[[#This Row],[2025男]]</f>
        <v>11083502.912899999</v>
      </c>
      <c r="M18" s="6">
        <f>Medium_2060[[#This Row],[2030男]]</f>
        <v>15616379.170446599</v>
      </c>
      <c r="N18" s="6">
        <f>Medium_2060[[#This Row],[2035男]]</f>
        <v>21788515.723262969</v>
      </c>
      <c r="O18" s="6">
        <f>Medium_2060[[#This Row],[2040男]]</f>
        <v>21345434.22769428</v>
      </c>
      <c r="P18" s="6">
        <f>Medium_2060[[#This Row],[2045男]]</f>
        <v>29099251.15500534</v>
      </c>
      <c r="Q18" s="6">
        <f>Medium_2060[[#This Row],[2050男]]</f>
        <v>35143478.044709109</v>
      </c>
      <c r="R18" s="6">
        <f>Medium_2060[[#This Row],[2055男]]</f>
        <v>33916475.998550631</v>
      </c>
      <c r="S18" s="6">
        <f>Medium_2060[[#This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0.98185913264238178</v>
      </c>
      <c r="Y18" s="9">
        <f>(SUM(E$2:E18)+SUM(N$2:N18))/(SUM(E$2:E$22)+SUM(N$2:N$22))</f>
        <v>0.9740931207449649</v>
      </c>
      <c r="Z18" s="9">
        <f>(SUM(F$2:F18)+SUM(O$2:O18))/(SUM(F$2:F$22)+SUM(O$2:O$22))</f>
        <v>0.96137664803001921</v>
      </c>
      <c r="AA18" s="9">
        <f>(SUM(G$2:G18)+SUM(P$2:P18))/(SUM(G$2:G$22)+SUM(P$2:P$22))</f>
        <v>0.95398776144877606</v>
      </c>
      <c r="AB18" s="9">
        <f>(SUM(H$2:H18)+SUM(Q$2:Q18))/(SUM(H$2:H$22)+SUM(Q$2:Q$22))</f>
        <v>0.93863349637868965</v>
      </c>
      <c r="AC18" s="9">
        <f>(SUM(I$2:I18)+SUM(R$2:R18))/(SUM(I$2:I$22)+SUM(R$2:R$22))</f>
        <v>0.91893868148854374</v>
      </c>
      <c r="AD18" s="9">
        <f>(SUM(J$2:J18)+SUM(S$2:S18))/(SUM(J$2:J$22)+SUM(S$2:S$22))</f>
        <v>0.90629625849314011</v>
      </c>
    </row>
    <row r="19" spans="1:30" x14ac:dyDescent="0.2">
      <c r="A19" s="6" t="s">
        <v>34</v>
      </c>
      <c r="B19" s="7">
        <v>6400439</v>
      </c>
      <c r="C19" s="6">
        <f>Medium_2060[[#This Row],[2025女]]</f>
        <v>7876073.9000000004</v>
      </c>
      <c r="D19" s="6">
        <f>Medium_2060[[#This Row],[2030女]]</f>
        <v>9961240.43035152</v>
      </c>
      <c r="E19" s="6">
        <f>Medium_2060[[#This Row],[2035女]]</f>
        <v>14647552.485049687</v>
      </c>
      <c r="F19" s="6">
        <f>Medium_2060[[#This Row],[2040女]]</f>
        <v>21723301.624670204</v>
      </c>
      <c r="G19" s="6">
        <f>Medium_2060[[#This Row],[2045女]]</f>
        <v>21526595.141295053</v>
      </c>
      <c r="H19" s="6">
        <f>Medium_2060[[#This Row],[2050女]]</f>
        <v>30732594.141557716</v>
      </c>
      <c r="I19" s="6">
        <f>Medium_2060[[#This Row],[2055女]]</f>
        <v>37678753.979565479</v>
      </c>
      <c r="J19" s="6">
        <f>Medium_2060[[#This Row],[2060女]]</f>
        <v>36335851.293008372</v>
      </c>
      <c r="K19" s="8">
        <v>4426091</v>
      </c>
      <c r="L19" s="6">
        <f>Medium_2060[[#This Row],[2025男]]</f>
        <v>5560132.2215999998</v>
      </c>
      <c r="M19" s="6">
        <f>Medium_2060[[#This Row],[2030男]]</f>
        <v>6913889.1170670195</v>
      </c>
      <c r="N19" s="6">
        <f>Medium_2060[[#This Row],[2035男]]</f>
        <v>9989797.7553346902</v>
      </c>
      <c r="O19" s="6">
        <f>Medium_2060[[#This Row],[2040男]]</f>
        <v>14271477.798737245</v>
      </c>
      <c r="P19" s="6">
        <f>Medium_2060[[#This Row],[2045男]]</f>
        <v>14290768.21544132</v>
      </c>
      <c r="Q19" s="6">
        <f>Medium_2060[[#This Row],[2050男]]</f>
        <v>19889338.164446149</v>
      </c>
      <c r="R19" s="6">
        <f>Medium_2060[[#This Row],[2055男]]</f>
        <v>24491489.849357776</v>
      </c>
      <c r="S19" s="6">
        <f>Medium_2060[[#This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0.99374733518703751</v>
      </c>
      <c r="Y19" s="9">
        <f>(SUM(E$2:E19)+SUM(N$2:N19))/(SUM(E$2:E$22)+SUM(N$2:N$22))</f>
        <v>0.99161017795370276</v>
      </c>
      <c r="Z19" s="9">
        <f>(SUM(F$2:F19)+SUM(O$2:O19))/(SUM(F$2:F$22)+SUM(O$2:O$22))</f>
        <v>0.98734701153034599</v>
      </c>
      <c r="AA19" s="9">
        <f>(SUM(G$2:G19)+SUM(P$2:P19))/(SUM(G$2:G$22)+SUM(P$2:P$22))</f>
        <v>0.98031561353228791</v>
      </c>
      <c r="AB19" s="9">
        <f>(SUM(H$2:H19)+SUM(Q$2:Q19))/(SUM(H$2:H$22)+SUM(Q$2:Q$22))</f>
        <v>0.97675863960331977</v>
      </c>
      <c r="AC19" s="9">
        <f>(SUM(I$2:I19)+SUM(R$2:R19))/(SUM(I$2:I$22)+SUM(R$2:R$22))</f>
        <v>0.9673470671651615</v>
      </c>
      <c r="AD19" s="9">
        <f>(SUM(J$2:J19)+SUM(S$2:S19))/(SUM(J$2:J$22)+SUM(S$2:S$22))</f>
        <v>0.95541448934748729</v>
      </c>
    </row>
    <row r="20" spans="1:30" x14ac:dyDescent="0.2">
      <c r="A20" s="6" t="s">
        <v>35</v>
      </c>
      <c r="B20" s="7">
        <v>2285155</v>
      </c>
      <c r="C20" s="6">
        <f>Medium_2060[[#This Row],[2025女]]</f>
        <v>3358310.3433000003</v>
      </c>
      <c r="D20" s="6">
        <f>Medium_2060[[#This Row],[2030女]]</f>
        <v>4364132.5479900008</v>
      </c>
      <c r="E20" s="6">
        <f>Medium_2060[[#This Row],[2035女]]</f>
        <v>5793457.434292444</v>
      </c>
      <c r="F20" s="6">
        <f>Medium_2060[[#This Row],[2040女]]</f>
        <v>8896923.3794191815</v>
      </c>
      <c r="G20" s="6">
        <f>Medium_2060[[#This Row],[2045女]]</f>
        <v>13722609.636304168</v>
      </c>
      <c r="H20" s="6">
        <f>Medium_2060[[#This Row],[2050女]]</f>
        <v>14087003.860463483</v>
      </c>
      <c r="I20" s="6">
        <f>Medium_2060[[#This Row],[2055女]]</f>
        <v>20769087.120864704</v>
      </c>
      <c r="J20" s="6">
        <f>Medium_2060[[#This Row],[2060女]]</f>
        <v>26216877.018981658</v>
      </c>
      <c r="K20" s="8">
        <v>1367594</v>
      </c>
      <c r="L20" s="6">
        <f>Medium_2060[[#This Row],[2025男]]</f>
        <v>1951463.5219000001</v>
      </c>
      <c r="M20" s="6">
        <f>Medium_2060[[#This Row],[2030男]]</f>
        <v>2532640.2269388</v>
      </c>
      <c r="N20" s="6">
        <f>Medium_2060[[#This Row],[2035男]]</f>
        <v>3248145.1071980856</v>
      </c>
      <c r="O20" s="6">
        <f>Medium_2060[[#This Row],[2040男]]</f>
        <v>4832065.1742553897</v>
      </c>
      <c r="P20" s="6">
        <f>Medium_2060[[#This Row],[2045男]]</f>
        <v>7095778.7615321577</v>
      </c>
      <c r="Q20" s="6">
        <f>Medium_2060[[#This Row],[2050男]]</f>
        <v>7292579.020339705</v>
      </c>
      <c r="R20" s="6">
        <f>Medium_2060[[#This Row],[2055男]]</f>
        <v>10406101.727638226</v>
      </c>
      <c r="S20" s="6">
        <f>Medium_2060[[#This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0.99860597828203879</v>
      </c>
      <c r="Y20" s="9">
        <f>(SUM(E$2:E20)+SUM(N$2:N20))/(SUM(E$2:E$22)+SUM(N$2:N$22))</f>
        <v>0.99803872109785741</v>
      </c>
      <c r="Z20" s="9">
        <f>(SUM(F$2:F20)+SUM(O$2:O20))/(SUM(F$2:F$22)+SUM(O$2:O$22))</f>
        <v>0.99725252641173168</v>
      </c>
      <c r="AA20" s="9">
        <f>(SUM(G$2:G20)+SUM(P$2:P20))/(SUM(G$2:G$22)+SUM(P$2:P$22))</f>
        <v>0.9956183438001831</v>
      </c>
      <c r="AB20" s="9">
        <f>(SUM(H$2:H20)+SUM(Q$2:Q20))/(SUM(H$2:H$22)+SUM(Q$2:Q$22))</f>
        <v>0.9928603493224647</v>
      </c>
      <c r="AC20" s="9">
        <f>(SUM(I$2:I20)+SUM(R$2:R20))/(SUM(I$2:I$22)+SUM(R$2:R$22))</f>
        <v>0.99162138993398463</v>
      </c>
      <c r="AD20" s="9">
        <f>(SUM(J$2:J20)+SUM(S$2:S20))/(SUM(J$2:J$22)+SUM(S$2:S$22))</f>
        <v>0.98739856397557824</v>
      </c>
    </row>
    <row r="21" spans="1:30" x14ac:dyDescent="0.2">
      <c r="A21" s="6" t="s">
        <v>36</v>
      </c>
      <c r="B21" s="7">
        <v>548357</v>
      </c>
      <c r="C21" s="6">
        <f>Medium_2060[[#This Row],[2025女]]</f>
        <v>735819.91</v>
      </c>
      <c r="D21" s="6">
        <f>Medium_2060[[#This Row],[2030女]]</f>
        <v>1166341.18222809</v>
      </c>
      <c r="E21" s="6">
        <f>Medium_2060[[#This Row],[2035女]]</f>
        <v>1622148.0680878833</v>
      </c>
      <c r="F21" s="6">
        <f>Medium_2060[[#This Row],[2040女]]</f>
        <v>2288995.0322889448</v>
      </c>
      <c r="G21" s="6">
        <f>Medium_2060[[#This Row],[2045女]]</f>
        <v>3716244.8955833921</v>
      </c>
      <c r="H21" s="6">
        <f>Medium_2060[[#This Row],[2050女]]</f>
        <v>6029714.6741920514</v>
      </c>
      <c r="I21" s="6">
        <f>Medium_2060[[#This Row],[2055女]]</f>
        <v>6485656.5773573872</v>
      </c>
      <c r="J21" s="6">
        <f>Medium_2060[[#This Row],[2060女]]</f>
        <v>9979546.3615754899</v>
      </c>
      <c r="K21" s="8">
        <v>271455</v>
      </c>
      <c r="L21" s="6">
        <f>Medium_2060[[#This Row],[2025男]]</f>
        <v>385387.98920000001</v>
      </c>
      <c r="M21" s="6">
        <f>Medium_2060[[#This Row],[2030男]]</f>
        <v>565534.12864661997</v>
      </c>
      <c r="N21" s="6">
        <f>Medium_2060[[#This Row],[2035男]]</f>
        <v>753966.99555968074</v>
      </c>
      <c r="O21" s="6">
        <f>Medium_2060[[#This Row],[2040男]]</f>
        <v>992633.14475973486</v>
      </c>
      <c r="P21" s="6">
        <f>Medium_2060[[#This Row],[2045男]]</f>
        <v>1513886.0190942136</v>
      </c>
      <c r="Q21" s="6">
        <f>Medium_2060[[#This Row],[2050男]]</f>
        <v>2277744.9824518226</v>
      </c>
      <c r="R21" s="6">
        <f>Medium_2060[[#This Row],[2055男]]</f>
        <v>2396341.4660836272</v>
      </c>
      <c r="S21" s="6">
        <f>Medium_2060[[#This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0.99982605095880939</v>
      </c>
      <c r="Y21" s="9">
        <f>(SUM(E$2:E21)+SUM(N$2:N21))/(SUM(E$2:E$22)+SUM(N$2:N$22))</f>
        <v>0.99972812937830779</v>
      </c>
      <c r="Z21" s="9">
        <f>(SUM(F$2:F21)+SUM(O$2:O21))/(SUM(F$2:F$22)+SUM(O$2:O$22))</f>
        <v>0.99962023300685654</v>
      </c>
      <c r="AA21" s="9">
        <f>(SUM(G$2:G21)+SUM(P$2:P21))/(SUM(G$2:G$22)+SUM(P$2:P$22))</f>
        <v>0.99946279521129278</v>
      </c>
      <c r="AB21" s="9">
        <f>(SUM(H$2:H21)+SUM(Q$2:Q21))/(SUM(H$2:H$22)+SUM(Q$2:Q$22))</f>
        <v>0.99911698700527429</v>
      </c>
      <c r="AC21" s="9">
        <f>(SUM(I$2:I21)+SUM(R$2:R21))/(SUM(I$2:I$22)+SUM(R$2:R$22))</f>
        <v>0.9985372898948891</v>
      </c>
      <c r="AD21" s="9">
        <f>(SUM(J$2:J21)+SUM(S$2:S21))/(SUM(J$2:J$22)+SUM(S$2:S$22))</f>
        <v>0.99835714623856753</v>
      </c>
    </row>
    <row r="22" spans="1:30" x14ac:dyDescent="0.2">
      <c r="A22" s="6" t="s">
        <v>37</v>
      </c>
      <c r="B22" s="7">
        <v>83737</v>
      </c>
      <c r="C22" s="6">
        <f>Medium_2060[[#This Row],[2025女]]</f>
        <v>118719.2905</v>
      </c>
      <c r="D22" s="6">
        <f>Medium_2060[[#This Row],[2030女]]</f>
        <v>163057.692056</v>
      </c>
      <c r="E22" s="6">
        <f>Medium_2060[[#This Row],[2035女]]</f>
        <v>264409.54601110803</v>
      </c>
      <c r="F22" s="6">
        <f>Medium_2060[[#This Row],[2040女]]</f>
        <v>376013.92218277138</v>
      </c>
      <c r="G22" s="6">
        <f>Medium_2060[[#This Row],[2045女]]</f>
        <v>542034.02364602219</v>
      </c>
      <c r="H22" s="6">
        <f>Medium_2060[[#This Row],[2050女]]</f>
        <v>898588.01575206418</v>
      </c>
      <c r="I22" s="6">
        <f>Medium_2060[[#This Row],[2055女]]</f>
        <v>1488133.5815905982</v>
      </c>
      <c r="J22" s="6">
        <f>Medium_2060[[#This Row],[2060女]]</f>
        <v>1632439.7605208543</v>
      </c>
      <c r="K22" s="8">
        <v>35129</v>
      </c>
      <c r="L22" s="6">
        <f>Medium_2060[[#This Row],[2025男]]</f>
        <v>61484.557500000003</v>
      </c>
      <c r="M22" s="6">
        <f>Medium_2060[[#This Row],[2030男]]</f>
        <v>83860.426449919993</v>
      </c>
      <c r="N22" s="6">
        <f>Medium_2060[[#This Row],[2035男]]</f>
        <v>117970.41923568492</v>
      </c>
      <c r="O22" s="6">
        <f>Medium_2060[[#This Row],[2040男]]</f>
        <v>150341.01891460034</v>
      </c>
      <c r="P22" s="6">
        <f>Medium_2060[[#This Row],[2045男]]</f>
        <v>188798.82413330159</v>
      </c>
      <c r="Q22" s="6">
        <f>Medium_2060[[#This Row],[2050男]]</f>
        <v>273861.98085414327</v>
      </c>
      <c r="R22" s="6">
        <f>Medium_2060[[#This Row],[2055男]]</f>
        <v>390405.48999224236</v>
      </c>
      <c r="S22" s="6">
        <f>Medium_2060[[#This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44.471105413019721</v>
      </c>
      <c r="Y23" s="3">
        <f t="shared" si="0"/>
        <v>47.341769142345264</v>
      </c>
      <c r="Z23" s="3">
        <f t="shared" si="0"/>
        <v>50.010429664129312</v>
      </c>
      <c r="AA23" s="3">
        <f t="shared" si="0"/>
        <v>51.551321321348318</v>
      </c>
      <c r="AB23" s="3">
        <f t="shared" si="0"/>
        <v>52.38572650267605</v>
      </c>
      <c r="AC23" s="3">
        <f t="shared" si="0"/>
        <v>52.760859239937531</v>
      </c>
      <c r="AD23" s="3">
        <f t="shared" si="0"/>
        <v>53.419274223133272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>SUM(C2:C22)/100000000</f>
        <v>6.9790683701625351</v>
      </c>
      <c r="D25" s="3">
        <f t="shared" ref="D25:J25" si="1">SUM(D2:D22)/100000000</f>
        <v>6.9984185156565788</v>
      </c>
      <c r="E25" s="3">
        <f t="shared" si="1"/>
        <v>6.9717559618088591</v>
      </c>
      <c r="F25" s="3">
        <f t="shared" si="1"/>
        <v>6.9076716418951429</v>
      </c>
      <c r="G25" s="3">
        <f t="shared" si="1"/>
        <v>6.8150585140044893</v>
      </c>
      <c r="H25" s="3">
        <f t="shared" si="1"/>
        <v>6.6822110617042876</v>
      </c>
      <c r="I25" s="3">
        <f t="shared" si="1"/>
        <v>6.4901427878436735</v>
      </c>
      <c r="J25" s="3">
        <f t="shared" si="1"/>
        <v>6.2353749692024776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7.1964351504300641</v>
      </c>
      <c r="N25" s="3">
        <f t="shared" si="2"/>
        <v>7.0930209849117896</v>
      </c>
      <c r="O25" s="3">
        <f t="shared" si="2"/>
        <v>6.9522727608679045</v>
      </c>
      <c r="P25" s="3">
        <f t="shared" si="2"/>
        <v>6.7893036052918152</v>
      </c>
      <c r="Q25" s="3">
        <f t="shared" si="2"/>
        <v>6.5956229408445672</v>
      </c>
      <c r="R25" s="3">
        <f>SUM(R2:R22)/100000000</f>
        <v>6.3527237857782479</v>
      </c>
      <c r="S25" s="3">
        <f t="shared" si="2"/>
        <v>6.0627826106797746</v>
      </c>
      <c r="W25">
        <f t="shared" ref="W25:X25" si="3">((0.5-W9)/(W10-W9)*5)+$U10</f>
        <v>41.860793424246822</v>
      </c>
      <c r="X25">
        <f t="shared" si="3"/>
        <v>44.471105413019721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7.1964351504300641</v>
      </c>
      <c r="E26" s="3">
        <f t="shared" si="4"/>
        <v>7.0930209849117896</v>
      </c>
      <c r="F26" s="3">
        <f t="shared" si="4"/>
        <v>6.9522727608679045</v>
      </c>
      <c r="G26" s="3">
        <f t="shared" si="4"/>
        <v>6.7893036052918152</v>
      </c>
      <c r="H26" s="3">
        <f t="shared" si="4"/>
        <v>6.5956229408445672</v>
      </c>
      <c r="I26" s="3">
        <f t="shared" si="4"/>
        <v>6.3527237857782479</v>
      </c>
      <c r="J26" s="3">
        <f t="shared" si="4"/>
        <v>6.0627826106797746</v>
      </c>
      <c r="W26"/>
      <c r="X26"/>
      <c r="Y26">
        <f t="shared" ref="Y26" si="5">((0.5-Y10)/(Y11-Y10)*5)+$U11</f>
        <v>47.341769142345264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14.194853666086644</v>
      </c>
      <c r="E27" s="3">
        <f t="shared" si="6"/>
        <v>14.064776946720649</v>
      </c>
      <c r="F27" s="3">
        <f t="shared" si="6"/>
        <v>13.859944402763048</v>
      </c>
      <c r="G27" s="3">
        <f t="shared" si="6"/>
        <v>13.604362119296304</v>
      </c>
      <c r="H27" s="3">
        <f t="shared" si="6"/>
        <v>13.277834002548854</v>
      </c>
      <c r="I27" s="3">
        <f t="shared" si="6"/>
        <v>12.842866573621922</v>
      </c>
      <c r="J27" s="3">
        <f t="shared" si="6"/>
        <v>12.298157579882252</v>
      </c>
      <c r="W27"/>
      <c r="X27"/>
      <c r="Y27"/>
      <c r="Z27">
        <f t="shared" ref="Z27:AC27" si="7">((0.5-Z11)/(Z12-Z11)*5)+$U12</f>
        <v>50.010429664129312</v>
      </c>
      <c r="AA27">
        <f t="shared" si="7"/>
        <v>51.551321321348318</v>
      </c>
      <c r="AB27">
        <f t="shared" si="7"/>
        <v>52.38572650267605</v>
      </c>
      <c r="AC27">
        <f t="shared" si="7"/>
        <v>52.760859239937531</v>
      </c>
      <c r="AD27">
        <f t="shared" ref="AD27" si="8">((0.5-AD11)/(AD12-AD11)*5)+$U12</f>
        <v>53.419274223133272</v>
      </c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9">L25/C25</f>
        <v>1.0385748219776874</v>
      </c>
      <c r="D28" s="2">
        <f t="shared" si="9"/>
        <v>1.028294483150799</v>
      </c>
      <c r="E28" s="2">
        <f t="shared" si="9"/>
        <v>1.0173937561451114</v>
      </c>
      <c r="F28" s="2">
        <f t="shared" si="9"/>
        <v>1.0064567514619911</v>
      </c>
      <c r="G28" s="2">
        <f t="shared" si="9"/>
        <v>0.99622088223310934</v>
      </c>
      <c r="H28" s="2">
        <f t="shared" si="9"/>
        <v>0.98704199552211747</v>
      </c>
      <c r="I28" s="2">
        <f t="shared" si="9"/>
        <v>0.97882650558585282</v>
      </c>
      <c r="J28" s="2">
        <f t="shared" si="9"/>
        <v>0.97232045235849252</v>
      </c>
      <c r="W28"/>
      <c r="X28"/>
      <c r="Y28"/>
      <c r="Z28"/>
      <c r="AA28"/>
      <c r="AB28"/>
      <c r="AC28"/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0">SUM(C15:C22)/(C25*10^8)</f>
        <v>0.1721235544614709</v>
      </c>
      <c r="D29" s="2">
        <f t="shared" si="10"/>
        <v>0.21453394441539353</v>
      </c>
      <c r="E29" s="2">
        <f t="shared" si="10"/>
        <v>0.26524287328962787</v>
      </c>
      <c r="F29" s="2">
        <f t="shared" si="10"/>
        <v>0.30553875797295815</v>
      </c>
      <c r="G29" s="2">
        <f t="shared" si="10"/>
        <v>0.32620293283836699</v>
      </c>
      <c r="H29" s="2">
        <f t="shared" si="10"/>
        <v>0.34713657214011551</v>
      </c>
      <c r="I29" s="2">
        <f t="shared" si="10"/>
        <v>0.38435766388178116</v>
      </c>
      <c r="J29" s="2">
        <f t="shared" si="10"/>
        <v>0.39749914215915355</v>
      </c>
      <c r="K29" s="2">
        <f t="shared" ref="K29:S29" si="11">SUM(K15:K22)/(K25*10^8)</f>
        <v>0.12546202408591231</v>
      </c>
      <c r="L29" s="2">
        <f t="shared" si="11"/>
        <v>0.14752174745050295</v>
      </c>
      <c r="M29" s="2">
        <f t="shared" si="11"/>
        <v>0.18216735968593523</v>
      </c>
      <c r="N29" s="2">
        <f t="shared" si="11"/>
        <v>0.22406229621226728</v>
      </c>
      <c r="O29" s="2">
        <f t="shared" si="11"/>
        <v>0.25674313236000151</v>
      </c>
      <c r="P29" s="2">
        <f t="shared" si="11"/>
        <v>0.27105615449100046</v>
      </c>
      <c r="Q29" s="2">
        <f t="shared" si="11"/>
        <v>0.28668132173727318</v>
      </c>
      <c r="R29" s="2">
        <f t="shared" si="11"/>
        <v>0.31932420302387071</v>
      </c>
      <c r="S29" s="2">
        <f t="shared" si="11"/>
        <v>0.3309540115171542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2">L29</f>
        <v>0.14752174745050295</v>
      </c>
      <c r="D30" s="2">
        <f t="shared" si="12"/>
        <v>0.18216735968593523</v>
      </c>
      <c r="E30" s="2">
        <f t="shared" si="12"/>
        <v>0.22406229621226728</v>
      </c>
      <c r="F30" s="2">
        <f t="shared" si="12"/>
        <v>0.25674313236000151</v>
      </c>
      <c r="G30" s="2">
        <f t="shared" si="12"/>
        <v>0.27105615449100046</v>
      </c>
      <c r="H30" s="2">
        <f t="shared" si="12"/>
        <v>0.28668132173727318</v>
      </c>
      <c r="I30" s="2">
        <f t="shared" si="12"/>
        <v>0.31932420302387071</v>
      </c>
      <c r="J30" s="2">
        <f t="shared" si="12"/>
        <v>0.3309540115171542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3">(SUM(C15:C22)+SUM(L15:L22))/(C27*10^8)</f>
        <v>0.15958988777370234</v>
      </c>
      <c r="D31" s="2">
        <f t="shared" si="13"/>
        <v>0.19812489691651494</v>
      </c>
      <c r="E31" s="2">
        <f t="shared" si="13"/>
        <v>0.24447505745529283</v>
      </c>
      <c r="F31" s="2">
        <f t="shared" si="13"/>
        <v>0.28106243332544822</v>
      </c>
      <c r="G31" s="2">
        <f t="shared" si="13"/>
        <v>0.29868174384245316</v>
      </c>
      <c r="H31" s="2">
        <f t="shared" si="13"/>
        <v>0.31710606894396576</v>
      </c>
      <c r="I31" s="2">
        <f t="shared" si="13"/>
        <v>0.35218886330325005</v>
      </c>
      <c r="J31" s="2">
        <f t="shared" si="13"/>
        <v>0.36469352406057731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4">(D2+M2)/50000</f>
        <v>994.87877789969366</v>
      </c>
      <c r="E32" s="1">
        <f t="shared" si="14"/>
        <v>954.3893240799797</v>
      </c>
      <c r="F32" s="1">
        <f t="shared" si="14"/>
        <v>972.66704113329683</v>
      </c>
      <c r="G32" s="1">
        <f t="shared" si="14"/>
        <v>1033.625262121685</v>
      </c>
      <c r="H32" s="1">
        <f t="shared" si="14"/>
        <v>1035.8221566256705</v>
      </c>
      <c r="I32" s="1">
        <f t="shared" si="14"/>
        <v>936.03221291432965</v>
      </c>
      <c r="J32" s="1">
        <f t="shared" si="14"/>
        <v>800.26569854635568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5">(SUM(C2:C22)-SUM(D3:D22)+SUM(L2:L22)-SUM(M3:M22))/50000</f>
        <v>1059.8775662748026</v>
      </c>
      <c r="E33" s="1">
        <f t="shared" si="15"/>
        <v>1214.5427628119635</v>
      </c>
      <c r="F33" s="1">
        <f t="shared" si="15"/>
        <v>1382.3321290484976</v>
      </c>
      <c r="G33" s="1">
        <f t="shared" si="15"/>
        <v>1544.7898290551709</v>
      </c>
      <c r="H33" s="1">
        <f t="shared" si="15"/>
        <v>1688.8783901205707</v>
      </c>
      <c r="I33" s="1">
        <f t="shared" si="15"/>
        <v>1805.9670707681894</v>
      </c>
      <c r="J33" s="1">
        <f t="shared" si="15"/>
        <v>1889.6836860256888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6">SUM(C2:C4)/10000</f>
        <v>10779.562503635365</v>
      </c>
      <c r="D36" s="4">
        <f t="shared" si="16"/>
        <v>8975.7541421501628</v>
      </c>
      <c r="E36" s="4">
        <f t="shared" si="16"/>
        <v>7616.842106190953</v>
      </c>
      <c r="F36" s="4">
        <f t="shared" si="16"/>
        <v>7112.1399402181505</v>
      </c>
      <c r="G36" s="4">
        <f t="shared" si="16"/>
        <v>7207.3235827132521</v>
      </c>
      <c r="H36" s="4">
        <f t="shared" si="16"/>
        <v>7405.6483238244264</v>
      </c>
      <c r="I36" s="4">
        <f t="shared" si="16"/>
        <v>7316.0575596456629</v>
      </c>
      <c r="J36" s="4">
        <f t="shared" si="16"/>
        <v>6747.9843861932586</v>
      </c>
      <c r="K36" s="4">
        <f t="shared" si="16"/>
        <v>13459.357900000001</v>
      </c>
      <c r="L36" s="4">
        <f t="shared" si="16"/>
        <v>11902.601379726633</v>
      </c>
      <c r="M36" s="4">
        <f t="shared" si="16"/>
        <v>9639.564860070288</v>
      </c>
      <c r="N36" s="4">
        <f t="shared" si="16"/>
        <v>7993.9949745509994</v>
      </c>
      <c r="O36" s="4">
        <f t="shared" si="16"/>
        <v>7464.4993803068191</v>
      </c>
      <c r="P36" s="4">
        <f t="shared" si="16"/>
        <v>7564.4912857406616</v>
      </c>
      <c r="Q36" s="4">
        <f t="shared" si="16"/>
        <v>7773.1140293880771</v>
      </c>
      <c r="R36" s="4">
        <f t="shared" si="16"/>
        <v>7679.2125804346178</v>
      </c>
      <c r="S36" s="4">
        <f t="shared" si="16"/>
        <v>7082.859890278758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7">SUM(C5:C14)/10000</f>
        <v>46998.500650969996</v>
      </c>
      <c r="D37" s="4">
        <f t="shared" si="17"/>
        <v>45994.447726080354</v>
      </c>
      <c r="E37" s="4">
        <f t="shared" si="17"/>
        <v>43608.631680054888</v>
      </c>
      <c r="F37" s="4">
        <f t="shared" si="17"/>
        <v>40858.962339236619</v>
      </c>
      <c r="G37" s="4">
        <f t="shared" si="17"/>
        <v>38712.340809998175</v>
      </c>
      <c r="H37" s="4">
        <f t="shared" si="17"/>
        <v>36220.063870450569</v>
      </c>
      <c r="I37" s="4">
        <f t="shared" si="17"/>
        <v>32640.009116843212</v>
      </c>
      <c r="J37" s="4">
        <f t="shared" si="17"/>
        <v>30820.20329284509</v>
      </c>
      <c r="K37" s="4">
        <f t="shared" si="17"/>
        <v>49631.2454</v>
      </c>
      <c r="L37" s="4">
        <f t="shared" si="17"/>
        <v>49887.449286349998</v>
      </c>
      <c r="M37" s="4">
        <f t="shared" si="17"/>
        <v>49215.230739181352</v>
      </c>
      <c r="N37" s="4">
        <f t="shared" si="17"/>
        <v>47043.429184955574</v>
      </c>
      <c r="O37" s="4">
        <f t="shared" si="17"/>
        <v>44208.745371908823</v>
      </c>
      <c r="P37" s="4">
        <f t="shared" si="17"/>
        <v>41925.719497954648</v>
      </c>
      <c r="Q37" s="4">
        <f t="shared" si="17"/>
        <v>39274.696355437576</v>
      </c>
      <c r="R37" s="4">
        <f t="shared" si="17"/>
        <v>35562.240678103612</v>
      </c>
      <c r="S37" s="4">
        <f t="shared" si="17"/>
        <v>33479.943956909847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8">SUM(C15:C22)/10000</f>
        <v>12012.62054702</v>
      </c>
      <c r="D38" s="4">
        <f t="shared" si="18"/>
        <v>15013.983288335294</v>
      </c>
      <c r="E38" s="4">
        <f t="shared" si="18"/>
        <v>18492.085831842749</v>
      </c>
      <c r="F38" s="4">
        <f t="shared" si="18"/>
        <v>21105.614139496662</v>
      </c>
      <c r="G38" s="4">
        <f t="shared" si="18"/>
        <v>22230.920747333475</v>
      </c>
      <c r="H38" s="4">
        <f t="shared" si="18"/>
        <v>23196.398422767885</v>
      </c>
      <c r="I38" s="4">
        <f t="shared" si="18"/>
        <v>24945.361201947846</v>
      </c>
      <c r="J38" s="4">
        <f t="shared" si="18"/>
        <v>24785.562012986433</v>
      </c>
      <c r="K38" s="4">
        <f t="shared" si="18"/>
        <v>9051.0360999999994</v>
      </c>
      <c r="L38" s="4">
        <f t="shared" si="18"/>
        <v>10692.796235039999</v>
      </c>
      <c r="M38" s="4">
        <f t="shared" si="18"/>
        <v>13109.55590504901</v>
      </c>
      <c r="N38" s="4">
        <f t="shared" si="18"/>
        <v>15892.785689611334</v>
      </c>
      <c r="O38" s="4">
        <f t="shared" si="18"/>
        <v>17849.482856463415</v>
      </c>
      <c r="P38" s="4">
        <f t="shared" si="18"/>
        <v>18402.825269222845</v>
      </c>
      <c r="Q38" s="4">
        <f t="shared" si="18"/>
        <v>18908.419023620012</v>
      </c>
      <c r="R38" s="4">
        <f t="shared" si="18"/>
        <v>20285.784599244256</v>
      </c>
      <c r="S38" s="4">
        <f t="shared" si="18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9">(C36+L36)/(C37+L37)*100</f>
        <v>23.411200383581047</v>
      </c>
      <c r="D39">
        <f t="shared" si="19"/>
        <v>19.551918777892368</v>
      </c>
      <c r="E39">
        <f t="shared" si="19"/>
        <v>17.220609142011646</v>
      </c>
      <c r="F39">
        <f t="shared" si="19"/>
        <v>17.13533808859782</v>
      </c>
      <c r="G39">
        <f t="shared" si="19"/>
        <v>18.318663435158378</v>
      </c>
      <c r="H39">
        <f t="shared" si="19"/>
        <v>20.105716354083484</v>
      </c>
      <c r="I39">
        <f t="shared" si="19"/>
        <v>21.986474324768235</v>
      </c>
      <c r="J39">
        <f t="shared" si="19"/>
        <v>21.509817423512555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0">(C38+L38)/(C37+L37)*100</f>
        <v>23.435200662995186</v>
      </c>
      <c r="D40">
        <f t="shared" si="20"/>
        <v>29.538529744794261</v>
      </c>
      <c r="E40">
        <f t="shared" si="20"/>
        <v>37.930601018168169</v>
      </c>
      <c r="F40">
        <f t="shared" si="20"/>
        <v>45.793048906684291</v>
      </c>
      <c r="G40">
        <f t="shared" si="20"/>
        <v>50.39028203478361</v>
      </c>
      <c r="H40">
        <f t="shared" si="20"/>
        <v>55.771840748160443</v>
      </c>
      <c r="I40">
        <f t="shared" si="20"/>
        <v>66.319140405458185</v>
      </c>
      <c r="J40">
        <f t="shared" si="20"/>
        <v>69.751915339146493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1">C27</f>
        <v>14.227353060274199</v>
      </c>
      <c r="P57" s="5">
        <f t="shared" si="21"/>
        <v>14.194853666086644</v>
      </c>
      <c r="Q57" s="5">
        <f t="shared" si="21"/>
        <v>14.064776946720649</v>
      </c>
      <c r="R57" s="5">
        <f t="shared" si="21"/>
        <v>13.859944402763048</v>
      </c>
      <c r="S57" s="5">
        <f t="shared" si="21"/>
        <v>13.604362119296304</v>
      </c>
      <c r="T57" s="5">
        <f t="shared" si="21"/>
        <v>13.277834002548854</v>
      </c>
      <c r="U57" s="5">
        <f t="shared" si="21"/>
        <v>12.842866573621922</v>
      </c>
      <c r="V57" s="5">
        <f t="shared" si="21"/>
        <v>12.298157579882252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2">C26</f>
        <v>7.2482846901116638</v>
      </c>
      <c r="P62" s="5">
        <f t="shared" si="22"/>
        <v>7.1964351504300641</v>
      </c>
      <c r="Q62" s="5">
        <f t="shared" si="22"/>
        <v>7.0930209849117896</v>
      </c>
      <c r="R62" s="5">
        <f t="shared" si="22"/>
        <v>6.9522727608679045</v>
      </c>
      <c r="S62" s="5">
        <f t="shared" si="22"/>
        <v>6.7893036052918152</v>
      </c>
      <c r="T62" s="5">
        <f t="shared" si="22"/>
        <v>6.5956229408445672</v>
      </c>
      <c r="U62" s="5">
        <f t="shared" si="22"/>
        <v>6.3527237857782479</v>
      </c>
      <c r="V62" s="5">
        <f t="shared" si="22"/>
        <v>6.0627826106797746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3">C25</f>
        <v>6.9790683701625351</v>
      </c>
      <c r="P67" s="5">
        <f t="shared" si="23"/>
        <v>6.9984185156565788</v>
      </c>
      <c r="Q67" s="5">
        <f t="shared" si="23"/>
        <v>6.9717559618088591</v>
      </c>
      <c r="R67" s="5">
        <f t="shared" si="23"/>
        <v>6.9076716418951429</v>
      </c>
      <c r="S67" s="5">
        <f t="shared" si="23"/>
        <v>6.8150585140044893</v>
      </c>
      <c r="T67" s="5">
        <f t="shared" si="23"/>
        <v>6.6822110617042876</v>
      </c>
      <c r="U67" s="5">
        <f t="shared" si="23"/>
        <v>6.4901427878436735</v>
      </c>
      <c r="V67" s="5">
        <f t="shared" si="23"/>
        <v>6.2353749692024776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4">C32</f>
        <v>1180.4343156804002</v>
      </c>
      <c r="P72" s="5">
        <f t="shared" si="24"/>
        <v>994.87877789969366</v>
      </c>
      <c r="Q72" s="5">
        <f t="shared" si="24"/>
        <v>954.3893240799797</v>
      </c>
      <c r="R72" s="5">
        <f t="shared" si="24"/>
        <v>972.66704113329683</v>
      </c>
      <c r="S72" s="5">
        <f t="shared" si="24"/>
        <v>1033.625262121685</v>
      </c>
      <c r="T72" s="5">
        <f t="shared" si="24"/>
        <v>1035.8221566256705</v>
      </c>
      <c r="U72" s="5">
        <f t="shared" si="24"/>
        <v>936.03221291432965</v>
      </c>
      <c r="V72" s="5">
        <f t="shared" si="24"/>
        <v>800.26569854635568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5">C33</f>
        <v>921.30267513200045</v>
      </c>
      <c r="P77" s="5">
        <f t="shared" si="25"/>
        <v>1059.8775662748026</v>
      </c>
      <c r="Q77" s="5">
        <f t="shared" si="25"/>
        <v>1214.5427628119635</v>
      </c>
      <c r="R77" s="5">
        <f t="shared" si="25"/>
        <v>1382.3321290484976</v>
      </c>
      <c r="S77" s="5">
        <f t="shared" si="25"/>
        <v>1544.7898290551709</v>
      </c>
      <c r="T77" s="5">
        <f t="shared" si="25"/>
        <v>1688.8783901205707</v>
      </c>
      <c r="U77" s="5">
        <f t="shared" si="25"/>
        <v>1805.9670707681894</v>
      </c>
      <c r="V77" s="5">
        <f t="shared" si="25"/>
        <v>1889.6836860256888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6">B36+K36</f>
        <v>25338.393800000002</v>
      </c>
      <c r="O89" s="4">
        <f t="shared" si="26"/>
        <v>22682.163883361998</v>
      </c>
      <c r="P89" s="4">
        <f t="shared" si="26"/>
        <v>18615.319002220451</v>
      </c>
      <c r="Q89" s="4">
        <f t="shared" si="26"/>
        <v>15610.837080741952</v>
      </c>
      <c r="R89" s="4">
        <f t="shared" si="26"/>
        <v>14576.63932052497</v>
      </c>
      <c r="S89" s="4">
        <f t="shared" si="26"/>
        <v>14771.814868453914</v>
      </c>
      <c r="T89" s="4">
        <f t="shared" si="26"/>
        <v>15178.762353212504</v>
      </c>
      <c r="U89" s="4">
        <f t="shared" si="26"/>
        <v>14995.27014008028</v>
      </c>
      <c r="V89" s="4">
        <f t="shared" si="26"/>
        <v>13830.844276472017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6"/>
        <v>96575.950599999996</v>
      </c>
      <c r="O90" s="4">
        <f t="shared" si="26"/>
        <v>96885.949937319994</v>
      </c>
      <c r="P90" s="4">
        <f t="shared" si="26"/>
        <v>95209.678465261706</v>
      </c>
      <c r="Q90" s="4">
        <f t="shared" si="26"/>
        <v>90652.060865010455</v>
      </c>
      <c r="R90" s="4">
        <f t="shared" si="26"/>
        <v>85067.707711145442</v>
      </c>
      <c r="S90" s="4">
        <f t="shared" si="26"/>
        <v>80638.060307952823</v>
      </c>
      <c r="T90" s="4">
        <f t="shared" si="26"/>
        <v>75494.760225888138</v>
      </c>
      <c r="U90" s="4">
        <f t="shared" si="26"/>
        <v>68202.249794946823</v>
      </c>
      <c r="V90" s="4">
        <f t="shared" si="26"/>
        <v>64300.14724975494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6"/>
        <v>19063.527999999998</v>
      </c>
      <c r="O91" s="4">
        <f t="shared" si="26"/>
        <v>22705.416782059998</v>
      </c>
      <c r="P91" s="4">
        <f t="shared" si="26"/>
        <v>28123.539193384306</v>
      </c>
      <c r="Q91" s="4">
        <f t="shared" si="26"/>
        <v>34384.871521454086</v>
      </c>
      <c r="R91" s="4">
        <f t="shared" si="26"/>
        <v>38955.096995960077</v>
      </c>
      <c r="S91" s="4">
        <f t="shared" si="26"/>
        <v>40633.746016556324</v>
      </c>
      <c r="T91" s="4">
        <f t="shared" si="26"/>
        <v>42104.817446387897</v>
      </c>
      <c r="U91" s="4">
        <f t="shared" si="26"/>
        <v>45231.145801192106</v>
      </c>
      <c r="V91" s="4">
        <f t="shared" si="26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109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3112-800B-4DEF-8083-BABF390DBFFD}">
  <dimension ref="A1:AE91"/>
  <sheetViews>
    <sheetView topLeftCell="G1" workbookViewId="0">
      <selection activeCell="AD24" sqref="AD24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High_2060[[#This Row],[2025女]]</f>
        <v>28791080.87025366</v>
      </c>
      <c r="D2" s="6">
        <f>High_2060[[#This Row],[2030女]]</f>
        <v>29273063.142052829</v>
      </c>
      <c r="E2" s="6">
        <f>High_2060[[#This Row],[2035女]]</f>
        <v>30702029.141034119</v>
      </c>
      <c r="F2" s="6">
        <f>High_2060[[#This Row],[2040女]]</f>
        <v>32818597.898029923</v>
      </c>
      <c r="G2" s="6">
        <f>High_2060[[#This Row],[2045女]]</f>
        <v>34236159.861315615</v>
      </c>
      <c r="H2" s="6">
        <f>High_2060[[#This Row],[2050女]]</f>
        <v>34426126.104119651</v>
      </c>
      <c r="I2" s="6">
        <f>High_2060[[#This Row],[2055女]]</f>
        <v>32214909.14630815</v>
      </c>
      <c r="J2" s="6">
        <f>High_2060[[#This Row],[2060女]]</f>
        <v>29406951.02942216</v>
      </c>
      <c r="K2" s="8">
        <v>40969331</v>
      </c>
      <c r="L2" s="6">
        <f>High_2060[[#This Row],[2025男]]</f>
        <v>30230634.913766347</v>
      </c>
      <c r="M2" s="6">
        <f>High_2060[[#This Row],[2030男]]</f>
        <v>30736716.299155474</v>
      </c>
      <c r="N2" s="6">
        <f>High_2060[[#This Row],[2035男]]</f>
        <v>32237130.598085828</v>
      </c>
      <c r="O2" s="6">
        <f>High_2060[[#This Row],[2040男]]</f>
        <v>34459527.792931423</v>
      </c>
      <c r="P2" s="6">
        <f>High_2060[[#This Row],[2045男]]</f>
        <v>35947967.854381405</v>
      </c>
      <c r="Q2" s="6">
        <f>High_2060[[#This Row],[2050男]]</f>
        <v>36147432.409325637</v>
      </c>
      <c r="R2" s="6">
        <f>High_2060[[#This Row],[2055男]]</f>
        <v>33825654.603623562</v>
      </c>
      <c r="S2" s="6">
        <f>High_2060[[#This Row],[2060男]]</f>
        <v>30877298.580893267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4.19721830909476E-2</v>
      </c>
      <c r="Y2" s="9">
        <f>(SUM(E$2:E2)+SUM(N$2:N2))/(SUM(E$2:E$22)+SUM(N$2:N$22))</f>
        <v>4.3954018834253053E-2</v>
      </c>
      <c r="Z2" s="9">
        <f>(SUM(F$2:F2)+SUM(O$2:O2))/(SUM(F$2:F$22)+SUM(O$2:O$22))</f>
        <v>4.704631069928112E-2</v>
      </c>
      <c r="AA2" s="9">
        <f>(SUM(G$2:G2)+SUM(P$2:P2))/(SUM(G$2:G$22)+SUM(P$2:P$22))</f>
        <v>4.9324236666773554E-2</v>
      </c>
      <c r="AB2" s="9">
        <f>(SUM(H$2:H2)+SUM(Q$2:Q2))/(SUM(H$2:H$22)+SUM(Q$2:Q$22))</f>
        <v>5.0089224591525781E-2</v>
      </c>
      <c r="AC2" s="9">
        <f>(SUM(I$2:I2)+SUM(R$2:R2))/(SUM(I$2:I$22)+SUM(R$2:R$22))</f>
        <v>4.7696866644317826E-2</v>
      </c>
      <c r="AD2" s="9">
        <f>(SUM(J$2:J2)+SUM(S$2:S2))/(SUM(J$2:J$22)+SUM(S$2:S$22))</f>
        <v>4.4646747434152548E-2</v>
      </c>
    </row>
    <row r="3" spans="1:30" x14ac:dyDescent="0.2">
      <c r="A3" s="6" t="s">
        <v>18</v>
      </c>
      <c r="B3" s="7">
        <v>42226598</v>
      </c>
      <c r="C3" s="6">
        <f>High_2060[[#This Row],[2025女]]</f>
        <v>36807504.784699999</v>
      </c>
      <c r="D3" s="6">
        <f>High_2060[[#This Row],[2030女]]</f>
        <v>28710465.843816947</v>
      </c>
      <c r="E3" s="6">
        <f>High_2060[[#This Row],[2035女]]</f>
        <v>29191098.565255079</v>
      </c>
      <c r="F3" s="6">
        <f>High_2060[[#This Row],[2040女]]</f>
        <v>30619133.662353326</v>
      </c>
      <c r="G3" s="6">
        <f>High_2060[[#This Row],[2045女]]</f>
        <v>32729987.68370524</v>
      </c>
      <c r="H3" s="6">
        <f>High_2060[[#This Row],[2050女]]</f>
        <v>34147145.845676191</v>
      </c>
      <c r="I3" s="6">
        <f>High_2060[[#This Row],[2055女]]</f>
        <v>34336618.176248938</v>
      </c>
      <c r="J3" s="6">
        <f>High_2060[[#This Row],[2060女]]</f>
        <v>32134371.873442382</v>
      </c>
      <c r="K3" s="8">
        <v>48017458</v>
      </c>
      <c r="L3" s="6">
        <f>High_2060[[#This Row],[2025男]]</f>
        <v>40825938.341499999</v>
      </c>
      <c r="M3" s="6">
        <f>High_2060[[#This Row],[2030男]]</f>
        <v>30127850.755059544</v>
      </c>
      <c r="N3" s="6">
        <f>High_2060[[#This Row],[2035男]]</f>
        <v>30635285.135368261</v>
      </c>
      <c r="O3" s="6">
        <f>High_2060[[#This Row],[2040男]]</f>
        <v>32130748.067112144</v>
      </c>
      <c r="P3" s="6">
        <f>High_2060[[#This Row],[2045男]]</f>
        <v>34349257.303994045</v>
      </c>
      <c r="Q3" s="6">
        <f>High_2060[[#This Row],[2050男]]</f>
        <v>35836529.154032826</v>
      </c>
      <c r="R3" s="6">
        <f>High_2060[[#This Row],[2055男]]</f>
        <v>36038990.112097658</v>
      </c>
      <c r="S3" s="6">
        <f>High_2060[[#This Row],[2060男]]</f>
        <v>33724177.639812693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8.3125018846170295E-2</v>
      </c>
      <c r="Y3" s="9">
        <f>(SUM(E$2:E3)+SUM(N$2:N3))/(SUM(E$2:E$22)+SUM(N$2:N$22))</f>
        <v>8.5734207938493817E-2</v>
      </c>
      <c r="Z3" s="9">
        <f>(SUM(F$2:F3)+SUM(O$2:O3))/(SUM(F$2:F$22)+SUM(O$2:O$22))</f>
        <v>9.0926106723149699E-2</v>
      </c>
      <c r="AA3" s="9">
        <f>(SUM(G$2:G3)+SUM(P$2:P3))/(SUM(G$2:G$22)+SUM(P$2:P$22))</f>
        <v>9.6466413436490261E-2</v>
      </c>
      <c r="AB3" s="9">
        <f>(SUM(H$2:H3)+SUM(Q$2:Q3))/(SUM(H$2:H$22)+SUM(Q$2:Q$22))</f>
        <v>9.9759782356201018E-2</v>
      </c>
      <c r="AC3" s="9">
        <f>(SUM(I$2:I3)+SUM(R$2:R3))/(SUM(I$2:I$22)+SUM(R$2:R$22))</f>
        <v>9.8524658124905962E-2</v>
      </c>
      <c r="AD3" s="9">
        <f>(SUM(J$2:J3)+SUM(S$2:S3))/(SUM(J$2:J$22)+SUM(S$2:S$22))</f>
        <v>9.3421842844725489E-2</v>
      </c>
    </row>
    <row r="4" spans="1:30" x14ac:dyDescent="0.2">
      <c r="A4" s="6" t="s">
        <v>19</v>
      </c>
      <c r="B4" s="7">
        <v>39649204</v>
      </c>
      <c r="C4" s="6">
        <f>High_2060[[#This Row],[2025女]]</f>
        <v>42197039.381399997</v>
      </c>
      <c r="D4" s="6">
        <f>High_2060[[#This Row],[2030女]]</f>
        <v>36781739.531350709</v>
      </c>
      <c r="E4" s="6">
        <f>High_2060[[#This Row],[2035女]]</f>
        <v>28693239.564310655</v>
      </c>
      <c r="F4" s="6">
        <f>High_2060[[#This Row],[2040女]]</f>
        <v>29173583.906115927</v>
      </c>
      <c r="G4" s="6">
        <f>High_2060[[#This Row],[2045女]]</f>
        <v>30603824.09552215</v>
      </c>
      <c r="H4" s="6">
        <f>High_2060[[#This Row],[2050女]]</f>
        <v>32713622.689863391</v>
      </c>
      <c r="I4" s="6">
        <f>High_2060[[#This Row],[2055女]]</f>
        <v>34130072.272753358</v>
      </c>
      <c r="J4" s="6">
        <f>High_2060[[#This Row],[2060女]]</f>
        <v>34322883.528978437</v>
      </c>
      <c r="K4" s="8">
        <v>45606790</v>
      </c>
      <c r="L4" s="6">
        <f>High_2060[[#This Row],[2025男]]</f>
        <v>47969440.542000003</v>
      </c>
      <c r="M4" s="6">
        <f>High_2060[[#This Row],[2030男]]</f>
        <v>40789194.996992648</v>
      </c>
      <c r="N4" s="6">
        <f>High_2060[[#This Row],[2035男]]</f>
        <v>30103748.474455494</v>
      </c>
      <c r="O4" s="6">
        <f>High_2060[[#This Row],[2040男]]</f>
        <v>30610776.907259967</v>
      </c>
      <c r="P4" s="6">
        <f>High_2060[[#This Row],[2045男]]</f>
        <v>32108256.543465164</v>
      </c>
      <c r="Q4" s="6">
        <f>High_2060[[#This Row],[2050男]]</f>
        <v>34328647.749611646</v>
      </c>
      <c r="R4" s="6">
        <f>High_2060[[#This Row],[2055男]]</f>
        <v>35815027.236540407</v>
      </c>
      <c r="S4" s="6">
        <f>High_2060[[#This Row],[2060男]]</f>
        <v>36020970.61704161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0.13737986692054577</v>
      </c>
      <c r="Y4" s="9">
        <f>(SUM(E$2:E4)+SUM(N$2:N4))/(SUM(E$2:E$22)+SUM(N$2:N$22))</f>
        <v>0.12679551111389928</v>
      </c>
      <c r="Z4" s="9">
        <f>(SUM(F$2:F4)+SUM(O$2:O4))/(SUM(F$2:F$22)+SUM(O$2:O$22))</f>
        <v>0.13273217050536176</v>
      </c>
      <c r="AA4" s="9">
        <f>(SUM(G$2:G4)+SUM(P$2:P4))/(SUM(G$2:G$22)+SUM(P$2:P$22))</f>
        <v>0.14053941979817486</v>
      </c>
      <c r="AB4" s="9">
        <f>(SUM(H$2:H4)+SUM(Q$2:Q4))/(SUM(H$2:H$22)+SUM(Q$2:Q$22))</f>
        <v>0.14734269317865739</v>
      </c>
      <c r="AC4" s="9">
        <f>(SUM(I$2:I4)+SUM(R$2:R4))/(SUM(I$2:I$22)+SUM(R$2:R$22))</f>
        <v>0.14904152070577353</v>
      </c>
      <c r="AD4" s="9">
        <f>(SUM(J$2:J4)+SUM(S$2:S4))/(SUM(J$2:J$22)+SUM(S$2:S$22))</f>
        <v>0.14551877214057957</v>
      </c>
    </row>
    <row r="5" spans="1:30" x14ac:dyDescent="0.2">
      <c r="A5" s="6" t="s">
        <v>20</v>
      </c>
      <c r="B5" s="7">
        <v>33630797</v>
      </c>
      <c r="C5" s="6">
        <f>High_2060[[#This Row],[2025女]]</f>
        <v>39609554.795999996</v>
      </c>
      <c r="D5" s="6">
        <f>High_2060[[#This Row],[2030女]]</f>
        <v>42159062.045956738</v>
      </c>
      <c r="E5" s="6">
        <f>High_2060[[#This Row],[2035女]]</f>
        <v>36752314.139725626</v>
      </c>
      <c r="F5" s="6">
        <f>High_2060[[#This Row],[2040女]]</f>
        <v>28673154.296615638</v>
      </c>
      <c r="G5" s="6">
        <f>High_2060[[#This Row],[2045女]]</f>
        <v>29156079.755772255</v>
      </c>
      <c r="H5" s="6">
        <f>High_2060[[#This Row],[2050女]]</f>
        <v>30585461.801064834</v>
      </c>
      <c r="I5" s="6">
        <f>High_2060[[#This Row],[2055女]]</f>
        <v>32697265.878518462</v>
      </c>
      <c r="J5" s="6">
        <f>High_2060[[#This Row],[2060女]]</f>
        <v>34116420.243844256</v>
      </c>
      <c r="K5" s="8">
        <v>39053343</v>
      </c>
      <c r="L5" s="6">
        <f>High_2060[[#This Row],[2025男]]</f>
        <v>45547501.173</v>
      </c>
      <c r="M5" s="6">
        <f>High_2060[[#This Row],[2030男]]</f>
        <v>47911877.213349603</v>
      </c>
      <c r="N5" s="6">
        <f>High_2060[[#This Row],[2035男]]</f>
        <v>40748405.801995657</v>
      </c>
      <c r="O5" s="6">
        <f>High_2060[[#This Row],[2040男]]</f>
        <v>30076655.100828484</v>
      </c>
      <c r="P5" s="6">
        <f>High_2060[[#This Row],[2045男]]</f>
        <v>30586288.285734158</v>
      </c>
      <c r="Q5" s="6">
        <f>High_2060[[#This Row],[2050男]]</f>
        <v>32085780.763884738</v>
      </c>
      <c r="R5" s="6">
        <f>High_2060[[#This Row],[2055男]]</f>
        <v>34308050.56096188</v>
      </c>
      <c r="S5" s="6">
        <f>High_2060[[#This Row],[2060男]]</f>
        <v>35793538.220198482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0.20037749812278943</v>
      </c>
      <c r="Y5" s="9">
        <f>(SUM(E$2:E5)+SUM(N$2:N5))/(SUM(E$2:E$22)+SUM(N$2:N$22))</f>
        <v>0.18091870116133957</v>
      </c>
      <c r="Z5" s="9">
        <f>(SUM(F$2:F5)+SUM(O$2:O5))/(SUM(F$2:F$22)+SUM(O$2:O$22))</f>
        <v>0.17381479220519655</v>
      </c>
      <c r="AA5" s="9">
        <f>(SUM(G$2:G5)+SUM(P$2:P5))/(SUM(G$2:G$22)+SUM(P$2:P$22))</f>
        <v>0.18252536158047469</v>
      </c>
      <c r="AB5" s="9">
        <f>(SUM(H$2:H5)+SUM(Q$2:Q5))/(SUM(H$2:H$22)+SUM(Q$2:Q$22))</f>
        <v>0.19182328917507008</v>
      </c>
      <c r="AC5" s="9">
        <f>(SUM(I$2:I5)+SUM(R$2:R5))/(SUM(I$2:I$22)+SUM(R$2:R$22))</f>
        <v>0.19743516638656949</v>
      </c>
      <c r="AD5" s="9">
        <f>(SUM(J$2:J5)+SUM(S$2:S5))/(SUM(J$2:J$22)+SUM(S$2:S$22))</f>
        <v>0.19729435662329864</v>
      </c>
    </row>
    <row r="6" spans="1:30" x14ac:dyDescent="0.2">
      <c r="A6" s="6" t="s">
        <v>21</v>
      </c>
      <c r="B6" s="7">
        <v>35265680</v>
      </c>
      <c r="C6" s="6">
        <f>High_2060[[#This Row],[2025女]]</f>
        <v>33590440.0436</v>
      </c>
      <c r="D6" s="6">
        <f>High_2060[[#This Row],[2030女]]</f>
        <v>39565984.285724394</v>
      </c>
      <c r="E6" s="6">
        <f>High_2060[[#This Row],[2035女]]</f>
        <v>42116902.983910784</v>
      </c>
      <c r="F6" s="6">
        <f>High_2060[[#This Row],[2040女]]</f>
        <v>36715561.825585902</v>
      </c>
      <c r="G6" s="6">
        <f>High_2060[[#This Row],[2045女]]</f>
        <v>28647348.457748685</v>
      </c>
      <c r="H6" s="6">
        <f>High_2060[[#This Row],[2050女]]</f>
        <v>29129839.28399206</v>
      </c>
      <c r="I6" s="6">
        <f>High_2060[[#This Row],[2055女]]</f>
        <v>30560993.43162398</v>
      </c>
      <c r="J6" s="6">
        <f>High_2060[[#This Row],[2060女]]</f>
        <v>32674377.792403497</v>
      </c>
      <c r="K6" s="8">
        <v>39675995</v>
      </c>
      <c r="L6" s="6">
        <f>High_2060[[#This Row],[2025男]]</f>
        <v>38963520.311099999</v>
      </c>
      <c r="M6" s="6">
        <f>High_2060[[#This Row],[2030男]]</f>
        <v>45447296.670419402</v>
      </c>
      <c r="N6" s="6">
        <f>High_2060[[#This Row],[2035男]]</f>
        <v>47816053.4589229</v>
      </c>
      <c r="O6" s="6">
        <f>High_2060[[#This Row],[2040男]]</f>
        <v>40670983.830971867</v>
      </c>
      <c r="P6" s="6">
        <f>High_2060[[#This Row],[2045男]]</f>
        <v>30022517.121646993</v>
      </c>
      <c r="Q6" s="6">
        <f>High_2060[[#This Row],[2050男]]</f>
        <v>30534291.595648408</v>
      </c>
      <c r="R6" s="6">
        <f>High_2060[[#This Row],[2055男]]</f>
        <v>32034443.514662523</v>
      </c>
      <c r="S6" s="6">
        <f>High_2060[[#This Row],[2060男]]</f>
        <v>34256588.485120438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0.25983768988951977</v>
      </c>
      <c r="Y6" s="9">
        <f>(SUM(E$2:E6)+SUM(N$2:N6))/(SUM(E$2:E$22)+SUM(N$2:N$22))</f>
        <v>0.24372403376655749</v>
      </c>
      <c r="Z6" s="9">
        <f>(SUM(F$2:F6)+SUM(O$2:O6))/(SUM(F$2:F$22)+SUM(O$2:O$22))</f>
        <v>0.2279297282785665</v>
      </c>
      <c r="AA6" s="9">
        <f>(SUM(G$2:G6)+SUM(P$2:P6))/(SUM(G$2:G$22)+SUM(P$2:P$22))</f>
        <v>0.22375756648538342</v>
      </c>
      <c r="AB6" s="9">
        <f>(SUM(H$2:H6)+SUM(Q$2:Q6))/(SUM(H$2:H$22)+SUM(Q$2:Q$22))</f>
        <v>0.23416960293108027</v>
      </c>
      <c r="AC6" s="9">
        <f>(SUM(I$2:I6)+SUM(R$2:R6))/(SUM(I$2:I$22)+SUM(R$2:R$22))</f>
        <v>0.24264383873944473</v>
      </c>
      <c r="AD6" s="9">
        <f>(SUM(J$2:J6)+SUM(S$2:S6))/(SUM(J$2:J$22)+SUM(S$2:S$22))</f>
        <v>0.24686368801968822</v>
      </c>
    </row>
    <row r="7" spans="1:30" x14ac:dyDescent="0.2">
      <c r="A7" s="6" t="s">
        <v>22</v>
      </c>
      <c r="B7" s="7">
        <v>43685062</v>
      </c>
      <c r="C7" s="6">
        <f>High_2060[[#This Row],[2025女]]</f>
        <v>35219834.616000004</v>
      </c>
      <c r="D7" s="6">
        <f>High_2060[[#This Row],[2030女]]</f>
        <v>33546772.471543323</v>
      </c>
      <c r="E7" s="6">
        <f>High_2060[[#This Row],[2035女]]</f>
        <v>39518505.104581527</v>
      </c>
      <c r="F7" s="6">
        <f>High_2060[[#This Row],[2040女]]</f>
        <v>42066362.700330094</v>
      </c>
      <c r="G7" s="6">
        <f>High_2060[[#This Row],[2045女]]</f>
        <v>36675174.707577758</v>
      </c>
      <c r="H7" s="6">
        <f>High_2060[[#This Row],[2050女]]</f>
        <v>28615836.374445163</v>
      </c>
      <c r="I7" s="6">
        <f>High_2060[[#This Row],[2055女]]</f>
        <v>29097796.460779667</v>
      </c>
      <c r="J7" s="6">
        <f>High_2060[[#This Row],[2060女]]</f>
        <v>30530432.438192356</v>
      </c>
      <c r="K7" s="8">
        <v>48162270</v>
      </c>
      <c r="L7" s="6">
        <f>High_2060[[#This Row],[2025男]]</f>
        <v>39568869.813500002</v>
      </c>
      <c r="M7" s="6">
        <f>High_2060[[#This Row],[2030男]]</f>
        <v>38858318.806260027</v>
      </c>
      <c r="N7" s="6">
        <f>High_2060[[#This Row],[2035男]]</f>
        <v>45329133.69907631</v>
      </c>
      <c r="O7" s="6">
        <f>High_2060[[#This Row],[2040男]]</f>
        <v>47691731.719929695</v>
      </c>
      <c r="P7" s="6">
        <f>High_2060[[#This Row],[2045男]]</f>
        <v>40565239.273011342</v>
      </c>
      <c r="Q7" s="6">
        <f>High_2060[[#This Row],[2050男]]</f>
        <v>29944458.577130709</v>
      </c>
      <c r="R7" s="6">
        <f>High_2060[[#This Row],[2055男]]</f>
        <v>30457955.866659287</v>
      </c>
      <c r="S7" s="6">
        <f>High_2060[[#This Row],[2060男]]</f>
        <v>31954357.405875869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0.31047943155441038</v>
      </c>
      <c r="Y7" s="9">
        <f>(SUM(E$2:E7)+SUM(N$2:N7))/(SUM(E$2:E$22)+SUM(N$2:N$22))</f>
        <v>0.30297799790392527</v>
      </c>
      <c r="Z7" s="9">
        <f>(SUM(F$2:F7)+SUM(O$2:O7))/(SUM(F$2:F$22)+SUM(O$2:O$22))</f>
        <v>0.29069585255004382</v>
      </c>
      <c r="AA7" s="9">
        <f>(SUM(G$2:G7)+SUM(P$2:P7))/(SUM(G$2:G$22)+SUM(P$2:P$22))</f>
        <v>0.2780408436794955</v>
      </c>
      <c r="AB7" s="9">
        <f>(SUM(H$2:H7)+SUM(Q$2:Q7))/(SUM(H$2:H$22)+SUM(Q$2:Q$22))</f>
        <v>0.27573247474541074</v>
      </c>
      <c r="AC7" s="9">
        <f>(SUM(I$2:I7)+SUM(R$2:R7))/(SUM(I$2:I$22)+SUM(R$2:R$22))</f>
        <v>0.28565714170609019</v>
      </c>
      <c r="AD7" s="9">
        <f>(SUM(J$2:J7)+SUM(S$2:S7))/(SUM(J$2:J$22)+SUM(S$2:S$22))</f>
        <v>0.29314016402589949</v>
      </c>
    </row>
    <row r="8" spans="1:30" x14ac:dyDescent="0.2">
      <c r="A8" s="6" t="s">
        <v>23</v>
      </c>
      <c r="B8" s="7">
        <v>60273382</v>
      </c>
      <c r="C8" s="6">
        <f>High_2060[[#This Row],[2025女]]</f>
        <v>43623902.913199998</v>
      </c>
      <c r="D8" s="6">
        <f>High_2060[[#This Row],[2030女]]</f>
        <v>35170526.847537607</v>
      </c>
      <c r="E8" s="6">
        <f>High_2060[[#This Row],[2035女]]</f>
        <v>33499806.990083165</v>
      </c>
      <c r="F8" s="6">
        <f>High_2060[[#This Row],[2040女]]</f>
        <v>39463179.197435118</v>
      </c>
      <c r="G8" s="6">
        <f>High_2060[[#This Row],[2045女]]</f>
        <v>42011676.428819664</v>
      </c>
      <c r="H8" s="6">
        <f>High_2060[[#This Row],[2050女]]</f>
        <v>36627496.980457909</v>
      </c>
      <c r="I8" s="6">
        <f>High_2060[[#This Row],[2055女]]</f>
        <v>28578635.787158385</v>
      </c>
      <c r="J8" s="6">
        <f>High_2060[[#This Row],[2060女]]</f>
        <v>29059969.325380653</v>
      </c>
      <c r="K8" s="8">
        <v>63871808</v>
      </c>
      <c r="L8" s="6">
        <f>High_2060[[#This Row],[2025男]]</f>
        <v>48003334.509000003</v>
      </c>
      <c r="M8" s="6">
        <f>High_2060[[#This Row],[2030男]]</f>
        <v>39442249.430096805</v>
      </c>
      <c r="N8" s="6">
        <f>High_2060[[#This Row],[2035男]]</f>
        <v>38733972.186079994</v>
      </c>
      <c r="O8" s="6">
        <f>High_2060[[#This Row],[2040男]]</f>
        <v>45188613.38460917</v>
      </c>
      <c r="P8" s="6">
        <f>High_2060[[#This Row],[2045男]]</f>
        <v>47548656.524769902</v>
      </c>
      <c r="Q8" s="6">
        <f>High_2060[[#This Row],[2050男]]</f>
        <v>40443543.555192307</v>
      </c>
      <c r="R8" s="6">
        <f>High_2060[[#This Row],[2055男]]</f>
        <v>29857619.64725703</v>
      </c>
      <c r="S8" s="6">
        <f>High_2060[[#This Row],[2060男]]</f>
        <v>30369627.794645976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0.3626652775283466</v>
      </c>
      <c r="Y8" s="9">
        <f>(SUM(E$2:E8)+SUM(N$2:N8))/(SUM(E$2:E$22)+SUM(N$2:N$22))</f>
        <v>0.35342298165551078</v>
      </c>
      <c r="Z8" s="9">
        <f>(SUM(F$2:F8)+SUM(O$2:O8))/(SUM(F$2:F$22)+SUM(O$2:O$22))</f>
        <v>0.34989123729306743</v>
      </c>
      <c r="AA8" s="9">
        <f>(SUM(G$2:G8)+SUM(P$2:P8))/(SUM(G$2:G$22)+SUM(P$2:P$22))</f>
        <v>0.34098235484926237</v>
      </c>
      <c r="AB8" s="9">
        <f>(SUM(H$2:H8)+SUM(Q$2:Q8))/(SUM(H$2:H$22)+SUM(Q$2:Q$22))</f>
        <v>0.3304332541904107</v>
      </c>
      <c r="AC8" s="9">
        <f>(SUM(I$2:I8)+SUM(R$2:R8))/(SUM(I$2:I$22)+SUM(R$2:R$22))</f>
        <v>0.32786190381567298</v>
      </c>
      <c r="AD8" s="9">
        <f>(SUM(J$2:J8)+SUM(S$2:S8))/(SUM(J$2:J$22)+SUM(S$2:S$22))</f>
        <v>0.3371539525342207</v>
      </c>
    </row>
    <row r="9" spans="1:30" x14ac:dyDescent="0.2">
      <c r="A9" s="6" t="s">
        <v>24</v>
      </c>
      <c r="B9" s="7">
        <v>48080895</v>
      </c>
      <c r="C9" s="6">
        <f>High_2060[[#This Row],[2025女]]</f>
        <v>60158862.574199997</v>
      </c>
      <c r="D9" s="6">
        <f>High_2060[[#This Row],[2030女]]</f>
        <v>43541017.497664921</v>
      </c>
      <c r="E9" s="6">
        <f>High_2060[[#This Row],[2035女]]</f>
        <v>35107219.89921204</v>
      </c>
      <c r="F9" s="6">
        <f>High_2060[[#This Row],[2040女]]</f>
        <v>33439507.337501016</v>
      </c>
      <c r="G9" s="6">
        <f>High_2060[[#This Row],[2045女]]</f>
        <v>39392145.474879734</v>
      </c>
      <c r="H9" s="6">
        <f>High_2060[[#This Row],[2050女]]</f>
        <v>41936055.41124779</v>
      </c>
      <c r="I9" s="6">
        <f>High_2060[[#This Row],[2055女]]</f>
        <v>36565230.235591128</v>
      </c>
      <c r="J9" s="6">
        <f>High_2060[[#This Row],[2060女]]</f>
        <v>28530052.106320214</v>
      </c>
      <c r="K9" s="8">
        <v>50932037</v>
      </c>
      <c r="L9" s="6">
        <f>High_2060[[#This Row],[2025男]]</f>
        <v>63590772.044800006</v>
      </c>
      <c r="M9" s="6">
        <f>High_2060[[#This Row],[2030男]]</f>
        <v>47801720.504062206</v>
      </c>
      <c r="N9" s="6">
        <f>High_2060[[#This Row],[2035男]]</f>
        <v>39280536.20743341</v>
      </c>
      <c r="O9" s="6">
        <f>High_2060[[#This Row],[2040男]]</f>
        <v>38582909.694554284</v>
      </c>
      <c r="P9" s="6">
        <f>High_2060[[#This Row],[2045男]]</f>
        <v>45016896.653747655</v>
      </c>
      <c r="Q9" s="6">
        <f>High_2060[[#This Row],[2050男]]</f>
        <v>47377481.361280732</v>
      </c>
      <c r="R9" s="6">
        <f>High_2060[[#This Row],[2055男]]</f>
        <v>40301991.152749136</v>
      </c>
      <c r="S9" s="6">
        <f>High_2060[[#This Row],[2060男]]</f>
        <v>29759089.502421081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0.42655243324090819</v>
      </c>
      <c r="Y9" s="9">
        <f>(SUM(E$2:E9)+SUM(N$2:N9))/(SUM(E$2:E$22)+SUM(N$2:N$22))</f>
        <v>0.40537221082383518</v>
      </c>
      <c r="Z9" s="9">
        <f>(SUM(F$2:F9)+SUM(O$2:O9))/(SUM(F$2:F$22)+SUM(O$2:O$22))</f>
        <v>0.4002551404815668</v>
      </c>
      <c r="AA9" s="9">
        <f>(SUM(G$2:G9)+SUM(P$2:P9))/(SUM(G$2:G$22)+SUM(P$2:P$22))</f>
        <v>0.40030362457613411</v>
      </c>
      <c r="AB9" s="9">
        <f>(SUM(H$2:H9)+SUM(Q$2:Q9))/(SUM(H$2:H$22)+SUM(Q$2:Q$22))</f>
        <v>0.39382308313903008</v>
      </c>
      <c r="AC9" s="9">
        <f>(SUM(I$2:I9)+SUM(R$2:R9))/(SUM(I$2:I$22)+SUM(R$2:R$22))</f>
        <v>0.38337817138967156</v>
      </c>
      <c r="AD9" s="9">
        <f>(SUM(J$2:J9)+SUM(S$2:S9))/(SUM(J$2:J$22)+SUM(S$2:S$22))</f>
        <v>0.38032311529864726</v>
      </c>
    </row>
    <row r="10" spans="1:30" x14ac:dyDescent="0.2">
      <c r="A10" s="6" t="s">
        <v>25</v>
      </c>
      <c r="B10" s="7">
        <v>45322636</v>
      </c>
      <c r="C10" s="6">
        <f>High_2060[[#This Row],[2025女]]</f>
        <v>47951076.583499998</v>
      </c>
      <c r="D10" s="6">
        <f>High_2060[[#This Row],[2030女]]</f>
        <v>59996433.645249657</v>
      </c>
      <c r="E10" s="6">
        <f>High_2060[[#This Row],[2035女]]</f>
        <v>43427810.852170989</v>
      </c>
      <c r="F10" s="6">
        <f>High_2060[[#This Row],[2040女]]</f>
        <v>35015941.127474084</v>
      </c>
      <c r="G10" s="6">
        <f>High_2060[[#This Row],[2045女]]</f>
        <v>33355908.569157265</v>
      </c>
      <c r="H10" s="6">
        <f>High_2060[[#This Row],[2050女]]</f>
        <v>39293665.111192539</v>
      </c>
      <c r="I10" s="6">
        <f>High_2060[[#This Row],[2055女]]</f>
        <v>41831215.272719674</v>
      </c>
      <c r="J10" s="6">
        <f>High_2060[[#This Row],[2060女]]</f>
        <v>36477473.68302571</v>
      </c>
      <c r="K10" s="8">
        <v>47632694</v>
      </c>
      <c r="L10" s="6">
        <f>High_2060[[#This Row],[2025男]]</f>
        <v>50580605.944700003</v>
      </c>
      <c r="M10" s="6">
        <f>High_2060[[#This Row],[2030男]]</f>
        <v>63177432.026508808</v>
      </c>
      <c r="N10" s="6">
        <f>High_2060[[#This Row],[2035男]]</f>
        <v>47510130.008987427</v>
      </c>
      <c r="O10" s="6">
        <f>High_2060[[#This Row],[2040男]]</f>
        <v>39056637.151051037</v>
      </c>
      <c r="P10" s="6">
        <f>High_2060[[#This Row],[2045男]]</f>
        <v>38378420.273173146</v>
      </c>
      <c r="Q10" s="6">
        <f>High_2060[[#This Row],[2050男]]</f>
        <v>44791812.170478918</v>
      </c>
      <c r="R10" s="6">
        <f>High_2060[[#This Row],[2055男]]</f>
        <v>47154807.198882714</v>
      </c>
      <c r="S10" s="6">
        <f>High_2060[[#This Row],[2060男]]</f>
        <v>40124662.391677044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0.51270299220204829</v>
      </c>
      <c r="Y10" s="9">
        <f>(SUM(E$2:E10)+SUM(N$2:N10))/(SUM(E$2:E$22)+SUM(N$2:N$22))</f>
        <v>0.46887938158886128</v>
      </c>
      <c r="Z10" s="9">
        <f>(SUM(F$2:F10)+SUM(O$2:O10))/(SUM(F$2:F$22)+SUM(O$2:O$22))</f>
        <v>0.45205268234525897</v>
      </c>
      <c r="AA10" s="9">
        <f>(SUM(G$2:G10)+SUM(P$2:P10))/(SUM(G$2:G$22)+SUM(P$2:P$22))</f>
        <v>0.45071731678990679</v>
      </c>
      <c r="AB10" s="9">
        <f>(SUM(H$2:H10)+SUM(Q$2:Q10))/(SUM(H$2:H$22)+SUM(Q$2:Q$22))</f>
        <v>0.45350232342623875</v>
      </c>
      <c r="AC10" s="9">
        <f>(SUM(I$2:I10)+SUM(R$2:R10))/(SUM(I$2:I$22)+SUM(R$2:R$22))</f>
        <v>0.44764707228985018</v>
      </c>
      <c r="AD10" s="9">
        <f>(SUM(J$2:J10)+SUM(S$2:S10))/(SUM(J$2:J$22)+SUM(S$2:S$22))</f>
        <v>0.4370549522934073</v>
      </c>
    </row>
    <row r="11" spans="1:30" x14ac:dyDescent="0.2">
      <c r="A11" s="6" t="s">
        <v>26</v>
      </c>
      <c r="B11" s="7">
        <v>56033201</v>
      </c>
      <c r="C11" s="6">
        <f>High_2060[[#This Row],[2025女]]</f>
        <v>45127748.665200002</v>
      </c>
      <c r="D11" s="6">
        <f>High_2060[[#This Row],[2030女]]</f>
        <v>47749682.061849296</v>
      </c>
      <c r="E11" s="6">
        <f>High_2060[[#This Row],[2035女]]</f>
        <v>59750448.267304137</v>
      </c>
      <c r="F11" s="6">
        <f>High_2060[[#This Row],[2040女]]</f>
        <v>43249756.827677086</v>
      </c>
      <c r="G11" s="6">
        <f>High_2060[[#This Row],[2045女]]</f>
        <v>34875877.362964191</v>
      </c>
      <c r="H11" s="6">
        <f>High_2060[[#This Row],[2050女]]</f>
        <v>33225820.52573755</v>
      </c>
      <c r="I11" s="6">
        <f>High_2060[[#This Row],[2055女]]</f>
        <v>39144349.183770008</v>
      </c>
      <c r="J11" s="6">
        <f>High_2060[[#This Row],[2060女]]</f>
        <v>41672256.654683337</v>
      </c>
      <c r="K11" s="8">
        <v>58191686</v>
      </c>
      <c r="L11" s="6">
        <f>High_2060[[#This Row],[2025男]]</f>
        <v>47108734.365999997</v>
      </c>
      <c r="M11" s="6">
        <f>High_2060[[#This Row],[2030男]]</f>
        <v>50059625.703469597</v>
      </c>
      <c r="N11" s="6">
        <f>High_2060[[#This Row],[2035男]]</f>
        <v>62570928.67905432</v>
      </c>
      <c r="O11" s="6">
        <f>High_2060[[#This Row],[2040男]]</f>
        <v>47087289.85190744</v>
      </c>
      <c r="P11" s="6">
        <f>High_2060[[#This Row],[2045男]]</f>
        <v>38732467.062697314</v>
      </c>
      <c r="Q11" s="6">
        <f>High_2060[[#This Row],[2050男]]</f>
        <v>38079068.595042393</v>
      </c>
      <c r="R11" s="6">
        <f>High_2060[[#This Row],[2055男]]</f>
        <v>44469311.122851469</v>
      </c>
      <c r="S11" s="6">
        <f>High_2060[[#This Row],[2060男]]</f>
        <v>46834154.509930313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0.58111301156475481</v>
      </c>
      <c r="Y11" s="9">
        <f>(SUM(E$2:E11)+SUM(N$2:N11))/(SUM(E$2:E$22)+SUM(N$2:N$22))</f>
        <v>0.55430340263422362</v>
      </c>
      <c r="Z11" s="9">
        <f>(SUM(F$2:F11)+SUM(O$2:O11))/(SUM(F$2:F$22)+SUM(O$2:O$22))</f>
        <v>0.51522365689448268</v>
      </c>
      <c r="AA11" s="9">
        <f>(SUM(G$2:G11)+SUM(P$2:P11))/(SUM(G$2:G$22)+SUM(P$2:P$22))</f>
        <v>0.50244803596059884</v>
      </c>
      <c r="AB11" s="9">
        <f>(SUM(H$2:H11)+SUM(Q$2:Q11))/(SUM(H$2:H$22)+SUM(Q$2:Q$22))</f>
        <v>0.50411060620064563</v>
      </c>
      <c r="AC11" s="9">
        <f>(SUM(I$2:I11)+SUM(R$2:R11))/(SUM(I$2:I$22)+SUM(R$2:R$22))</f>
        <v>0.5080358603139733</v>
      </c>
      <c r="AD11" s="9">
        <f>(SUM(J$2:J11)+SUM(S$2:S11))/(SUM(J$2:J$22)+SUM(S$2:S$22))</f>
        <v>0.50260314126669436</v>
      </c>
    </row>
    <row r="12" spans="1:30" x14ac:dyDescent="0.2">
      <c r="A12" s="6" t="s">
        <v>27</v>
      </c>
      <c r="B12" s="7">
        <v>60058826</v>
      </c>
      <c r="C12" s="6">
        <f>High_2060[[#This Row],[2025女]]</f>
        <v>55640968.593000002</v>
      </c>
      <c r="D12" s="6">
        <f>High_2060[[#This Row],[2030女]]</f>
        <v>44820879.97427664</v>
      </c>
      <c r="E12" s="6">
        <f>High_2060[[#This Row],[2035女]]</f>
        <v>47434534.16024109</v>
      </c>
      <c r="F12" s="6">
        <f>High_2060[[#This Row],[2040女]]</f>
        <v>59362070.353566661</v>
      </c>
      <c r="G12" s="6">
        <f>High_2060[[#This Row],[2045女]]</f>
        <v>42977283.359662719</v>
      </c>
      <c r="H12" s="6">
        <f>High_2060[[#This Row],[2050女]]</f>
        <v>34659646.923313811</v>
      </c>
      <c r="I12" s="6">
        <f>High_2060[[#This Row],[2055女]]</f>
        <v>33026465.602583125</v>
      </c>
      <c r="J12" s="6">
        <f>High_2060[[#This Row],[2060女]]</f>
        <v>38917311.95850414</v>
      </c>
      <c r="K12" s="8">
        <v>61105470</v>
      </c>
      <c r="L12" s="6">
        <f>High_2060[[#This Row],[2025男]]</f>
        <v>57214065.6752</v>
      </c>
      <c r="M12" s="6">
        <f>High_2060[[#This Row],[2030男]]</f>
        <v>46369127.236453794</v>
      </c>
      <c r="N12" s="6">
        <f>High_2060[[#This Row],[2035男]]</f>
        <v>49323749.205628589</v>
      </c>
      <c r="O12" s="6">
        <f>High_2060[[#This Row],[2040男]]</f>
        <v>61707449.863283366</v>
      </c>
      <c r="P12" s="6">
        <f>High_2060[[#This Row],[2045男]]</f>
        <v>46479863.812817834</v>
      </c>
      <c r="Q12" s="6">
        <f>High_2060[[#This Row],[2050男]]</f>
        <v>38263804.211238675</v>
      </c>
      <c r="R12" s="6">
        <f>High_2060[[#This Row],[2055男]]</f>
        <v>37648775.119918413</v>
      </c>
      <c r="S12" s="6">
        <f>High_2060[[#This Row],[2060男]]</f>
        <v>43997936.424949244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0.64489334394313591</v>
      </c>
      <c r="Y12" s="9">
        <f>(SUM(E$2:E12)+SUM(N$2:N12))/(SUM(E$2:E$22)+SUM(N$2:N$22))</f>
        <v>0.62187525181463188</v>
      </c>
      <c r="Z12" s="9">
        <f>(SUM(F$2:F12)+SUM(O$2:O12))/(SUM(F$2:F$22)+SUM(O$2:O$22))</f>
        <v>0.59988526430159939</v>
      </c>
      <c r="AA12" s="9">
        <f>(SUM(G$2:G12)+SUM(P$2:P12))/(SUM(G$2:G$22)+SUM(P$2:P$22))</f>
        <v>0.56531702988104293</v>
      </c>
      <c r="AB12" s="9">
        <f>(SUM(H$2:H12)+SUM(Q$2:Q12))/(SUM(H$2:H$22)+SUM(Q$2:Q$22))</f>
        <v>0.55586765514089231</v>
      </c>
      <c r="AC12" s="9">
        <f>(SUM(I$2:I12)+SUM(R$2:R12))/(SUM(I$2:I$22)+SUM(R$2:R$22))</f>
        <v>0.55908005709825193</v>
      </c>
      <c r="AD12" s="9">
        <f>(SUM(J$2:J12)+SUM(S$2:S12))/(SUM(J$2:J$22)+SUM(S$2:S$22))</f>
        <v>0.56401049355100685</v>
      </c>
    </row>
    <row r="13" spans="1:30" x14ac:dyDescent="0.2">
      <c r="A13" s="6" t="s">
        <v>28</v>
      </c>
      <c r="B13" s="7">
        <v>50584760</v>
      </c>
      <c r="C13" s="6">
        <f>High_2060[[#This Row],[2025女]]</f>
        <v>59368149.501000002</v>
      </c>
      <c r="D13" s="6">
        <f>High_2060[[#This Row],[2030女]]</f>
        <v>55023353.841617703</v>
      </c>
      <c r="E13" s="6">
        <f>High_2060[[#This Row],[2035女]]</f>
        <v>44341296.558551878</v>
      </c>
      <c r="F13" s="6">
        <f>High_2060[[#This Row],[2040女]]</f>
        <v>46941215.004974581</v>
      </c>
      <c r="G13" s="6">
        <f>High_2060[[#This Row],[2045女]]</f>
        <v>58768449.650030993</v>
      </c>
      <c r="H13" s="6">
        <f>High_2060[[#This Row],[2050女]]</f>
        <v>42560403.711073987</v>
      </c>
      <c r="I13" s="6">
        <f>High_2060[[#This Row],[2055女]]</f>
        <v>34337312.206926994</v>
      </c>
      <c r="J13" s="6">
        <f>High_2060[[#This Row],[2060女]]</f>
        <v>32729227.412159875</v>
      </c>
      <c r="K13" s="8">
        <v>50816026</v>
      </c>
      <c r="L13" s="6">
        <f>High_2060[[#This Row],[2025男]]</f>
        <v>59528948.873999998</v>
      </c>
      <c r="M13" s="6">
        <f>High_2060[[#This Row],[2030男]]</f>
        <v>55823763.879292645</v>
      </c>
      <c r="N13" s="6">
        <f>High_2060[[#This Row],[2035男]]</f>
        <v>45307274.222739004</v>
      </c>
      <c r="O13" s="6">
        <f>High_2060[[#This Row],[2040男]]</f>
        <v>48258356.222787015</v>
      </c>
      <c r="P13" s="6">
        <f>High_2060[[#This Row],[2045男]]</f>
        <v>60454788.631058715</v>
      </c>
      <c r="Q13" s="6">
        <f>High_2060[[#This Row],[2050男]]</f>
        <v>45592098.413993016</v>
      </c>
      <c r="R13" s="6">
        <f>High_2060[[#This Row],[2055男]]</f>
        <v>37575055.73543638</v>
      </c>
      <c r="S13" s="6">
        <f>High_2060[[#This Row],[2060男]]</f>
        <v>37008745.942879803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0.72242229944686231</v>
      </c>
      <c r="Y13" s="9">
        <f>(SUM(E$2:E13)+SUM(N$2:N13))/(SUM(E$2:E$22)+SUM(N$2:N$22))</f>
        <v>0.6844819816298624</v>
      </c>
      <c r="Z13" s="9">
        <f>(SUM(F$2:F13)+SUM(O$2:O13))/(SUM(F$2:F$22)+SUM(O$2:O$22))</f>
        <v>0.66645650956774594</v>
      </c>
      <c r="AA13" s="9">
        <f>(SUM(G$2:G13)+SUM(P$2:P13))/(SUM(G$2:G$22)+SUM(P$2:P$22))</f>
        <v>0.64910513714336882</v>
      </c>
      <c r="AB13" s="9">
        <f>(SUM(H$2:H13)+SUM(Q$2:Q13))/(SUM(H$2:H$22)+SUM(Q$2:Q$22))</f>
        <v>0.61843344564734981</v>
      </c>
      <c r="AC13" s="9">
        <f>(SUM(I$2:I13)+SUM(R$2:R13))/(SUM(I$2:I$22)+SUM(R$2:R$22))</f>
        <v>0.61101775158571869</v>
      </c>
      <c r="AD13" s="9">
        <f>(SUM(J$2:J13)+SUM(S$2:S13))/(SUM(J$2:J$22)+SUM(S$2:S$22))</f>
        <v>0.61565870519963195</v>
      </c>
    </row>
    <row r="14" spans="1:30" x14ac:dyDescent="0.2">
      <c r="A14" s="6" t="s">
        <v>29</v>
      </c>
      <c r="B14" s="7">
        <v>36511813</v>
      </c>
      <c r="C14" s="6">
        <f>High_2060[[#This Row],[2025女]]</f>
        <v>49694468.223999999</v>
      </c>
      <c r="D14" s="6">
        <f>High_2060[[#This Row],[2030女]]</f>
        <v>58370764.5893832</v>
      </c>
      <c r="E14" s="6">
        <f>High_2060[[#This Row],[2035女]]</f>
        <v>54137477.84476766</v>
      </c>
      <c r="F14" s="6">
        <f>High_2060[[#This Row],[2040女]]</f>
        <v>43662874.721206032</v>
      </c>
      <c r="G14" s="6">
        <f>High_2060[[#This Row],[2045女]]</f>
        <v>46251179.144401453</v>
      </c>
      <c r="H14" s="6">
        <f>High_2060[[#This Row],[2050女]]</f>
        <v>57945691.354930557</v>
      </c>
      <c r="I14" s="6">
        <f>High_2060[[#This Row],[2055女]]</f>
        <v>41990094.301345594</v>
      </c>
      <c r="J14" s="6">
        <f>High_2060[[#This Row],[2060女]]</f>
        <v>33897794.61067833</v>
      </c>
      <c r="K14" s="8">
        <v>36871125</v>
      </c>
      <c r="L14" s="6">
        <f>High_2060[[#This Row],[2025男]]</f>
        <v>48768140.152199998</v>
      </c>
      <c r="M14" s="6">
        <f>High_2060[[#This Row],[2030男]]</f>
        <v>57260895.9219006</v>
      </c>
      <c r="N14" s="6">
        <f>High_2060[[#This Row],[2035男]]</f>
        <v>53814108.379638106</v>
      </c>
      <c r="O14" s="6">
        <f>High_2060[[#This Row],[2040男]]</f>
        <v>43766826.899165876</v>
      </c>
      <c r="P14" s="6">
        <f>High_2060[[#This Row],[2045男]]</f>
        <v>46704437.152413271</v>
      </c>
      <c r="Q14" s="6">
        <f>High_2060[[#This Row],[2050男]]</f>
        <v>58616963.056674533</v>
      </c>
      <c r="R14" s="6">
        <f>High_2060[[#This Row],[2055男]]</f>
        <v>44279045.979670018</v>
      </c>
      <c r="S14" s="6">
        <f>High_2060[[#This Row],[2060男]]</f>
        <v>36553014.21943251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0.80329767128262608</v>
      </c>
      <c r="Y14" s="9">
        <f>(SUM(E$2:E14)+SUM(N$2:N14))/(SUM(E$2:E$22)+SUM(N$2:N$22))</f>
        <v>0.759870755070157</v>
      </c>
      <c r="Z14" s="9">
        <f>(SUM(F$2:F14)+SUM(O$2:O14))/(SUM(F$2:F$22)+SUM(O$2:O$22))</f>
        <v>0.72759443314295724</v>
      </c>
      <c r="AA14" s="9">
        <f>(SUM(G$2:G14)+SUM(P$2:P14))/(SUM(G$2:G$22)+SUM(P$2:P$22))</f>
        <v>0.71443279692853745</v>
      </c>
      <c r="AB14" s="9">
        <f>(SUM(H$2:H14)+SUM(Q$2:Q14))/(SUM(H$2:H$22)+SUM(Q$2:Q$22))</f>
        <v>0.70116319739559085</v>
      </c>
      <c r="AC14" s="9">
        <f>(SUM(I$2:I14)+SUM(R$2:R14))/(SUM(I$2:I$22)+SUM(R$2:R$22))</f>
        <v>0.67332442260513148</v>
      </c>
      <c r="AD14" s="9">
        <f>(SUM(J$2:J14)+SUM(S$2:S14))/(SUM(J$2:J$22)+SUM(S$2:S$22))</f>
        <v>0.66783484554643835</v>
      </c>
    </row>
    <row r="15" spans="1:30" x14ac:dyDescent="0.2">
      <c r="A15" s="6" t="s">
        <v>30</v>
      </c>
      <c r="B15" s="7">
        <v>37667637</v>
      </c>
      <c r="C15" s="6">
        <f>High_2060[[#This Row],[2025女]]</f>
        <v>35463923.966899998</v>
      </c>
      <c r="D15" s="6">
        <f>High_2060[[#This Row],[2030女]]</f>
        <v>48342778.688307196</v>
      </c>
      <c r="E15" s="6">
        <f>High_2060[[#This Row],[2035女]]</f>
        <v>56870635.939436056</v>
      </c>
      <c r="F15" s="6">
        <f>High_2060[[#This Row],[2040女]]</f>
        <v>52821937.133139804</v>
      </c>
      <c r="G15" s="6">
        <f>High_2060[[#This Row],[2045女]]</f>
        <v>42658628.602618292</v>
      </c>
      <c r="H15" s="6">
        <f>High_2060[[#This Row],[2050女]]</f>
        <v>45242903.439053498</v>
      </c>
      <c r="I15" s="6">
        <f>High_2060[[#This Row],[2055女]]</f>
        <v>56752010.11301899</v>
      </c>
      <c r="J15" s="6">
        <f>High_2060[[#This Row],[2060女]]</f>
        <v>41171287.462469354</v>
      </c>
      <c r="K15" s="8">
        <v>36337923</v>
      </c>
      <c r="L15" s="6">
        <f>High_2060[[#This Row],[2025男]]</f>
        <v>34585115.25</v>
      </c>
      <c r="M15" s="6">
        <f>High_2060[[#This Row],[2030男]]</f>
        <v>45885943.069204979</v>
      </c>
      <c r="N15" s="6">
        <f>High_2060[[#This Row],[2035男]]</f>
        <v>54031381.391905405</v>
      </c>
      <c r="O15" s="6">
        <f>High_2060[[#This Row],[2040男]]</f>
        <v>50918909.348813578</v>
      </c>
      <c r="P15" s="6">
        <f>High_2060[[#This Row],[2045男]]</f>
        <v>41521588.67923867</v>
      </c>
      <c r="Q15" s="6">
        <f>High_2060[[#This Row],[2050男]]</f>
        <v>44415919.731945015</v>
      </c>
      <c r="R15" s="6">
        <f>High_2060[[#This Row],[2055男]]</f>
        <v>55879550.881927833</v>
      </c>
      <c r="S15" s="6">
        <f>High_2060[[#This Row],[2060男]]</f>
        <v>42304200.528976738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0.8692033486382138</v>
      </c>
      <c r="Y15" s="9">
        <f>(SUM(E$2:E15)+SUM(N$2:N15))/(SUM(E$2:E$22)+SUM(N$2:N$22))</f>
        <v>0.83731998347967818</v>
      </c>
      <c r="Z15" s="9">
        <f>(SUM(F$2:F15)+SUM(O$2:O15))/(SUM(F$2:F$22)+SUM(O$2:O$22))</f>
        <v>0.80013842936269886</v>
      </c>
      <c r="AA15" s="9">
        <f>(SUM(G$2:G15)+SUM(P$2:P15))/(SUM(G$2:G$22)+SUM(P$2:P$22))</f>
        <v>0.77359325236213961</v>
      </c>
      <c r="AB15" s="9">
        <f>(SUM(H$2:H15)+SUM(Q$2:Q15))/(SUM(H$2:H$22)+SUM(Q$2:Q$22))</f>
        <v>0.76479809161122614</v>
      </c>
      <c r="AC15" s="9">
        <f>(SUM(I$2:I15)+SUM(R$2:R15))/(SUM(I$2:I$22)+SUM(R$2:R$22))</f>
        <v>0.75467098053367254</v>
      </c>
      <c r="AD15" s="9">
        <f>(SUM(J$2:J15)+SUM(S$2:S15))/(SUM(J$2:J$22)+SUM(S$2:S$22))</f>
        <v>0.72965711344208117</v>
      </c>
    </row>
    <row r="16" spans="1:30" x14ac:dyDescent="0.2">
      <c r="A16" s="6" t="s">
        <v>31</v>
      </c>
      <c r="B16" s="7">
        <v>25427303</v>
      </c>
      <c r="C16" s="6">
        <f>High_2060[[#This Row],[2025女]]</f>
        <v>35780488.386299998</v>
      </c>
      <c r="D16" s="6">
        <f>High_2060[[#This Row],[2030女]]</f>
        <v>33821944.287232526</v>
      </c>
      <c r="E16" s="6">
        <f>High_2060[[#This Row],[2035女]]</f>
        <v>46278542.038316481</v>
      </c>
      <c r="F16" s="6">
        <f>High_2060[[#This Row],[2040女]]</f>
        <v>54624245.819828331</v>
      </c>
      <c r="G16" s="6">
        <f>High_2060[[#This Row],[2045女]]</f>
        <v>50899218.621493518</v>
      </c>
      <c r="H16" s="6">
        <f>High_2060[[#This Row],[2050女]]</f>
        <v>41225298.681570321</v>
      </c>
      <c r="I16" s="6">
        <f>High_2060[[#This Row],[2055女]]</f>
        <v>43835849.142098933</v>
      </c>
      <c r="J16" s="6">
        <f>High_2060[[#This Row],[2060女]]</f>
        <v>55123227.422775351</v>
      </c>
      <c r="K16" s="8">
        <v>24162733</v>
      </c>
      <c r="L16" s="6">
        <f>High_2060[[#This Row],[2025男]]</f>
        <v>32871285.145799998</v>
      </c>
      <c r="M16" s="6">
        <f>High_2060[[#This Row],[2030男]]</f>
        <v>31448245.296824999</v>
      </c>
      <c r="N16" s="6">
        <f>High_2060[[#This Row],[2035男]]</f>
        <v>41930574.776639506</v>
      </c>
      <c r="O16" s="6">
        <f>High_2060[[#This Row],[2040男]]</f>
        <v>49600808.117769167</v>
      </c>
      <c r="P16" s="6">
        <f>High_2060[[#This Row],[2045男]]</f>
        <v>46947234.419606119</v>
      </c>
      <c r="Q16" s="6">
        <f>High_2060[[#This Row],[2050男]]</f>
        <v>38444838.958107084</v>
      </c>
      <c r="R16" s="6">
        <f>High_2060[[#This Row],[2055男]]</f>
        <v>41284597.390842892</v>
      </c>
      <c r="S16" s="6">
        <f>High_2060[[#This Row],[2060男]]</f>
        <v>52135620.97283867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0.91485478034005607</v>
      </c>
      <c r="Y16" s="9">
        <f>(SUM(E$2:E16)+SUM(N$2:N16))/(SUM(E$2:E$22)+SUM(N$2:N$22))</f>
        <v>0.89892146017412411</v>
      </c>
      <c r="Z16" s="9">
        <f>(SUM(F$2:F16)+SUM(O$2:O16))/(SUM(F$2:F$22)+SUM(O$2:O$22))</f>
        <v>0.87302102262519654</v>
      </c>
      <c r="AA16" s="9">
        <f>(SUM(G$2:G16)+SUM(P$2:P16))/(SUM(G$2:G$22)+SUM(P$2:P$22))</f>
        <v>0.84235811079784728</v>
      </c>
      <c r="AB16" s="9">
        <f>(SUM(H$2:H16)+SUM(Q$2:Q16))/(SUM(H$2:H$22)+SUM(Q$2:Q$22))</f>
        <v>0.82134356702056532</v>
      </c>
      <c r="AC16" s="9">
        <f>(SUM(I$2:I16)+SUM(R$2:R16))/(SUM(I$2:I$22)+SUM(R$2:R$22))</f>
        <v>0.81614802367885164</v>
      </c>
      <c r="AD16" s="9">
        <f>(SUM(J$2:J16)+SUM(S$2:S16))/(SUM(J$2:J$22)+SUM(S$2:S$22))</f>
        <v>0.80909342964991571</v>
      </c>
    </row>
    <row r="17" spans="1:30" x14ac:dyDescent="0.2">
      <c r="A17" s="6" t="s">
        <v>32</v>
      </c>
      <c r="B17" s="7">
        <v>16486416</v>
      </c>
      <c r="C17" s="6">
        <f>High_2060[[#This Row],[2025女]]</f>
        <v>23077820.202799998</v>
      </c>
      <c r="D17" s="6">
        <f>High_2060[[#This Row],[2030女]]</f>
        <v>32764193.215334907</v>
      </c>
      <c r="E17" s="6">
        <f>High_2060[[#This Row],[2035女]]</f>
        <v>31221036.771544345</v>
      </c>
      <c r="F17" s="6">
        <f>High_2060[[#This Row],[2040女]]</f>
        <v>43034416.241430491</v>
      </c>
      <c r="G17" s="6">
        <f>High_2060[[#This Row],[2045女]]</f>
        <v>51128294.087359324</v>
      </c>
      <c r="H17" s="6">
        <f>High_2060[[#This Row],[2050女]]</f>
        <v>47926704.253998294</v>
      </c>
      <c r="I17" s="6">
        <f>High_2060[[#This Row],[2055女]]</f>
        <v>39032112.791710779</v>
      </c>
      <c r="J17" s="6">
        <f>High_2060[[#This Row],[2060女]]</f>
        <v>41705426.873792924</v>
      </c>
      <c r="K17" s="8">
        <v>14752433</v>
      </c>
      <c r="L17" s="6">
        <f>High_2060[[#This Row],[2025男]]</f>
        <v>20429590.751499999</v>
      </c>
      <c r="M17" s="6">
        <f>High_2060[[#This Row],[2030男]]</f>
        <v>28049067.614911135</v>
      </c>
      <c r="N17" s="6">
        <f>High_2060[[#This Row],[2035男]]</f>
        <v>27067504.726977278</v>
      </c>
      <c r="O17" s="6">
        <f>High_2060[[#This Row],[2040男]]</f>
        <v>36383159.733690098</v>
      </c>
      <c r="P17" s="6">
        <f>High_2060[[#This Row],[2045男]]</f>
        <v>43370946.618177354</v>
      </c>
      <c r="Q17" s="6">
        <f>High_2060[[#This Row],[2050男]]</f>
        <v>41346429.353347108</v>
      </c>
      <c r="R17" s="6">
        <f>High_2060[[#This Row],[2055男]]</f>
        <v>34092883.188049361</v>
      </c>
      <c r="S17" s="6">
        <f>High_2060[[#This Row],[2060男]]</f>
        <v>36846503.171327278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0.95738893630084054</v>
      </c>
      <c r="Y17" s="9">
        <f>(SUM(E$2:E17)+SUM(N$2:N17))/(SUM(E$2:E$22)+SUM(N$2:N$22))</f>
        <v>0.9396276860193149</v>
      </c>
      <c r="Z17" s="9">
        <f>(SUM(F$2:F17)+SUM(O$2:O17))/(SUM(F$2:F$22)+SUM(O$2:O$22))</f>
        <v>0.92855621948058786</v>
      </c>
      <c r="AA17" s="9">
        <f>(SUM(G$2:G17)+SUM(P$2:P17))/(SUM(G$2:G$22)+SUM(P$2:P$22))</f>
        <v>0.90877060412214383</v>
      </c>
      <c r="AB17" s="9">
        <f>(SUM(H$2:H17)+SUM(Q$2:Q17))/(SUM(H$2:H$22)+SUM(Q$2:Q$22))</f>
        <v>0.88470472002797229</v>
      </c>
      <c r="AC17" s="9">
        <f>(SUM(I$2:I17)+SUM(R$2:R17))/(SUM(I$2:I$22)+SUM(R$2:R$22))</f>
        <v>0.86896152168016916</v>
      </c>
      <c r="AD17" s="9">
        <f>(SUM(J$2:J17)+SUM(S$2:S17))/(SUM(J$2:J$22)+SUM(S$2:S$22))</f>
        <v>0.86726929156840904</v>
      </c>
    </row>
    <row r="18" spans="1:30" x14ac:dyDescent="0.2">
      <c r="A18" s="6" t="s">
        <v>33</v>
      </c>
      <c r="B18" s="7">
        <v>11225875</v>
      </c>
      <c r="C18" s="6">
        <f>High_2060[[#This Row],[2025女]]</f>
        <v>13715049.4704</v>
      </c>
      <c r="D18" s="6">
        <f>High_2060[[#This Row],[2030女]]</f>
        <v>19556144.83985272</v>
      </c>
      <c r="E18" s="6">
        <f>High_2060[[#This Row],[2035女]]</f>
        <v>28223076.035689492</v>
      </c>
      <c r="F18" s="6">
        <f>High_2060[[#This Row],[2040女]]</f>
        <v>27290308.242006913</v>
      </c>
      <c r="G18" s="6">
        <f>High_2060[[#This Row],[2045女]]</f>
        <v>38115582.465034992</v>
      </c>
      <c r="H18" s="6">
        <f>High_2060[[#This Row],[2050女]]</f>
        <v>45821177.161091425</v>
      </c>
      <c r="I18" s="6">
        <f>High_2060[[#This Row],[2055女]]</f>
        <v>43412008.713271655</v>
      </c>
      <c r="J18" s="6">
        <f>High_2060[[#This Row],[2060女]]</f>
        <v>35690963.936740339</v>
      </c>
      <c r="K18" s="8">
        <v>9157003</v>
      </c>
      <c r="L18" s="6">
        <f>High_2060[[#This Row],[2025男]]</f>
        <v>11083502.912899999</v>
      </c>
      <c r="M18" s="6">
        <f>High_2060[[#This Row],[2030男]]</f>
        <v>15616379.170446599</v>
      </c>
      <c r="N18" s="6">
        <f>High_2060[[#This Row],[2035男]]</f>
        <v>21788515.723262969</v>
      </c>
      <c r="O18" s="6">
        <f>High_2060[[#This Row],[2040男]]</f>
        <v>21345434.22769428</v>
      </c>
      <c r="P18" s="6">
        <f>High_2060[[#This Row],[2045男]]</f>
        <v>29099251.15500534</v>
      </c>
      <c r="Q18" s="6">
        <f>High_2060[[#This Row],[2050男]]</f>
        <v>35143478.044709109</v>
      </c>
      <c r="R18" s="6">
        <f>High_2060[[#This Row],[2055男]]</f>
        <v>33916475.998550631</v>
      </c>
      <c r="S18" s="6">
        <f>High_2060[[#This Row],[2060男]]</f>
        <v>28290274.469443358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0.98198938694867755</v>
      </c>
      <c r="Y18" s="9">
        <f>(SUM(E$2:E18)+SUM(N$2:N18))/(SUM(E$2:E$22)+SUM(N$2:N$22))</f>
        <v>0.97455364396370836</v>
      </c>
      <c r="Z18" s="9">
        <f>(SUM(F$2:F18)+SUM(O$2:O18))/(SUM(F$2:F$22)+SUM(O$2:O$22))</f>
        <v>0.9625662669933589</v>
      </c>
      <c r="AA18" s="9">
        <f>(SUM(G$2:G18)+SUM(P$2:P18))/(SUM(G$2:G$22)+SUM(P$2:P$22))</f>
        <v>0.95600807032564827</v>
      </c>
      <c r="AB18" s="9">
        <f>(SUM(H$2:H18)+SUM(Q$2:Q18))/(SUM(H$2:H$22)+SUM(Q$2:Q$22))</f>
        <v>0.9421689727028062</v>
      </c>
      <c r="AC18" s="9">
        <f>(SUM(I$2:I18)+SUM(R$2:R18))/(SUM(I$2:I$22)+SUM(R$2:R$22))</f>
        <v>0.92481093019026495</v>
      </c>
      <c r="AD18" s="9">
        <f>(SUM(J$2:J18)+SUM(S$2:S18))/(SUM(J$2:J$22)+SUM(S$2:S$22))</f>
        <v>0.91465404314299592</v>
      </c>
    </row>
    <row r="19" spans="1:30" x14ac:dyDescent="0.2">
      <c r="A19" s="6" t="s">
        <v>34</v>
      </c>
      <c r="B19" s="7">
        <v>6400439</v>
      </c>
      <c r="C19" s="6">
        <f>High_2060[[#This Row],[2025女]]</f>
        <v>7876073.9000000004</v>
      </c>
      <c r="D19" s="6">
        <f>High_2060[[#This Row],[2030女]]</f>
        <v>9961240.43035152</v>
      </c>
      <c r="E19" s="6">
        <f>High_2060[[#This Row],[2035女]]</f>
        <v>14647552.485049687</v>
      </c>
      <c r="F19" s="6">
        <f>High_2060[[#This Row],[2040女]]</f>
        <v>21723301.624670204</v>
      </c>
      <c r="G19" s="6">
        <f>High_2060[[#This Row],[2045女]]</f>
        <v>21526595.141295053</v>
      </c>
      <c r="H19" s="6">
        <f>High_2060[[#This Row],[2050女]]</f>
        <v>30732594.141557716</v>
      </c>
      <c r="I19" s="6">
        <f>High_2060[[#This Row],[2055女]]</f>
        <v>37678753.979565479</v>
      </c>
      <c r="J19" s="6">
        <f>High_2060[[#This Row],[2060女]]</f>
        <v>36335851.293008372</v>
      </c>
      <c r="K19" s="8">
        <v>4426091</v>
      </c>
      <c r="L19" s="6">
        <f>High_2060[[#This Row],[2025男]]</f>
        <v>5560132.2215999998</v>
      </c>
      <c r="M19" s="6">
        <f>High_2060[[#This Row],[2030男]]</f>
        <v>6913889.1170670195</v>
      </c>
      <c r="N19" s="6">
        <f>High_2060[[#This Row],[2035男]]</f>
        <v>9989797.7553346902</v>
      </c>
      <c r="O19" s="6">
        <f>High_2060[[#This Row],[2040男]]</f>
        <v>14271477.798737245</v>
      </c>
      <c r="P19" s="6">
        <f>High_2060[[#This Row],[2045男]]</f>
        <v>14290768.21544132</v>
      </c>
      <c r="Q19" s="6">
        <f>High_2060[[#This Row],[2050男]]</f>
        <v>19889338.164446149</v>
      </c>
      <c r="R19" s="6">
        <f>High_2060[[#This Row],[2055男]]</f>
        <v>24491489.849357776</v>
      </c>
      <c r="S19" s="6">
        <f>High_2060[[#This Row],[2060男]]</f>
        <v>24070523.016171385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0.99379223031259334</v>
      </c>
      <c r="Y19" s="9">
        <f>(SUM(E$2:E19)+SUM(N$2:N19))/(SUM(E$2:E$22)+SUM(N$2:N$22))</f>
        <v>0.99175931625073233</v>
      </c>
      <c r="Z19" s="9">
        <f>(SUM(F$2:F19)+SUM(O$2:O19))/(SUM(F$2:F$22)+SUM(O$2:O$22))</f>
        <v>0.9877367300363451</v>
      </c>
      <c r="AA19" s="9">
        <f>(SUM(G$2:G19)+SUM(P$2:P19))/(SUM(G$2:G$22)+SUM(P$2:P$22))</f>
        <v>0.98117991707344732</v>
      </c>
      <c r="AB19" s="9">
        <f>(SUM(H$2:H19)+SUM(Q$2:Q19))/(SUM(H$2:H$22)+SUM(Q$2:Q$22))</f>
        <v>0.97809763196191635</v>
      </c>
      <c r="AC19" s="9">
        <f>(SUM(I$2:I19)+SUM(R$2:R19))/(SUM(I$2:I$22)+SUM(R$2:R$22))</f>
        <v>0.96971251280517623</v>
      </c>
      <c r="AD19" s="9">
        <f>(SUM(J$2:J19)+SUM(S$2:S19))/(SUM(J$2:J$22)+SUM(S$2:S$22))</f>
        <v>0.95939123659946635</v>
      </c>
    </row>
    <row r="20" spans="1:30" x14ac:dyDescent="0.2">
      <c r="A20" s="6" t="s">
        <v>35</v>
      </c>
      <c r="B20" s="7">
        <v>2285155</v>
      </c>
      <c r="C20" s="6">
        <f>High_2060[[#This Row],[2025女]]</f>
        <v>3358310.3433000003</v>
      </c>
      <c r="D20" s="6">
        <f>High_2060[[#This Row],[2030女]]</f>
        <v>4364132.5479900008</v>
      </c>
      <c r="E20" s="6">
        <f>High_2060[[#This Row],[2035女]]</f>
        <v>5793457.434292444</v>
      </c>
      <c r="F20" s="6">
        <f>High_2060[[#This Row],[2040女]]</f>
        <v>8896923.3794191815</v>
      </c>
      <c r="G20" s="6">
        <f>High_2060[[#This Row],[2045女]]</f>
        <v>13722609.636304168</v>
      </c>
      <c r="H20" s="6">
        <f>High_2060[[#This Row],[2050女]]</f>
        <v>14087003.860463483</v>
      </c>
      <c r="I20" s="6">
        <f>High_2060[[#This Row],[2055女]]</f>
        <v>20769087.120864704</v>
      </c>
      <c r="J20" s="6">
        <f>High_2060[[#This Row],[2060女]]</f>
        <v>26216877.018981658</v>
      </c>
      <c r="K20" s="8">
        <v>1367594</v>
      </c>
      <c r="L20" s="6">
        <f>High_2060[[#This Row],[2025男]]</f>
        <v>1951463.5219000001</v>
      </c>
      <c r="M20" s="6">
        <f>High_2060[[#This Row],[2030男]]</f>
        <v>2532640.2269388</v>
      </c>
      <c r="N20" s="6">
        <f>High_2060[[#This Row],[2035男]]</f>
        <v>3248145.1071980856</v>
      </c>
      <c r="O20" s="6">
        <f>High_2060[[#This Row],[2040男]]</f>
        <v>4832065.1742553897</v>
      </c>
      <c r="P20" s="6">
        <f>High_2060[[#This Row],[2045男]]</f>
        <v>7095778.7615321577</v>
      </c>
      <c r="Q20" s="6">
        <f>High_2060[[#This Row],[2050男]]</f>
        <v>7292579.020339705</v>
      </c>
      <c r="R20" s="6">
        <f>High_2060[[#This Row],[2055男]]</f>
        <v>10406101.727638226</v>
      </c>
      <c r="S20" s="6">
        <f>High_2060[[#This Row],[2060男]]</f>
        <v>13117641.963316023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0.99861598757918291</v>
      </c>
      <c r="Y20" s="9">
        <f>(SUM(E$2:E20)+SUM(N$2:N20))/(SUM(E$2:E$22)+SUM(N$2:N$22))</f>
        <v>0.9980735849833906</v>
      </c>
      <c r="Z20" s="9">
        <f>(SUM(F$2:F20)+SUM(O$2:O20))/(SUM(F$2:F$22)+SUM(O$2:O$22))</f>
        <v>0.99733715000122281</v>
      </c>
      <c r="AA20" s="9">
        <f>(SUM(G$2:G20)+SUM(P$2:P20))/(SUM(G$2:G$22)+SUM(P$2:P$22))</f>
        <v>0.99581073389452801</v>
      </c>
      <c r="AB20" s="9">
        <f>(SUM(H$2:H20)+SUM(Q$2:Q20))/(SUM(H$2:H$22)+SUM(Q$2:Q$22))</f>
        <v>0.99327168228822471</v>
      </c>
      <c r="AC20" s="9">
        <f>(SUM(I$2:I20)+SUM(R$2:R20))/(SUM(I$2:I$22)+SUM(R$2:R$22))</f>
        <v>0.99222835368668294</v>
      </c>
      <c r="AD20" s="9">
        <f>(SUM(J$2:J20)+SUM(S$2:S20))/(SUM(J$2:J$22)+SUM(S$2:S$22))</f>
        <v>0.98852253284680358</v>
      </c>
    </row>
    <row r="21" spans="1:30" x14ac:dyDescent="0.2">
      <c r="A21" s="6" t="s">
        <v>36</v>
      </c>
      <c r="B21" s="7">
        <v>548357</v>
      </c>
      <c r="C21" s="6">
        <f>High_2060[[#This Row],[2025女]]</f>
        <v>735819.91</v>
      </c>
      <c r="D21" s="6">
        <f>High_2060[[#This Row],[2030女]]</f>
        <v>1166341.18222809</v>
      </c>
      <c r="E21" s="6">
        <f>High_2060[[#This Row],[2035女]]</f>
        <v>1622148.0680878833</v>
      </c>
      <c r="F21" s="6">
        <f>High_2060[[#This Row],[2040女]]</f>
        <v>2288995.0322889448</v>
      </c>
      <c r="G21" s="6">
        <f>High_2060[[#This Row],[2045女]]</f>
        <v>3716244.8955833921</v>
      </c>
      <c r="H21" s="6">
        <f>High_2060[[#This Row],[2050女]]</f>
        <v>6029714.6741920514</v>
      </c>
      <c r="I21" s="6">
        <f>High_2060[[#This Row],[2055女]]</f>
        <v>6485656.5773573872</v>
      </c>
      <c r="J21" s="6">
        <f>High_2060[[#This Row],[2060女]]</f>
        <v>9979546.3615754899</v>
      </c>
      <c r="K21" s="8">
        <v>271455</v>
      </c>
      <c r="L21" s="6">
        <f>High_2060[[#This Row],[2025男]]</f>
        <v>385387.98920000001</v>
      </c>
      <c r="M21" s="6">
        <f>High_2060[[#This Row],[2030男]]</f>
        <v>565534.12864661997</v>
      </c>
      <c r="N21" s="6">
        <f>High_2060[[#This Row],[2035男]]</f>
        <v>753966.99555968074</v>
      </c>
      <c r="O21" s="6">
        <f>High_2060[[#This Row],[2040男]]</f>
        <v>992633.14475973486</v>
      </c>
      <c r="P21" s="6">
        <f>High_2060[[#This Row],[2045男]]</f>
        <v>1513886.0190942136</v>
      </c>
      <c r="Q21" s="6">
        <f>High_2060[[#This Row],[2050男]]</f>
        <v>2277744.9824518226</v>
      </c>
      <c r="R21" s="6">
        <f>High_2060[[#This Row],[2055男]]</f>
        <v>2396341.4660836272</v>
      </c>
      <c r="S21" s="6">
        <f>High_2060[[#This Row],[2060男]]</f>
        <v>3497490.7906592079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0.9998272999405281</v>
      </c>
      <c r="Y21" s="9">
        <f>(SUM(E$2:E21)+SUM(N$2:N21))/(SUM(E$2:E$22)+SUM(N$2:N$22))</f>
        <v>0.99973296217706176</v>
      </c>
      <c r="Z21" s="9">
        <f>(SUM(F$2:F21)+SUM(O$2:O21))/(SUM(F$2:F$22)+SUM(O$2:O$22))</f>
        <v>0.99963193002416995</v>
      </c>
      <c r="AA21" s="9">
        <f>(SUM(G$2:G21)+SUM(P$2:P21))/(SUM(G$2:G$22)+SUM(P$2:P$22))</f>
        <v>0.99948638284009539</v>
      </c>
      <c r="AB21" s="9">
        <f>(SUM(H$2:H21)+SUM(Q$2:Q21))/(SUM(H$2:H$22)+SUM(Q$2:Q$22))</f>
        <v>0.99916785957178056</v>
      </c>
      <c r="AC21" s="9">
        <f>(SUM(I$2:I21)+SUM(R$2:R21))/(SUM(I$2:I$22)+SUM(R$2:R$22))</f>
        <v>0.99864325162452117</v>
      </c>
      <c r="AD21" s="9">
        <f>(SUM(J$2:J21)+SUM(S$2:S21))/(SUM(J$2:J$22)+SUM(S$2:S$22))</f>
        <v>0.99850367846586685</v>
      </c>
    </row>
    <row r="22" spans="1:30" x14ac:dyDescent="0.2">
      <c r="A22" s="6" t="s">
        <v>37</v>
      </c>
      <c r="B22" s="7">
        <v>83737</v>
      </c>
      <c r="C22" s="6">
        <f>High_2060[[#This Row],[2025女]]</f>
        <v>118719.2905</v>
      </c>
      <c r="D22" s="6">
        <f>High_2060[[#This Row],[2030女]]</f>
        <v>163057.692056</v>
      </c>
      <c r="E22" s="6">
        <f>High_2060[[#This Row],[2035女]]</f>
        <v>264409.54601110803</v>
      </c>
      <c r="F22" s="6">
        <f>High_2060[[#This Row],[2040女]]</f>
        <v>376013.92218277138</v>
      </c>
      <c r="G22" s="6">
        <f>High_2060[[#This Row],[2045女]]</f>
        <v>542034.02364602219</v>
      </c>
      <c r="H22" s="6">
        <f>High_2060[[#This Row],[2050女]]</f>
        <v>898588.01575206418</v>
      </c>
      <c r="I22" s="6">
        <f>High_2060[[#This Row],[2055女]]</f>
        <v>1488133.5815905982</v>
      </c>
      <c r="J22" s="6">
        <f>High_2060[[#This Row],[2060女]]</f>
        <v>1632439.7605208543</v>
      </c>
      <c r="K22" s="8">
        <v>35129</v>
      </c>
      <c r="L22" s="6">
        <f>High_2060[[#This Row],[2025男]]</f>
        <v>61484.557500000003</v>
      </c>
      <c r="M22" s="6">
        <f>High_2060[[#This Row],[2030男]]</f>
        <v>83860.426449919993</v>
      </c>
      <c r="N22" s="6">
        <f>High_2060[[#This Row],[2035男]]</f>
        <v>117970.41923568492</v>
      </c>
      <c r="O22" s="6">
        <f>High_2060[[#This Row],[2040男]]</f>
        <v>150341.01891460034</v>
      </c>
      <c r="P22" s="6">
        <f>High_2060[[#This Row],[2045男]]</f>
        <v>188798.82413330159</v>
      </c>
      <c r="Q22" s="6">
        <f>High_2060[[#This Row],[2050男]]</f>
        <v>273861.98085414327</v>
      </c>
      <c r="R22" s="6">
        <f>High_2060[[#This Row],[2055男]]</f>
        <v>390405.48999224236</v>
      </c>
      <c r="S22" s="6">
        <f>High_2060[[#This Row],[2060男]]</f>
        <v>387967.68335893919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44.262744644072583</v>
      </c>
      <c r="Y23" s="3">
        <f t="shared" si="0"/>
        <v>46.821537901769624</v>
      </c>
      <c r="Z23" s="3">
        <f t="shared" si="0"/>
        <v>48.795043372124944</v>
      </c>
      <c r="AA23" s="3">
        <f t="shared" si="0"/>
        <v>49.763386629855148</v>
      </c>
      <c r="AB23" s="3">
        <f t="shared" si="0"/>
        <v>49.593880094789107</v>
      </c>
      <c r="AC23" s="3">
        <f t="shared" si="0"/>
        <v>49.334656268414989</v>
      </c>
      <c r="AD23" s="3">
        <f t="shared" si="0"/>
        <v>49.801433013827797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7.048495786613767</v>
      </c>
      <c r="E25" s="3">
        <f t="shared" si="1"/>
        <v>7.0959354238957628</v>
      </c>
      <c r="F25" s="3">
        <f t="shared" si="1"/>
        <v>7.122570802538319</v>
      </c>
      <c r="G25" s="3">
        <f t="shared" si="1"/>
        <v>7.1199030202489233</v>
      </c>
      <c r="H25" s="3">
        <f t="shared" si="1"/>
        <v>7.0783079634479424</v>
      </c>
      <c r="I25" s="3">
        <f t="shared" si="1"/>
        <v>6.97964569975806</v>
      </c>
      <c r="J25" s="3">
        <f t="shared" si="1"/>
        <v>6.8232514278689953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7.2490162849351121</v>
      </c>
      <c r="N25" s="3">
        <f t="shared" si="2"/>
        <v>7.2233831295357858</v>
      </c>
      <c r="O25" s="3">
        <f t="shared" si="2"/>
        <v>7.1778333505102587</v>
      </c>
      <c r="P25" s="3">
        <f t="shared" si="2"/>
        <v>7.1092330918513937</v>
      </c>
      <c r="Q25" s="3">
        <f t="shared" si="2"/>
        <v>7.011261018497347</v>
      </c>
      <c r="R25" s="3">
        <f>SUM(R2:R22)/100000000</f>
        <v>6.8662457384375308</v>
      </c>
      <c r="S25" s="3">
        <f t="shared" si="2"/>
        <v>6.6792438433096981</v>
      </c>
      <c r="W25">
        <f t="shared" ref="W25:X25" si="3">((0.5-W9)/(W10-W9)*5)+$U10</f>
        <v>41.860793424246822</v>
      </c>
      <c r="X25">
        <f t="shared" si="3"/>
        <v>44.262744644072583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7.2490162849351121</v>
      </c>
      <c r="E26" s="3">
        <f t="shared" si="4"/>
        <v>7.2233831295357858</v>
      </c>
      <c r="F26" s="3">
        <f t="shared" si="4"/>
        <v>7.1778333505102587</v>
      </c>
      <c r="G26" s="3">
        <f t="shared" si="4"/>
        <v>7.1092330918513937</v>
      </c>
      <c r="H26" s="3">
        <f t="shared" si="4"/>
        <v>7.011261018497347</v>
      </c>
      <c r="I26" s="3">
        <f t="shared" si="4"/>
        <v>6.8662457384375308</v>
      </c>
      <c r="J26" s="3">
        <f t="shared" si="4"/>
        <v>6.6792438433096981</v>
      </c>
      <c r="W26"/>
      <c r="X26"/>
      <c r="Y26">
        <f t="shared" ref="Y26:AB26" si="5">((0.5-Y10)/(Y11-Y10)*5)+$U11</f>
        <v>46.821537901769624</v>
      </c>
      <c r="Z26">
        <f t="shared" si="5"/>
        <v>48.795043372124944</v>
      </c>
      <c r="AA26">
        <f t="shared" si="5"/>
        <v>49.763386629855148</v>
      </c>
      <c r="AB26">
        <f t="shared" si="5"/>
        <v>49.593880094789107</v>
      </c>
      <c r="AC26">
        <f>((0.5-AC10)/(AC11-AC10)*5)+$U11</f>
        <v>49.334656268414989</v>
      </c>
      <c r="AD26">
        <f>((0.5-AD10)/(AD11-AD10)*5)+$U11</f>
        <v>49.801433013827797</v>
      </c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14.29751207154888</v>
      </c>
      <c r="E27" s="3">
        <f t="shared" si="6"/>
        <v>14.319318553431549</v>
      </c>
      <c r="F27" s="3">
        <f t="shared" si="6"/>
        <v>14.300404153048579</v>
      </c>
      <c r="G27" s="3">
        <f t="shared" si="6"/>
        <v>14.229136112100317</v>
      </c>
      <c r="H27" s="3">
        <f t="shared" si="6"/>
        <v>14.089568981945289</v>
      </c>
      <c r="I27" s="3">
        <f t="shared" si="6"/>
        <v>13.84589143819559</v>
      </c>
      <c r="J27" s="3">
        <f t="shared" si="6"/>
        <v>13.502495271178693</v>
      </c>
      <c r="W27"/>
      <c r="X27"/>
      <c r="Y27"/>
      <c r="Z27"/>
      <c r="AA27"/>
      <c r="AB27"/>
      <c r="AC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7">L25/C25</f>
        <v>1.0385748219776874</v>
      </c>
      <c r="D28" s="2">
        <f t="shared" si="7"/>
        <v>1.0284486937911159</v>
      </c>
      <c r="E28" s="2">
        <f t="shared" si="7"/>
        <v>1.0179606631157943</v>
      </c>
      <c r="F28" s="2">
        <f t="shared" si="7"/>
        <v>1.0077587923664086</v>
      </c>
      <c r="G28" s="2">
        <f t="shared" si="7"/>
        <v>0.9985013941387707</v>
      </c>
      <c r="H28" s="2">
        <f t="shared" si="7"/>
        <v>0.99052782878382473</v>
      </c>
      <c r="I28" s="2">
        <f t="shared" si="7"/>
        <v>0.98375276250419696</v>
      </c>
      <c r="J28" s="2">
        <f t="shared" si="7"/>
        <v>0.97889458037980104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8">SUM(C15:C22)/(C25*10^8)</f>
        <v>0.1721235544614709</v>
      </c>
      <c r="D29" s="2">
        <f t="shared" si="8"/>
        <v>0.21300975048959062</v>
      </c>
      <c r="E29" s="2">
        <f t="shared" si="8"/>
        <v>0.26060110087205879</v>
      </c>
      <c r="F29" s="2">
        <f t="shared" si="8"/>
        <v>0.2963201732157596</v>
      </c>
      <c r="G29" s="2">
        <f t="shared" si="8"/>
        <v>0.31223628586104318</v>
      </c>
      <c r="H29" s="2">
        <f t="shared" si="8"/>
        <v>0.32771106516632253</v>
      </c>
      <c r="I29" s="2">
        <f t="shared" si="8"/>
        <v>0.35740153977747818</v>
      </c>
      <c r="J29" s="2">
        <f t="shared" si="8"/>
        <v>0.36325148318222444</v>
      </c>
      <c r="K29" s="2">
        <f t="shared" ref="K29:S29" si="9">SUM(K15:K22)/(K25*10^8)</f>
        <v>0.12546202408591231</v>
      </c>
      <c r="L29" s="2">
        <f t="shared" si="9"/>
        <v>0.14752174745050295</v>
      </c>
      <c r="M29" s="2">
        <f t="shared" si="9"/>
        <v>0.1808459988190847</v>
      </c>
      <c r="N29" s="2">
        <f t="shared" si="9"/>
        <v>0.22001858969140256</v>
      </c>
      <c r="O29" s="2">
        <f t="shared" si="9"/>
        <v>0.24867508041538089</v>
      </c>
      <c r="P29" s="2">
        <f t="shared" si="9"/>
        <v>0.25885809385426078</v>
      </c>
      <c r="Q29" s="2">
        <f t="shared" si="9"/>
        <v>0.26968642265257531</v>
      </c>
      <c r="R29" s="2">
        <f t="shared" si="9"/>
        <v>0.29544215823333536</v>
      </c>
      <c r="S29" s="2">
        <f t="shared" si="9"/>
        <v>0.30040859010870524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0">L29</f>
        <v>0.14752174745050295</v>
      </c>
      <c r="D30" s="2">
        <f t="shared" si="10"/>
        <v>0.1808459988190847</v>
      </c>
      <c r="E30" s="2">
        <f t="shared" si="10"/>
        <v>0.22001858969140256</v>
      </c>
      <c r="F30" s="2">
        <f t="shared" si="10"/>
        <v>0.24867508041538089</v>
      </c>
      <c r="G30" s="2">
        <f t="shared" si="10"/>
        <v>0.25885809385426078</v>
      </c>
      <c r="H30" s="2">
        <f t="shared" si="10"/>
        <v>0.26968642265257531</v>
      </c>
      <c r="I30" s="2">
        <f t="shared" si="10"/>
        <v>0.29544215823333536</v>
      </c>
      <c r="J30" s="2">
        <f t="shared" si="10"/>
        <v>0.30040859010870524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1">(SUM(C15:C22)+SUM(L15:L22))/(C27*10^8)</f>
        <v>0.15958988777370234</v>
      </c>
      <c r="D31" s="2">
        <f t="shared" si="11"/>
        <v>0.19670232871737398</v>
      </c>
      <c r="E31" s="2">
        <f t="shared" si="11"/>
        <v>0.24012924492984292</v>
      </c>
      <c r="F31" s="2">
        <f t="shared" si="11"/>
        <v>0.27240556685704287</v>
      </c>
      <c r="G31" s="2">
        <f t="shared" si="11"/>
        <v>0.28556720307146255</v>
      </c>
      <c r="H31" s="2">
        <f t="shared" si="11"/>
        <v>0.29883680260440909</v>
      </c>
      <c r="I31" s="2">
        <f t="shared" si="11"/>
        <v>0.32667557739486847</v>
      </c>
      <c r="J31" s="2">
        <f t="shared" si="11"/>
        <v>0.33216515445356187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2">(D2+M2)/50000</f>
        <v>1200.195588824166</v>
      </c>
      <c r="E32" s="1">
        <f t="shared" si="12"/>
        <v>1258.7831947823991</v>
      </c>
      <c r="F32" s="1">
        <f t="shared" si="12"/>
        <v>1345.562513819227</v>
      </c>
      <c r="G32" s="1">
        <f t="shared" si="12"/>
        <v>1403.6825543139405</v>
      </c>
      <c r="H32" s="1">
        <f t="shared" si="12"/>
        <v>1411.4711702689058</v>
      </c>
      <c r="I32" s="1">
        <f t="shared" si="12"/>
        <v>1320.8112749986342</v>
      </c>
      <c r="J32" s="1">
        <f t="shared" si="12"/>
        <v>1205.6849922063086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3">(SUM(C2:C22)-SUM(D3:D22)+SUM(L2:L22)-SUM(M3:M22))/50000</f>
        <v>1059.8775662748026</v>
      </c>
      <c r="E33" s="1">
        <f t="shared" si="13"/>
        <v>1215.1702310170579</v>
      </c>
      <c r="F33" s="1">
        <f t="shared" si="13"/>
        <v>1383.3913145851684</v>
      </c>
      <c r="G33" s="1">
        <f t="shared" si="13"/>
        <v>1546.218636210463</v>
      </c>
      <c r="H33" s="1">
        <f t="shared" si="13"/>
        <v>1690.6054305789614</v>
      </c>
      <c r="I33" s="1">
        <f t="shared" si="13"/>
        <v>1808.1663624980331</v>
      </c>
      <c r="J33" s="1">
        <f t="shared" si="13"/>
        <v>1892.4773262401009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4">SUM(C2:C4)/10000</f>
        <v>10779.562503635365</v>
      </c>
      <c r="D36" s="4">
        <f t="shared" si="14"/>
        <v>9476.5268517220502</v>
      </c>
      <c r="E36" s="4">
        <f t="shared" si="14"/>
        <v>8858.6367270599858</v>
      </c>
      <c r="F36" s="4">
        <f t="shared" si="14"/>
        <v>9261.1315466499182</v>
      </c>
      <c r="G36" s="4">
        <f t="shared" si="14"/>
        <v>9756.9971640543008</v>
      </c>
      <c r="H36" s="4">
        <f t="shared" si="14"/>
        <v>10128.689463965922</v>
      </c>
      <c r="I36" s="4">
        <f t="shared" si="14"/>
        <v>10068.159959531045</v>
      </c>
      <c r="J36" s="4">
        <f t="shared" si="14"/>
        <v>9586.4206431842977</v>
      </c>
      <c r="K36" s="4">
        <f t="shared" si="14"/>
        <v>13459.357900000001</v>
      </c>
      <c r="L36" s="4">
        <f t="shared" si="14"/>
        <v>11902.601379726633</v>
      </c>
      <c r="M36" s="4">
        <f t="shared" si="14"/>
        <v>10165.376205120767</v>
      </c>
      <c r="N36" s="4">
        <f t="shared" si="14"/>
        <v>9297.6164207909587</v>
      </c>
      <c r="O36" s="4">
        <f t="shared" si="14"/>
        <v>9720.1052767303536</v>
      </c>
      <c r="P36" s="4">
        <f t="shared" si="14"/>
        <v>10240.548170184062</v>
      </c>
      <c r="Q36" s="4">
        <f t="shared" si="14"/>
        <v>10631.260931297011</v>
      </c>
      <c r="R36" s="4">
        <f t="shared" si="14"/>
        <v>10567.967195226163</v>
      </c>
      <c r="S36" s="4">
        <f t="shared" si="14"/>
        <v>10062.244683774758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5">SUM(C5:C14)/10000</f>
        <v>46998.500650969996</v>
      </c>
      <c r="D37" s="4">
        <f t="shared" si="15"/>
        <v>45994.447726080354</v>
      </c>
      <c r="E37" s="4">
        <f t="shared" si="15"/>
        <v>43608.631680054888</v>
      </c>
      <c r="F37" s="4">
        <f t="shared" si="15"/>
        <v>40858.962339236619</v>
      </c>
      <c r="G37" s="4">
        <f t="shared" si="15"/>
        <v>39211.112291101468</v>
      </c>
      <c r="H37" s="4">
        <f t="shared" si="15"/>
        <v>37457.991747745626</v>
      </c>
      <c r="I37" s="4">
        <f t="shared" si="15"/>
        <v>34782.9358361017</v>
      </c>
      <c r="J37" s="4">
        <f t="shared" si="15"/>
        <v>33860.531622519236</v>
      </c>
      <c r="K37" s="4">
        <f t="shared" si="15"/>
        <v>49631.2454</v>
      </c>
      <c r="L37" s="4">
        <f t="shared" si="15"/>
        <v>49887.449286349998</v>
      </c>
      <c r="M37" s="4">
        <f t="shared" si="15"/>
        <v>49215.230739181352</v>
      </c>
      <c r="N37" s="4">
        <f t="shared" si="15"/>
        <v>47043.429184955574</v>
      </c>
      <c r="O37" s="4">
        <f t="shared" si="15"/>
        <v>44208.745371908823</v>
      </c>
      <c r="P37" s="4">
        <f t="shared" si="15"/>
        <v>42448.957479107026</v>
      </c>
      <c r="Q37" s="4">
        <f t="shared" si="15"/>
        <v>40572.930230056438</v>
      </c>
      <c r="R37" s="4">
        <f t="shared" si="15"/>
        <v>37808.705589904879</v>
      </c>
      <c r="S37" s="4">
        <f t="shared" si="15"/>
        <v>36665.171489713081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6">SUM(C15:C22)/10000</f>
        <v>12012.62054702</v>
      </c>
      <c r="D38" s="4">
        <f t="shared" si="16"/>
        <v>15013.983288335294</v>
      </c>
      <c r="E38" s="4">
        <f t="shared" si="16"/>
        <v>18492.085831842749</v>
      </c>
      <c r="F38" s="4">
        <f t="shared" si="16"/>
        <v>21105.614139496662</v>
      </c>
      <c r="G38" s="4">
        <f t="shared" si="16"/>
        <v>22230.920747333475</v>
      </c>
      <c r="H38" s="4">
        <f t="shared" si="16"/>
        <v>23196.398422767885</v>
      </c>
      <c r="I38" s="4">
        <f t="shared" si="16"/>
        <v>24945.361201947846</v>
      </c>
      <c r="J38" s="4">
        <f t="shared" si="16"/>
        <v>24785.562012986433</v>
      </c>
      <c r="K38" s="4">
        <f t="shared" si="16"/>
        <v>9051.0360999999994</v>
      </c>
      <c r="L38" s="4">
        <f t="shared" si="16"/>
        <v>10692.796235039999</v>
      </c>
      <c r="M38" s="4">
        <f t="shared" si="16"/>
        <v>13109.55590504901</v>
      </c>
      <c r="N38" s="4">
        <f t="shared" si="16"/>
        <v>15892.785689611334</v>
      </c>
      <c r="O38" s="4">
        <f t="shared" si="16"/>
        <v>17849.482856463415</v>
      </c>
      <c r="P38" s="4">
        <f t="shared" si="16"/>
        <v>18402.825269222845</v>
      </c>
      <c r="Q38" s="4">
        <f t="shared" si="16"/>
        <v>18908.419023620012</v>
      </c>
      <c r="R38" s="4">
        <f t="shared" si="16"/>
        <v>20285.784599244256</v>
      </c>
      <c r="S38" s="4">
        <f t="shared" si="16"/>
        <v>20065.022259609163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7">(C36+L36)/(C37+L37)*100</f>
        <v>23.411200383581047</v>
      </c>
      <c r="D39">
        <f t="shared" si="17"/>
        <v>20.630153754809054</v>
      </c>
      <c r="E39">
        <f t="shared" si="17"/>
        <v>20.028505667275819</v>
      </c>
      <c r="F39">
        <f t="shared" si="17"/>
        <v>22.313093104415906</v>
      </c>
      <c r="G39">
        <f t="shared" si="17"/>
        <v>24.488768366854778</v>
      </c>
      <c r="H39">
        <f t="shared" si="17"/>
        <v>26.604773939706416</v>
      </c>
      <c r="I39">
        <f t="shared" si="17"/>
        <v>28.427690501793972</v>
      </c>
      <c r="J39">
        <f t="shared" si="17"/>
        <v>27.86028987997582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8">(C38+L38)/(C37+L37)*100</f>
        <v>23.435200662995186</v>
      </c>
      <c r="D40">
        <f t="shared" si="18"/>
        <v>29.538529744794261</v>
      </c>
      <c r="E40">
        <f t="shared" si="18"/>
        <v>37.930601018168169</v>
      </c>
      <c r="F40">
        <f t="shared" si="18"/>
        <v>45.793048906684291</v>
      </c>
      <c r="G40">
        <f t="shared" si="18"/>
        <v>49.759626866471848</v>
      </c>
      <c r="H40">
        <f t="shared" si="18"/>
        <v>53.959143861411398</v>
      </c>
      <c r="I40">
        <f t="shared" si="18"/>
        <v>62.309027475700063</v>
      </c>
      <c r="J40">
        <f t="shared" si="18"/>
        <v>63.594664488806053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19">C27</f>
        <v>14.227353060274199</v>
      </c>
      <c r="P57" s="5">
        <f t="shared" si="19"/>
        <v>14.29751207154888</v>
      </c>
      <c r="Q57" s="5">
        <f t="shared" si="19"/>
        <v>14.319318553431549</v>
      </c>
      <c r="R57" s="5">
        <f t="shared" si="19"/>
        <v>14.300404153048579</v>
      </c>
      <c r="S57" s="5">
        <f t="shared" si="19"/>
        <v>14.229136112100317</v>
      </c>
      <c r="T57" s="5">
        <f t="shared" si="19"/>
        <v>14.089568981945289</v>
      </c>
      <c r="U57" s="5">
        <f t="shared" si="19"/>
        <v>13.84589143819559</v>
      </c>
      <c r="V57" s="5">
        <f t="shared" si="19"/>
        <v>13.502495271178693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0">C26</f>
        <v>7.2482846901116638</v>
      </c>
      <c r="P62" s="5">
        <f t="shared" si="20"/>
        <v>7.2490162849351121</v>
      </c>
      <c r="Q62" s="5">
        <f t="shared" si="20"/>
        <v>7.2233831295357858</v>
      </c>
      <c r="R62" s="5">
        <f t="shared" si="20"/>
        <v>7.1778333505102587</v>
      </c>
      <c r="S62" s="5">
        <f t="shared" si="20"/>
        <v>7.1092330918513937</v>
      </c>
      <c r="T62" s="5">
        <f t="shared" si="20"/>
        <v>7.011261018497347</v>
      </c>
      <c r="U62" s="5">
        <f t="shared" si="20"/>
        <v>6.8662457384375308</v>
      </c>
      <c r="V62" s="5">
        <f t="shared" si="20"/>
        <v>6.6792438433096981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1">C25</f>
        <v>6.9790683701625351</v>
      </c>
      <c r="P67" s="5">
        <f t="shared" si="21"/>
        <v>7.048495786613767</v>
      </c>
      <c r="Q67" s="5">
        <f t="shared" si="21"/>
        <v>7.0959354238957628</v>
      </c>
      <c r="R67" s="5">
        <f t="shared" si="21"/>
        <v>7.122570802538319</v>
      </c>
      <c r="S67" s="5">
        <f t="shared" si="21"/>
        <v>7.1199030202489233</v>
      </c>
      <c r="T67" s="5">
        <f t="shared" si="21"/>
        <v>7.0783079634479424</v>
      </c>
      <c r="U67" s="5">
        <f t="shared" si="21"/>
        <v>6.97964569975806</v>
      </c>
      <c r="V67" s="5">
        <f t="shared" si="21"/>
        <v>6.8232514278689953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2">C32</f>
        <v>1180.4343156804002</v>
      </c>
      <c r="P72" s="5">
        <f t="shared" si="22"/>
        <v>1200.195588824166</v>
      </c>
      <c r="Q72" s="5">
        <f t="shared" si="22"/>
        <v>1258.7831947823991</v>
      </c>
      <c r="R72" s="5">
        <f t="shared" si="22"/>
        <v>1345.562513819227</v>
      </c>
      <c r="S72" s="5">
        <f t="shared" si="22"/>
        <v>1403.6825543139405</v>
      </c>
      <c r="T72" s="5">
        <f t="shared" si="22"/>
        <v>1411.4711702689058</v>
      </c>
      <c r="U72" s="5">
        <f t="shared" si="22"/>
        <v>1320.8112749986342</v>
      </c>
      <c r="V72" s="5">
        <f t="shared" si="22"/>
        <v>1205.6849922063086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3">C33</f>
        <v>921.30267513200045</v>
      </c>
      <c r="P77" s="5">
        <f t="shared" si="23"/>
        <v>1059.8775662748026</v>
      </c>
      <c r="Q77" s="5">
        <f t="shared" si="23"/>
        <v>1215.1702310170579</v>
      </c>
      <c r="R77" s="5">
        <f t="shared" si="23"/>
        <v>1383.3913145851684</v>
      </c>
      <c r="S77" s="5">
        <f t="shared" si="23"/>
        <v>1546.218636210463</v>
      </c>
      <c r="T77" s="5">
        <f t="shared" si="23"/>
        <v>1690.6054305789614</v>
      </c>
      <c r="U77" s="5">
        <f t="shared" si="23"/>
        <v>1808.1663624980331</v>
      </c>
      <c r="V77" s="5">
        <f t="shared" si="23"/>
        <v>1892.4773262401009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4">B36+K36</f>
        <v>25338.393800000002</v>
      </c>
      <c r="O89" s="4">
        <f t="shared" si="24"/>
        <v>22682.163883361998</v>
      </c>
      <c r="P89" s="4">
        <f t="shared" si="24"/>
        <v>19641.903056842817</v>
      </c>
      <c r="Q89" s="4">
        <f t="shared" si="24"/>
        <v>18156.253147850945</v>
      </c>
      <c r="R89" s="4">
        <f t="shared" si="24"/>
        <v>18981.23682338027</v>
      </c>
      <c r="S89" s="4">
        <f t="shared" si="24"/>
        <v>19997.545334238363</v>
      </c>
      <c r="T89" s="4">
        <f t="shared" si="24"/>
        <v>20759.950395262931</v>
      </c>
      <c r="U89" s="4">
        <f t="shared" si="24"/>
        <v>20636.127154757211</v>
      </c>
      <c r="V89" s="4">
        <f t="shared" si="24"/>
        <v>19648.665326959053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4"/>
        <v>96575.950599999996</v>
      </c>
      <c r="O90" s="4">
        <f t="shared" si="24"/>
        <v>96885.949937319994</v>
      </c>
      <c r="P90" s="4">
        <f t="shared" si="24"/>
        <v>95209.678465261706</v>
      </c>
      <c r="Q90" s="4">
        <f t="shared" si="24"/>
        <v>90652.060865010455</v>
      </c>
      <c r="R90" s="4">
        <f t="shared" si="24"/>
        <v>85067.707711145442</v>
      </c>
      <c r="S90" s="4">
        <f t="shared" si="24"/>
        <v>81660.069770208502</v>
      </c>
      <c r="T90" s="4">
        <f t="shared" si="24"/>
        <v>78030.921977802063</v>
      </c>
      <c r="U90" s="4">
        <f t="shared" si="24"/>
        <v>72591.641426006579</v>
      </c>
      <c r="V90" s="4">
        <f t="shared" si="24"/>
        <v>70525.703112232324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4"/>
        <v>19063.527999999998</v>
      </c>
      <c r="O91" s="4">
        <f t="shared" si="24"/>
        <v>22705.416782059998</v>
      </c>
      <c r="P91" s="4">
        <f t="shared" si="24"/>
        <v>28123.539193384306</v>
      </c>
      <c r="Q91" s="4">
        <f t="shared" si="24"/>
        <v>34384.871521454086</v>
      </c>
      <c r="R91" s="4">
        <f t="shared" si="24"/>
        <v>38955.096995960077</v>
      </c>
      <c r="S91" s="4">
        <f t="shared" si="24"/>
        <v>40633.746016556324</v>
      </c>
      <c r="T91" s="4">
        <f t="shared" si="24"/>
        <v>42104.817446387897</v>
      </c>
      <c r="U91" s="4">
        <f t="shared" si="24"/>
        <v>45231.145801192106</v>
      </c>
      <c r="V91" s="4">
        <f t="shared" si="24"/>
        <v>44850.584272595595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87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469D-4DCA-4DF3-A694-2608C1FACE15}">
  <dimension ref="A1:AE91"/>
  <sheetViews>
    <sheetView topLeftCell="G1" workbookViewId="0">
      <selection activeCell="AC27" sqref="AC27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Low_2040[[#This Row],[2025女]]</f>
        <v>28791080.87025366</v>
      </c>
      <c r="D2" s="6">
        <f>Low_2040[[#This Row],[2030女]]</f>
        <v>19269554.26416178</v>
      </c>
      <c r="E2" s="6">
        <f>Low_2040[[#This Row],[2035女]]</f>
        <v>15943194.395996716</v>
      </c>
      <c r="F2" s="6">
        <f>Low_2040[[#This Row],[2040女]]</f>
        <v>14650386.376601567</v>
      </c>
      <c r="G2" s="6">
        <f>Low_2040[[#This Row],[2045女]]</f>
        <v>15834229.673739247</v>
      </c>
      <c r="H2" s="6">
        <f>Low_2040[[#This Row],[2050女]]</f>
        <v>16017106.871722907</v>
      </c>
      <c r="I2" s="6">
        <f>Low_2040[[#This Row],[2055女]]</f>
        <v>14392125.744994078</v>
      </c>
      <c r="J2" s="6">
        <f>Low_2040[[#This Row],[2060女]]</f>
        <v>11501712.0568881</v>
      </c>
      <c r="K2" s="8">
        <v>40969331</v>
      </c>
      <c r="L2" s="6">
        <f>Low_2040[[#This Row],[2025男]]</f>
        <v>30230634.913766347</v>
      </c>
      <c r="M2" s="6">
        <f>Low_2040[[#This Row],[2030男]]</f>
        <v>20233031.977369867</v>
      </c>
      <c r="N2" s="6">
        <f>Low_2040[[#This Row],[2035男]]</f>
        <v>16740354.115796551</v>
      </c>
      <c r="O2" s="6">
        <f>Low_2040[[#This Row],[2040男]]</f>
        <v>15382905.695431648</v>
      </c>
      <c r="P2" s="6">
        <f>Low_2040[[#This Row],[2045男]]</f>
        <v>16625941.157426208</v>
      </c>
      <c r="Q2" s="6">
        <f>Low_2040[[#This Row],[2050男]]</f>
        <v>16817962.215309054</v>
      </c>
      <c r="R2" s="6">
        <f>Low_2040[[#This Row],[2055男]]</f>
        <v>15111732.032243781</v>
      </c>
      <c r="S2" s="6">
        <f>Low_2040[[#This Row],[2060男]]</f>
        <v>12076797.659732506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2.7973362640534651E-2</v>
      </c>
      <c r="Y2" s="9">
        <f>(SUM(E$2:E2)+SUM(N$2:N2))/(SUM(E$2:E$22)+SUM(N$2:N$22))</f>
        <v>2.3517578083598896E-2</v>
      </c>
      <c r="Z2" s="9">
        <f>(SUM(F$2:F2)+SUM(O$2:O2))/(SUM(F$2:F$22)+SUM(O$2:O$22))</f>
        <v>2.2102523534886783E-2</v>
      </c>
      <c r="AA2" s="9">
        <f>(SUM(G$2:G2)+SUM(P$2:P2))/(SUM(G$2:G$22)+SUM(P$2:P$22))</f>
        <v>2.4515913556572125E-2</v>
      </c>
      <c r="AB2" s="9">
        <f>(SUM(H$2:H2)+SUM(Q$2:Q2))/(SUM(H$2:H$22)+SUM(Q$2:Q$22))</f>
        <v>2.5583951196444063E-2</v>
      </c>
      <c r="AC2" s="9">
        <f>(SUM(I$2:I2)+SUM(R$2:R2))/(SUM(I$2:I$22)+SUM(R$2:R$22))</f>
        <v>2.3918050656088222E-2</v>
      </c>
      <c r="AD2" s="9">
        <f>(SUM(J$2:J2)+SUM(S$2:S2))/(SUM(J$2:J$22)+SUM(S$2:S$22))</f>
        <v>2.0111062552926745E-2</v>
      </c>
    </row>
    <row r="3" spans="1:30" x14ac:dyDescent="0.2">
      <c r="A3" s="6" t="s">
        <v>18</v>
      </c>
      <c r="B3" s="7">
        <v>42226598</v>
      </c>
      <c r="C3" s="6">
        <f>Low_2040[[#This Row],[2025女]]</f>
        <v>36807504.784699999</v>
      </c>
      <c r="D3" s="6">
        <f>Low_2040[[#This Row],[2030女]]</f>
        <v>28710465.843816947</v>
      </c>
      <c r="E3" s="6">
        <f>Low_2040[[#This Row],[2035女]]</f>
        <v>19217526.467648543</v>
      </c>
      <c r="F3" s="6">
        <f>Low_2040[[#This Row],[2040女]]</f>
        <v>15901742.090567123</v>
      </c>
      <c r="G3" s="6">
        <f>Low_2040[[#This Row],[2045女]]</f>
        <v>14613760.410660064</v>
      </c>
      <c r="H3" s="6">
        <f>Low_2040[[#This Row],[2050女]]</f>
        <v>15796227.522522274</v>
      </c>
      <c r="I3" s="6">
        <f>Low_2040[[#This Row],[2055女]]</f>
        <v>15980267.525917945</v>
      </c>
      <c r="J3" s="6">
        <f>Low_2040[[#This Row],[2060女]]</f>
        <v>14360463.068355091</v>
      </c>
      <c r="K3" s="8">
        <v>48017458</v>
      </c>
      <c r="L3" s="6">
        <f>Low_2040[[#This Row],[2025男]]</f>
        <v>40825938.341499999</v>
      </c>
      <c r="M3" s="6">
        <f>Low_2040[[#This Row],[2030男]]</f>
        <v>30130873.818550918</v>
      </c>
      <c r="N3" s="6">
        <f>Low_2040[[#This Row],[2035男]]</f>
        <v>20168286.275042284</v>
      </c>
      <c r="O3" s="6">
        <f>Low_2040[[#This Row],[2040男]]</f>
        <v>16690133.053449161</v>
      </c>
      <c r="P3" s="6">
        <f>Low_2040[[#This Row],[2045男]]</f>
        <v>15338295.268914895</v>
      </c>
      <c r="Q3" s="6">
        <f>Low_2040[[#This Row],[2050男]]</f>
        <v>16579388.522185415</v>
      </c>
      <c r="R3" s="6">
        <f>Low_2040[[#This Row],[2055男]]</f>
        <v>16774235.51354925</v>
      </c>
      <c r="S3" s="6">
        <f>Low_2040[[#This Row],[2060男]]</f>
        <v>15073952.702163173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6.9641270725493268E-2</v>
      </c>
      <c r="Y3" s="9">
        <f>(SUM(E$2:E3)+SUM(N$2:N3))/(SUM(E$2:E$22)+SUM(N$2:N$22))</f>
        <v>5.1857797207235733E-2</v>
      </c>
      <c r="Z3" s="9">
        <f>(SUM(F$2:F3)+SUM(O$2:O3))/(SUM(F$2:F$22)+SUM(O$2:O$22))</f>
        <v>4.6087995580007937E-2</v>
      </c>
      <c r="AA3" s="9">
        <f>(SUM(G$2:G3)+SUM(P$2:P3))/(SUM(G$2:G$22)+SUM(P$2:P$22))</f>
        <v>4.7137544591769311E-2</v>
      </c>
      <c r="AB3" s="9">
        <f>(SUM(H$2:H3)+SUM(Q$2:Q3))/(SUM(H$2:H$22)+SUM(Q$2:Q$22))</f>
        <v>5.0809912458993807E-2</v>
      </c>
      <c r="AC3" s="9">
        <f>(SUM(I$2:I3)+SUM(R$2:R3))/(SUM(I$2:I$22)+SUM(R$2:R$22))</f>
        <v>5.0471319344814788E-2</v>
      </c>
      <c r="AD3" s="9">
        <f>(SUM(J$2:J3)+SUM(S$2:S3))/(SUM(J$2:J$22)+SUM(S$2:S$22))</f>
        <v>4.5216863720354751E-2</v>
      </c>
    </row>
    <row r="4" spans="1:30" x14ac:dyDescent="0.2">
      <c r="A4" s="6" t="s">
        <v>19</v>
      </c>
      <c r="B4" s="7">
        <v>39649204</v>
      </c>
      <c r="C4" s="6">
        <f>Low_2040[[#This Row],[2025女]]</f>
        <v>42197039.381399997</v>
      </c>
      <c r="D4" s="6">
        <f>Low_2040[[#This Row],[2030女]]</f>
        <v>36785420.281829178</v>
      </c>
      <c r="E4" s="6">
        <f>Low_2040[[#This Row],[2035女]]</f>
        <v>28696110.610895041</v>
      </c>
      <c r="F4" s="6">
        <f>Low_2040[[#This Row],[2040女]]</f>
        <v>19207917.704414722</v>
      </c>
      <c r="G4" s="6">
        <f>Low_2040[[#This Row],[2045女]]</f>
        <v>15895381.393730897</v>
      </c>
      <c r="H4" s="6">
        <f>Low_2040[[#This Row],[2050女]]</f>
        <v>14609376.282536866</v>
      </c>
      <c r="I4" s="6">
        <f>Low_2040[[#This Row],[2055女]]</f>
        <v>15791488.654265517</v>
      </c>
      <c r="J4" s="6">
        <f>Low_2040[[#This Row],[2060女]]</f>
        <v>15975473.44566017</v>
      </c>
      <c r="K4" s="8">
        <v>45606790</v>
      </c>
      <c r="L4" s="6">
        <f>Low_2040[[#This Row],[2025男]]</f>
        <v>47969440.542000003</v>
      </c>
      <c r="M4" s="6">
        <f>Low_2040[[#This Row],[2030男]]</f>
        <v>40793277.590826802</v>
      </c>
      <c r="N4" s="6">
        <f>Low_2040[[#This Row],[2035男]]</f>
        <v>30109782.206877932</v>
      </c>
      <c r="O4" s="6">
        <f>Low_2040[[#This Row],[2040男]]</f>
        <v>20156185.303277258</v>
      </c>
      <c r="P4" s="6">
        <f>Low_2040[[#This Row],[2045男]]</f>
        <v>16681787.986922437</v>
      </c>
      <c r="Q4" s="6">
        <f>Low_2040[[#This Row],[2050男]]</f>
        <v>15332159.950807329</v>
      </c>
      <c r="R4" s="6">
        <f>Low_2040[[#This Row],[2055男]]</f>
        <v>16572756.766776541</v>
      </c>
      <c r="S4" s="6">
        <f>Low_2040[[#This Row],[2060男]]</f>
        <v>16769203.242895186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0.12457785223191305</v>
      </c>
      <c r="Y4" s="9">
        <f>(SUM(E$2:E4)+SUM(N$2:N4))/(SUM(E$2:E$22)+SUM(N$2:N$22))</f>
        <v>9.4171812639761446E-2</v>
      </c>
      <c r="Z4" s="9">
        <f>(SUM(F$2:F4)+SUM(O$2:O4))/(SUM(F$2:F$22)+SUM(O$2:O$22))</f>
        <v>7.5057380989721326E-2</v>
      </c>
      <c r="AA4" s="9">
        <f>(SUM(G$2:G4)+SUM(P$2:P4))/(SUM(G$2:G$22)+SUM(P$2:P$22))</f>
        <v>7.1741822634788788E-2</v>
      </c>
      <c r="AB4" s="9">
        <f>(SUM(H$2:H4)+SUM(Q$2:Q4))/(SUM(H$2:H$22)+SUM(Q$2:Q$22))</f>
        <v>7.4139322843666214E-2</v>
      </c>
      <c r="AC4" s="9">
        <f>(SUM(I$2:I4)+SUM(R$2:R4))/(SUM(I$2:I$22)+SUM(R$2:R$22))</f>
        <v>7.6708215796497226E-2</v>
      </c>
      <c r="AD4" s="9">
        <f>(SUM(J$2:J4)+SUM(S$2:S4))/(SUM(J$2:J$22)+SUM(S$2:S$22))</f>
        <v>7.3146120025077768E-2</v>
      </c>
    </row>
    <row r="5" spans="1:30" x14ac:dyDescent="0.2">
      <c r="A5" s="6" t="s">
        <v>20</v>
      </c>
      <c r="B5" s="7">
        <v>33630797</v>
      </c>
      <c r="C5" s="6">
        <f>Low_2040[[#This Row],[2025女]]</f>
        <v>39609554.795999996</v>
      </c>
      <c r="D5" s="6">
        <f>Low_2040[[#This Row],[2030女]]</f>
        <v>42163281.749894872</v>
      </c>
      <c r="E5" s="6">
        <f>Low_2040[[#This Row],[2035女]]</f>
        <v>36763349.029660076</v>
      </c>
      <c r="F5" s="6">
        <f>Low_2040[[#This Row],[2040女]]</f>
        <v>28681762.555589594</v>
      </c>
      <c r="G5" s="6">
        <f>Low_2040[[#This Row],[2045女]]</f>
        <v>19200234.537332956</v>
      </c>
      <c r="H5" s="6">
        <f>Low_2040[[#This Row],[2050女]]</f>
        <v>15890612.779312778</v>
      </c>
      <c r="I5" s="6">
        <f>Low_2040[[#This Row],[2055女]]</f>
        <v>14604993.469652105</v>
      </c>
      <c r="J5" s="6">
        <f>Low_2040[[#This Row],[2060女]]</f>
        <v>15788330.356534665</v>
      </c>
      <c r="K5" s="8">
        <v>39053343</v>
      </c>
      <c r="L5" s="6">
        <f>Low_2040[[#This Row],[2025男]]</f>
        <v>45547501.173</v>
      </c>
      <c r="M5" s="6">
        <f>Low_2040[[#This Row],[2030男]]</f>
        <v>47921471.101458006</v>
      </c>
      <c r="N5" s="6">
        <f>Low_2040[[#This Row],[2035男]]</f>
        <v>40760642.968754143</v>
      </c>
      <c r="O5" s="6">
        <f>Low_2040[[#This Row],[2040男]]</f>
        <v>30091716.337553803</v>
      </c>
      <c r="P5" s="6">
        <f>Low_2040[[#This Row],[2045男]]</f>
        <v>20146107.210625619</v>
      </c>
      <c r="Q5" s="6">
        <f>Low_2040[[#This Row],[2050男]]</f>
        <v>16675115.27172767</v>
      </c>
      <c r="R5" s="6">
        <f>Low_2040[[#This Row],[2055男]]</f>
        <v>15327560.302822087</v>
      </c>
      <c r="S5" s="6">
        <f>Low_2040[[#This Row],[2060男]]</f>
        <v>16569442.215423185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0.18837047189701284</v>
      </c>
      <c r="Y5" s="9">
        <f>(SUM(E$2:E5)+SUM(N$2:N5))/(SUM(E$2:E$22)+SUM(N$2:N$22))</f>
        <v>0.14995451122027642</v>
      </c>
      <c r="Z5" s="9">
        <f>(SUM(F$2:F5)+SUM(O$2:O5))/(SUM(F$2:F$22)+SUM(O$2:O$22))</f>
        <v>0.11831078782062056</v>
      </c>
      <c r="AA5" s="9">
        <f>(SUM(G$2:G5)+SUM(P$2:P5))/(SUM(G$2:G$22)+SUM(P$2:P$22))</f>
        <v>0.10145859517050695</v>
      </c>
      <c r="AB5" s="9">
        <f>(SUM(H$2:H5)+SUM(Q$2:Q5))/(SUM(H$2:H$22)+SUM(Q$2:Q$22))</f>
        <v>9.9513412812112192E-2</v>
      </c>
      <c r="AC5" s="9">
        <f>(SUM(I$2:I5)+SUM(R$2:R5))/(SUM(I$2:I$22)+SUM(R$2:R$22))</f>
        <v>0.10097379973475967</v>
      </c>
      <c r="AD5" s="9">
        <f>(SUM(J$2:J5)+SUM(S$2:S5))/(SUM(J$2:J$22)+SUM(S$2:S$22))</f>
        <v>0.10074537019351847</v>
      </c>
    </row>
    <row r="6" spans="1:30" x14ac:dyDescent="0.2">
      <c r="A6" s="6" t="s">
        <v>21</v>
      </c>
      <c r="B6" s="7">
        <v>35265680</v>
      </c>
      <c r="C6" s="6">
        <f>Low_2040[[#This Row],[2025女]]</f>
        <v>33590440.0436</v>
      </c>
      <c r="D6" s="6">
        <f>Low_2040[[#This Row],[2030女]]</f>
        <v>39569945.241203994</v>
      </c>
      <c r="E6" s="6">
        <f>Low_2040[[#This Row],[2035女]]</f>
        <v>42125334.796319969</v>
      </c>
      <c r="F6" s="6">
        <f>Low_2040[[#This Row],[2040女]]</f>
        <v>36733938.350436345</v>
      </c>
      <c r="G6" s="6">
        <f>Low_2040[[#This Row],[2045女]]</f>
        <v>28661685.321800679</v>
      </c>
      <c r="H6" s="6">
        <f>Low_2040[[#This Row],[2050女]]</f>
        <v>19188714.396610554</v>
      </c>
      <c r="I6" s="6">
        <f>Low_2040[[#This Row],[2055女]]</f>
        <v>15882667.472923122</v>
      </c>
      <c r="J6" s="6">
        <f>Low_2040[[#This Row],[2060女]]</f>
        <v>14597690.972917279</v>
      </c>
      <c r="K6" s="8">
        <v>39675995</v>
      </c>
      <c r="L6" s="6">
        <f>Low_2040[[#This Row],[2025男]]</f>
        <v>38963520.311099999</v>
      </c>
      <c r="M6" s="6">
        <f>Low_2040[[#This Row],[2030男]]</f>
        <v>45456406.170653999</v>
      </c>
      <c r="N6" s="6">
        <f>Low_2040[[#This Row],[2035男]]</f>
        <v>47835212.453475378</v>
      </c>
      <c r="O6" s="6">
        <f>Low_2040[[#This Row],[2040男]]</f>
        <v>40695425.940004133</v>
      </c>
      <c r="P6" s="6">
        <f>Low_2040[[#This Row],[2045男]]</f>
        <v>30049587.934681229</v>
      </c>
      <c r="Q6" s="6">
        <f>Low_2040[[#This Row],[2050男]]</f>
        <v>20121931.881972868</v>
      </c>
      <c r="R6" s="6">
        <f>Low_2040[[#This Row],[2055男]]</f>
        <v>16656772.64492877</v>
      </c>
      <c r="S6" s="6">
        <f>Low_2040[[#This Row],[2060男]]</f>
        <v>15312232.742519265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0.24858103501059436</v>
      </c>
      <c r="Y6" s="9">
        <f>(SUM(E$2:E6)+SUM(N$2:N6))/(SUM(E$2:E$22)+SUM(N$2:N$22))</f>
        <v>0.21468598288489554</v>
      </c>
      <c r="Z6" s="9">
        <f>(SUM(F$2:F6)+SUM(O$2:O6))/(SUM(F$2:F$22)+SUM(O$2:O$22))</f>
        <v>0.17529369673437267</v>
      </c>
      <c r="AA6" s="9">
        <f>(SUM(G$2:G6)+SUM(P$2:P6))/(SUM(G$2:G$22)+SUM(P$2:P$22))</f>
        <v>0.14580095268423404</v>
      </c>
      <c r="AB6" s="9">
        <f>(SUM(H$2:H6)+SUM(Q$2:Q6))/(SUM(H$2:H$22)+SUM(Q$2:Q$22))</f>
        <v>0.13014290998862821</v>
      </c>
      <c r="AC6" s="9">
        <f>(SUM(I$2:I6)+SUM(R$2:R6))/(SUM(I$2:I$22)+SUM(R$2:R$22))</f>
        <v>0.1273527222111272</v>
      </c>
      <c r="AD6" s="9">
        <f>(SUM(J$2:J6)+SUM(S$2:S6))/(SUM(J$2:J$22)+SUM(S$2:S$22))</f>
        <v>0.12625675127840513</v>
      </c>
    </row>
    <row r="7" spans="1:30" x14ac:dyDescent="0.2">
      <c r="A7" s="6" t="s">
        <v>22</v>
      </c>
      <c r="B7" s="7">
        <v>43685062</v>
      </c>
      <c r="C7" s="6">
        <f>Low_2040[[#This Row],[2025女]]</f>
        <v>35219834.616000004</v>
      </c>
      <c r="D7" s="6">
        <f>Low_2040[[#This Row],[2030女]]</f>
        <v>33550131.515547682</v>
      </c>
      <c r="E7" s="6">
        <f>Low_2040[[#This Row],[2035女]]</f>
        <v>39526418.301438667</v>
      </c>
      <c r="F7" s="6">
        <f>Low_2040[[#This Row],[2040女]]</f>
        <v>42078996.928044021</v>
      </c>
      <c r="G7" s="6">
        <f>Low_2040[[#This Row],[2045女]]</f>
        <v>36697204.412085906</v>
      </c>
      <c r="H7" s="6">
        <f>Low_2040[[#This Row],[2050女]]</f>
        <v>28635889.805011056</v>
      </c>
      <c r="I7" s="6">
        <f>Low_2040[[#This Row],[2055女]]</f>
        <v>19171444.553653605</v>
      </c>
      <c r="J7" s="6">
        <f>Low_2040[[#This Row],[2060女]]</f>
        <v>15869961.338944783</v>
      </c>
      <c r="K7" s="8">
        <v>48162270</v>
      </c>
      <c r="L7" s="6">
        <f>Low_2040[[#This Row],[2025男]]</f>
        <v>39568869.813500002</v>
      </c>
      <c r="M7" s="6">
        <f>Low_2040[[#This Row],[2030男]]</f>
        <v>38862215.158291139</v>
      </c>
      <c r="N7" s="6">
        <f>Low_2040[[#This Row],[2035男]]</f>
        <v>45338219.514610298</v>
      </c>
      <c r="O7" s="6">
        <f>Low_2040[[#This Row],[2040男]]</f>
        <v>47715624.422341689</v>
      </c>
      <c r="P7" s="6">
        <f>Low_2040[[#This Row],[2045男]]</f>
        <v>40593687.375154123</v>
      </c>
      <c r="Q7" s="6">
        <f>Low_2040[[#This Row],[2050男]]</f>
        <v>29974463.964844529</v>
      </c>
      <c r="R7" s="6">
        <f>Low_2040[[#This Row],[2055男]]</f>
        <v>20073639.245456133</v>
      </c>
      <c r="S7" s="6">
        <f>Low_2040[[#This Row],[2060男]]</f>
        <v>16616796.390580941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0.29985911641959695</v>
      </c>
      <c r="Y7" s="9">
        <f>(SUM(E$2:E7)+SUM(N$2:N7))/(SUM(E$2:E$22)+SUM(N$2:N$22))</f>
        <v>0.27575067253005808</v>
      </c>
      <c r="Z7" s="9">
        <f>(SUM(F$2:F7)+SUM(O$2:O7))/(SUM(F$2:F$22)+SUM(O$2:O$22))</f>
        <v>0.24137661987656375</v>
      </c>
      <c r="AA7" s="9">
        <f>(SUM(G$2:G7)+SUM(P$2:P7))/(SUM(G$2:G$22)+SUM(P$2:P$22))</f>
        <v>0.20417577860927413</v>
      </c>
      <c r="AB7" s="9">
        <f>(SUM(H$2:H7)+SUM(Q$2:Q7))/(SUM(H$2:H$22)+SUM(Q$2:Q$22))</f>
        <v>0.1758100723289846</v>
      </c>
      <c r="AC7" s="9">
        <f>(SUM(I$2:I7)+SUM(R$2:R7))/(SUM(I$2:I$22)+SUM(R$2:R$22))</f>
        <v>0.15916774482263502</v>
      </c>
      <c r="AD7" s="9">
        <f>(SUM(J$2:J7)+SUM(S$2:S7))/(SUM(J$2:J$22)+SUM(S$2:S$22))</f>
        <v>0.1539660180935051</v>
      </c>
    </row>
    <row r="8" spans="1:30" x14ac:dyDescent="0.2">
      <c r="A8" s="6" t="s">
        <v>23</v>
      </c>
      <c r="B8" s="7">
        <v>60273382</v>
      </c>
      <c r="C8" s="6">
        <f>Low_2040[[#This Row],[2025女]]</f>
        <v>43623902.913199998</v>
      </c>
      <c r="D8" s="6">
        <f>Low_2040[[#This Row],[2030女]]</f>
        <v>35170526.847537607</v>
      </c>
      <c r="E8" s="6">
        <f>Low_2040[[#This Row],[2035女]]</f>
        <v>33506516.344577469</v>
      </c>
      <c r="F8" s="6">
        <f>Low_2040[[#This Row],[2040女]]</f>
        <v>39475033.957646795</v>
      </c>
      <c r="G8" s="6">
        <f>Low_2040[[#This Row],[2045女]]</f>
        <v>42024294.232037567</v>
      </c>
      <c r="H8" s="6">
        <f>Low_2040[[#This Row],[2050女]]</f>
        <v>36649498.046350196</v>
      </c>
      <c r="I8" s="6">
        <f>Low_2040[[#This Row],[2055女]]</f>
        <v>28598663.148264542</v>
      </c>
      <c r="J8" s="6">
        <f>Low_2040[[#This Row],[2060女]]</f>
        <v>19148438.820189223</v>
      </c>
      <c r="K8" s="8">
        <v>63871808</v>
      </c>
      <c r="L8" s="6">
        <f>Low_2040[[#This Row],[2025男]]</f>
        <v>48003334.509000003</v>
      </c>
      <c r="M8" s="6">
        <f>Low_2040[[#This Row],[2030男]]</f>
        <v>39442249.430096805</v>
      </c>
      <c r="N8" s="6">
        <f>Low_2040[[#This Row],[2035男]]</f>
        <v>38745628.512816265</v>
      </c>
      <c r="O8" s="6">
        <f>Low_2040[[#This Row],[2040男]]</f>
        <v>45206738.678017929</v>
      </c>
      <c r="P8" s="6">
        <f>Low_2040[[#This Row],[2045男]]</f>
        <v>47582020.673959129</v>
      </c>
      <c r="Q8" s="6">
        <f>Low_2040[[#This Row],[2050男]]</f>
        <v>40484084.419241205</v>
      </c>
      <c r="R8" s="6">
        <f>Low_2040[[#This Row],[2055男]]</f>
        <v>29896530.358535931</v>
      </c>
      <c r="S8" s="6">
        <f>Low_2040[[#This Row],[2060男]]</f>
        <v>20023455.147342496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0.35269541011615929</v>
      </c>
      <c r="Y8" s="9">
        <f>(SUM(E$2:E8)+SUM(N$2:N8))/(SUM(E$2:E$22)+SUM(N$2:N$22))</f>
        <v>0.32773999241000107</v>
      </c>
      <c r="Z8" s="9">
        <f>(SUM(F$2:F8)+SUM(O$2:O8))/(SUM(F$2:F$22)+SUM(O$2:O$22))</f>
        <v>0.30369682334165793</v>
      </c>
      <c r="AA8" s="9">
        <f>(SUM(G$2:G8)+SUM(P$2:P8))/(SUM(G$2:G$22)+SUM(P$2:P$22))</f>
        <v>0.27185196804723105</v>
      </c>
      <c r="AB8" s="9">
        <f>(SUM(H$2:H8)+SUM(Q$2:Q8))/(SUM(H$2:H$22)+SUM(Q$2:Q$22))</f>
        <v>0.23590989438740567</v>
      </c>
      <c r="AC8" s="9">
        <f>(SUM(I$2:I8)+SUM(R$2:R8))/(SUM(I$2:I$22)+SUM(R$2:R$22))</f>
        <v>0.20658835713702639</v>
      </c>
      <c r="AD8" s="9">
        <f>(SUM(J$2:J8)+SUM(S$2:S8))/(SUM(J$2:J$22)+SUM(S$2:S$22))</f>
        <v>0.18737730741440434</v>
      </c>
    </row>
    <row r="9" spans="1:30" x14ac:dyDescent="0.2">
      <c r="A9" s="6" t="s">
        <v>24</v>
      </c>
      <c r="B9" s="7">
        <v>48080895</v>
      </c>
      <c r="C9" s="6">
        <f>Low_2040[[#This Row],[2025女]]</f>
        <v>60158862.574199997</v>
      </c>
      <c r="D9" s="6">
        <f>Low_2040[[#This Row],[2030女]]</f>
        <v>43545379.887956239</v>
      </c>
      <c r="E9" s="6">
        <f>Low_2040[[#This Row],[2035女]]</f>
        <v>35107219.89921204</v>
      </c>
      <c r="F9" s="6">
        <f>Low_2040[[#This Row],[2040女]]</f>
        <v>33449555.266791686</v>
      </c>
      <c r="G9" s="6">
        <f>Low_2040[[#This Row],[2045女]]</f>
        <v>39407926.399918795</v>
      </c>
      <c r="H9" s="6">
        <f>Low_2040[[#This Row],[2050女]]</f>
        <v>41952852.931843102</v>
      </c>
      <c r="I9" s="6">
        <f>Low_2040[[#This Row],[2055女]]</f>
        <v>36590858.849476032</v>
      </c>
      <c r="J9" s="6">
        <f>Low_2040[[#This Row],[2060女]]</f>
        <v>28552905.287227318</v>
      </c>
      <c r="K9" s="8">
        <v>50932037</v>
      </c>
      <c r="L9" s="6">
        <f>Low_2040[[#This Row],[2025男]]</f>
        <v>63590772.044800006</v>
      </c>
      <c r="M9" s="6">
        <f>Low_2040[[#This Row],[2030男]]</f>
        <v>47806520.837513104</v>
      </c>
      <c r="N9" s="6">
        <f>Low_2040[[#This Row],[2035男]]</f>
        <v>39292368.882262439</v>
      </c>
      <c r="O9" s="6">
        <f>Low_2040[[#This Row],[2040男]]</f>
        <v>38610018.813021414</v>
      </c>
      <c r="P9" s="6">
        <f>Low_2040[[#This Row],[2045男]]</f>
        <v>45062077.114248276</v>
      </c>
      <c r="Q9" s="6">
        <f>Low_2040[[#This Row],[2050男]]</f>
        <v>47439274.611937255</v>
      </c>
      <c r="R9" s="6">
        <f>Low_2040[[#This Row],[2055男]]</f>
        <v>40374777.391309254</v>
      </c>
      <c r="S9" s="6">
        <f>Low_2040[[#This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0.41738534791595311</v>
      </c>
      <c r="Y9" s="9">
        <f>(SUM(E$2:E9)+SUM(N$2:N9))/(SUM(E$2:E$22)+SUM(N$2:N$22))</f>
        <v>0.38127451415645797</v>
      </c>
      <c r="Z9" s="9">
        <f>(SUM(F$2:F9)+SUM(O$2:O9))/(SUM(F$2:F$22)+SUM(O$2:O$22))</f>
        <v>0.35672792057179131</v>
      </c>
      <c r="AA9" s="9">
        <f>(SUM(G$2:G9)+SUM(P$2:P9))/(SUM(G$2:G$22)+SUM(P$2:P$22))</f>
        <v>0.33564889983319696</v>
      </c>
      <c r="AB9" s="9">
        <f>(SUM(H$2:H9)+SUM(Q$2:Q9))/(SUM(H$2:H$22)+SUM(Q$2:Q$22))</f>
        <v>0.30556115116912563</v>
      </c>
      <c r="AC9" s="9">
        <f>(SUM(I$2:I9)+SUM(R$2:R9))/(SUM(I$2:I$22)+SUM(R$2:R$22))</f>
        <v>0.26898250234624665</v>
      </c>
      <c r="AD9" s="9">
        <f>(SUM(J$2:J9)+SUM(S$2:S9))/(SUM(J$2:J$22)+SUM(S$2:S$22))</f>
        <v>0.23716744017021968</v>
      </c>
    </row>
    <row r="10" spans="1:30" x14ac:dyDescent="0.2">
      <c r="A10" s="6" t="s">
        <v>25</v>
      </c>
      <c r="B10" s="7">
        <v>45322636</v>
      </c>
      <c r="C10" s="6">
        <f>Low_2040[[#This Row],[2025女]]</f>
        <v>47951076.583499998</v>
      </c>
      <c r="D10" s="6">
        <f>Low_2040[[#This Row],[2030女]]</f>
        <v>60002449.531507075</v>
      </c>
      <c r="E10" s="6">
        <f>Low_2040[[#This Row],[2035女]]</f>
        <v>43436516.438236348</v>
      </c>
      <c r="F10" s="6">
        <f>Low_2040[[#This Row],[2040女]]</f>
        <v>35019451.849464014</v>
      </c>
      <c r="G10" s="6">
        <f>Low_2040[[#This Row],[2045女]]</f>
        <v>33369276.334151387</v>
      </c>
      <c r="H10" s="6">
        <f>Low_2040[[#This Row],[2050女]]</f>
        <v>39317288.169198982</v>
      </c>
      <c r="I10" s="6">
        <f>Low_2040[[#This Row],[2055女]]</f>
        <v>41856361.370099865</v>
      </c>
      <c r="J10" s="6">
        <f>Low_2040[[#This Row],[2060女]]</f>
        <v>36510358.960007183</v>
      </c>
      <c r="K10" s="8">
        <v>47632694</v>
      </c>
      <c r="L10" s="6">
        <f>Low_2040[[#This Row],[2025男]]</f>
        <v>50580605.944700003</v>
      </c>
      <c r="M10" s="6">
        <f>Low_2040[[#This Row],[2030男]]</f>
        <v>63202868.335326724</v>
      </c>
      <c r="N10" s="6">
        <f>Low_2040[[#This Row],[2035男]]</f>
        <v>47553146.277074285</v>
      </c>
      <c r="O10" s="6">
        <f>Low_2040[[#This Row],[2040男]]</f>
        <v>39107694.748515807</v>
      </c>
      <c r="P10" s="6">
        <f>Low_2040[[#This Row],[2045男]]</f>
        <v>38451717.735888027</v>
      </c>
      <c r="Q10" s="6">
        <f>Low_2040[[#This Row],[2050男]]</f>
        <v>44899853.63663698</v>
      </c>
      <c r="R10" s="6">
        <f>Low_2040[[#This Row],[2055男]]</f>
        <v>47287468.933179058</v>
      </c>
      <c r="S10" s="6">
        <f>Low_2040[[#This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0.50463196551355727</v>
      </c>
      <c r="Y10" s="9">
        <f>(SUM(E$2:E10)+SUM(N$2:N10))/(SUM(E$2:E$22)+SUM(N$2:N$22))</f>
        <v>0.44674648997130917</v>
      </c>
      <c r="Z10" s="9">
        <f>(SUM(F$2:F10)+SUM(O$2:O10))/(SUM(F$2:F$22)+SUM(O$2:O$22))</f>
        <v>0.41128061490600698</v>
      </c>
      <c r="AA10" s="9">
        <f>(SUM(G$2:G10)+SUM(P$2:P10))/(SUM(G$2:G$22)+SUM(P$2:P$22))</f>
        <v>0.3898925232363627</v>
      </c>
      <c r="AB10" s="9">
        <f>(SUM(H$2:H10)+SUM(Q$2:Q10))/(SUM(H$2:H$22)+SUM(Q$2:Q$22))</f>
        <v>0.37118023788868026</v>
      </c>
      <c r="AC10" s="9">
        <f>(SUM(I$2:I10)+SUM(R$2:R10))/(SUM(I$2:I$22)+SUM(R$2:R$22))</f>
        <v>0.34124920946535781</v>
      </c>
      <c r="AD10" s="9">
        <f>(SUM(J$2:J10)+SUM(S$2:S10))/(SUM(J$2:J$22)+SUM(S$2:S$22))</f>
        <v>0.30264945162987439</v>
      </c>
    </row>
    <row r="11" spans="1:30" x14ac:dyDescent="0.2">
      <c r="A11" s="6" t="s">
        <v>26</v>
      </c>
      <c r="B11" s="7">
        <v>56033201</v>
      </c>
      <c r="C11" s="6">
        <f>Low_2040[[#This Row],[2025女]]</f>
        <v>45127748.665200002</v>
      </c>
      <c r="D11" s="6">
        <f>Low_2040[[#This Row],[2030女]]</f>
        <v>47754477.169507645</v>
      </c>
      <c r="E11" s="6">
        <f>Low_2040[[#This Row],[2035女]]</f>
        <v>59762439.733381048</v>
      </c>
      <c r="F11" s="6">
        <f>Low_2040[[#This Row],[2040女]]</f>
        <v>43271457.67577105</v>
      </c>
      <c r="G11" s="6">
        <f>Low_2040[[#This Row],[2045女]]</f>
        <v>34889879.877620995</v>
      </c>
      <c r="H11" s="6">
        <f>Low_2040[[#This Row],[2050女]]</f>
        <v>33249146.939348441</v>
      </c>
      <c r="I11" s="6">
        <f>Low_2040[[#This Row],[2055女]]</f>
        <v>39183609.389423706</v>
      </c>
      <c r="J11" s="6">
        <f>Low_2040[[#This Row],[2060女]]</f>
        <v>41718235.377578534</v>
      </c>
      <c r="K11" s="8">
        <v>58191686</v>
      </c>
      <c r="L11" s="6">
        <f>Low_2040[[#This Row],[2025男]]</f>
        <v>47108734.365999997</v>
      </c>
      <c r="M11" s="6">
        <f>Low_2040[[#This Row],[2030男]]</f>
        <v>50095032.127630882</v>
      </c>
      <c r="N11" s="6">
        <f>Low_2040[[#This Row],[2035男]]</f>
        <v>62678284.52814351</v>
      </c>
      <c r="O11" s="6">
        <f>Low_2040[[#This Row],[2040男]]</f>
        <v>47210763.623879351</v>
      </c>
      <c r="P11" s="6">
        <f>Low_2040[[#This Row],[2045男]]</f>
        <v>38861316.271600157</v>
      </c>
      <c r="Q11" s="6">
        <f>Low_2040[[#This Row],[2050男]]</f>
        <v>38240233.288340643</v>
      </c>
      <c r="R11" s="6">
        <f>Low_2040[[#This Row],[2055男]]</f>
        <v>44684334.339181118</v>
      </c>
      <c r="S11" s="6">
        <f>Low_2040[[#This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0.57392312004787593</v>
      </c>
      <c r="Y11" s="9">
        <f>(SUM(E$2:E11)+SUM(N$2:N11))/(SUM(E$2:E$22)+SUM(N$2:N$22))</f>
        <v>0.53484920294305971</v>
      </c>
      <c r="Z11" s="9">
        <f>(SUM(F$2:F11)+SUM(O$2:O11))/(SUM(F$2:F$22)+SUM(O$2:O$22))</f>
        <v>0.47786956629261296</v>
      </c>
      <c r="AA11" s="9">
        <f>(SUM(G$2:G11)+SUM(P$2:P11))/(SUM(G$2:G$22)+SUM(P$2:P$22))</f>
        <v>0.44559395373383071</v>
      </c>
      <c r="AB11" s="9">
        <f>(SUM(H$2:H11)+SUM(Q$2:Q11))/(SUM(H$2:H$22)+SUM(Q$2:Q$22))</f>
        <v>0.42688229260223581</v>
      </c>
      <c r="AC11" s="9">
        <f>(SUM(I$2:I11)+SUM(R$2:R11))/(SUM(I$2:I$22)+SUM(R$2:R$22))</f>
        <v>0.40923888531277586</v>
      </c>
      <c r="AD11" s="9">
        <f>(SUM(J$2:J11)+SUM(S$2:S11))/(SUM(J$2:J$22)+SUM(S$2:S$22))</f>
        <v>0.37840064215548291</v>
      </c>
    </row>
    <row r="12" spans="1:30" x14ac:dyDescent="0.2">
      <c r="A12" s="6" t="s">
        <v>27</v>
      </c>
      <c r="B12" s="7">
        <v>60058826</v>
      </c>
      <c r="C12" s="6">
        <f>Low_2040[[#This Row],[2025女]]</f>
        <v>55640968.593000002</v>
      </c>
      <c r="D12" s="6">
        <f>Low_2040[[#This Row],[2030女]]</f>
        <v>44829905.524009682</v>
      </c>
      <c r="E12" s="6">
        <f>Low_2040[[#This Row],[2035女]]</f>
        <v>47453623.963339746</v>
      </c>
      <c r="F12" s="6">
        <f>Low_2040[[#This Row],[2040女]]</f>
        <v>59403865.094980761</v>
      </c>
      <c r="G12" s="6">
        <f>Low_2040[[#This Row],[2045女]]</f>
        <v>43024810.367019154</v>
      </c>
      <c r="H12" s="6">
        <f>Low_2040[[#This Row],[2050女]]</f>
        <v>34701474.526281841</v>
      </c>
      <c r="I12" s="6">
        <f>Low_2040[[#This Row],[2055女]]</f>
        <v>33079576.289957765</v>
      </c>
      <c r="J12" s="6">
        <f>Low_2040[[#This Row],[2060女]]</f>
        <v>38991609.703415528</v>
      </c>
      <c r="K12" s="8">
        <v>61105470</v>
      </c>
      <c r="L12" s="6">
        <f>Low_2040[[#This Row],[2025男]]</f>
        <v>57214065.6752</v>
      </c>
      <c r="M12" s="6">
        <f>Low_2040[[#This Row],[2030男]]</f>
        <v>46416235.970819794</v>
      </c>
      <c r="N12" s="6">
        <f>Low_2040[[#This Row],[2035男]]</f>
        <v>49448806.213184446</v>
      </c>
      <c r="O12" s="6">
        <f>Low_2040[[#This Row],[2040男]]</f>
        <v>61970019.91297549</v>
      </c>
      <c r="P12" s="6">
        <f>Low_2040[[#This Row],[2045男]]</f>
        <v>46743377.064002946</v>
      </c>
      <c r="Q12" s="6">
        <f>Low_2040[[#This Row],[2050男]]</f>
        <v>38523222.820037231</v>
      </c>
      <c r="R12" s="6">
        <f>Low_2040[[#This Row],[2055男]]</f>
        <v>37949607.515349254</v>
      </c>
      <c r="S12" s="6">
        <f>Low_2040[[#This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0.63853816550281961</v>
      </c>
      <c r="Y12" s="9">
        <f>(SUM(E$2:E12)+SUM(N$2:N12))/(SUM(E$2:E$22)+SUM(N$2:N$22))</f>
        <v>0.60457573423890698</v>
      </c>
      <c r="Z12" s="9">
        <f>(SUM(F$2:F12)+SUM(O$2:O12))/(SUM(F$2:F$22)+SUM(O$2:O$22))</f>
        <v>0.56719274616496129</v>
      </c>
      <c r="AA12" s="9">
        <f>(SUM(G$2:G12)+SUM(P$2:P12))/(SUM(G$2:G$22)+SUM(P$2:P$22))</f>
        <v>0.5133923992391185</v>
      </c>
      <c r="AB12" s="9">
        <f>(SUM(H$2:H12)+SUM(Q$2:Q12))/(SUM(H$2:H$22)+SUM(Q$2:Q$22))</f>
        <v>0.48393644644966888</v>
      </c>
      <c r="AC12" s="9">
        <f>(SUM(I$2:I12)+SUM(R$2:R12))/(SUM(I$2:I$22)+SUM(R$2:R$22))</f>
        <v>0.46682049478035592</v>
      </c>
      <c r="AD12" s="9">
        <f>(SUM(J$2:J12)+SUM(S$2:S12))/(SUM(J$2:J$22)+SUM(S$2:S$22))</f>
        <v>0.44951587436057744</v>
      </c>
    </row>
    <row r="13" spans="1:30" x14ac:dyDescent="0.2">
      <c r="A13" s="6" t="s">
        <v>28</v>
      </c>
      <c r="B13" s="7">
        <v>50584760</v>
      </c>
      <c r="C13" s="6">
        <f>Low_2040[[#This Row],[2025女]]</f>
        <v>59368149.501000002</v>
      </c>
      <c r="D13" s="6">
        <f>Low_2040[[#This Row],[2030女]]</f>
        <v>55045610.229054898</v>
      </c>
      <c r="E13" s="6">
        <f>Low_2040[[#This Row],[2035女]]</f>
        <v>44381606.468769588</v>
      </c>
      <c r="F13" s="6">
        <f>Low_2040[[#This Row],[2040女]]</f>
        <v>47012305.260480687</v>
      </c>
      <c r="G13" s="6">
        <f>Low_2040[[#This Row],[2045女]]</f>
        <v>58887051.468654424</v>
      </c>
      <c r="H13" s="6">
        <f>Low_2040[[#This Row],[2050女]]</f>
        <v>42676309.403046302</v>
      </c>
      <c r="I13" s="6">
        <f>Low_2040[[#This Row],[2055女]]</f>
        <v>34437743.319882095</v>
      </c>
      <c r="J13" s="6">
        <f>Low_2040[[#This Row],[2060女]]</f>
        <v>32844711.298299067</v>
      </c>
      <c r="K13" s="8">
        <v>50816026</v>
      </c>
      <c r="L13" s="6">
        <f>Low_2040[[#This Row],[2025男]]</f>
        <v>59528948.873999998</v>
      </c>
      <c r="M13" s="6">
        <f>Low_2040[[#This Row],[2030男]]</f>
        <v>55903863.571237922</v>
      </c>
      <c r="N13" s="6">
        <f>Low_2040[[#This Row],[2035男]]</f>
        <v>45473986.38061215</v>
      </c>
      <c r="O13" s="6">
        <f>Low_2040[[#This Row],[2040男]]</f>
        <v>48558727.701347128</v>
      </c>
      <c r="P13" s="6">
        <f>Low_2040[[#This Row],[2045男]]</f>
        <v>60978499.594367884</v>
      </c>
      <c r="Q13" s="6">
        <f>Low_2040[[#This Row],[2050男]]</f>
        <v>46079621.109694101</v>
      </c>
      <c r="R13" s="6">
        <f>Low_2040[[#This Row],[2055男]]</f>
        <v>38037830.212504767</v>
      </c>
      <c r="S13" s="6">
        <f>Low_2040[[#This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0.71710592930480188</v>
      </c>
      <c r="Y13" s="9">
        <f>(SUM(E$2:E13)+SUM(N$2:N13))/(SUM(E$2:E$22)+SUM(N$2:N$22))</f>
        <v>0.66923168554483392</v>
      </c>
      <c r="Z13" s="9">
        <f>(SUM(F$2:F13)+SUM(O$2:O13))/(SUM(F$2:F$22)+SUM(O$2:O$22))</f>
        <v>0.63752672754222273</v>
      </c>
      <c r="AA13" s="9">
        <f>(SUM(G$2:G13)+SUM(P$2:P13))/(SUM(G$2:G$22)+SUM(P$2:P$22))</f>
        <v>0.60392222126490192</v>
      </c>
      <c r="AB13" s="9">
        <f>(SUM(H$2:H13)+SUM(Q$2:Q13))/(SUM(H$2:H$22)+SUM(Q$2:Q$22))</f>
        <v>0.55309200048898544</v>
      </c>
      <c r="AC13" s="9">
        <f>(SUM(I$2:I13)+SUM(R$2:R13))/(SUM(I$2:I$22)+SUM(R$2:R$22))</f>
        <v>0.52557465676706561</v>
      </c>
      <c r="AD13" s="9">
        <f>(SUM(J$2:J13)+SUM(S$2:S13))/(SUM(J$2:J$22)+SUM(S$2:S$22))</f>
        <v>0.50953667607531927</v>
      </c>
    </row>
    <row r="14" spans="1:30" x14ac:dyDescent="0.2">
      <c r="A14" s="6" t="s">
        <v>29</v>
      </c>
      <c r="B14" s="7">
        <v>36511813</v>
      </c>
      <c r="C14" s="6">
        <f>Low_2040[[#This Row],[2025女]]</f>
        <v>49694468.223999999</v>
      </c>
      <c r="D14" s="6">
        <f>Low_2040[[#This Row],[2030女]]</f>
        <v>58412322.2940339</v>
      </c>
      <c r="E14" s="6">
        <f>Low_2040[[#This Row],[2035女]]</f>
        <v>54236439.758687787</v>
      </c>
      <c r="F14" s="6">
        <f>Low_2040[[#This Row],[2040女]]</f>
        <v>43786892.942088075</v>
      </c>
      <c r="G14" s="6">
        <f>Low_2040[[#This Row],[2045女]]</f>
        <v>46438755.136302821</v>
      </c>
      <c r="H14" s="6">
        <f>Low_2040[[#This Row],[2050女]]</f>
        <v>58233405.197352357</v>
      </c>
      <c r="I14" s="6">
        <f>Low_2040[[#This Row],[2055女]]</f>
        <v>42241011.047135234</v>
      </c>
      <c r="J14" s="6">
        <f>Low_2040[[#This Row],[2060女]]</f>
        <v>34117472.307007194</v>
      </c>
      <c r="K14" s="8">
        <v>36871125</v>
      </c>
      <c r="L14" s="6">
        <f>Low_2040[[#This Row],[2025男]]</f>
        <v>48768140.152199998</v>
      </c>
      <c r="M14" s="6">
        <f>Low_2040[[#This Row],[2030男]]</f>
        <v>57385906.714535996</v>
      </c>
      <c r="N14" s="6">
        <f>Low_2040[[#This Row],[2035男]]</f>
        <v>54103759.164244063</v>
      </c>
      <c r="O14" s="6">
        <f>Low_2040[[#This Row],[2040男]]</f>
        <v>44164335.572850518</v>
      </c>
      <c r="P14" s="6">
        <f>Low_2040[[#This Row],[2045男]]</f>
        <v>47310768.399422511</v>
      </c>
      <c r="Q14" s="6">
        <f>Low_2040[[#This Row],[2050男]]</f>
        <v>59575994.103697419</v>
      </c>
      <c r="R14" s="6">
        <f>Low_2040[[#This Row],[2055男]]</f>
        <v>45134988.876945376</v>
      </c>
      <c r="S14" s="6">
        <f>Low_2040[[#This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0.7991072907696557</v>
      </c>
      <c r="Y14" s="9">
        <f>(SUM(E$2:E14)+SUM(N$2:N14))/(SUM(E$2:E$22)+SUM(N$2:N$22))</f>
        <v>0.74718830909944345</v>
      </c>
      <c r="Z14" s="9">
        <f>(SUM(F$2:F14)+SUM(O$2:O14))/(SUM(F$2:F$22)+SUM(O$2:O$22))</f>
        <v>0.70225303505160896</v>
      </c>
      <c r="AA14" s="9">
        <f>(SUM(G$2:G14)+SUM(P$2:P14))/(SUM(G$2:G$22)+SUM(P$2:P$22))</f>
        <v>0.67472761618799282</v>
      </c>
      <c r="AB14" s="9">
        <f>(SUM(H$2:H14)+SUM(Q$2:Q14))/(SUM(H$2:H$22)+SUM(Q$2:Q$22))</f>
        <v>0.64488501344752447</v>
      </c>
      <c r="AC14" s="9">
        <f>(SUM(I$2:I14)+SUM(R$2:R14))/(SUM(I$2:I$22)+SUM(R$2:R$22))</f>
        <v>0.59640822734924359</v>
      </c>
      <c r="AD14" s="9">
        <f>(SUM(J$2:J14)+SUM(S$2:S14))/(SUM(J$2:J$22)+SUM(S$2:S$22))</f>
        <v>0.57048712053183737</v>
      </c>
    </row>
    <row r="15" spans="1:30" x14ac:dyDescent="0.2">
      <c r="A15" s="6" t="s">
        <v>30</v>
      </c>
      <c r="B15" s="7">
        <v>37667637</v>
      </c>
      <c r="C15" s="6">
        <f>Low_2040[[#This Row],[2025女]]</f>
        <v>35463923.966899998</v>
      </c>
      <c r="D15" s="6">
        <f>Low_2040[[#This Row],[2030女]]</f>
        <v>48417320.390643202</v>
      </c>
      <c r="E15" s="6">
        <f>Low_2040[[#This Row],[2035女]]</f>
        <v>57068838.881271116</v>
      </c>
      <c r="F15" s="6">
        <f>Low_2040[[#This Row],[2040女]]</f>
        <v>53119169.099658825</v>
      </c>
      <c r="G15" s="6">
        <f>Low_2040[[#This Row],[2045女]]</f>
        <v>42976835.422659449</v>
      </c>
      <c r="H15" s="6">
        <f>Low_2040[[#This Row],[2050女]]</f>
        <v>45667871.801040195</v>
      </c>
      <c r="I15" s="6">
        <f>Low_2040[[#This Row],[2055女]]</f>
        <v>57365727.459911808</v>
      </c>
      <c r="J15" s="6">
        <f>Low_2040[[#This Row],[2060女]]</f>
        <v>41679205.600208335</v>
      </c>
      <c r="K15" s="8">
        <v>36337923</v>
      </c>
      <c r="L15" s="6">
        <f>Low_2040[[#This Row],[2025男]]</f>
        <v>34585115.25</v>
      </c>
      <c r="M15" s="6">
        <f>Low_2040[[#This Row],[2030男]]</f>
        <v>46017617.047615916</v>
      </c>
      <c r="N15" s="6">
        <f>Low_2040[[#This Row],[2035男]]</f>
        <v>54442009.700080298</v>
      </c>
      <c r="O15" s="6">
        <f>Low_2040[[#This Row],[2040男]]</f>
        <v>51577113.61127387</v>
      </c>
      <c r="P15" s="6">
        <f>Low_2040[[#This Row],[2045男]]</f>
        <v>42287351.31100437</v>
      </c>
      <c r="Q15" s="6">
        <f>Low_2040[[#This Row],[2050男]]</f>
        <v>45479841.662364863</v>
      </c>
      <c r="R15" s="6">
        <f>Low_2040[[#This Row],[2055男]]</f>
        <v>57478919.111247271</v>
      </c>
      <c r="S15" s="6">
        <f>Low_2040[[#This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0.86598045028241877</v>
      </c>
      <c r="Y15" s="9">
        <f>(SUM(E$2:E15)+SUM(N$2:N15))/(SUM(E$2:E$22)+SUM(N$2:N$22))</f>
        <v>0.82742638630008891</v>
      </c>
      <c r="Z15" s="9">
        <f>(SUM(F$2:F15)+SUM(O$2:O15))/(SUM(F$2:F$22)+SUM(O$2:O$22))</f>
        <v>0.77930259881849218</v>
      </c>
      <c r="AA15" s="9">
        <f>(SUM(G$2:G15)+SUM(P$2:P15))/(SUM(G$2:G$22)+SUM(P$2:P$22))</f>
        <v>0.73912436389170388</v>
      </c>
      <c r="AB15" s="9">
        <f>(SUM(H$2:H15)+SUM(Q$2:Q15))/(SUM(H$2:H$22)+SUM(Q$2:Q$22))</f>
        <v>0.715904162112456</v>
      </c>
      <c r="AC15" s="9">
        <f>(SUM(I$2:I15)+SUM(R$2:R15))/(SUM(I$2:I$22)+SUM(R$2:R$22))</f>
        <v>0.6895099530628459</v>
      </c>
      <c r="AD15" s="9">
        <f>(SUM(J$2:J15)+SUM(S$2:S15))/(SUM(J$2:J$22)+SUM(S$2:S$22))</f>
        <v>0.64330253225794809</v>
      </c>
    </row>
    <row r="16" spans="1:30" x14ac:dyDescent="0.2">
      <c r="A16" s="6" t="s">
        <v>31</v>
      </c>
      <c r="B16" s="7">
        <v>25427303</v>
      </c>
      <c r="C16" s="6">
        <f>Low_2040[[#This Row],[2025女]]</f>
        <v>35780488.386299998</v>
      </c>
      <c r="D16" s="6">
        <f>Low_2040[[#This Row],[2030女]]</f>
        <v>33949614.41351337</v>
      </c>
      <c r="E16" s="6">
        <f>Low_2040[[#This Row],[2035女]]</f>
        <v>46654929.928423792</v>
      </c>
      <c r="F16" s="6">
        <f>Low_2040[[#This Row],[2040女]]</f>
        <v>55293997.992063582</v>
      </c>
      <c r="G16" s="6">
        <f>Low_2040[[#This Row],[2045女]]</f>
        <v>51711511.118517868</v>
      </c>
      <c r="H16" s="6">
        <f>Low_2040[[#This Row],[2050女]]</f>
        <v>42005558.94210735</v>
      </c>
      <c r="I16" s="6">
        <f>Low_2040[[#This Row],[2055女]]</f>
        <v>44786481.875280119</v>
      </c>
      <c r="J16" s="6">
        <f>Low_2040[[#This Row],[2060女]]</f>
        <v>56424929.529569253</v>
      </c>
      <c r="K16" s="8">
        <v>24162733</v>
      </c>
      <c r="L16" s="6">
        <f>Low_2040[[#This Row],[2025男]]</f>
        <v>32871285.145799998</v>
      </c>
      <c r="M16" s="6">
        <f>Low_2040[[#This Row],[2030男]]</f>
        <v>31603878.315449998</v>
      </c>
      <c r="N16" s="6">
        <f>Low_2040[[#This Row],[2035男]]</f>
        <v>42428242.917901874</v>
      </c>
      <c r="O16" s="6">
        <f>Low_2040[[#This Row],[2040男]]</f>
        <v>50603848.016224638</v>
      </c>
      <c r="P16" s="6">
        <f>Low_2040[[#This Row],[2045男]]</f>
        <v>48291651.474235728</v>
      </c>
      <c r="Q16" s="6">
        <f>Low_2040[[#This Row],[2050男]]</f>
        <v>39851599.875490516</v>
      </c>
      <c r="R16" s="6">
        <f>Low_2040[[#This Row],[2055男]]</f>
        <v>43110341.911755651</v>
      </c>
      <c r="S16" s="6">
        <f>Low_2040[[#This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0.91240150264716247</v>
      </c>
      <c r="Y16" s="9">
        <f>(SUM(E$2:E16)+SUM(N$2:N16))/(SUM(E$2:E$22)+SUM(N$2:N$22))</f>
        <v>0.89152653970271722</v>
      </c>
      <c r="Z16" s="9">
        <f>(SUM(F$2:F16)+SUM(O$2:O16))/(SUM(F$2:F$22)+SUM(O$2:O$22))</f>
        <v>0.85723643397975879</v>
      </c>
      <c r="AA16" s="9">
        <f>(SUM(G$2:G16)+SUM(P$2:P16))/(SUM(G$2:G$22)+SUM(P$2:P$22))</f>
        <v>0.81465289090592086</v>
      </c>
      <c r="AB16" s="9">
        <f>(SUM(H$2:H16)+SUM(Q$2:Q16))/(SUM(H$2:H$22)+SUM(Q$2:Q$22))</f>
        <v>0.77968443163825085</v>
      </c>
      <c r="AC16" s="9">
        <f>(SUM(I$2:I16)+SUM(R$2:R16))/(SUM(I$2:I$22)+SUM(R$2:R$22))</f>
        <v>0.76076574271993669</v>
      </c>
      <c r="AD16" s="9">
        <f>(SUM(J$2:J16)+SUM(S$2:S16))/(SUM(J$2:J$22)+SUM(S$2:S$22))</f>
        <v>0.73814659302450025</v>
      </c>
    </row>
    <row r="17" spans="1:30" x14ac:dyDescent="0.2">
      <c r="A17" s="6" t="s">
        <v>32</v>
      </c>
      <c r="B17" s="7">
        <v>16486416</v>
      </c>
      <c r="C17" s="6">
        <f>Low_2040[[#This Row],[2025女]]</f>
        <v>23077820.202799998</v>
      </c>
      <c r="D17" s="6">
        <f>Low_2040[[#This Row],[2030女]]</f>
        <v>33028968.829393528</v>
      </c>
      <c r="E17" s="6">
        <f>Low_2040[[#This Row],[2035女]]</f>
        <v>31776839.091048516</v>
      </c>
      <c r="F17" s="6">
        <f>Low_2040[[#This Row],[2040女]]</f>
        <v>44172887.656231642</v>
      </c>
      <c r="G17" s="6">
        <f>Low_2040[[#This Row],[2045女]]</f>
        <v>52844473.881015167</v>
      </c>
      <c r="H17" s="6">
        <f>Low_2040[[#This Row],[2050女]]</f>
        <v>49803356.358244553</v>
      </c>
      <c r="I17" s="6">
        <f>Low_2040[[#This Row],[2055女]]</f>
        <v>40715988.28258466</v>
      </c>
      <c r="J17" s="6">
        <f>Low_2040[[#This Row],[2060女]]</f>
        <v>43644426.587460481</v>
      </c>
      <c r="K17" s="8">
        <v>14752433</v>
      </c>
      <c r="L17" s="6">
        <f>Low_2040[[#This Row],[2025男]]</f>
        <v>20429590.751499999</v>
      </c>
      <c r="M17" s="6">
        <f>Low_2040[[#This Row],[2030男]]</f>
        <v>28292315.124990061</v>
      </c>
      <c r="N17" s="6">
        <f>Low_2040[[#This Row],[2035男]]</f>
        <v>27634431.199029475</v>
      </c>
      <c r="O17" s="6">
        <f>Low_2040[[#This Row],[2040男]]</f>
        <v>37625365.819595382</v>
      </c>
      <c r="P17" s="6">
        <f>Low_2040[[#This Row],[2045男]]</f>
        <v>45437195.133768104</v>
      </c>
      <c r="Q17" s="6">
        <f>Low_2040[[#This Row],[2050男]]</f>
        <v>43843990.373458616</v>
      </c>
      <c r="R17" s="6">
        <f>Low_2040[[#This Row],[2055男]]</f>
        <v>36543917.085824803</v>
      </c>
      <c r="S17" s="6">
        <f>Low_2040[[#This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0.95582555855962592</v>
      </c>
      <c r="Y17" s="9">
        <f>(SUM(E$2:E17)+SUM(N$2:N17))/(SUM(E$2:E$22)+SUM(N$2:N$22))</f>
        <v>0.93427615691727872</v>
      </c>
      <c r="Z17" s="9">
        <f>(SUM(F$2:F17)+SUM(O$2:O17))/(SUM(F$2:F$22)+SUM(O$2:O$22))</f>
        <v>0.91743455738980084</v>
      </c>
      <c r="AA17" s="9">
        <f>(SUM(G$2:G17)+SUM(P$2:P17))/(SUM(G$2:G$22)+SUM(P$2:P$22))</f>
        <v>0.8888812402973757</v>
      </c>
      <c r="AB17" s="9">
        <f>(SUM(H$2:H17)+SUM(Q$2:Q17))/(SUM(H$2:H$22)+SUM(Q$2:Q$22))</f>
        <v>0.85265120816946294</v>
      </c>
      <c r="AC17" s="9">
        <f>(SUM(I$2:I17)+SUM(R$2:R17))/(SUM(I$2:I$22)+SUM(R$2:R$22))</f>
        <v>0.82339844466143852</v>
      </c>
      <c r="AD17" s="9">
        <f>(SUM(J$2:J17)+SUM(S$2:S17))/(SUM(J$2:J$22)+SUM(S$2:S$22))</f>
        <v>0.80939279927263852</v>
      </c>
    </row>
    <row r="18" spans="1:30" x14ac:dyDescent="0.2">
      <c r="A18" s="6" t="s">
        <v>33</v>
      </c>
      <c r="B18" s="7">
        <v>11225875</v>
      </c>
      <c r="C18" s="6">
        <f>Low_2040[[#This Row],[2025女]]</f>
        <v>13715049.4704</v>
      </c>
      <c r="D18" s="6">
        <f>Low_2040[[#This Row],[2030女]]</f>
        <v>19879234.322691921</v>
      </c>
      <c r="E18" s="6">
        <f>Low_2040[[#This Row],[2035女]]</f>
        <v>29253757.692193851</v>
      </c>
      <c r="F18" s="6">
        <f>Low_2040[[#This Row],[2040女]]</f>
        <v>28783460.848671749</v>
      </c>
      <c r="G18" s="6">
        <f>Low_2040[[#This Row],[2045女]]</f>
        <v>40740654.28534244</v>
      </c>
      <c r="H18" s="6">
        <f>Low_2040[[#This Row],[2050女]]</f>
        <v>49457143.105242088</v>
      </c>
      <c r="I18" s="6">
        <f>Low_2040[[#This Row],[2055女]]</f>
        <v>47173739.142529242</v>
      </c>
      <c r="J18" s="6">
        <f>Low_2040[[#This Row],[2060女]]</f>
        <v>38940771.193463966</v>
      </c>
      <c r="K18" s="8">
        <v>9157003</v>
      </c>
      <c r="L18" s="6">
        <f>Low_2040[[#This Row],[2025男]]</f>
        <v>11083502.912899999</v>
      </c>
      <c r="M18" s="6">
        <f>Low_2040[[#This Row],[2030男]]</f>
        <v>15869706.0957652</v>
      </c>
      <c r="N18" s="6">
        <f>Low_2040[[#This Row],[2035男]]</f>
        <v>22628193.636967048</v>
      </c>
      <c r="O18" s="6">
        <f>Low_2040[[#This Row],[2040男]]</f>
        <v>22668523.912563879</v>
      </c>
      <c r="P18" s="6">
        <f>Low_2040[[#This Row],[2045男]]</f>
        <v>31560156.849476606</v>
      </c>
      <c r="Q18" s="6">
        <f>Low_2040[[#This Row],[2050男]]</f>
        <v>38866976.717425242</v>
      </c>
      <c r="R18" s="6">
        <f>Low_2040[[#This Row],[2055男]]</f>
        <v>38153040.422983684</v>
      </c>
      <c r="S18" s="6">
        <f>Low_2040[[#This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0.98114081433113232</v>
      </c>
      <c r="Y18" s="9">
        <f>(SUM(E$2:E18)+SUM(N$2:N18))/(SUM(E$2:E$22)+SUM(N$2:N$22))</f>
        <v>0.97160802255214851</v>
      </c>
      <c r="Z18" s="9">
        <f>(SUM(F$2:F18)+SUM(O$2:O18))/(SUM(F$2:F$22)+SUM(O$2:O$22))</f>
        <v>0.95529982708365568</v>
      </c>
      <c r="AA18" s="9">
        <f>(SUM(G$2:G18)+SUM(P$2:P18))/(SUM(G$2:G$22)+SUM(P$2:P$22))</f>
        <v>0.94348725100109787</v>
      </c>
      <c r="AB18" s="9">
        <f>(SUM(H$2:H18)+SUM(Q$2:Q18))/(SUM(H$2:H$22)+SUM(Q$2:Q$22))</f>
        <v>0.9214703102405607</v>
      </c>
      <c r="AC18" s="9">
        <f>(SUM(I$2:I18)+SUM(R$2:R18))/(SUM(I$2:I$22)+SUM(R$2:R$22))</f>
        <v>0.89257076278260716</v>
      </c>
      <c r="AD18" s="9">
        <f>(SUM(J$2:J18)+SUM(S$2:S18))/(SUM(J$2:J$22)+SUM(S$2:S$22))</f>
        <v>0.87014857382775845</v>
      </c>
    </row>
    <row r="19" spans="1:30" x14ac:dyDescent="0.2">
      <c r="A19" s="6" t="s">
        <v>34</v>
      </c>
      <c r="B19" s="7">
        <v>6400439</v>
      </c>
      <c r="C19" s="6">
        <f>Low_2040[[#This Row],[2025女]]</f>
        <v>7876073.9000000004</v>
      </c>
      <c r="D19" s="6">
        <f>Low_2040[[#This Row],[2030女]]</f>
        <v>10272572.0533296</v>
      </c>
      <c r="E19" s="6">
        <f>Low_2040[[#This Row],[2035女]]</f>
        <v>15680740.033739386</v>
      </c>
      <c r="F19" s="6">
        <f>Low_2040[[#This Row],[2040女]]</f>
        <v>24055364.950291004</v>
      </c>
      <c r="G19" s="6">
        <f>Low_2040[[#This Row],[2045女]]</f>
        <v>24480333.451795325</v>
      </c>
      <c r="H19" s="6">
        <f>Low_2040[[#This Row],[2050女]]</f>
        <v>35615479.976246357</v>
      </c>
      <c r="I19" s="6">
        <f>Low_2040[[#This Row],[2055女]]</f>
        <v>44224577.364707477</v>
      </c>
      <c r="J19" s="6">
        <f>Low_2040[[#This Row],[2060女]]</f>
        <v>42975276.358844139</v>
      </c>
      <c r="K19" s="8">
        <v>4426091</v>
      </c>
      <c r="L19" s="6">
        <f>Low_2040[[#This Row],[2025男]]</f>
        <v>5560132.2215999998</v>
      </c>
      <c r="M19" s="6">
        <f>Low_2040[[#This Row],[2030男]]</f>
        <v>7090116.8133821301</v>
      </c>
      <c r="N19" s="6">
        <f>Low_2040[[#This Row],[2035男]]</f>
        <v>10624768.231114801</v>
      </c>
      <c r="O19" s="6">
        <f>Low_2040[[#This Row],[2040男]]</f>
        <v>15769588.145602334</v>
      </c>
      <c r="P19" s="6">
        <f>Low_2040[[#This Row],[2045男]]</f>
        <v>16366674.26487112</v>
      </c>
      <c r="Q19" s="6">
        <f>Low_2040[[#This Row],[2050男]]</f>
        <v>23512316.852860071</v>
      </c>
      <c r="R19" s="6">
        <f>Low_2040[[#This Row],[2055男]]</f>
        <v>29775990.863219477</v>
      </c>
      <c r="S19" s="6">
        <f>Low_2040[[#This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0.99343602936119679</v>
      </c>
      <c r="Y19" s="9">
        <f>(SUM(E$2:E19)+SUM(N$2:N19))/(SUM(E$2:E$22)+SUM(N$2:N$22))</f>
        <v>0.99053625626043873</v>
      </c>
      <c r="Z19" s="9">
        <f>(SUM(F$2:F19)+SUM(O$2:O19))/(SUM(F$2:F$22)+SUM(O$2:O$22))</f>
        <v>0.98460836778464034</v>
      </c>
      <c r="AA19" s="9">
        <f>(SUM(G$2:G19)+SUM(P$2:P19))/(SUM(G$2:G$22)+SUM(P$2:P$22))</f>
        <v>0.9743374185937147</v>
      </c>
      <c r="AB19" s="9">
        <f>(SUM(H$2:H19)+SUM(Q$2:Q19))/(SUM(H$2:H$22)+SUM(Q$2:Q$22))</f>
        <v>0.96754064633211967</v>
      </c>
      <c r="AC19" s="9">
        <f>(SUM(I$2:I19)+SUM(R$2:R19))/(SUM(I$2:I$22)+SUM(R$2:R$22))</f>
        <v>0.95256120039989989</v>
      </c>
      <c r="AD19" s="9">
        <f>(SUM(J$2:J19)+SUM(S$2:S19))/(SUM(J$2:J$22)+SUM(S$2:S$22))</f>
        <v>0.93236587301635032</v>
      </c>
    </row>
    <row r="20" spans="1:30" x14ac:dyDescent="0.2">
      <c r="A20" s="6" t="s">
        <v>35</v>
      </c>
      <c r="B20" s="7">
        <v>2285155</v>
      </c>
      <c r="C20" s="6">
        <f>Low_2040[[#This Row],[2025女]]</f>
        <v>3358310.3433000003</v>
      </c>
      <c r="D20" s="6">
        <f>Low_2040[[#This Row],[2030女]]</f>
        <v>4580724.58024</v>
      </c>
      <c r="E20" s="6">
        <f>Low_2040[[#This Row],[2035女]]</f>
        <v>6489183.7660883088</v>
      </c>
      <c r="F20" s="6">
        <f>Low_2040[[#This Row],[2040女]]</f>
        <v>10597044.114801077</v>
      </c>
      <c r="G20" s="6">
        <f>Low_2040[[#This Row],[2045女]]</f>
        <v>17189963.793477952</v>
      </c>
      <c r="H20" s="6">
        <f>Low_2040[[#This Row],[2050女]]</f>
        <v>18330873.688704338</v>
      </c>
      <c r="I20" s="6">
        <f>Low_2040[[#This Row],[2055女]]</f>
        <v>27737335.805500664</v>
      </c>
      <c r="J20" s="6">
        <f>Low_2040[[#This Row],[2060女]]</f>
        <v>35614052.151798934</v>
      </c>
      <c r="K20" s="8">
        <v>1367594</v>
      </c>
      <c r="L20" s="6">
        <f>Low_2040[[#This Row],[2025男]]</f>
        <v>1951463.5219000001</v>
      </c>
      <c r="M20" s="6">
        <f>Low_2040[[#This Row],[2030男]]</f>
        <v>2612150.11770768</v>
      </c>
      <c r="N20" s="6">
        <f>Low_2040[[#This Row],[2035男]]</f>
        <v>3525206.0796135948</v>
      </c>
      <c r="O20" s="6">
        <f>Low_2040[[#This Row],[2040男]]</f>
        <v>5558878.7385192635</v>
      </c>
      <c r="P20" s="6">
        <f>Low_2040[[#This Row],[2045男]]</f>
        <v>8638580.3861609586</v>
      </c>
      <c r="Q20" s="6">
        <f>Low_2040[[#This Row],[2050男]]</f>
        <v>9348644.3400943838</v>
      </c>
      <c r="R20" s="6">
        <f>Low_2040[[#This Row],[2055男]]</f>
        <v>13949857.588801881</v>
      </c>
      <c r="S20" s="6">
        <f>Low_2040[[#This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0.99852959187184787</v>
      </c>
      <c r="Y20" s="9">
        <f>(SUM(E$2:E20)+SUM(N$2:N20))/(SUM(E$2:E$22)+SUM(N$2:N$22))</f>
        <v>0.99774215053690973</v>
      </c>
      <c r="Z20" s="9">
        <f>(SUM(F$2:F20)+SUM(O$2:O20))/(SUM(F$2:F$22)+SUM(O$2:O$22))</f>
        <v>0.99649806220231796</v>
      </c>
      <c r="AA20" s="9">
        <f>(SUM(G$2:G20)+SUM(P$2:P20))/(SUM(G$2:G$22)+SUM(P$2:P$22))</f>
        <v>0.99384472062529161</v>
      </c>
      <c r="AB20" s="9">
        <f>(SUM(H$2:H20)+SUM(Q$2:Q20))/(SUM(H$2:H$22)+SUM(Q$2:Q$22))</f>
        <v>0.98910757029725171</v>
      </c>
      <c r="AC20" s="9">
        <f>(SUM(I$2:I20)+SUM(R$2:R20))/(SUM(I$2:I$22)+SUM(R$2:R$22))</f>
        <v>0.98635598109750477</v>
      </c>
      <c r="AD20" s="9">
        <f>(SUM(J$2:J20)+SUM(S$2:S20))/(SUM(J$2:J$22)+SUM(S$2:S$22))</f>
        <v>0.97834400123414833</v>
      </c>
    </row>
    <row r="21" spans="1:30" x14ac:dyDescent="0.2">
      <c r="A21" s="6" t="s">
        <v>36</v>
      </c>
      <c r="B21" s="7">
        <v>548357</v>
      </c>
      <c r="C21" s="6">
        <f>Low_2040[[#This Row],[2025女]]</f>
        <v>735819.91</v>
      </c>
      <c r="D21" s="6">
        <f>Low_2040[[#This Row],[2030女]]</f>
        <v>1248283.9546046101</v>
      </c>
      <c r="E21" s="6">
        <f>Low_2040[[#This Row],[2035女]]</f>
        <v>1913368.6571662482</v>
      </c>
      <c r="F21" s="6">
        <f>Low_2040[[#This Row],[2040女]]</f>
        <v>2987620.205907057</v>
      </c>
      <c r="G21" s="6">
        <f>Low_2040[[#This Row],[2045女]]</f>
        <v>5297462.3529890589</v>
      </c>
      <c r="H21" s="6">
        <f>Low_2040[[#This Row],[2050女]]</f>
        <v>9222415.5752009209</v>
      </c>
      <c r="I21" s="6">
        <f>Low_2040[[#This Row],[2055女]]</f>
        <v>10457763.439405825</v>
      </c>
      <c r="J21" s="6">
        <f>Low_2040[[#This Row],[2060女]]</f>
        <v>16697876.154911399</v>
      </c>
      <c r="K21" s="8">
        <v>271455</v>
      </c>
      <c r="L21" s="6">
        <f>Low_2040[[#This Row],[2025男]]</f>
        <v>385387.98920000001</v>
      </c>
      <c r="M21" s="6">
        <f>Low_2040[[#This Row],[2030男]]</f>
        <v>580950.69046963006</v>
      </c>
      <c r="N21" s="6">
        <f>Low_2040[[#This Row],[2035男]]</f>
        <v>818386.63187781617</v>
      </c>
      <c r="O21" s="6">
        <f>Low_2040[[#This Row],[2040男]]</f>
        <v>1158382.7177610272</v>
      </c>
      <c r="P21" s="6">
        <f>Low_2040[[#This Row],[2045男]]</f>
        <v>1909474.8466813671</v>
      </c>
      <c r="Q21" s="6">
        <f>Low_2040[[#This Row],[2050男]]</f>
        <v>3093475.6362842391</v>
      </c>
      <c r="R21" s="6">
        <f>Low_2040[[#This Row],[2055男]]</f>
        <v>3480500.2878171392</v>
      </c>
      <c r="S21" s="6">
        <f>Low_2040[[#This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0.9998249461498796</v>
      </c>
      <c r="Y21" s="9">
        <f>(SUM(E$2:E21)+SUM(N$2:N21))/(SUM(E$2:E$22)+SUM(N$2:N$22))</f>
        <v>0.99970779598364556</v>
      </c>
      <c r="Z21" s="9">
        <f>(SUM(F$2:F21)+SUM(O$2:O21))/(SUM(F$2:F$22)+SUM(O$2:O$22))</f>
        <v>0.99954924709994064</v>
      </c>
      <c r="AA21" s="9">
        <f>(SUM(G$2:G21)+SUM(P$2:P21))/(SUM(G$2:G$22)+SUM(P$2:P$22))</f>
        <v>0.99928784199128062</v>
      </c>
      <c r="AB21" s="9">
        <f>(SUM(H$2:H21)+SUM(Q$2:Q21))/(SUM(H$2:H$22)+SUM(Q$2:Q$22))</f>
        <v>0.9987036871459839</v>
      </c>
      <c r="AC21" s="9">
        <f>(SUM(I$2:I21)+SUM(R$2:R21))/(SUM(I$2:I$22)+SUM(R$2:R$22))</f>
        <v>0.9976553881242981</v>
      </c>
      <c r="AD21" s="9">
        <f>(SUM(J$2:J21)+SUM(S$2:S21))/(SUM(J$2:J$22)+SUM(S$2:S$22))</f>
        <v>0.99718264430945758</v>
      </c>
    </row>
    <row r="22" spans="1:30" x14ac:dyDescent="0.2">
      <c r="A22" s="6" t="s">
        <v>37</v>
      </c>
      <c r="B22" s="7">
        <v>83737</v>
      </c>
      <c r="C22" s="6">
        <f>Low_2040[[#This Row],[2025女]]</f>
        <v>118719.2905</v>
      </c>
      <c r="D22" s="6">
        <f>Low_2040[[#This Row],[2030女]]</f>
        <v>166810.37359700003</v>
      </c>
      <c r="E22" s="6">
        <f>Low_2040[[#This Row],[2035女]]</f>
        <v>295593.64045037166</v>
      </c>
      <c r="F22" s="6">
        <f>Low_2040[[#This Row],[2040女]]</f>
        <v>472219.38458863006</v>
      </c>
      <c r="G22" s="6">
        <f>Low_2040[[#This Row],[2045女]]</f>
        <v>766623.34483575088</v>
      </c>
      <c r="H22" s="6">
        <f>Low_2040[[#This Row],[2050女]]</f>
        <v>1410714.2246009863</v>
      </c>
      <c r="I22" s="6">
        <f>Low_2040[[#This Row],[2055女]]</f>
        <v>2544464.4571979339</v>
      </c>
      <c r="J22" s="6">
        <f>Low_2040[[#This Row],[2060女]]</f>
        <v>2983599.9092624821</v>
      </c>
      <c r="K22" s="8">
        <v>35129</v>
      </c>
      <c r="L22" s="6">
        <f>Low_2040[[#This Row],[2025男]]</f>
        <v>61484.557500000003</v>
      </c>
      <c r="M22" s="6">
        <f>Low_2040[[#This Row],[2030男]]</f>
        <v>80391.934547120007</v>
      </c>
      <c r="N22" s="6">
        <f>Low_2040[[#This Row],[2035男]]</f>
        <v>110496.82132732365</v>
      </c>
      <c r="O22" s="6">
        <f>Low_2040[[#This Row],[2040男]]</f>
        <v>140271.46870385768</v>
      </c>
      <c r="P22" s="6">
        <f>Low_2040[[#This Row],[2045男]]</f>
        <v>176305.84964322834</v>
      </c>
      <c r="Q22" s="6">
        <f>Low_2040[[#This Row],[2050男]]</f>
        <v>253005.41718528117</v>
      </c>
      <c r="R22" s="6">
        <f>Low_2040[[#This Row],[2055男]]</f>
        <v>347706.6615183485</v>
      </c>
      <c r="S22" s="6">
        <f>Low_2040[[#This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44.734547559487027</v>
      </c>
      <c r="Y23" s="3">
        <f t="shared" si="0"/>
        <v>48.022240078223597</v>
      </c>
      <c r="Z23" s="3">
        <f t="shared" si="0"/>
        <v>51.238784475598251</v>
      </c>
      <c r="AA23" s="3">
        <f t="shared" si="0"/>
        <v>54.012337293332635</v>
      </c>
      <c r="AB23" s="3">
        <f t="shared" si="0"/>
        <v>56.161407335497493</v>
      </c>
      <c r="AC23" s="3">
        <f t="shared" si="0"/>
        <v>57.823587648748131</v>
      </c>
      <c r="AD23" s="3">
        <f t="shared" si="0"/>
        <v>59.205552424920626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6.9635299929807486</v>
      </c>
      <c r="E25" s="3">
        <f t="shared" si="1"/>
        <v>6.8928954789854453</v>
      </c>
      <c r="F25" s="3">
        <f t="shared" si="1"/>
        <v>6.7815507030509021</v>
      </c>
      <c r="G25" s="3">
        <f t="shared" si="1"/>
        <v>6.6495234721568783</v>
      </c>
      <c r="H25" s="3">
        <f t="shared" si="1"/>
        <v>6.4843131654252462</v>
      </c>
      <c r="I25" s="3">
        <f t="shared" si="1"/>
        <v>6.2681688866276319</v>
      </c>
      <c r="J25" s="3">
        <f t="shared" si="1"/>
        <v>5.9893750047854324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7.1579707894423974</v>
      </c>
      <c r="N25" s="3">
        <f t="shared" si="2"/>
        <v>7.0046021271080576</v>
      </c>
      <c r="O25" s="3">
        <f t="shared" si="2"/>
        <v>6.8066226223290958</v>
      </c>
      <c r="P25" s="3">
        <f t="shared" si="2"/>
        <v>6.5909257390305482</v>
      </c>
      <c r="Q25" s="3">
        <f t="shared" si="2"/>
        <v>6.3499315667159486</v>
      </c>
      <c r="R25" s="3">
        <f>SUM(R2:R22)/100000000</f>
        <v>6.0672250806594956</v>
      </c>
      <c r="S25" s="3">
        <f t="shared" si="2"/>
        <v>5.7347741566865178</v>
      </c>
      <c r="W25">
        <f t="shared" ref="W25:X25" si="3">((0.5-W9)/(W10-W9)*5)+$U10</f>
        <v>41.860793424246822</v>
      </c>
      <c r="X25">
        <f t="shared" si="3"/>
        <v>44.734547559487027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7.1579707894423974</v>
      </c>
      <c r="E26" s="3">
        <f t="shared" si="4"/>
        <v>7.0046021271080576</v>
      </c>
      <c r="F26" s="3">
        <f t="shared" si="4"/>
        <v>6.8066226223290958</v>
      </c>
      <c r="G26" s="3">
        <f t="shared" si="4"/>
        <v>6.5909257390305482</v>
      </c>
      <c r="H26" s="3">
        <f t="shared" si="4"/>
        <v>6.3499315667159486</v>
      </c>
      <c r="I26" s="3">
        <f t="shared" si="4"/>
        <v>6.0672250806594956</v>
      </c>
      <c r="J26" s="3">
        <f t="shared" si="4"/>
        <v>5.7347741566865178</v>
      </c>
      <c r="W26"/>
      <c r="X26"/>
      <c r="Y26">
        <f t="shared" ref="Y26" si="5">((0.5-Y10)/(Y11-Y10)*5)+$U11</f>
        <v>48.022240078223597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14.121500782423146</v>
      </c>
      <c r="E27" s="3">
        <f t="shared" si="6"/>
        <v>13.897497606093502</v>
      </c>
      <c r="F27" s="3">
        <f t="shared" si="6"/>
        <v>13.588173325379998</v>
      </c>
      <c r="G27" s="3">
        <f t="shared" si="6"/>
        <v>13.240449211187427</v>
      </c>
      <c r="H27" s="3">
        <f t="shared" si="6"/>
        <v>12.834244732141194</v>
      </c>
      <c r="I27" s="3">
        <f t="shared" si="6"/>
        <v>12.335393967287128</v>
      </c>
      <c r="J27" s="3">
        <f t="shared" si="6"/>
        <v>11.724149161471949</v>
      </c>
      <c r="W27"/>
      <c r="X27"/>
      <c r="Y27"/>
      <c r="Z27">
        <f t="shared" ref="Z27:AA27" si="7">((0.5-Z11)/(Z12-Z11)*5)+$U12</f>
        <v>51.238784475598251</v>
      </c>
      <c r="AA27">
        <f t="shared" si="7"/>
        <v>54.012337293332635</v>
      </c>
      <c r="AB27"/>
      <c r="AC27"/>
      <c r="AD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1.0279227341100916</v>
      </c>
      <c r="E28" s="2">
        <f t="shared" si="8"/>
        <v>1.0162060557081092</v>
      </c>
      <c r="F28" s="2">
        <f t="shared" si="8"/>
        <v>1.003697077611897</v>
      </c>
      <c r="G28" s="2">
        <f t="shared" si="8"/>
        <v>0.99118767933195628</v>
      </c>
      <c r="H28" s="2">
        <f t="shared" si="8"/>
        <v>0.97927589317773411</v>
      </c>
      <c r="I28" s="2">
        <f t="shared" si="8"/>
        <v>0.96794218381753794</v>
      </c>
      <c r="J28" s="2">
        <f t="shared" si="8"/>
        <v>0.95749124943829833</v>
      </c>
      <c r="W28"/>
      <c r="X28"/>
      <c r="Y28"/>
      <c r="Z28"/>
      <c r="AA28"/>
      <c r="AB28">
        <f t="shared" ref="AB28:AC28" si="9">((0.5-AB12)/(AB13-AB12)*5)+$U13</f>
        <v>56.161407335497493</v>
      </c>
      <c r="AC28">
        <f t="shared" si="9"/>
        <v>57.823587648748131</v>
      </c>
      <c r="AD28">
        <f t="shared" ref="AD28" si="10">((0.5-AD12)/(AD13-AD12)*5)+$U13</f>
        <v>59.205552424920626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11">SUM(C15:C22)/(C25*10^8)</f>
        <v>0.1721235544614709</v>
      </c>
      <c r="D29" s="2">
        <f t="shared" si="11"/>
        <v>0.2176245798765416</v>
      </c>
      <c r="E29" s="2">
        <f t="shared" si="11"/>
        <v>0.27438868363374608</v>
      </c>
      <c r="F29" s="2">
        <f t="shared" si="11"/>
        <v>0.32364539301235706</v>
      </c>
      <c r="G29" s="2">
        <f t="shared" si="11"/>
        <v>0.35492446735296673</v>
      </c>
      <c r="H29" s="2">
        <f t="shared" si="11"/>
        <v>0.38787980662697119</v>
      </c>
      <c r="I29" s="2">
        <f t="shared" si="11"/>
        <v>0.43873431428085696</v>
      </c>
      <c r="J29" s="2">
        <f t="shared" si="11"/>
        <v>0.46575834250257075</v>
      </c>
      <c r="K29" s="2">
        <f t="shared" ref="K29:S29" si="12">SUM(K15:K22)/(K25*10^8)</f>
        <v>0.12546202408591231</v>
      </c>
      <c r="L29" s="2">
        <f t="shared" si="12"/>
        <v>0.14752174745050295</v>
      </c>
      <c r="M29" s="2">
        <f t="shared" si="12"/>
        <v>0.18461534704058488</v>
      </c>
      <c r="N29" s="2">
        <f t="shared" si="12"/>
        <v>0.23157879958684177</v>
      </c>
      <c r="O29" s="2">
        <f t="shared" si="12"/>
        <v>0.2719439326972794</v>
      </c>
      <c r="P29" s="2">
        <f t="shared" si="12"/>
        <v>0.29535667343822158</v>
      </c>
      <c r="Q29" s="2">
        <f t="shared" si="12"/>
        <v>0.32165677492615397</v>
      </c>
      <c r="R29" s="2">
        <f t="shared" si="12"/>
        <v>0.36728532561535682</v>
      </c>
      <c r="S29" s="2">
        <f t="shared" si="12"/>
        <v>0.3916582640284168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3">L29</f>
        <v>0.14752174745050295</v>
      </c>
      <c r="D30" s="2">
        <f t="shared" si="13"/>
        <v>0.18461534704058488</v>
      </c>
      <c r="E30" s="2">
        <f t="shared" si="13"/>
        <v>0.23157879958684177</v>
      </c>
      <c r="F30" s="2">
        <f t="shared" si="13"/>
        <v>0.2719439326972794</v>
      </c>
      <c r="G30" s="2">
        <f t="shared" si="13"/>
        <v>0.29535667343822158</v>
      </c>
      <c r="H30" s="2">
        <f t="shared" si="13"/>
        <v>0.32165677492615397</v>
      </c>
      <c r="I30" s="2">
        <f t="shared" si="13"/>
        <v>0.36728532561535682</v>
      </c>
      <c r="J30" s="2">
        <f t="shared" si="13"/>
        <v>0.3916582640284168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4">(SUM(C15:C22)+SUM(L15:L22))/(C27*10^8)</f>
        <v>0.15958988777370234</v>
      </c>
      <c r="D31" s="2">
        <f t="shared" si="14"/>
        <v>0.20089270923034408</v>
      </c>
      <c r="E31" s="2">
        <f t="shared" si="14"/>
        <v>0.25281169090055677</v>
      </c>
      <c r="F31" s="2">
        <f t="shared" si="14"/>
        <v>0.29774696494839092</v>
      </c>
      <c r="G31" s="2">
        <f t="shared" si="14"/>
        <v>0.32527238381200718</v>
      </c>
      <c r="H31" s="2">
        <f t="shared" si="14"/>
        <v>0.35511498655247548</v>
      </c>
      <c r="I31" s="2">
        <f t="shared" si="14"/>
        <v>0.40359177265075646</v>
      </c>
      <c r="J31" s="2">
        <f t="shared" si="14"/>
        <v>0.42951287946816252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5">(D2+M2)/50000</f>
        <v>790.05172483063291</v>
      </c>
      <c r="E32" s="1">
        <f t="shared" si="15"/>
        <v>653.6709702358653</v>
      </c>
      <c r="F32" s="1">
        <f t="shared" si="15"/>
        <v>600.66584144066428</v>
      </c>
      <c r="G32" s="1">
        <f t="shared" si="15"/>
        <v>649.20341662330907</v>
      </c>
      <c r="H32" s="1">
        <f t="shared" si="15"/>
        <v>656.70138174063925</v>
      </c>
      <c r="I32" s="1">
        <f t="shared" si="15"/>
        <v>590.07715554475715</v>
      </c>
      <c r="J32" s="1">
        <f t="shared" si="15"/>
        <v>471.57019433241209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6">(SUM(C2:C22)-SUM(D3:D22)+SUM(L2:L22)-SUM(M3:M22))/50000</f>
        <v>1001.7562805327392</v>
      </c>
      <c r="E33" s="1">
        <f t="shared" si="16"/>
        <v>1101.6773228951479</v>
      </c>
      <c r="F33" s="1">
        <f t="shared" si="16"/>
        <v>1219.3144028676772</v>
      </c>
      <c r="G33" s="1">
        <f t="shared" si="16"/>
        <v>1344.6516450084471</v>
      </c>
      <c r="H33" s="1">
        <f t="shared" si="16"/>
        <v>1469.1103398331047</v>
      </c>
      <c r="I33" s="1">
        <f t="shared" si="16"/>
        <v>1587.7786852528882</v>
      </c>
      <c r="J33" s="1">
        <f t="shared" si="16"/>
        <v>1694.0598059627675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7">SUM(C2:C4)/10000</f>
        <v>10779.562503635365</v>
      </c>
      <c r="D36" s="4">
        <f t="shared" si="17"/>
        <v>8476.5440389807918</v>
      </c>
      <c r="E36" s="4">
        <f t="shared" si="17"/>
        <v>6385.6831474540295</v>
      </c>
      <c r="F36" s="4">
        <f t="shared" si="17"/>
        <v>4976.0046171583417</v>
      </c>
      <c r="G36" s="4">
        <f t="shared" si="17"/>
        <v>4634.3371478130202</v>
      </c>
      <c r="H36" s="4">
        <f t="shared" si="17"/>
        <v>4642.2710676782053</v>
      </c>
      <c r="I36" s="4">
        <f t="shared" si="17"/>
        <v>4616.3881925177539</v>
      </c>
      <c r="J36" s="4">
        <f t="shared" si="17"/>
        <v>4183.7648570903357</v>
      </c>
      <c r="K36" s="4">
        <f t="shared" si="17"/>
        <v>13459.357900000001</v>
      </c>
      <c r="L36" s="4">
        <f t="shared" si="17"/>
        <v>11902.601379726633</v>
      </c>
      <c r="M36" s="4">
        <f t="shared" si="17"/>
        <v>9115.7183386747602</v>
      </c>
      <c r="N36" s="4">
        <f t="shared" si="17"/>
        <v>6701.8422597716763</v>
      </c>
      <c r="O36" s="4">
        <f t="shared" si="17"/>
        <v>5222.922405215807</v>
      </c>
      <c r="P36" s="4">
        <f t="shared" si="17"/>
        <v>4864.602441326354</v>
      </c>
      <c r="Q36" s="4">
        <f t="shared" si="17"/>
        <v>4872.9510688301798</v>
      </c>
      <c r="R36" s="4">
        <f t="shared" si="17"/>
        <v>4845.8724312569575</v>
      </c>
      <c r="S36" s="4">
        <f t="shared" si="17"/>
        <v>4391.9953604790862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8">SUM(C5:C14)/10000</f>
        <v>46998.500650969996</v>
      </c>
      <c r="D37" s="4">
        <f t="shared" si="18"/>
        <v>46004.402999025355</v>
      </c>
      <c r="E37" s="4">
        <f t="shared" si="18"/>
        <v>43629.946473362274</v>
      </c>
      <c r="F37" s="4">
        <f t="shared" si="18"/>
        <v>40891.325988129305</v>
      </c>
      <c r="G37" s="4">
        <f t="shared" si="18"/>
        <v>38260.111808692469</v>
      </c>
      <c r="H37" s="4">
        <f t="shared" si="18"/>
        <v>35049.519219435562</v>
      </c>
      <c r="I37" s="4">
        <f t="shared" si="18"/>
        <v>30564.692891046809</v>
      </c>
      <c r="J37" s="4">
        <f t="shared" si="18"/>
        <v>27813.971442212074</v>
      </c>
      <c r="K37" s="4">
        <f t="shared" si="18"/>
        <v>49631.2454</v>
      </c>
      <c r="L37" s="4">
        <f t="shared" si="18"/>
        <v>49887.449286349998</v>
      </c>
      <c r="M37" s="4">
        <f t="shared" si="18"/>
        <v>49249.276941756441</v>
      </c>
      <c r="N37" s="4">
        <f t="shared" si="18"/>
        <v>47123.005489517687</v>
      </c>
      <c r="O37" s="4">
        <f t="shared" si="18"/>
        <v>44333.106575050726</v>
      </c>
      <c r="P37" s="4">
        <f t="shared" si="18"/>
        <v>41577.915937394988</v>
      </c>
      <c r="Q37" s="4">
        <f t="shared" si="18"/>
        <v>38201.379510812993</v>
      </c>
      <c r="R37" s="4">
        <f t="shared" si="18"/>
        <v>33542.350982021169</v>
      </c>
      <c r="S37" s="4">
        <f t="shared" si="18"/>
        <v>30495.029298357396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9">SUM(C15:C22)/10000</f>
        <v>12012.62054702</v>
      </c>
      <c r="D38" s="4">
        <f t="shared" si="19"/>
        <v>15154.352891801322</v>
      </c>
      <c r="E38" s="4">
        <f t="shared" si="19"/>
        <v>18913.325169038158</v>
      </c>
      <c r="F38" s="4">
        <f t="shared" si="19"/>
        <v>21948.176425221358</v>
      </c>
      <c r="G38" s="4">
        <f t="shared" si="19"/>
        <v>23600.785765063301</v>
      </c>
      <c r="H38" s="4">
        <f t="shared" si="19"/>
        <v>25151.341367138677</v>
      </c>
      <c r="I38" s="4">
        <f t="shared" si="19"/>
        <v>27500.60778271177</v>
      </c>
      <c r="J38" s="4">
        <f t="shared" si="19"/>
        <v>27896.013748551901</v>
      </c>
      <c r="K38" s="4">
        <f t="shared" si="19"/>
        <v>9051.0360999999994</v>
      </c>
      <c r="L38" s="4">
        <f t="shared" si="19"/>
        <v>10692.796235039999</v>
      </c>
      <c r="M38" s="4">
        <f t="shared" si="19"/>
        <v>13214.712613992775</v>
      </c>
      <c r="N38" s="4">
        <f t="shared" si="19"/>
        <v>16221.173521791226</v>
      </c>
      <c r="O38" s="4">
        <f t="shared" si="19"/>
        <v>18510.197243024431</v>
      </c>
      <c r="P38" s="4">
        <f t="shared" si="19"/>
        <v>19466.739011584148</v>
      </c>
      <c r="Q38" s="4">
        <f t="shared" si="19"/>
        <v>20424.985087516321</v>
      </c>
      <c r="R38" s="4">
        <f t="shared" si="19"/>
        <v>22284.027393316825</v>
      </c>
      <c r="S38" s="4">
        <f t="shared" si="19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20">(C36+L36)/(C37+L37)*100</f>
        <v>23.411200383581047</v>
      </c>
      <c r="D39">
        <f t="shared" si="20"/>
        <v>18.468853264873836</v>
      </c>
      <c r="E39">
        <f t="shared" si="20"/>
        <v>14.421046504998319</v>
      </c>
      <c r="F39">
        <f t="shared" si="20"/>
        <v>11.967139839638481</v>
      </c>
      <c r="G39">
        <f t="shared" si="20"/>
        <v>11.89776333071414</v>
      </c>
      <c r="H39">
        <f t="shared" si="20"/>
        <v>12.989904972427494</v>
      </c>
      <c r="I39">
        <f t="shared" si="20"/>
        <v>14.760095072407331</v>
      </c>
      <c r="J39">
        <f t="shared" si="20"/>
        <v>14.707438146170619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1">(C38+L38)/(C37+L37)*100</f>
        <v>23.435200662995186</v>
      </c>
      <c r="D40">
        <f t="shared" si="21"/>
        <v>29.782645167547173</v>
      </c>
      <c r="E40">
        <f t="shared" si="21"/>
        <v>38.7144417133673</v>
      </c>
      <c r="F40">
        <f t="shared" si="21"/>
        <v>47.47274044711591</v>
      </c>
      <c r="G40">
        <f t="shared" si="21"/>
        <v>53.943623098527773</v>
      </c>
      <c r="H40">
        <f t="shared" si="21"/>
        <v>62.219477500874</v>
      </c>
      <c r="I40">
        <f t="shared" si="21"/>
        <v>77.658603748134496</v>
      </c>
      <c r="J40">
        <f t="shared" si="21"/>
        <v>86.361848114375334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2">C27</f>
        <v>14.227353060274199</v>
      </c>
      <c r="P57" s="5">
        <f t="shared" si="22"/>
        <v>14.121500782423146</v>
      </c>
      <c r="Q57" s="5">
        <f t="shared" si="22"/>
        <v>13.897497606093502</v>
      </c>
      <c r="R57" s="5">
        <f t="shared" si="22"/>
        <v>13.588173325379998</v>
      </c>
      <c r="S57" s="5">
        <f t="shared" si="22"/>
        <v>13.240449211187427</v>
      </c>
      <c r="T57" s="5">
        <f t="shared" si="22"/>
        <v>12.834244732141194</v>
      </c>
      <c r="U57" s="5">
        <f t="shared" si="22"/>
        <v>12.335393967287128</v>
      </c>
      <c r="V57" s="5">
        <f t="shared" si="22"/>
        <v>11.724149161471949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3">C26</f>
        <v>7.2482846901116638</v>
      </c>
      <c r="P62" s="5">
        <f t="shared" si="23"/>
        <v>7.1579707894423974</v>
      </c>
      <c r="Q62" s="5">
        <f t="shared" si="23"/>
        <v>7.0046021271080576</v>
      </c>
      <c r="R62" s="5">
        <f t="shared" si="23"/>
        <v>6.8066226223290958</v>
      </c>
      <c r="S62" s="5">
        <f t="shared" si="23"/>
        <v>6.5909257390305482</v>
      </c>
      <c r="T62" s="5">
        <f t="shared" si="23"/>
        <v>6.3499315667159486</v>
      </c>
      <c r="U62" s="5">
        <f t="shared" si="23"/>
        <v>6.0672250806594956</v>
      </c>
      <c r="V62" s="5">
        <f t="shared" si="23"/>
        <v>5.7347741566865178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4">C25</f>
        <v>6.9790683701625351</v>
      </c>
      <c r="P67" s="5">
        <f t="shared" si="24"/>
        <v>6.9635299929807486</v>
      </c>
      <c r="Q67" s="5">
        <f t="shared" si="24"/>
        <v>6.8928954789854453</v>
      </c>
      <c r="R67" s="5">
        <f t="shared" si="24"/>
        <v>6.7815507030509021</v>
      </c>
      <c r="S67" s="5">
        <f t="shared" si="24"/>
        <v>6.6495234721568783</v>
      </c>
      <c r="T67" s="5">
        <f t="shared" si="24"/>
        <v>6.4843131654252462</v>
      </c>
      <c r="U67" s="5">
        <f t="shared" si="24"/>
        <v>6.2681688866276319</v>
      </c>
      <c r="V67" s="5">
        <f t="shared" si="24"/>
        <v>5.9893750047854324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5">C32</f>
        <v>1180.4343156804002</v>
      </c>
      <c r="P72" s="5">
        <f t="shared" si="25"/>
        <v>790.05172483063291</v>
      </c>
      <c r="Q72" s="5">
        <f t="shared" si="25"/>
        <v>653.6709702358653</v>
      </c>
      <c r="R72" s="5">
        <f t="shared" si="25"/>
        <v>600.66584144066428</v>
      </c>
      <c r="S72" s="5">
        <f t="shared" si="25"/>
        <v>649.20341662330907</v>
      </c>
      <c r="T72" s="5">
        <f t="shared" si="25"/>
        <v>656.70138174063925</v>
      </c>
      <c r="U72" s="5">
        <f t="shared" si="25"/>
        <v>590.07715554475715</v>
      </c>
      <c r="V72" s="5">
        <f t="shared" si="25"/>
        <v>471.57019433241209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6">C33</f>
        <v>921.30267513200045</v>
      </c>
      <c r="P77" s="5">
        <f t="shared" si="26"/>
        <v>1001.7562805327392</v>
      </c>
      <c r="Q77" s="5">
        <f t="shared" si="26"/>
        <v>1101.6773228951479</v>
      </c>
      <c r="R77" s="5">
        <f t="shared" si="26"/>
        <v>1219.3144028676772</v>
      </c>
      <c r="S77" s="5">
        <f t="shared" si="26"/>
        <v>1344.6516450084471</v>
      </c>
      <c r="T77" s="5">
        <f t="shared" si="26"/>
        <v>1469.1103398331047</v>
      </c>
      <c r="U77" s="5">
        <f t="shared" si="26"/>
        <v>1587.7786852528882</v>
      </c>
      <c r="V77" s="5">
        <f t="shared" si="26"/>
        <v>1694.0598059627675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7">B36+K36</f>
        <v>25338.393800000002</v>
      </c>
      <c r="O89" s="4">
        <f t="shared" si="27"/>
        <v>22682.163883361998</v>
      </c>
      <c r="P89" s="4">
        <f t="shared" si="27"/>
        <v>17592.262377655552</v>
      </c>
      <c r="Q89" s="4">
        <f t="shared" si="27"/>
        <v>13087.525407225705</v>
      </c>
      <c r="R89" s="4">
        <f t="shared" si="27"/>
        <v>10198.927022374148</v>
      </c>
      <c r="S89" s="4">
        <f t="shared" si="27"/>
        <v>9498.9395891393742</v>
      </c>
      <c r="T89" s="4">
        <f t="shared" si="27"/>
        <v>9515.222136508386</v>
      </c>
      <c r="U89" s="4">
        <f t="shared" si="27"/>
        <v>9462.2606237747113</v>
      </c>
      <c r="V89" s="4">
        <f t="shared" si="27"/>
        <v>8575.7602175694228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7"/>
        <v>96575.950599999996</v>
      </c>
      <c r="O90" s="4">
        <f t="shared" si="27"/>
        <v>96885.949937319994</v>
      </c>
      <c r="P90" s="4">
        <f t="shared" si="27"/>
        <v>95253.679940781789</v>
      </c>
      <c r="Q90" s="4">
        <f t="shared" si="27"/>
        <v>90752.951962879961</v>
      </c>
      <c r="R90" s="4">
        <f t="shared" si="27"/>
        <v>85224.432563180031</v>
      </c>
      <c r="S90" s="4">
        <f t="shared" si="27"/>
        <v>79838.027746087464</v>
      </c>
      <c r="T90" s="4">
        <f t="shared" si="27"/>
        <v>73250.898730248562</v>
      </c>
      <c r="U90" s="4">
        <f t="shared" si="27"/>
        <v>64107.043873067974</v>
      </c>
      <c r="V90" s="4">
        <f t="shared" si="27"/>
        <v>58309.000740569471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7"/>
        <v>19063.527999999998</v>
      </c>
      <c r="O91" s="4">
        <f t="shared" si="27"/>
        <v>22705.416782059998</v>
      </c>
      <c r="P91" s="4">
        <f t="shared" si="27"/>
        <v>28369.065505794097</v>
      </c>
      <c r="Q91" s="4">
        <f t="shared" si="27"/>
        <v>35134.498690829387</v>
      </c>
      <c r="R91" s="4">
        <f t="shared" si="27"/>
        <v>40458.373668245789</v>
      </c>
      <c r="S91" s="4">
        <f t="shared" si="27"/>
        <v>43067.524776647449</v>
      </c>
      <c r="T91" s="4">
        <f t="shared" si="27"/>
        <v>45576.326454654998</v>
      </c>
      <c r="U91" s="4">
        <f t="shared" si="27"/>
        <v>49784.635176028591</v>
      </c>
      <c r="V91" s="4">
        <f t="shared" si="27"/>
        <v>50356.730656580599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65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D9D3-65C0-47E2-9A76-67A0E7C7B5B7}">
  <dimension ref="A1:AE91"/>
  <sheetViews>
    <sheetView workbookViewId="0">
      <selection activeCell="D28" sqref="D28"/>
    </sheetView>
  </sheetViews>
  <sheetFormatPr defaultRowHeight="14.25" x14ac:dyDescent="0.2"/>
  <cols>
    <col min="2" max="2" width="10.6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Medium_2041[[#This Row],[2025女]]</f>
        <v>28791080.87025366</v>
      </c>
      <c r="D2" s="6">
        <f>Medium_2041[[#This Row],[2030女]]</f>
        <v>24265336.046333991</v>
      </c>
      <c r="E2" s="6">
        <f>Medium_2041[[#This Row],[2035女]]</f>
        <v>23279490.782747276</v>
      </c>
      <c r="F2" s="6">
        <f>Medium_2041[[#This Row],[2040女]]</f>
        <v>23727650.831700809</v>
      </c>
      <c r="G2" s="6">
        <f>Medium_2041[[#This Row],[2045女]]</f>
        <v>25218360.970067129</v>
      </c>
      <c r="H2" s="6">
        <f>Medium_2041[[#This Row],[2050女]]</f>
        <v>25274785.808634564</v>
      </c>
      <c r="I2" s="6">
        <f>Medium_2041[[#This Row],[2055女]]</f>
        <v>22843471.423456695</v>
      </c>
      <c r="J2" s="6">
        <f>Medium_2041[[#This Row],[2060女]]</f>
        <v>19533570.334419992</v>
      </c>
      <c r="K2" s="8">
        <v>40969331</v>
      </c>
      <c r="L2" s="6">
        <f>Medium_2041[[#This Row],[2025男]]</f>
        <v>30230634.913766347</v>
      </c>
      <c r="M2" s="6">
        <f>Medium_2041[[#This Row],[2030男]]</f>
        <v>25478602.848650694</v>
      </c>
      <c r="N2" s="6">
        <f>Medium_2041[[#This Row],[2035男]]</f>
        <v>24443465.32188464</v>
      </c>
      <c r="O2" s="6">
        <f>Medium_2041[[#This Row],[2040男]]</f>
        <v>24914033.373285852</v>
      </c>
      <c r="P2" s="6">
        <f>Medium_2041[[#This Row],[2045男]]</f>
        <v>26479279.018570483</v>
      </c>
      <c r="Q2" s="6">
        <f>Medium_2041[[#This Row],[2050男]]</f>
        <v>26538525.099066295</v>
      </c>
      <c r="R2" s="6">
        <f>Medium_2041[[#This Row],[2055男]]</f>
        <v>23985644.994629528</v>
      </c>
      <c r="S2" s="6">
        <f>Medium_2041[[#This Row],[2060男]]</f>
        <v>20510248.851140995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3.4972046241629744E-2</v>
      </c>
      <c r="Y2" s="9">
        <f>(SUM(E$2:E2)+SUM(N$2:N2))/(SUM(E$2:E$22)+SUM(N$2:N$22))</f>
        <v>3.372646487195935E-2</v>
      </c>
      <c r="Z2" s="9">
        <f>(SUM(F$2:F2)+SUM(O$2:O2))/(SUM(F$2:F$22)+SUM(O$2:O$22))</f>
        <v>3.4678952930039163E-2</v>
      </c>
      <c r="AA2" s="9">
        <f>(SUM(G$2:G2)+SUM(P$2:P2))/(SUM(G$2:G$22)+SUM(P$2:P$22))</f>
        <v>3.7272138831890872E-2</v>
      </c>
      <c r="AB2" s="9">
        <f>(SUM(H$2:H2)+SUM(Q$2:Q2))/(SUM(H$2:H$22)+SUM(Q$2:Q$22))</f>
        <v>3.7949617486820568E-2</v>
      </c>
      <c r="AC2" s="9">
        <f>(SUM(I$2:I2)+SUM(R$2:R2))/(SUM(I$2:I$22)+SUM(R$2:R$22))</f>
        <v>3.5139302919575045E-2</v>
      </c>
      <c r="AD2" s="9">
        <f>(SUM(J$2:J2)+SUM(S$2:S2))/(SUM(J$2:J$22)+SUM(S$2:S$22))</f>
        <v>3.109224129238462E-2</v>
      </c>
    </row>
    <row r="3" spans="1:30" x14ac:dyDescent="0.2">
      <c r="A3" s="6" t="s">
        <v>18</v>
      </c>
      <c r="B3" s="7">
        <v>42226598</v>
      </c>
      <c r="C3" s="6">
        <f>Medium_2041[[#This Row],[2025女]]</f>
        <v>36807504.784699999</v>
      </c>
      <c r="D3" s="6">
        <f>Medium_2041[[#This Row],[2030女]]</f>
        <v>28710465.843816947</v>
      </c>
      <c r="E3" s="6">
        <f>Medium_2041[[#This Row],[2035女]]</f>
        <v>24199819.639008887</v>
      </c>
      <c r="F3" s="6">
        <f>Medium_2041[[#This Row],[2040女]]</f>
        <v>23218964.106712133</v>
      </c>
      <c r="G3" s="6">
        <f>Medium_2041[[#This Row],[2045女]]</f>
        <v>23668331.704621557</v>
      </c>
      <c r="H3" s="6">
        <f>Medium_2041[[#This Row],[2050女]]</f>
        <v>25157836.903738968</v>
      </c>
      <c r="I3" s="6">
        <f>Medium_2041[[#This Row],[2055女]]</f>
        <v>25216653.801274706</v>
      </c>
      <c r="J3" s="6">
        <f>Medium_2041[[#This Row],[2060女]]</f>
        <v>22793215.78632509</v>
      </c>
      <c r="K3" s="8">
        <v>48017458</v>
      </c>
      <c r="L3" s="6">
        <f>Medium_2041[[#This Row],[2025男]]</f>
        <v>40825938.341499999</v>
      </c>
      <c r="M3" s="6">
        <f>Medium_2041[[#This Row],[2030男]]</f>
        <v>30130873.818550918</v>
      </c>
      <c r="N3" s="6">
        <f>Medium_2041[[#This Row],[2035男]]</f>
        <v>25397071.319535013</v>
      </c>
      <c r="O3" s="6">
        <f>Medium_2041[[#This Row],[2040男]]</f>
        <v>24370134.925918985</v>
      </c>
      <c r="P3" s="6">
        <f>Medium_2041[[#This Row],[2045男]]</f>
        <v>24841782.676503323</v>
      </c>
      <c r="Q3" s="6">
        <f>Medium_2041[[#This Row],[2050男]]</f>
        <v>26405137.037318483</v>
      </c>
      <c r="R3" s="6">
        <f>Medium_2041[[#This Row],[2055男]]</f>
        <v>26469524.933808722</v>
      </c>
      <c r="S3" s="6">
        <f>Medium_2041[[#This Row],[2060男]]</f>
        <v>23925680.882142957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7.6339941452663068E-2</v>
      </c>
      <c r="Y3" s="9">
        <f>(SUM(E$2:E3)+SUM(N$2:N3))/(SUM(E$2:E$22)+SUM(N$2:N$22))</f>
        <v>6.8777265099093154E-2</v>
      </c>
      <c r="Z3" s="9">
        <f>(SUM(F$2:F3)+SUM(O$2:O3))/(SUM(F$2:F$22)+SUM(O$2:O$22))</f>
        <v>6.8607468200618485E-2</v>
      </c>
      <c r="AA3" s="9">
        <f>(SUM(G$2:G3)+SUM(P$2:P3))/(SUM(G$2:G$22)+SUM(P$2:P$22))</f>
        <v>7.2246186358268891E-2</v>
      </c>
      <c r="AB3" s="9">
        <f>(SUM(H$2:H3)+SUM(Q$2:Q3))/(SUM(H$2:H$22)+SUM(Q$2:Q$22))</f>
        <v>7.5715880697288254E-2</v>
      </c>
      <c r="AC3" s="9">
        <f>(SUM(I$2:I3)+SUM(R$2:R3))/(SUM(I$2:I$22)+SUM(R$2:R$22))</f>
        <v>7.3923214089548356E-2</v>
      </c>
      <c r="AD3" s="9">
        <f>(SUM(J$2:J3)+SUM(S$2:S3))/(SUM(J$2:J$22)+SUM(S$2:S$22))</f>
        <v>6.7367382816691815E-2</v>
      </c>
    </row>
    <row r="4" spans="1:30" x14ac:dyDescent="0.2">
      <c r="A4" s="6" t="s">
        <v>19</v>
      </c>
      <c r="B4" s="7">
        <v>39649204</v>
      </c>
      <c r="C4" s="6">
        <f>Medium_2041[[#This Row],[2025女]]</f>
        <v>42197039.381399997</v>
      </c>
      <c r="D4" s="6">
        <f>Medium_2041[[#This Row],[2030女]]</f>
        <v>36785420.281829178</v>
      </c>
      <c r="E4" s="6">
        <f>Medium_2041[[#This Row],[2035女]]</f>
        <v>28696110.610895041</v>
      </c>
      <c r="F4" s="6">
        <f>Medium_2041[[#This Row],[2040女]]</f>
        <v>24187719.729189385</v>
      </c>
      <c r="G4" s="6">
        <f>Medium_2041[[#This Row],[2045女]]</f>
        <v>23209676.521069448</v>
      </c>
      <c r="H4" s="6">
        <f>Medium_2041[[#This Row],[2050女]]</f>
        <v>23661231.20511017</v>
      </c>
      <c r="I4" s="6">
        <f>Medium_2041[[#This Row],[2055女]]</f>
        <v>25150289.552667849</v>
      </c>
      <c r="J4" s="6">
        <f>Medium_2041[[#This Row],[2060女]]</f>
        <v>25209088.805134322</v>
      </c>
      <c r="K4" s="8">
        <v>45606790</v>
      </c>
      <c r="L4" s="6">
        <f>Medium_2041[[#This Row],[2025男]]</f>
        <v>47969440.542000003</v>
      </c>
      <c r="M4" s="6">
        <f>Medium_2041[[#This Row],[2030男]]</f>
        <v>40793277.590826802</v>
      </c>
      <c r="N4" s="6">
        <f>Medium_2041[[#This Row],[2035男]]</f>
        <v>30109782.206877932</v>
      </c>
      <c r="O4" s="6">
        <f>Medium_2041[[#This Row],[2040男]]</f>
        <v>25381833.07674329</v>
      </c>
      <c r="P4" s="6">
        <f>Medium_2041[[#This Row],[2045男]]</f>
        <v>24357949.858456027</v>
      </c>
      <c r="Q4" s="6">
        <f>Medium_2041[[#This Row],[2050男]]</f>
        <v>24831845.963432722</v>
      </c>
      <c r="R4" s="6">
        <f>Medium_2041[[#This Row],[2055男]]</f>
        <v>26394574.982503556</v>
      </c>
      <c r="S4" s="6">
        <f>Medium_2041[[#This Row],[2060男]]</f>
        <v>26461584.076328579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0.13088097438323962</v>
      </c>
      <c r="Y4" s="9">
        <f>(SUM(E$2:E4)+SUM(N$2:N4))/(SUM(E$2:E$22)+SUM(N$2:N$22))</f>
        <v>0.11033619271527931</v>
      </c>
      <c r="Z4" s="9">
        <f>(SUM(F$2:F4)+SUM(O$2:O4))/(SUM(F$2:F$22)+SUM(O$2:O$22))</f>
        <v>0.10394794245878158</v>
      </c>
      <c r="AA4" s="9">
        <f>(SUM(G$2:G4)+SUM(P$2:P4))/(SUM(G$2:G$22)+SUM(P$2:P$22))</f>
        <v>0.10654073393743993</v>
      </c>
      <c r="AB4" s="9">
        <f>(SUM(H$2:H4)+SUM(Q$2:Q4))/(SUM(H$2:H$22)+SUM(Q$2:Q$22))</f>
        <v>0.11123365975957082</v>
      </c>
      <c r="AC4" s="9">
        <f>(SUM(I$2:I4)+SUM(R$2:R4))/(SUM(I$2:I$22)+SUM(R$2:R$22))</f>
        <v>0.11260108690438353</v>
      </c>
      <c r="AD4" s="9">
        <f>(SUM(J$2:J4)+SUM(S$2:S4))/(SUM(J$2:J$22)+SUM(S$2:S$22))</f>
        <v>0.10748735792510035</v>
      </c>
    </row>
    <row r="5" spans="1:30" x14ac:dyDescent="0.2">
      <c r="A5" s="6" t="s">
        <v>20</v>
      </c>
      <c r="B5" s="7">
        <v>33630797</v>
      </c>
      <c r="C5" s="6">
        <f>Medium_2041[[#This Row],[2025女]]</f>
        <v>39609554.795999996</v>
      </c>
      <c r="D5" s="6">
        <f>Medium_2041[[#This Row],[2030女]]</f>
        <v>42163281.749894872</v>
      </c>
      <c r="E5" s="6">
        <f>Medium_2041[[#This Row],[2035女]]</f>
        <v>36763349.029660076</v>
      </c>
      <c r="F5" s="6">
        <f>Medium_2041[[#This Row],[2040女]]</f>
        <v>28681762.555589594</v>
      </c>
      <c r="G5" s="6">
        <f>Medium_2041[[#This Row],[2045女]]</f>
        <v>24178044.641297709</v>
      </c>
      <c r="H5" s="6">
        <f>Medium_2041[[#This Row],[2050女]]</f>
        <v>23202713.618113127</v>
      </c>
      <c r="I5" s="6">
        <f>Medium_2041[[#This Row],[2055女]]</f>
        <v>23654132.835748639</v>
      </c>
      <c r="J5" s="6">
        <f>Medium_2041[[#This Row],[2060女]]</f>
        <v>25145259.494757317</v>
      </c>
      <c r="K5" s="8">
        <v>39053343</v>
      </c>
      <c r="L5" s="6">
        <f>Medium_2041[[#This Row],[2025男]]</f>
        <v>45547501.173</v>
      </c>
      <c r="M5" s="6">
        <f>Medium_2041[[#This Row],[2030男]]</f>
        <v>47921471.101458006</v>
      </c>
      <c r="N5" s="6">
        <f>Medium_2041[[#This Row],[2035男]]</f>
        <v>40760642.968754143</v>
      </c>
      <c r="O5" s="6">
        <f>Medium_2041[[#This Row],[2040男]]</f>
        <v>30091716.337553803</v>
      </c>
      <c r="P5" s="6">
        <f>Medium_2041[[#This Row],[2045男]]</f>
        <v>25369142.160204921</v>
      </c>
      <c r="Q5" s="6">
        <f>Medium_2041[[#This Row],[2050男]]</f>
        <v>24348206.678512644</v>
      </c>
      <c r="R5" s="6">
        <f>Medium_2041[[#This Row],[2055男]]</f>
        <v>24824396.409643691</v>
      </c>
      <c r="S5" s="6">
        <f>Medium_2041[[#This Row],[2060男]]</f>
        <v>26389296.067507055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0.19421428116126271</v>
      </c>
      <c r="Y5" s="9">
        <f>(SUM(E$2:E5)+SUM(N$2:N5))/(SUM(E$2:E$22)+SUM(N$2:N$22))</f>
        <v>0.16512345667135275</v>
      </c>
      <c r="Z5" s="9">
        <f>(SUM(F$2:F5)+SUM(O$2:O5))/(SUM(F$2:F$22)+SUM(O$2:O$22))</f>
        <v>0.14585033012037116</v>
      </c>
      <c r="AA5" s="9">
        <f>(SUM(G$2:G5)+SUM(P$2:P5))/(SUM(G$2:G$22)+SUM(P$2:P$22))</f>
        <v>0.14226247337469708</v>
      </c>
      <c r="AB5" s="9">
        <f>(SUM(H$2:H5)+SUM(Q$2:Q5))/(SUM(H$2:H$22)+SUM(Q$2:Q$22))</f>
        <v>0.14606137497000796</v>
      </c>
      <c r="AC5" s="9">
        <f>(SUM(I$2:I5)+SUM(R$2:R5))/(SUM(I$2:I$22)+SUM(R$2:R$22))</f>
        <v>0.1489780646171511</v>
      </c>
      <c r="AD5" s="9">
        <f>(SUM(J$2:J5)+SUM(S$2:S5))/(SUM(J$2:J$22)+SUM(S$2:S$22))</f>
        <v>0.14750164400037793</v>
      </c>
    </row>
    <row r="6" spans="1:30" x14ac:dyDescent="0.2">
      <c r="A6" s="6" t="s">
        <v>21</v>
      </c>
      <c r="B6" s="7">
        <v>35265680</v>
      </c>
      <c r="C6" s="6">
        <f>Medium_2041[[#This Row],[2025女]]</f>
        <v>33590440.0436</v>
      </c>
      <c r="D6" s="6">
        <f>Medium_2041[[#This Row],[2030女]]</f>
        <v>39569945.241203994</v>
      </c>
      <c r="E6" s="6">
        <f>Medium_2041[[#This Row],[2035女]]</f>
        <v>42125334.796319969</v>
      </c>
      <c r="F6" s="6">
        <f>Medium_2041[[#This Row],[2040女]]</f>
        <v>36733938.350436345</v>
      </c>
      <c r="G6" s="6">
        <f>Medium_2041[[#This Row],[2045女]]</f>
        <v>28661685.321800679</v>
      </c>
      <c r="H6" s="6">
        <f>Medium_2041[[#This Row],[2050女]]</f>
        <v>24163537.814512931</v>
      </c>
      <c r="I6" s="6">
        <f>Medium_2041[[#This Row],[2055女]]</f>
        <v>23191112.261304073</v>
      </c>
      <c r="J6" s="6">
        <f>Medium_2041[[#This Row],[2060女]]</f>
        <v>23642305.769330766</v>
      </c>
      <c r="K6" s="8">
        <v>39675995</v>
      </c>
      <c r="L6" s="6">
        <f>Medium_2041[[#This Row],[2025男]]</f>
        <v>38963520.311099999</v>
      </c>
      <c r="M6" s="6">
        <f>Medium_2041[[#This Row],[2030男]]</f>
        <v>45456406.170653999</v>
      </c>
      <c r="N6" s="6">
        <f>Medium_2041[[#This Row],[2035男]]</f>
        <v>47835212.453475378</v>
      </c>
      <c r="O6" s="6">
        <f>Medium_2041[[#This Row],[2040男]]</f>
        <v>40695425.940004133</v>
      </c>
      <c r="P6" s="6">
        <f>Medium_2041[[#This Row],[2045男]]</f>
        <v>30049587.934681229</v>
      </c>
      <c r="Q6" s="6">
        <f>Medium_2041[[#This Row],[2050男]]</f>
        <v>25338699.189612675</v>
      </c>
      <c r="R6" s="6">
        <f>Medium_2041[[#This Row],[2055男]]</f>
        <v>24321423.651166279</v>
      </c>
      <c r="S6" s="6">
        <f>Medium_2041[[#This Row],[2060男]]</f>
        <v>24799572.013234049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0.25399132253327916</v>
      </c>
      <c r="Y6" s="9">
        <f>(SUM(E$2:E6)+SUM(N$2:N6))/(SUM(E$2:E$22)+SUM(N$2:N$22))</f>
        <v>0.22869980408014168</v>
      </c>
      <c r="Z6" s="9">
        <f>(SUM(F$2:F6)+SUM(O$2:O6))/(SUM(F$2:F$22)+SUM(O$2:O$22))</f>
        <v>0.2010533791824709</v>
      </c>
      <c r="AA6" s="9">
        <f>(SUM(G$2:G6)+SUM(P$2:P6))/(SUM(G$2:G$22)+SUM(P$2:P$22))</f>
        <v>0.18459118950745729</v>
      </c>
      <c r="AB6" s="9">
        <f>(SUM(H$2:H6)+SUM(Q$2:Q6))/(SUM(H$2:H$22)+SUM(Q$2:Q$22))</f>
        <v>0.18231829285728568</v>
      </c>
      <c r="AC6" s="9">
        <f>(SUM(I$2:I6)+SUM(R$2:R6))/(SUM(I$2:I$22)+SUM(R$2:R$22))</f>
        <v>0.18463018704884129</v>
      </c>
      <c r="AD6" s="9">
        <f>(SUM(J$2:J6)+SUM(S$2:S6))/(SUM(J$2:J$22)+SUM(S$2:S$22))</f>
        <v>0.18511460358578144</v>
      </c>
    </row>
    <row r="7" spans="1:30" x14ac:dyDescent="0.2">
      <c r="A7" s="6" t="s">
        <v>22</v>
      </c>
      <c r="B7" s="7">
        <v>43685062</v>
      </c>
      <c r="C7" s="6">
        <f>Medium_2041[[#This Row],[2025女]]</f>
        <v>35219834.616000004</v>
      </c>
      <c r="D7" s="6">
        <f>Medium_2041[[#This Row],[2030女]]</f>
        <v>33550131.515547682</v>
      </c>
      <c r="E7" s="6">
        <f>Medium_2041[[#This Row],[2035女]]</f>
        <v>39526418.301438667</v>
      </c>
      <c r="F7" s="6">
        <f>Medium_2041[[#This Row],[2040女]]</f>
        <v>42078996.928044021</v>
      </c>
      <c r="G7" s="6">
        <f>Medium_2041[[#This Row],[2045女]]</f>
        <v>36697204.412085906</v>
      </c>
      <c r="H7" s="6">
        <f>Medium_2041[[#This Row],[2050女]]</f>
        <v>28635889.805011056</v>
      </c>
      <c r="I7" s="6">
        <f>Medium_2041[[#This Row],[2055女]]</f>
        <v>24141790.630479869</v>
      </c>
      <c r="J7" s="6">
        <f>Medium_2041[[#This Row],[2060女]]</f>
        <v>23172559.371495031</v>
      </c>
      <c r="K7" s="8">
        <v>48162270</v>
      </c>
      <c r="L7" s="6">
        <f>Medium_2041[[#This Row],[2025男]]</f>
        <v>39568869.813500002</v>
      </c>
      <c r="M7" s="6">
        <f>Medium_2041[[#This Row],[2030男]]</f>
        <v>38862215.158291139</v>
      </c>
      <c r="N7" s="6">
        <f>Medium_2041[[#This Row],[2035男]]</f>
        <v>45338219.514610298</v>
      </c>
      <c r="O7" s="6">
        <f>Medium_2041[[#This Row],[2040男]]</f>
        <v>47715624.422341689</v>
      </c>
      <c r="P7" s="6">
        <f>Medium_2041[[#This Row],[2045男]]</f>
        <v>40593687.375154123</v>
      </c>
      <c r="Q7" s="6">
        <f>Medium_2041[[#This Row],[2050男]]</f>
        <v>29974463.964844529</v>
      </c>
      <c r="R7" s="6">
        <f>Medium_2041[[#This Row],[2055男]]</f>
        <v>25277886.311557606</v>
      </c>
      <c r="S7" s="6">
        <f>Medium_2041[[#This Row],[2060男]]</f>
        <v>24263052.23440348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0.30490019691270109</v>
      </c>
      <c r="Y7" s="9">
        <f>(SUM(E$2:E7)+SUM(N$2:N7))/(SUM(E$2:E$22)+SUM(N$2:N$22))</f>
        <v>0.28867480269295243</v>
      </c>
      <c r="Z7" s="9">
        <f>(SUM(F$2:F7)+SUM(O$2:O7))/(SUM(F$2:F$22)+SUM(O$2:O$22))</f>
        <v>0.26507220373751117</v>
      </c>
      <c r="AA7" s="9">
        <f>(SUM(G$2:G7)+SUM(P$2:P7))/(SUM(G$2:G$22)+SUM(P$2:P$22))</f>
        <v>0.24031514227914713</v>
      </c>
      <c r="AB7" s="9">
        <f>(SUM(H$2:H7)+SUM(Q$2:Q7))/(SUM(H$2:H$22)+SUM(Q$2:Q$22))</f>
        <v>0.22524626768397576</v>
      </c>
      <c r="AC7" s="9">
        <f>(SUM(I$2:I7)+SUM(R$2:R7))/(SUM(I$2:I$22)+SUM(R$2:R$22))</f>
        <v>0.221713376548934</v>
      </c>
      <c r="AD7" s="9">
        <f>(SUM(J$2:J7)+SUM(S$2:S7))/(SUM(J$2:J$22)+SUM(S$2:S$22))</f>
        <v>0.22194624232303378</v>
      </c>
    </row>
    <row r="8" spans="1:30" x14ac:dyDescent="0.2">
      <c r="A8" s="6" t="s">
        <v>23</v>
      </c>
      <c r="B8" s="7">
        <v>60273382</v>
      </c>
      <c r="C8" s="6">
        <f>Medium_2041[[#This Row],[2025女]]</f>
        <v>43623902.913199998</v>
      </c>
      <c r="D8" s="6">
        <f>Medium_2041[[#This Row],[2030女]]</f>
        <v>35170526.847537607</v>
      </c>
      <c r="E8" s="6">
        <f>Medium_2041[[#This Row],[2035女]]</f>
        <v>33506516.344577469</v>
      </c>
      <c r="F8" s="6">
        <f>Medium_2041[[#This Row],[2040女]]</f>
        <v>39475033.957646795</v>
      </c>
      <c r="G8" s="6">
        <f>Medium_2041[[#This Row],[2045女]]</f>
        <v>42024294.232037567</v>
      </c>
      <c r="H8" s="6">
        <f>Medium_2041[[#This Row],[2050女]]</f>
        <v>36649498.046350196</v>
      </c>
      <c r="I8" s="6">
        <f>Medium_2041[[#This Row],[2055女]]</f>
        <v>28598663.148264542</v>
      </c>
      <c r="J8" s="6">
        <f>Medium_2041[[#This Row],[2060女]]</f>
        <v>24112820.481723294</v>
      </c>
      <c r="K8" s="8">
        <v>63871808</v>
      </c>
      <c r="L8" s="6">
        <f>Medium_2041[[#This Row],[2025男]]</f>
        <v>48003334.509000003</v>
      </c>
      <c r="M8" s="6">
        <f>Medium_2041[[#This Row],[2030男]]</f>
        <v>39442249.430096805</v>
      </c>
      <c r="N8" s="6">
        <f>Medium_2041[[#This Row],[2035男]]</f>
        <v>38745628.512816265</v>
      </c>
      <c r="O8" s="6">
        <f>Medium_2041[[#This Row],[2040男]]</f>
        <v>45206738.678017929</v>
      </c>
      <c r="P8" s="6">
        <f>Medium_2041[[#This Row],[2045男]]</f>
        <v>47582020.673959129</v>
      </c>
      <c r="Q8" s="6">
        <f>Medium_2041[[#This Row],[2050男]]</f>
        <v>40484084.419241205</v>
      </c>
      <c r="R8" s="6">
        <f>Medium_2041[[#This Row],[2055男]]</f>
        <v>29896530.358535931</v>
      </c>
      <c r="S8" s="6">
        <f>Medium_2041[[#This Row],[2060男]]</f>
        <v>25214691.595778715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0.35735606430403244</v>
      </c>
      <c r="Y8" s="9">
        <f>(SUM(E$2:E8)+SUM(N$2:N8))/(SUM(E$2:E$22)+SUM(N$2:N$22))</f>
        <v>0.3397363802723869</v>
      </c>
      <c r="Z8" s="9">
        <f>(SUM(F$2:F8)+SUM(O$2:O8))/(SUM(F$2:F$22)+SUM(O$2:O$22))</f>
        <v>0.32544583707818053</v>
      </c>
      <c r="AA8" s="9">
        <f>(SUM(G$2:G8)+SUM(P$2:P8))/(SUM(G$2:G$22)+SUM(P$2:P$22))</f>
        <v>0.30491807212516109</v>
      </c>
      <c r="AB8" s="9">
        <f>(SUM(H$2:H8)+SUM(Q$2:Q8))/(SUM(H$2:H$22)+SUM(Q$2:Q$22))</f>
        <v>0.28174120882316989</v>
      </c>
      <c r="AC8" s="9">
        <f>(SUM(I$2:I8)+SUM(R$2:R8))/(SUM(I$2:I$22)+SUM(R$2:R$22))</f>
        <v>0.26560658831965106</v>
      </c>
      <c r="AD8" s="9">
        <f>(SUM(J$2:J8)+SUM(S$2:S8))/(SUM(J$2:J$22)+SUM(S$2:S$22))</f>
        <v>0.26024685747563969</v>
      </c>
    </row>
    <row r="9" spans="1:30" x14ac:dyDescent="0.2">
      <c r="A9" s="6" t="s">
        <v>24</v>
      </c>
      <c r="B9" s="7">
        <v>48080895</v>
      </c>
      <c r="C9" s="6">
        <f>Medium_2041[[#This Row],[2025女]]</f>
        <v>60158862.574199997</v>
      </c>
      <c r="D9" s="6">
        <f>Medium_2041[[#This Row],[2030女]]</f>
        <v>43545379.887956239</v>
      </c>
      <c r="E9" s="6">
        <f>Medium_2041[[#This Row],[2035女]]</f>
        <v>35107219.89921204</v>
      </c>
      <c r="F9" s="6">
        <f>Medium_2041[[#This Row],[2040女]]</f>
        <v>33449555.266791686</v>
      </c>
      <c r="G9" s="6">
        <f>Medium_2041[[#This Row],[2045女]]</f>
        <v>39407926.399918795</v>
      </c>
      <c r="H9" s="6">
        <f>Medium_2041[[#This Row],[2050女]]</f>
        <v>41952852.931843102</v>
      </c>
      <c r="I9" s="6">
        <f>Medium_2041[[#This Row],[2055女]]</f>
        <v>36590858.849476032</v>
      </c>
      <c r="J9" s="6">
        <f>Medium_2041[[#This Row],[2060女]]</f>
        <v>28552905.287227318</v>
      </c>
      <c r="K9" s="8">
        <v>50932037</v>
      </c>
      <c r="L9" s="6">
        <f>Medium_2041[[#This Row],[2025男]]</f>
        <v>63590772.044800006</v>
      </c>
      <c r="M9" s="6">
        <f>Medium_2041[[#This Row],[2030男]]</f>
        <v>47806520.837513104</v>
      </c>
      <c r="N9" s="6">
        <f>Medium_2041[[#This Row],[2035男]]</f>
        <v>39292368.882262439</v>
      </c>
      <c r="O9" s="6">
        <f>Medium_2041[[#This Row],[2040男]]</f>
        <v>38610018.813021414</v>
      </c>
      <c r="P9" s="6">
        <f>Medium_2041[[#This Row],[2045男]]</f>
        <v>45062077.114248276</v>
      </c>
      <c r="Q9" s="6">
        <f>Medium_2041[[#This Row],[2050男]]</f>
        <v>47439274.611937255</v>
      </c>
      <c r="R9" s="6">
        <f>Medium_2041[[#This Row],[2055男]]</f>
        <v>40374777.391309254</v>
      </c>
      <c r="S9" s="6">
        <f>Medium_2041[[#This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0.42158022844142423</v>
      </c>
      <c r="Y9" s="9">
        <f>(SUM(E$2:E9)+SUM(N$2:N9))/(SUM(E$2:E$22)+SUM(N$2:N$22))</f>
        <v>0.39231558580242898</v>
      </c>
      <c r="Z9" s="9">
        <f>(SUM(F$2:F9)+SUM(O$2:O9))/(SUM(F$2:F$22)+SUM(O$2:O$22))</f>
        <v>0.37682050920386984</v>
      </c>
      <c r="AA9" s="9">
        <f>(SUM(G$2:G9)+SUM(P$2:P9))/(SUM(G$2:G$22)+SUM(P$2:P$22))</f>
        <v>0.36581790621434412</v>
      </c>
      <c r="AB9" s="9">
        <f>(SUM(H$2:H9)+SUM(Q$2:Q9))/(SUM(H$2:H$22)+SUM(Q$2:Q$22))</f>
        <v>0.34721467475671514</v>
      </c>
      <c r="AC9" s="9">
        <f>(SUM(I$2:I9)+SUM(R$2:R9))/(SUM(I$2:I$22)+SUM(R$2:R$22))</f>
        <v>0.3233595209634591</v>
      </c>
      <c r="AD9" s="9">
        <f>(SUM(J$2:J9)+SUM(S$2:S9))/(SUM(J$2:J$22)+SUM(S$2:S$22))</f>
        <v>0.30557220650770583</v>
      </c>
    </row>
    <row r="10" spans="1:30" x14ac:dyDescent="0.2">
      <c r="A10" s="6" t="s">
        <v>25</v>
      </c>
      <c r="B10" s="7">
        <v>45322636</v>
      </c>
      <c r="C10" s="6">
        <f>Medium_2041[[#This Row],[2025女]]</f>
        <v>47951076.583499998</v>
      </c>
      <c r="D10" s="6">
        <f>Medium_2041[[#This Row],[2030女]]</f>
        <v>60002449.531507075</v>
      </c>
      <c r="E10" s="6">
        <f>Medium_2041[[#This Row],[2035女]]</f>
        <v>43436516.438236348</v>
      </c>
      <c r="F10" s="6">
        <f>Medium_2041[[#This Row],[2040女]]</f>
        <v>35019451.849464014</v>
      </c>
      <c r="G10" s="6">
        <f>Medium_2041[[#This Row],[2045女]]</f>
        <v>33369276.334151387</v>
      </c>
      <c r="H10" s="6">
        <f>Medium_2041[[#This Row],[2050女]]</f>
        <v>39317288.169198982</v>
      </c>
      <c r="I10" s="6">
        <f>Medium_2041[[#This Row],[2055女]]</f>
        <v>41856361.370099865</v>
      </c>
      <c r="J10" s="6">
        <f>Medium_2041[[#This Row],[2060女]]</f>
        <v>36510358.960007183</v>
      </c>
      <c r="K10" s="8">
        <v>47632694</v>
      </c>
      <c r="L10" s="6">
        <f>Medium_2041[[#This Row],[2025男]]</f>
        <v>50580605.944700003</v>
      </c>
      <c r="M10" s="6">
        <f>Medium_2041[[#This Row],[2030男]]</f>
        <v>63202868.335326724</v>
      </c>
      <c r="N10" s="6">
        <f>Medium_2041[[#This Row],[2035男]]</f>
        <v>47553146.277074285</v>
      </c>
      <c r="O10" s="6">
        <f>Medium_2041[[#This Row],[2040男]]</f>
        <v>39107694.748515807</v>
      </c>
      <c r="P10" s="6">
        <f>Medium_2041[[#This Row],[2045男]]</f>
        <v>38451717.735888027</v>
      </c>
      <c r="Q10" s="6">
        <f>Medium_2041[[#This Row],[2050男]]</f>
        <v>44899853.63663698</v>
      </c>
      <c r="R10" s="6">
        <f>Medium_2041[[#This Row],[2055男]]</f>
        <v>47287468.933179058</v>
      </c>
      <c r="S10" s="6">
        <f>Medium_2041[[#This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0.50819866215150622</v>
      </c>
      <c r="Y10" s="9">
        <f>(SUM(E$2:E10)+SUM(N$2:N10))/(SUM(E$2:E$22)+SUM(N$2:N$22))</f>
        <v>0.45661922316619868</v>
      </c>
      <c r="Z10" s="9">
        <f>(SUM(F$2:F10)+SUM(O$2:O10))/(SUM(F$2:F$22)+SUM(O$2:O$22))</f>
        <v>0.42966925138302975</v>
      </c>
      <c r="AA10" s="9">
        <f>(SUM(G$2:G10)+SUM(P$2:P10))/(SUM(G$2:G$22)+SUM(P$2:P$22))</f>
        <v>0.41759825948794166</v>
      </c>
      <c r="AB10" s="9">
        <f>(SUM(H$2:H10)+SUM(Q$2:Q10))/(SUM(H$2:H$22)+SUM(Q$2:Q$22))</f>
        <v>0.40889782646763562</v>
      </c>
      <c r="AC10" s="9">
        <f>(SUM(I$2:I10)+SUM(R$2:R10))/(SUM(I$2:I$22)+SUM(R$2:R$22))</f>
        <v>0.39025064119028241</v>
      </c>
      <c r="AD10" s="9">
        <f>(SUM(J$2:J10)+SUM(S$2:S10))/(SUM(J$2:J$22)+SUM(S$2:S$22))</f>
        <v>0.36518231117013916</v>
      </c>
    </row>
    <row r="11" spans="1:30" x14ac:dyDescent="0.2">
      <c r="A11" s="6" t="s">
        <v>26</v>
      </c>
      <c r="B11" s="7">
        <v>56033201</v>
      </c>
      <c r="C11" s="6">
        <f>Medium_2041[[#This Row],[2025女]]</f>
        <v>45127748.665200002</v>
      </c>
      <c r="D11" s="6">
        <f>Medium_2041[[#This Row],[2030女]]</f>
        <v>47754477.169507645</v>
      </c>
      <c r="E11" s="6">
        <f>Medium_2041[[#This Row],[2035女]]</f>
        <v>59762439.733381048</v>
      </c>
      <c r="F11" s="6">
        <f>Medium_2041[[#This Row],[2040女]]</f>
        <v>43271457.67577105</v>
      </c>
      <c r="G11" s="6">
        <f>Medium_2041[[#This Row],[2045女]]</f>
        <v>34889879.877620995</v>
      </c>
      <c r="H11" s="6">
        <f>Medium_2041[[#This Row],[2050女]]</f>
        <v>33249146.939348441</v>
      </c>
      <c r="I11" s="6">
        <f>Medium_2041[[#This Row],[2055女]]</f>
        <v>39183609.389423706</v>
      </c>
      <c r="J11" s="6">
        <f>Medium_2041[[#This Row],[2060女]]</f>
        <v>41718235.377578534</v>
      </c>
      <c r="K11" s="8">
        <v>58191686</v>
      </c>
      <c r="L11" s="6">
        <f>Medium_2041[[#This Row],[2025男]]</f>
        <v>47108734.365999997</v>
      </c>
      <c r="M11" s="6">
        <f>Medium_2041[[#This Row],[2030男]]</f>
        <v>50095032.127630882</v>
      </c>
      <c r="N11" s="6">
        <f>Medium_2041[[#This Row],[2035男]]</f>
        <v>62678284.52814351</v>
      </c>
      <c r="O11" s="6">
        <f>Medium_2041[[#This Row],[2040男]]</f>
        <v>47210763.623879351</v>
      </c>
      <c r="P11" s="6">
        <f>Medium_2041[[#This Row],[2045男]]</f>
        <v>38861316.271600157</v>
      </c>
      <c r="Q11" s="6">
        <f>Medium_2041[[#This Row],[2050男]]</f>
        <v>38240233.288340643</v>
      </c>
      <c r="R11" s="6">
        <f>Medium_2041[[#This Row],[2055男]]</f>
        <v>44684334.339181118</v>
      </c>
      <c r="S11" s="6">
        <f>Medium_2041[[#This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0.57699091382832957</v>
      </c>
      <c r="Y11" s="9">
        <f>(SUM(E$2:E11)+SUM(N$2:N11))/(SUM(E$2:E$22)+SUM(N$2:N$22))</f>
        <v>0.54314975527845333</v>
      </c>
      <c r="Z11" s="9">
        <f>(SUM(F$2:F11)+SUM(O$2:O11))/(SUM(F$2:F$22)+SUM(O$2:O$22))</f>
        <v>0.49417829840188848</v>
      </c>
      <c r="AA11" s="9">
        <f>(SUM(G$2:G11)+SUM(P$2:P11))/(SUM(G$2:G$22)+SUM(P$2:P$22))</f>
        <v>0.47077021902992366</v>
      </c>
      <c r="AB11" s="9">
        <f>(SUM(H$2:H11)+SUM(Q$2:Q11))/(SUM(H$2:H$22)+SUM(Q$2:Q$22))</f>
        <v>0.46125878519585789</v>
      </c>
      <c r="AC11" s="9">
        <f>(SUM(I$2:I11)+SUM(R$2:R11))/(SUM(I$2:I$22)+SUM(R$2:R$22))</f>
        <v>0.4531828787667983</v>
      </c>
      <c r="AD11" s="9">
        <f>(SUM(J$2:J11)+SUM(S$2:S11))/(SUM(J$2:J$22)+SUM(S$2:S$22))</f>
        <v>0.43414073646710194</v>
      </c>
    </row>
    <row r="12" spans="1:30" x14ac:dyDescent="0.2">
      <c r="A12" s="6" t="s">
        <v>27</v>
      </c>
      <c r="B12" s="7">
        <v>60058826</v>
      </c>
      <c r="C12" s="6">
        <f>Medium_2041[[#This Row],[2025女]]</f>
        <v>55640968.593000002</v>
      </c>
      <c r="D12" s="6">
        <f>Medium_2041[[#This Row],[2030女]]</f>
        <v>44829905.524009682</v>
      </c>
      <c r="E12" s="6">
        <f>Medium_2041[[#This Row],[2035女]]</f>
        <v>47453623.963339746</v>
      </c>
      <c r="F12" s="6">
        <f>Medium_2041[[#This Row],[2040女]]</f>
        <v>59403865.094980761</v>
      </c>
      <c r="G12" s="6">
        <f>Medium_2041[[#This Row],[2045女]]</f>
        <v>43024810.367019154</v>
      </c>
      <c r="H12" s="6">
        <f>Medium_2041[[#This Row],[2050女]]</f>
        <v>34701474.526281841</v>
      </c>
      <c r="I12" s="6">
        <f>Medium_2041[[#This Row],[2055女]]</f>
        <v>33079576.289957765</v>
      </c>
      <c r="J12" s="6">
        <f>Medium_2041[[#This Row],[2060女]]</f>
        <v>38991609.703415528</v>
      </c>
      <c r="K12" s="8">
        <v>61105470</v>
      </c>
      <c r="L12" s="6">
        <f>Medium_2041[[#This Row],[2025男]]</f>
        <v>57214065.6752</v>
      </c>
      <c r="M12" s="6">
        <f>Medium_2041[[#This Row],[2030男]]</f>
        <v>46416235.970819794</v>
      </c>
      <c r="N12" s="6">
        <f>Medium_2041[[#This Row],[2035男]]</f>
        <v>49448806.213184446</v>
      </c>
      <c r="O12" s="6">
        <f>Medium_2041[[#This Row],[2040男]]</f>
        <v>61970019.91297549</v>
      </c>
      <c r="P12" s="6">
        <f>Medium_2041[[#This Row],[2045男]]</f>
        <v>46743377.064002946</v>
      </c>
      <c r="Q12" s="6">
        <f>Medium_2041[[#This Row],[2050男]]</f>
        <v>38523222.820037231</v>
      </c>
      <c r="R12" s="6">
        <f>Medium_2041[[#This Row],[2055男]]</f>
        <v>37949607.515349254</v>
      </c>
      <c r="S12" s="6">
        <f>Medium_2041[[#This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0.64114072485282803</v>
      </c>
      <c r="Y12" s="9">
        <f>(SUM(E$2:E12)+SUM(N$2:N12))/(SUM(E$2:E$22)+SUM(N$2:N$22))</f>
        <v>0.61163202616273393</v>
      </c>
      <c r="Z12" s="9">
        <f>(SUM(F$2:F12)+SUM(O$2:O12))/(SUM(F$2:F$22)+SUM(O$2:O$22))</f>
        <v>0.58071147080169183</v>
      </c>
      <c r="AA12" s="9">
        <f>(SUM(G$2:G12)+SUM(P$2:P12))/(SUM(G$2:G$22)+SUM(P$2:P$22))</f>
        <v>0.53548985314381403</v>
      </c>
      <c r="AB12" s="9">
        <f>(SUM(H$2:H12)+SUM(Q$2:Q12))/(SUM(H$2:H$22)+SUM(Q$2:Q$22))</f>
        <v>0.51489074204631269</v>
      </c>
      <c r="AC12" s="9">
        <f>(SUM(I$2:I12)+SUM(R$2:R12))/(SUM(I$2:I$22)+SUM(R$2:R$22))</f>
        <v>0.50648125799696642</v>
      </c>
      <c r="AD12" s="9">
        <f>(SUM(J$2:J12)+SUM(S$2:S12))/(SUM(J$2:J$22)+SUM(S$2:S$22))</f>
        <v>0.49887891937174306</v>
      </c>
    </row>
    <row r="13" spans="1:30" x14ac:dyDescent="0.2">
      <c r="A13" s="6" t="s">
        <v>28</v>
      </c>
      <c r="B13" s="7">
        <v>50584760</v>
      </c>
      <c r="C13" s="6">
        <f>Medium_2041[[#This Row],[2025女]]</f>
        <v>59368149.501000002</v>
      </c>
      <c r="D13" s="6">
        <f>Medium_2041[[#This Row],[2030女]]</f>
        <v>55045610.229054898</v>
      </c>
      <c r="E13" s="6">
        <f>Medium_2041[[#This Row],[2035女]]</f>
        <v>44381606.468769588</v>
      </c>
      <c r="F13" s="6">
        <f>Medium_2041[[#This Row],[2040女]]</f>
        <v>47012305.260480687</v>
      </c>
      <c r="G13" s="6">
        <f>Medium_2041[[#This Row],[2045女]]</f>
        <v>58887051.468654424</v>
      </c>
      <c r="H13" s="6">
        <f>Medium_2041[[#This Row],[2050女]]</f>
        <v>42676309.403046302</v>
      </c>
      <c r="I13" s="6">
        <f>Medium_2041[[#This Row],[2055女]]</f>
        <v>34437743.319882095</v>
      </c>
      <c r="J13" s="6">
        <f>Medium_2041[[#This Row],[2060女]]</f>
        <v>32844711.298299067</v>
      </c>
      <c r="K13" s="8">
        <v>50816026</v>
      </c>
      <c r="L13" s="6">
        <f>Medium_2041[[#This Row],[2025男]]</f>
        <v>59528948.873999998</v>
      </c>
      <c r="M13" s="6">
        <f>Medium_2041[[#This Row],[2030男]]</f>
        <v>55903863.571237922</v>
      </c>
      <c r="N13" s="6">
        <f>Medium_2041[[#This Row],[2035男]]</f>
        <v>45473986.38061215</v>
      </c>
      <c r="O13" s="6">
        <f>Medium_2041[[#This Row],[2040男]]</f>
        <v>48558727.701347128</v>
      </c>
      <c r="P13" s="6">
        <f>Medium_2041[[#This Row],[2045男]]</f>
        <v>60978499.594367884</v>
      </c>
      <c r="Q13" s="6">
        <f>Medium_2041[[#This Row],[2050男]]</f>
        <v>46079621.109694101</v>
      </c>
      <c r="R13" s="6">
        <f>Medium_2041[[#This Row],[2055男]]</f>
        <v>38037830.212504767</v>
      </c>
      <c r="S13" s="6">
        <f>Medium_2041[[#This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0.71914279333437181</v>
      </c>
      <c r="Y13" s="9">
        <f>(SUM(E$2:E13)+SUM(N$2:N13))/(SUM(E$2:E$22)+SUM(N$2:N$22))</f>
        <v>0.67513420086329945</v>
      </c>
      <c r="Z13" s="9">
        <f>(SUM(F$2:F13)+SUM(O$2:O13))/(SUM(F$2:F$22)+SUM(O$2:O$22))</f>
        <v>0.64884857188542999</v>
      </c>
      <c r="AA13" s="9">
        <f>(SUM(G$2:G13)+SUM(P$2:P13))/(SUM(G$2:G$22)+SUM(P$2:P$22))</f>
        <v>0.62190860381336099</v>
      </c>
      <c r="AB13" s="9">
        <f>(SUM(H$2:H13)+SUM(Q$2:Q13))/(SUM(H$2:H$22)+SUM(Q$2:Q$22))</f>
        <v>0.57989823825989117</v>
      </c>
      <c r="AC13" s="9">
        <f>(SUM(I$2:I13)+SUM(R$2:R13))/(SUM(I$2:I$22)+SUM(R$2:R$22))</f>
        <v>0.56086496897471372</v>
      </c>
      <c r="AD13" s="9">
        <f>(SUM(J$2:J13)+SUM(S$2:S13))/(SUM(J$2:J$22)+SUM(S$2:S$22))</f>
        <v>0.55351753221190181</v>
      </c>
    </row>
    <row r="14" spans="1:30" x14ac:dyDescent="0.2">
      <c r="A14" s="6" t="s">
        <v>29</v>
      </c>
      <c r="B14" s="7">
        <v>36511813</v>
      </c>
      <c r="C14" s="6">
        <f>Medium_2041[[#This Row],[2025女]]</f>
        <v>49694468.223999999</v>
      </c>
      <c r="D14" s="6">
        <f>Medium_2041[[#This Row],[2030女]]</f>
        <v>58412322.2940339</v>
      </c>
      <c r="E14" s="6">
        <f>Medium_2041[[#This Row],[2035女]]</f>
        <v>54236439.758687787</v>
      </c>
      <c r="F14" s="6">
        <f>Medium_2041[[#This Row],[2040女]]</f>
        <v>43786892.942088075</v>
      </c>
      <c r="G14" s="6">
        <f>Medium_2041[[#This Row],[2045女]]</f>
        <v>46438755.136302821</v>
      </c>
      <c r="H14" s="6">
        <f>Medium_2041[[#This Row],[2050女]]</f>
        <v>58233405.197352357</v>
      </c>
      <c r="I14" s="6">
        <f>Medium_2041[[#This Row],[2055女]]</f>
        <v>42241011.047135234</v>
      </c>
      <c r="J14" s="6">
        <f>Medium_2041[[#This Row],[2060女]]</f>
        <v>34117472.307007194</v>
      </c>
      <c r="K14" s="8">
        <v>36871125</v>
      </c>
      <c r="L14" s="6">
        <f>Medium_2041[[#This Row],[2025男]]</f>
        <v>48768140.152199998</v>
      </c>
      <c r="M14" s="6">
        <f>Medium_2041[[#This Row],[2030男]]</f>
        <v>57385906.714535996</v>
      </c>
      <c r="N14" s="6">
        <f>Medium_2041[[#This Row],[2035男]]</f>
        <v>54103759.164244063</v>
      </c>
      <c r="O14" s="6">
        <f>Medium_2041[[#This Row],[2040男]]</f>
        <v>44164335.572850518</v>
      </c>
      <c r="P14" s="6">
        <f>Medium_2041[[#This Row],[2045男]]</f>
        <v>47310768.399422511</v>
      </c>
      <c r="Q14" s="6">
        <f>Medium_2041[[#This Row],[2050男]]</f>
        <v>59575994.103697419</v>
      </c>
      <c r="R14" s="6">
        <f>Medium_2041[[#This Row],[2055男]]</f>
        <v>45134988.876945376</v>
      </c>
      <c r="S14" s="6">
        <f>Medium_2041[[#This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0.80055373725129675</v>
      </c>
      <c r="Y14" s="9">
        <f>(SUM(E$2:E14)+SUM(N$2:N14))/(SUM(E$2:E$22)+SUM(N$2:N$22))</f>
        <v>0.75169969913595791</v>
      </c>
      <c r="Z14" s="9">
        <f>(SUM(F$2:F14)+SUM(O$2:O14))/(SUM(F$2:F$22)+SUM(O$2:O$22))</f>
        <v>0.71155315466580971</v>
      </c>
      <c r="AA14" s="9">
        <f>(SUM(G$2:G14)+SUM(P$2:P14))/(SUM(G$2:G$22)+SUM(P$2:P$22))</f>
        <v>0.68949863804732525</v>
      </c>
      <c r="AB14" s="9">
        <f>(SUM(H$2:H14)+SUM(Q$2:Q14))/(SUM(H$2:H$22)+SUM(Q$2:Q$22))</f>
        <v>0.66618536335388823</v>
      </c>
      <c r="AC14" s="9">
        <f>(SUM(I$2:I14)+SUM(R$2:R14))/(SUM(I$2:I$22)+SUM(R$2:R$22))</f>
        <v>0.62642955707886205</v>
      </c>
      <c r="AD14" s="9">
        <f>(SUM(J$2:J14)+SUM(S$2:S14))/(SUM(J$2:J$22)+SUM(S$2:S$22))</f>
        <v>0.60900242481501676</v>
      </c>
    </row>
    <row r="15" spans="1:30" x14ac:dyDescent="0.2">
      <c r="A15" s="6" t="s">
        <v>30</v>
      </c>
      <c r="B15" s="7">
        <v>37667637</v>
      </c>
      <c r="C15" s="6">
        <f>Medium_2041[[#This Row],[2025女]]</f>
        <v>35463923.966899998</v>
      </c>
      <c r="D15" s="6">
        <f>Medium_2041[[#This Row],[2030女]]</f>
        <v>48417320.390643202</v>
      </c>
      <c r="E15" s="6">
        <f>Medium_2041[[#This Row],[2035女]]</f>
        <v>57068838.881271116</v>
      </c>
      <c r="F15" s="6">
        <f>Medium_2041[[#This Row],[2040女]]</f>
        <v>53119169.099658825</v>
      </c>
      <c r="G15" s="6">
        <f>Medium_2041[[#This Row],[2045女]]</f>
        <v>42976835.422659449</v>
      </c>
      <c r="H15" s="6">
        <f>Medium_2041[[#This Row],[2050女]]</f>
        <v>45667871.801040195</v>
      </c>
      <c r="I15" s="6">
        <f>Medium_2041[[#This Row],[2055女]]</f>
        <v>57365727.459911808</v>
      </c>
      <c r="J15" s="6">
        <f>Medium_2041[[#This Row],[2060女]]</f>
        <v>41679205.600208335</v>
      </c>
      <c r="K15" s="8">
        <v>36337923</v>
      </c>
      <c r="L15" s="6">
        <f>Medium_2041[[#This Row],[2025男]]</f>
        <v>34585115.25</v>
      </c>
      <c r="M15" s="6">
        <f>Medium_2041[[#This Row],[2030男]]</f>
        <v>46017617.047615916</v>
      </c>
      <c r="N15" s="6">
        <f>Medium_2041[[#This Row],[2035男]]</f>
        <v>54442009.700080298</v>
      </c>
      <c r="O15" s="6">
        <f>Medium_2041[[#This Row],[2040男]]</f>
        <v>51577113.61127387</v>
      </c>
      <c r="P15" s="6">
        <f>Medium_2041[[#This Row],[2045男]]</f>
        <v>42287351.31100437</v>
      </c>
      <c r="Q15" s="6">
        <f>Medium_2041[[#This Row],[2050男]]</f>
        <v>45479841.662364863</v>
      </c>
      <c r="R15" s="6">
        <f>Medium_2041[[#This Row],[2055男]]</f>
        <v>57478919.111247271</v>
      </c>
      <c r="S15" s="6">
        <f>Medium_2041[[#This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0.86694540369910966</v>
      </c>
      <c r="Y15" s="9">
        <f>(SUM(E$2:E15)+SUM(N$2:N15))/(SUM(E$2:E$22)+SUM(N$2:N$22))</f>
        <v>0.83050593882646817</v>
      </c>
      <c r="Z15" s="9">
        <f>(SUM(F$2:F15)+SUM(O$2:O15))/(SUM(F$2:F$22)+SUM(O$2:O$22))</f>
        <v>0.78619607707741257</v>
      </c>
      <c r="AA15" s="9">
        <f>(SUM(G$2:G15)+SUM(P$2:P15))/(SUM(G$2:G$22)+SUM(P$2:P$22))</f>
        <v>0.75097104967044503</v>
      </c>
      <c r="AB15" s="9">
        <f>(SUM(H$2:H15)+SUM(Q$2:Q15))/(SUM(H$2:H$22)+SUM(Q$2:Q$22))</f>
        <v>0.7329446728853013</v>
      </c>
      <c r="AC15" s="9">
        <f>(SUM(I$2:I15)+SUM(R$2:R15))/(SUM(I$2:I$22)+SUM(R$2:R$22))</f>
        <v>0.71260587500308603</v>
      </c>
      <c r="AD15" s="9">
        <f>(SUM(J$2:J15)+SUM(S$2:S15))/(SUM(J$2:J$22)+SUM(S$2:S$22))</f>
        <v>0.67528832864229849</v>
      </c>
    </row>
    <row r="16" spans="1:30" x14ac:dyDescent="0.2">
      <c r="A16" s="6" t="s">
        <v>31</v>
      </c>
      <c r="B16" s="7">
        <v>25427303</v>
      </c>
      <c r="C16" s="6">
        <f>Medium_2041[[#This Row],[2025女]]</f>
        <v>35780488.386299998</v>
      </c>
      <c r="D16" s="6">
        <f>Medium_2041[[#This Row],[2030女]]</f>
        <v>33949614.41351337</v>
      </c>
      <c r="E16" s="6">
        <f>Medium_2041[[#This Row],[2035女]]</f>
        <v>46654929.928423792</v>
      </c>
      <c r="F16" s="6">
        <f>Medium_2041[[#This Row],[2040女]]</f>
        <v>55293997.992063582</v>
      </c>
      <c r="G16" s="6">
        <f>Medium_2041[[#This Row],[2045女]]</f>
        <v>51711511.118517868</v>
      </c>
      <c r="H16" s="6">
        <f>Medium_2041[[#This Row],[2050女]]</f>
        <v>42005558.94210735</v>
      </c>
      <c r="I16" s="6">
        <f>Medium_2041[[#This Row],[2055女]]</f>
        <v>44786481.875280119</v>
      </c>
      <c r="J16" s="6">
        <f>Medium_2041[[#This Row],[2060女]]</f>
        <v>56424929.529569253</v>
      </c>
      <c r="K16" s="8">
        <v>24162733</v>
      </c>
      <c r="L16" s="6">
        <f>Medium_2041[[#This Row],[2025男]]</f>
        <v>32871285.145799998</v>
      </c>
      <c r="M16" s="6">
        <f>Medium_2041[[#This Row],[2030男]]</f>
        <v>31603878.315449998</v>
      </c>
      <c r="N16" s="6">
        <f>Medium_2041[[#This Row],[2035男]]</f>
        <v>42428242.917901874</v>
      </c>
      <c r="O16" s="6">
        <f>Medium_2041[[#This Row],[2040男]]</f>
        <v>50603848.016224638</v>
      </c>
      <c r="P16" s="6">
        <f>Medium_2041[[#This Row],[2045男]]</f>
        <v>48291651.474235728</v>
      </c>
      <c r="Q16" s="6">
        <f>Medium_2041[[#This Row],[2050男]]</f>
        <v>39851599.875490516</v>
      </c>
      <c r="R16" s="6">
        <f>Medium_2041[[#This Row],[2055男]]</f>
        <v>43110341.911755651</v>
      </c>
      <c r="S16" s="6">
        <f>Medium_2041[[#This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0.91303222010215868</v>
      </c>
      <c r="Y16" s="9">
        <f>(SUM(E$2:E16)+SUM(N$2:N16))/(SUM(E$2:E$22)+SUM(N$2:N$22))</f>
        <v>0.89346223376127998</v>
      </c>
      <c r="Z16" s="9">
        <f>(SUM(F$2:F16)+SUM(O$2:O16))/(SUM(F$2:F$22)+SUM(O$2:O$22))</f>
        <v>0.86169565068669718</v>
      </c>
      <c r="AA16" s="9">
        <f>(SUM(G$2:G16)+SUM(P$2:P16))/(SUM(G$2:G$22)+SUM(P$2:P$22))</f>
        <v>0.8230697327167984</v>
      </c>
      <c r="AB16" s="9">
        <f>(SUM(H$2:H16)+SUM(Q$2:Q16))/(SUM(H$2:H$22)+SUM(Q$2:Q$22))</f>
        <v>0.79289930252129426</v>
      </c>
      <c r="AC16" s="9">
        <f>(SUM(I$2:I16)+SUM(R$2:R16))/(SUM(I$2:I$22)+SUM(R$2:R$22))</f>
        <v>0.77856127525335161</v>
      </c>
      <c r="AD16" s="9">
        <f>(SUM(J$2:J16)+SUM(S$2:S16))/(SUM(J$2:J$22)+SUM(S$2:S$22))</f>
        <v>0.76162752719284621</v>
      </c>
    </row>
    <row r="17" spans="1:30" x14ac:dyDescent="0.2">
      <c r="A17" s="6" t="s">
        <v>32</v>
      </c>
      <c r="B17" s="7">
        <v>16486416</v>
      </c>
      <c r="C17" s="6">
        <f>Medium_2041[[#This Row],[2025女]]</f>
        <v>23077820.202799998</v>
      </c>
      <c r="D17" s="6">
        <f>Medium_2041[[#This Row],[2030女]]</f>
        <v>33028968.829393528</v>
      </c>
      <c r="E17" s="6">
        <f>Medium_2041[[#This Row],[2035女]]</f>
        <v>31776839.091048516</v>
      </c>
      <c r="F17" s="6">
        <f>Medium_2041[[#This Row],[2040女]]</f>
        <v>44172887.656231642</v>
      </c>
      <c r="G17" s="6">
        <f>Medium_2041[[#This Row],[2045女]]</f>
        <v>52844473.881015167</v>
      </c>
      <c r="H17" s="6">
        <f>Medium_2041[[#This Row],[2050女]]</f>
        <v>49803356.358244553</v>
      </c>
      <c r="I17" s="6">
        <f>Medium_2041[[#This Row],[2055女]]</f>
        <v>40715988.28258466</v>
      </c>
      <c r="J17" s="6">
        <f>Medium_2041[[#This Row],[2060女]]</f>
        <v>43644426.587460481</v>
      </c>
      <c r="K17" s="8">
        <v>14752433</v>
      </c>
      <c r="L17" s="6">
        <f>Medium_2041[[#This Row],[2025男]]</f>
        <v>20429590.751499999</v>
      </c>
      <c r="M17" s="6">
        <f>Medium_2041[[#This Row],[2030男]]</f>
        <v>28292315.124990061</v>
      </c>
      <c r="N17" s="6">
        <f>Medium_2041[[#This Row],[2035男]]</f>
        <v>27634431.199029475</v>
      </c>
      <c r="O17" s="6">
        <f>Medium_2041[[#This Row],[2040男]]</f>
        <v>37625365.819595382</v>
      </c>
      <c r="P17" s="6">
        <f>Medium_2041[[#This Row],[2045男]]</f>
        <v>45437195.133768104</v>
      </c>
      <c r="Q17" s="6">
        <f>Medium_2041[[#This Row],[2050男]]</f>
        <v>43843990.373458616</v>
      </c>
      <c r="R17" s="6">
        <f>Medium_2041[[#This Row],[2055男]]</f>
        <v>36543917.085824803</v>
      </c>
      <c r="S17" s="6">
        <f>Medium_2041[[#This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0.95614361871046283</v>
      </c>
      <c r="Y17" s="9">
        <f>(SUM(E$2:E17)+SUM(N$2:N17))/(SUM(E$2:E$22)+SUM(N$2:N$22))</f>
        <v>0.93544898990529668</v>
      </c>
      <c r="Z17" s="9">
        <f>(SUM(F$2:F17)+SUM(O$2:O17))/(SUM(F$2:F$22)+SUM(O$2:O$22))</f>
        <v>0.92001348709411324</v>
      </c>
      <c r="AA17" s="9">
        <f>(SUM(G$2:G17)+SUM(P$2:P17))/(SUM(G$2:G$22)+SUM(P$2:P$22))</f>
        <v>0.89392728081675144</v>
      </c>
      <c r="AB17" s="9">
        <f>(SUM(H$2:H17)+SUM(Q$2:Q17))/(SUM(H$2:H$22)+SUM(Q$2:Q$22))</f>
        <v>0.86148941816656932</v>
      </c>
      <c r="AC17" s="9">
        <f>(SUM(I$2:I17)+SUM(R$2:R17))/(SUM(I$2:I$22)+SUM(R$2:R$22))</f>
        <v>0.83653501949486642</v>
      </c>
      <c r="AD17" s="9">
        <f>(SUM(J$2:J17)+SUM(S$2:S17))/(SUM(J$2:J$22)+SUM(S$2:S$22))</f>
        <v>0.82648493942841139</v>
      </c>
    </row>
    <row r="18" spans="1:30" x14ac:dyDescent="0.2">
      <c r="A18" s="6" t="s">
        <v>33</v>
      </c>
      <c r="B18" s="7">
        <v>11225875</v>
      </c>
      <c r="C18" s="6">
        <f>Medium_2041[[#This Row],[2025女]]</f>
        <v>13715049.4704</v>
      </c>
      <c r="D18" s="6">
        <f>Medium_2041[[#This Row],[2030女]]</f>
        <v>19879234.322691921</v>
      </c>
      <c r="E18" s="6">
        <f>Medium_2041[[#This Row],[2035女]]</f>
        <v>29253757.692193851</v>
      </c>
      <c r="F18" s="6">
        <f>Medium_2041[[#This Row],[2040女]]</f>
        <v>28783460.848671749</v>
      </c>
      <c r="G18" s="6">
        <f>Medium_2041[[#This Row],[2045女]]</f>
        <v>40740654.28534244</v>
      </c>
      <c r="H18" s="6">
        <f>Medium_2041[[#This Row],[2050女]]</f>
        <v>49457143.105242088</v>
      </c>
      <c r="I18" s="6">
        <f>Medium_2041[[#This Row],[2055女]]</f>
        <v>47173739.142529242</v>
      </c>
      <c r="J18" s="6">
        <f>Medium_2041[[#This Row],[2060女]]</f>
        <v>38940771.193463966</v>
      </c>
      <c r="K18" s="8">
        <v>9157003</v>
      </c>
      <c r="L18" s="6">
        <f>Medium_2041[[#This Row],[2025男]]</f>
        <v>11083502.912899999</v>
      </c>
      <c r="M18" s="6">
        <f>Medium_2041[[#This Row],[2030男]]</f>
        <v>15869706.0957652</v>
      </c>
      <c r="N18" s="6">
        <f>Medium_2041[[#This Row],[2035男]]</f>
        <v>22628193.636967048</v>
      </c>
      <c r="O18" s="6">
        <f>Medium_2041[[#This Row],[2040男]]</f>
        <v>22668523.912563879</v>
      </c>
      <c r="P18" s="6">
        <f>Medium_2041[[#This Row],[2045男]]</f>
        <v>31560156.849476606</v>
      </c>
      <c r="Q18" s="6">
        <f>Medium_2041[[#This Row],[2050男]]</f>
        <v>38866976.717425242</v>
      </c>
      <c r="R18" s="6">
        <f>Medium_2041[[#This Row],[2055男]]</f>
        <v>38153040.422983684</v>
      </c>
      <c r="S18" s="6">
        <f>Medium_2041[[#This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0.98127660224927937</v>
      </c>
      <c r="Y18" s="9">
        <f>(SUM(E$2:E18)+SUM(N$2:N18))/(SUM(E$2:E$22)+SUM(N$2:N$22))</f>
        <v>0.97211467350534975</v>
      </c>
      <c r="Z18" s="9">
        <f>(SUM(F$2:F18)+SUM(O$2:O18))/(SUM(F$2:F$22)+SUM(O$2:O$22))</f>
        <v>0.95669603595842789</v>
      </c>
      <c r="AA18" s="9">
        <f>(SUM(G$2:G18)+SUM(P$2:P18))/(SUM(G$2:G$22)+SUM(P$2:P$22))</f>
        <v>0.94605356493470305</v>
      </c>
      <c r="AB18" s="9">
        <f>(SUM(H$2:H18)+SUM(Q$2:Q18))/(SUM(H$2:H$22)+SUM(Q$2:Q$22))</f>
        <v>0.92618064332493211</v>
      </c>
      <c r="AC18" s="9">
        <f>(SUM(I$2:I18)+SUM(R$2:R18))/(SUM(I$2:I$22)+SUM(R$2:R$22))</f>
        <v>0.90056192804329138</v>
      </c>
      <c r="AD18" s="9">
        <f>(SUM(J$2:J18)+SUM(S$2:S18))/(SUM(J$2:J$22)+SUM(S$2:S$22))</f>
        <v>0.8817926185810181</v>
      </c>
    </row>
    <row r="19" spans="1:30" x14ac:dyDescent="0.2">
      <c r="A19" s="6" t="s">
        <v>34</v>
      </c>
      <c r="B19" s="7">
        <v>6400439</v>
      </c>
      <c r="C19" s="6">
        <f>Medium_2041[[#This Row],[2025女]]</f>
        <v>7876073.9000000004</v>
      </c>
      <c r="D19" s="6">
        <f>Medium_2041[[#This Row],[2030女]]</f>
        <v>10272572.0533296</v>
      </c>
      <c r="E19" s="6">
        <f>Medium_2041[[#This Row],[2035女]]</f>
        <v>15680740.033739386</v>
      </c>
      <c r="F19" s="6">
        <f>Medium_2041[[#This Row],[2040女]]</f>
        <v>24055364.950291004</v>
      </c>
      <c r="G19" s="6">
        <f>Medium_2041[[#This Row],[2045女]]</f>
        <v>24480333.451795325</v>
      </c>
      <c r="H19" s="6">
        <f>Medium_2041[[#This Row],[2050女]]</f>
        <v>35615479.976246357</v>
      </c>
      <c r="I19" s="6">
        <f>Medium_2041[[#This Row],[2055女]]</f>
        <v>44224577.364707477</v>
      </c>
      <c r="J19" s="6">
        <f>Medium_2041[[#This Row],[2060女]]</f>
        <v>42975276.358844139</v>
      </c>
      <c r="K19" s="8">
        <v>4426091</v>
      </c>
      <c r="L19" s="6">
        <f>Medium_2041[[#This Row],[2025男]]</f>
        <v>5560132.2215999998</v>
      </c>
      <c r="M19" s="6">
        <f>Medium_2041[[#This Row],[2030男]]</f>
        <v>7090116.8133821301</v>
      </c>
      <c r="N19" s="6">
        <f>Medium_2041[[#This Row],[2035男]]</f>
        <v>10624768.231114801</v>
      </c>
      <c r="O19" s="6">
        <f>Medium_2041[[#This Row],[2040男]]</f>
        <v>15769588.145602334</v>
      </c>
      <c r="P19" s="6">
        <f>Medium_2041[[#This Row],[2045男]]</f>
        <v>16366674.26487112</v>
      </c>
      <c r="Q19" s="6">
        <f>Medium_2041[[#This Row],[2050男]]</f>
        <v>23512316.852860071</v>
      </c>
      <c r="R19" s="6">
        <f>Medium_2041[[#This Row],[2055男]]</f>
        <v>29775990.863219477</v>
      </c>
      <c r="S19" s="6">
        <f>Medium_2041[[#This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0.99348329056979146</v>
      </c>
      <c r="Y19" s="9">
        <f>(SUM(E$2:E19)+SUM(N$2:N19))/(SUM(E$2:E$22)+SUM(N$2:N$22))</f>
        <v>0.99070513547271999</v>
      </c>
      <c r="Z19" s="9">
        <f>(SUM(F$2:F19)+SUM(O$2:O19))/(SUM(F$2:F$22)+SUM(O$2:O$22))</f>
        <v>0.9850891250635111</v>
      </c>
      <c r="AA19" s="9">
        <f>(SUM(G$2:G19)+SUM(P$2:P19))/(SUM(G$2:G$22)+SUM(P$2:P$22))</f>
        <v>0.97550278820326075</v>
      </c>
      <c r="AB19" s="9">
        <f>(SUM(H$2:H19)+SUM(Q$2:Q19))/(SUM(H$2:H$22)+SUM(Q$2:Q$22))</f>
        <v>0.96948760891337393</v>
      </c>
      <c r="AC19" s="9">
        <f>(SUM(I$2:I19)+SUM(R$2:R19))/(SUM(I$2:I$22)+SUM(R$2:R$22))</f>
        <v>0.95608995381183914</v>
      </c>
      <c r="AD19" s="9">
        <f>(SUM(J$2:J19)+SUM(S$2:S19))/(SUM(J$2:J$22)+SUM(S$2:S$22))</f>
        <v>0.93843076444388562</v>
      </c>
    </row>
    <row r="20" spans="1:30" x14ac:dyDescent="0.2">
      <c r="A20" s="6" t="s">
        <v>35</v>
      </c>
      <c r="B20" s="7">
        <v>2285155</v>
      </c>
      <c r="C20" s="6">
        <f>Medium_2041[[#This Row],[2025女]]</f>
        <v>3358310.3433000003</v>
      </c>
      <c r="D20" s="6">
        <f>Medium_2041[[#This Row],[2030女]]</f>
        <v>4580724.58024</v>
      </c>
      <c r="E20" s="6">
        <f>Medium_2041[[#This Row],[2035女]]</f>
        <v>6489183.7660883088</v>
      </c>
      <c r="F20" s="6">
        <f>Medium_2041[[#This Row],[2040女]]</f>
        <v>10597044.114801077</v>
      </c>
      <c r="G20" s="6">
        <f>Medium_2041[[#This Row],[2045女]]</f>
        <v>17189963.793477952</v>
      </c>
      <c r="H20" s="6">
        <f>Medium_2041[[#This Row],[2050女]]</f>
        <v>18330873.688704338</v>
      </c>
      <c r="I20" s="6">
        <f>Medium_2041[[#This Row],[2055女]]</f>
        <v>27737335.805500664</v>
      </c>
      <c r="J20" s="6">
        <f>Medium_2041[[#This Row],[2060女]]</f>
        <v>35614052.151798934</v>
      </c>
      <c r="K20" s="8">
        <v>1367594</v>
      </c>
      <c r="L20" s="6">
        <f>Medium_2041[[#This Row],[2025男]]</f>
        <v>1951463.5219000001</v>
      </c>
      <c r="M20" s="6">
        <f>Medium_2041[[#This Row],[2030男]]</f>
        <v>2612150.11770768</v>
      </c>
      <c r="N20" s="6">
        <f>Medium_2041[[#This Row],[2035男]]</f>
        <v>3525206.0796135948</v>
      </c>
      <c r="O20" s="6">
        <f>Medium_2041[[#This Row],[2040男]]</f>
        <v>5558878.7385192635</v>
      </c>
      <c r="P20" s="6">
        <f>Medium_2041[[#This Row],[2045男]]</f>
        <v>8638580.3861609586</v>
      </c>
      <c r="Q20" s="6">
        <f>Medium_2041[[#This Row],[2050男]]</f>
        <v>9348644.3400943838</v>
      </c>
      <c r="R20" s="6">
        <f>Medium_2041[[#This Row],[2055男]]</f>
        <v>13949857.588801881</v>
      </c>
      <c r="S20" s="6">
        <f>Medium_2041[[#This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0.99854017894925673</v>
      </c>
      <c r="Y20" s="9">
        <f>(SUM(E$2:E20)+SUM(N$2:N20))/(SUM(E$2:E$22)+SUM(N$2:N$22))</f>
        <v>0.99778244155167817</v>
      </c>
      <c r="Z20" s="9">
        <f>(SUM(F$2:F20)+SUM(O$2:O20))/(SUM(F$2:F$22)+SUM(O$2:O$22))</f>
        <v>0.99660744514902766</v>
      </c>
      <c r="AA20" s="9">
        <f>(SUM(G$2:G20)+SUM(P$2:P20))/(SUM(G$2:G$22)+SUM(P$2:P$22))</f>
        <v>0.99412423948615714</v>
      </c>
      <c r="AB20" s="9">
        <f>(SUM(H$2:H20)+SUM(Q$2:Q20))/(SUM(H$2:H$22)+SUM(Q$2:Q$22))</f>
        <v>0.98976091519336962</v>
      </c>
      <c r="AC20" s="9">
        <f>(SUM(I$2:I20)+SUM(R$2:R20))/(SUM(I$2:I$22)+SUM(R$2:R$22))</f>
        <v>0.98737089670794609</v>
      </c>
      <c r="AD20" s="9">
        <f>(SUM(J$2:J20)+SUM(S$2:S20))/(SUM(J$2:J$22)+SUM(S$2:S$22))</f>
        <v>0.98028593923390239</v>
      </c>
    </row>
    <row r="21" spans="1:30" x14ac:dyDescent="0.2">
      <c r="A21" s="6" t="s">
        <v>36</v>
      </c>
      <c r="B21" s="7">
        <v>548357</v>
      </c>
      <c r="C21" s="6">
        <f>Medium_2041[[#This Row],[2025女]]</f>
        <v>735819.91</v>
      </c>
      <c r="D21" s="6">
        <f>Medium_2041[[#This Row],[2030女]]</f>
        <v>1248283.9546046101</v>
      </c>
      <c r="E21" s="6">
        <f>Medium_2041[[#This Row],[2035女]]</f>
        <v>1913368.6571662482</v>
      </c>
      <c r="F21" s="6">
        <f>Medium_2041[[#This Row],[2040女]]</f>
        <v>2987620.205907057</v>
      </c>
      <c r="G21" s="6">
        <f>Medium_2041[[#This Row],[2045女]]</f>
        <v>5297462.3529890589</v>
      </c>
      <c r="H21" s="6">
        <f>Medium_2041[[#This Row],[2050女]]</f>
        <v>9222415.5752009209</v>
      </c>
      <c r="I21" s="6">
        <f>Medium_2041[[#This Row],[2055女]]</f>
        <v>10457763.439405825</v>
      </c>
      <c r="J21" s="6">
        <f>Medium_2041[[#This Row],[2060女]]</f>
        <v>16697876.154911399</v>
      </c>
      <c r="K21" s="8">
        <v>271455</v>
      </c>
      <c r="L21" s="6">
        <f>Medium_2041[[#This Row],[2025男]]</f>
        <v>385387.98920000001</v>
      </c>
      <c r="M21" s="6">
        <f>Medium_2041[[#This Row],[2030男]]</f>
        <v>580950.69046963006</v>
      </c>
      <c r="N21" s="6">
        <f>Medium_2041[[#This Row],[2035男]]</f>
        <v>818386.63187781617</v>
      </c>
      <c r="O21" s="6">
        <f>Medium_2041[[#This Row],[2040男]]</f>
        <v>1158382.7177610272</v>
      </c>
      <c r="P21" s="6">
        <f>Medium_2041[[#This Row],[2045男]]</f>
        <v>1909474.8466813671</v>
      </c>
      <c r="Q21" s="6">
        <f>Medium_2041[[#This Row],[2050男]]</f>
        <v>3093475.6362842391</v>
      </c>
      <c r="R21" s="6">
        <f>Medium_2041[[#This Row],[2055男]]</f>
        <v>3480500.2878171392</v>
      </c>
      <c r="S21" s="6">
        <f>Medium_2041[[#This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0.99982620655413512</v>
      </c>
      <c r="Y21" s="9">
        <f>(SUM(E$2:E21)+SUM(N$2:N21))/(SUM(E$2:E$22)+SUM(N$2:N$22))</f>
        <v>0.99971301032434046</v>
      </c>
      <c r="Z21" s="9">
        <f>(SUM(F$2:F21)+SUM(O$2:O21))/(SUM(F$2:F$22)+SUM(O$2:O$22))</f>
        <v>0.9995633263564252</v>
      </c>
      <c r="AA21" s="9">
        <f>(SUM(G$2:G21)+SUM(P$2:P21))/(SUM(G$2:G$22)+SUM(P$2:P$22))</f>
        <v>0.99932018196859684</v>
      </c>
      <c r="AB21" s="9">
        <f>(SUM(H$2:H21)+SUM(Q$2:Q21))/(SUM(H$2:H$22)+SUM(Q$2:Q$22))</f>
        <v>0.99878144200968799</v>
      </c>
      <c r="AC21" s="9">
        <f>(SUM(I$2:I21)+SUM(R$2:R21))/(SUM(I$2:I$22)+SUM(R$2:R$22))</f>
        <v>0.99782979298331231</v>
      </c>
      <c r="AD21" s="9">
        <f>(SUM(J$2:J21)+SUM(S$2:S21))/(SUM(J$2:J$22)+SUM(S$2:S$22))</f>
        <v>0.99743528239525736</v>
      </c>
    </row>
    <row r="22" spans="1:30" x14ac:dyDescent="0.2">
      <c r="A22" s="6" t="s">
        <v>37</v>
      </c>
      <c r="B22" s="7">
        <v>83737</v>
      </c>
      <c r="C22" s="6">
        <f>Medium_2041[[#This Row],[2025女]]</f>
        <v>118719.2905</v>
      </c>
      <c r="D22" s="6">
        <f>Medium_2041[[#This Row],[2030女]]</f>
        <v>166810.37359700003</v>
      </c>
      <c r="E22" s="6">
        <f>Medium_2041[[#This Row],[2035女]]</f>
        <v>295593.64045037166</v>
      </c>
      <c r="F22" s="6">
        <f>Medium_2041[[#This Row],[2040女]]</f>
        <v>472219.38458863006</v>
      </c>
      <c r="G22" s="6">
        <f>Medium_2041[[#This Row],[2045女]]</f>
        <v>766623.34483575088</v>
      </c>
      <c r="H22" s="6">
        <f>Medium_2041[[#This Row],[2050女]]</f>
        <v>1410714.2246009863</v>
      </c>
      <c r="I22" s="6">
        <f>Medium_2041[[#This Row],[2055女]]</f>
        <v>2544464.4571979339</v>
      </c>
      <c r="J22" s="6">
        <f>Medium_2041[[#This Row],[2060女]]</f>
        <v>2983599.9092624821</v>
      </c>
      <c r="K22" s="8">
        <v>35129</v>
      </c>
      <c r="L22" s="6">
        <f>Medium_2041[[#This Row],[2025男]]</f>
        <v>61484.557500000003</v>
      </c>
      <c r="M22" s="6">
        <f>Medium_2041[[#This Row],[2030男]]</f>
        <v>80391.934547120007</v>
      </c>
      <c r="N22" s="6">
        <f>Medium_2041[[#This Row],[2035男]]</f>
        <v>110496.82132732365</v>
      </c>
      <c r="O22" s="6">
        <f>Medium_2041[[#This Row],[2040男]]</f>
        <v>140271.46870385768</v>
      </c>
      <c r="P22" s="6">
        <f>Medium_2041[[#This Row],[2045男]]</f>
        <v>176305.84964322834</v>
      </c>
      <c r="Q22" s="6">
        <f>Medium_2041[[#This Row],[2050男]]</f>
        <v>253005.41718528117</v>
      </c>
      <c r="R22" s="6">
        <f>Medium_2041[[#This Row],[2055男]]</f>
        <v>347706.6615183485</v>
      </c>
      <c r="S22" s="6">
        <f>Medium_2041[[#This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44.526736873414976</v>
      </c>
      <c r="Y23" s="3">
        <f t="shared" si="0"/>
        <v>47.506674567626845</v>
      </c>
      <c r="Z23" s="3">
        <f t="shared" si="0"/>
        <v>50.336385540750427</v>
      </c>
      <c r="AA23" s="3">
        <f t="shared" si="0"/>
        <v>52.258184967380934</v>
      </c>
      <c r="AB23" s="3">
        <f t="shared" si="0"/>
        <v>53.611765920845158</v>
      </c>
      <c r="AC23" s="3">
        <f t="shared" si="0"/>
        <v>54.3919835752437</v>
      </c>
      <c r="AD23" s="3">
        <f t="shared" si="0"/>
        <v>55.102590509713032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s="1" customFormat="1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7.0134878108024701</v>
      </c>
      <c r="E25" s="3">
        <f t="shared" si="1"/>
        <v>7.0160813745665536</v>
      </c>
      <c r="F25" s="3">
        <f t="shared" si="1"/>
        <v>6.9952935880110907</v>
      </c>
      <c r="G25" s="3">
        <f t="shared" si="1"/>
        <v>6.9568315503728071</v>
      </c>
      <c r="H25" s="3">
        <f t="shared" si="1"/>
        <v>6.8838938403992893</v>
      </c>
      <c r="I25" s="3">
        <f t="shared" si="1"/>
        <v>6.7519135174628877</v>
      </c>
      <c r="J25" s="3">
        <f t="shared" si="1"/>
        <v>6.5530425046223977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7.2104264981552051</v>
      </c>
      <c r="N25" s="3">
        <f t="shared" si="2"/>
        <v>7.1339210896138656</v>
      </c>
      <c r="O25" s="3">
        <f t="shared" si="2"/>
        <v>7.0309903955669961</v>
      </c>
      <c r="P25" s="3">
        <f t="shared" si="2"/>
        <v>6.9134859599290053</v>
      </c>
      <c r="Q25" s="3">
        <f t="shared" si="2"/>
        <v>6.7692901279753546</v>
      </c>
      <c r="R25" s="3">
        <f>SUM(R2:R22)/100000000</f>
        <v>6.5747926284348246</v>
      </c>
      <c r="S25" s="3">
        <f t="shared" si="2"/>
        <v>6.3259966128853096</v>
      </c>
      <c r="W25">
        <f t="shared" ref="W25:X25" si="3">((0.5-W9)/(W10-W9)*5)+$U10</f>
        <v>41.860793424246822</v>
      </c>
      <c r="X25">
        <f t="shared" si="3"/>
        <v>44.526736873414976</v>
      </c>
      <c r="Y25"/>
      <c r="Z25"/>
      <c r="AA25"/>
      <c r="AB25"/>
      <c r="AC25"/>
      <c r="AD25"/>
    </row>
    <row r="26" spans="1:30" s="1" customFormat="1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7.2104264981552051</v>
      </c>
      <c r="E26" s="3">
        <f t="shared" si="4"/>
        <v>7.1339210896138656</v>
      </c>
      <c r="F26" s="3">
        <f t="shared" si="4"/>
        <v>7.0309903955669961</v>
      </c>
      <c r="G26" s="3">
        <f t="shared" si="4"/>
        <v>6.9134859599290053</v>
      </c>
      <c r="H26" s="3">
        <f t="shared" si="4"/>
        <v>6.7692901279753546</v>
      </c>
      <c r="I26" s="3">
        <f t="shared" si="4"/>
        <v>6.5747926284348246</v>
      </c>
      <c r="J26" s="3">
        <f t="shared" si="4"/>
        <v>6.3259966128853096</v>
      </c>
      <c r="W26"/>
      <c r="X26"/>
      <c r="Y26">
        <f t="shared" ref="Y26" si="5">((0.5-Y10)/(Y11-Y10)*5)+$U11</f>
        <v>47.506674567626845</v>
      </c>
      <c r="Z26"/>
      <c r="AA26"/>
      <c r="AB26"/>
      <c r="AC26"/>
      <c r="AD26"/>
    </row>
    <row r="27" spans="1:30" s="1" customFormat="1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14.223914308957674</v>
      </c>
      <c r="E27" s="3">
        <f t="shared" si="6"/>
        <v>14.150002464180419</v>
      </c>
      <c r="F27" s="3">
        <f t="shared" si="6"/>
        <v>14.026283983578086</v>
      </c>
      <c r="G27" s="3">
        <f t="shared" si="6"/>
        <v>13.870317510301813</v>
      </c>
      <c r="H27" s="3">
        <f t="shared" si="6"/>
        <v>13.653183968374645</v>
      </c>
      <c r="I27" s="3">
        <f t="shared" si="6"/>
        <v>13.326706145897713</v>
      </c>
      <c r="J27" s="3">
        <f t="shared" si="6"/>
        <v>12.879039117507707</v>
      </c>
      <c r="W27"/>
      <c r="X27"/>
      <c r="Y27"/>
      <c r="Z27">
        <f t="shared" ref="Z27:AC27" si="7">((0.5-Z11)/(Z12-Z11)*5)+$U12</f>
        <v>50.336385540750427</v>
      </c>
      <c r="AA27">
        <f t="shared" si="7"/>
        <v>52.258184967380934</v>
      </c>
      <c r="AB27">
        <f t="shared" si="7"/>
        <v>53.611765920845158</v>
      </c>
      <c r="AC27">
        <f t="shared" si="7"/>
        <v>54.3919835752437</v>
      </c>
      <c r="AD27"/>
    </row>
    <row r="28" spans="1:30" s="2" customFormat="1" x14ac:dyDescent="0.2">
      <c r="A28" s="2" t="s">
        <v>41</v>
      </c>
      <c r="B28" s="2">
        <f>K25/B25</f>
        <v>1.0480184091421736</v>
      </c>
      <c r="C28" s="2">
        <f t="shared" ref="C28:J28" si="8">L25/C25</f>
        <v>1.0385748219776874</v>
      </c>
      <c r="D28" s="2">
        <f t="shared" si="8"/>
        <v>1.0280799928174684</v>
      </c>
      <c r="E28" s="2">
        <f t="shared" si="8"/>
        <v>1.0167956596789889</v>
      </c>
      <c r="F28" s="2">
        <f t="shared" si="8"/>
        <v>1.0051029748940179</v>
      </c>
      <c r="G28" s="2">
        <f t="shared" si="8"/>
        <v>0.99376934885803303</v>
      </c>
      <c r="H28" s="2">
        <f t="shared" si="8"/>
        <v>0.98335190590079069</v>
      </c>
      <c r="I28" s="2">
        <f t="shared" si="8"/>
        <v>0.97376730484329155</v>
      </c>
      <c r="J28" s="2">
        <f t="shared" si="8"/>
        <v>0.96535259895278658</v>
      </c>
      <c r="AD28">
        <f>((0.5-AD12)/(AD13-AD12)*5)+$U13</f>
        <v>55.102590509713032</v>
      </c>
    </row>
    <row r="29" spans="1:30" s="2" customFormat="1" x14ac:dyDescent="0.2">
      <c r="A29" s="2" t="s">
        <v>42</v>
      </c>
      <c r="B29" s="2">
        <f>SUM(B15:B22)/(B25*10^8)</f>
        <v>0.14545380337706743</v>
      </c>
      <c r="C29" s="2">
        <f t="shared" ref="C29:J29" si="9">SUM(C15:C22)/(C25*10^8)</f>
        <v>0.1721235544614709</v>
      </c>
      <c r="D29" s="2">
        <f t="shared" si="9"/>
        <v>0.21607441690366877</v>
      </c>
      <c r="E29" s="2">
        <f t="shared" si="9"/>
        <v>0.26957106338018499</v>
      </c>
      <c r="F29" s="2">
        <f t="shared" si="9"/>
        <v>0.31375632986780311</v>
      </c>
      <c r="G29" s="2">
        <f t="shared" si="9"/>
        <v>0.33924618691965552</v>
      </c>
      <c r="H29" s="2">
        <f t="shared" si="9"/>
        <v>0.36536503830918776</v>
      </c>
      <c r="I29" s="2">
        <f t="shared" si="9"/>
        <v>0.40730094826578067</v>
      </c>
      <c r="J29" s="2">
        <f t="shared" si="9"/>
        <v>0.42569560214014418</v>
      </c>
      <c r="K29" s="2">
        <f t="shared" ref="K29:S29" si="10">SUM(K15:K22)/(K25*10^8)</f>
        <v>0.12546202408591231</v>
      </c>
      <c r="L29" s="2">
        <f t="shared" si="10"/>
        <v>0.14752174745050295</v>
      </c>
      <c r="M29" s="2">
        <f t="shared" si="10"/>
        <v>0.18327227407940117</v>
      </c>
      <c r="N29" s="2">
        <f t="shared" si="10"/>
        <v>0.22738089359310842</v>
      </c>
      <c r="O29" s="2">
        <f t="shared" si="10"/>
        <v>0.2632658587429591</v>
      </c>
      <c r="P29" s="2">
        <f t="shared" si="10"/>
        <v>0.28157631510954934</v>
      </c>
      <c r="Q29" s="2">
        <f t="shared" si="10"/>
        <v>0.30173008840478355</v>
      </c>
      <c r="R29" s="2">
        <f t="shared" si="10"/>
        <v>0.33893125840870347</v>
      </c>
      <c r="S29" s="2">
        <f t="shared" si="10"/>
        <v>0.35505420382740743</v>
      </c>
    </row>
    <row r="30" spans="1:30" s="2" customFormat="1" x14ac:dyDescent="0.2">
      <c r="A30" s="2" t="s">
        <v>43</v>
      </c>
      <c r="B30" s="2">
        <f>K29</f>
        <v>0.12546202408591231</v>
      </c>
      <c r="C30" s="2">
        <f t="shared" ref="C30:J30" si="11">L29</f>
        <v>0.14752174745050295</v>
      </c>
      <c r="D30" s="2">
        <f t="shared" si="11"/>
        <v>0.18327227407940117</v>
      </c>
      <c r="E30" s="2">
        <f t="shared" si="11"/>
        <v>0.22738089359310842</v>
      </c>
      <c r="F30" s="2">
        <f t="shared" si="11"/>
        <v>0.2632658587429591</v>
      </c>
      <c r="G30" s="2">
        <f t="shared" si="11"/>
        <v>0.28157631510954934</v>
      </c>
      <c r="H30" s="2">
        <f t="shared" si="11"/>
        <v>0.30173008840478355</v>
      </c>
      <c r="I30" s="2">
        <f t="shared" si="11"/>
        <v>0.33893125840870347</v>
      </c>
      <c r="J30" s="2">
        <f t="shared" si="11"/>
        <v>0.35505420382740743</v>
      </c>
    </row>
    <row r="31" spans="1:30" s="2" customFormat="1" x14ac:dyDescent="0.2">
      <c r="A31" s="2" t="s">
        <v>44</v>
      </c>
      <c r="B31" s="2">
        <f>(SUM(B15:B22)+SUM(K15:K22))/(B27*10^8)</f>
        <v>0.13522354732316133</v>
      </c>
      <c r="C31" s="2">
        <f t="shared" ref="C31:J31" si="12">(SUM(C15:C22)+SUM(L15:L22))/(C27*10^8)</f>
        <v>0.15958988777370234</v>
      </c>
      <c r="D31" s="2">
        <f t="shared" si="12"/>
        <v>0.19944626274870306</v>
      </c>
      <c r="E31" s="2">
        <f t="shared" si="12"/>
        <v>0.24830030086404231</v>
      </c>
      <c r="F31" s="2">
        <f t="shared" si="12"/>
        <v>0.28844684533419029</v>
      </c>
      <c r="G31" s="2">
        <f t="shared" si="12"/>
        <v>0.31050136195267464</v>
      </c>
      <c r="H31" s="2">
        <f t="shared" si="12"/>
        <v>0.33381463664611172</v>
      </c>
      <c r="I31" s="2">
        <f t="shared" si="12"/>
        <v>0.37357044292113789</v>
      </c>
      <c r="J31" s="2">
        <f t="shared" si="12"/>
        <v>0.39099757518498318</v>
      </c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3">(D2+M2)/50000</f>
        <v>994.87877789969366</v>
      </c>
      <c r="E32" s="1">
        <f t="shared" si="13"/>
        <v>954.45912209263827</v>
      </c>
      <c r="F32" s="1">
        <f t="shared" si="13"/>
        <v>972.8336840997332</v>
      </c>
      <c r="G32" s="1">
        <f t="shared" si="13"/>
        <v>1033.9527997727523</v>
      </c>
      <c r="H32" s="1">
        <f t="shared" si="13"/>
        <v>1036.2662181540172</v>
      </c>
      <c r="I32" s="1">
        <f t="shared" si="13"/>
        <v>936.58232836172442</v>
      </c>
      <c r="J32" s="1">
        <f t="shared" si="13"/>
        <v>800.87638371121977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4">(SUM(C2:C22)-SUM(D3:D22)+SUM(L2:L22)-SUM(M3:M22))/50000</f>
        <v>1001.7562805327392</v>
      </c>
      <c r="E33" s="1">
        <f t="shared" si="14"/>
        <v>1102.282811647148</v>
      </c>
      <c r="F33" s="1">
        <f t="shared" si="14"/>
        <v>1220.2706453043961</v>
      </c>
      <c r="G33" s="1">
        <f t="shared" si="14"/>
        <v>1345.8857463253069</v>
      </c>
      <c r="H33" s="1">
        <f t="shared" si="14"/>
        <v>1470.5333020083547</v>
      </c>
      <c r="I33" s="1">
        <f t="shared" si="14"/>
        <v>1589.5379733155894</v>
      </c>
      <c r="J33" s="1">
        <f t="shared" si="14"/>
        <v>1696.2104404912304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5">SUM(C2:C4)/10000</f>
        <v>10779.562503635365</v>
      </c>
      <c r="D36" s="4">
        <f t="shared" si="15"/>
        <v>8976.1222171980116</v>
      </c>
      <c r="E36" s="4">
        <f t="shared" si="15"/>
        <v>7617.5421032651202</v>
      </c>
      <c r="F36" s="4">
        <f t="shared" si="15"/>
        <v>7113.4334667602334</v>
      </c>
      <c r="G36" s="4">
        <f t="shared" si="15"/>
        <v>7209.6369195758134</v>
      </c>
      <c r="H36" s="4">
        <f t="shared" si="15"/>
        <v>7409.3853917483702</v>
      </c>
      <c r="I36" s="4">
        <f t="shared" si="15"/>
        <v>7321.0414777399246</v>
      </c>
      <c r="J36" s="4">
        <f t="shared" si="15"/>
        <v>6753.5874925879407</v>
      </c>
      <c r="K36" s="4">
        <f t="shared" si="15"/>
        <v>13459.357900000001</v>
      </c>
      <c r="L36" s="4">
        <f t="shared" si="15"/>
        <v>11902.601379726633</v>
      </c>
      <c r="M36" s="4">
        <f t="shared" si="15"/>
        <v>9640.2754258028417</v>
      </c>
      <c r="N36" s="4">
        <f t="shared" si="15"/>
        <v>7995.0318848297584</v>
      </c>
      <c r="O36" s="4">
        <f t="shared" si="15"/>
        <v>7466.6001375948135</v>
      </c>
      <c r="P36" s="4">
        <f t="shared" si="15"/>
        <v>7567.9011553529826</v>
      </c>
      <c r="Q36" s="4">
        <f t="shared" si="15"/>
        <v>7777.5508099817498</v>
      </c>
      <c r="R36" s="4">
        <f t="shared" si="15"/>
        <v>7684.9744910941808</v>
      </c>
      <c r="S36" s="4">
        <f t="shared" si="15"/>
        <v>7089.7513809612528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6">SUM(C5:C14)/10000</f>
        <v>46998.500650969996</v>
      </c>
      <c r="D37" s="4">
        <f t="shared" si="16"/>
        <v>46004.402999025355</v>
      </c>
      <c r="E37" s="4">
        <f t="shared" si="16"/>
        <v>43629.946473362274</v>
      </c>
      <c r="F37" s="4">
        <f t="shared" si="16"/>
        <v>40891.325988129305</v>
      </c>
      <c r="G37" s="4">
        <f t="shared" si="16"/>
        <v>38757.892819088949</v>
      </c>
      <c r="H37" s="4">
        <f t="shared" si="16"/>
        <v>36278.211645105825</v>
      </c>
      <c r="I37" s="4">
        <f t="shared" si="16"/>
        <v>32697.485914177178</v>
      </c>
      <c r="J37" s="4">
        <f t="shared" si="16"/>
        <v>30880.823805084121</v>
      </c>
      <c r="K37" s="4">
        <f t="shared" si="16"/>
        <v>49631.2454</v>
      </c>
      <c r="L37" s="4">
        <f t="shared" si="16"/>
        <v>49887.449286349998</v>
      </c>
      <c r="M37" s="4">
        <f t="shared" si="16"/>
        <v>49249.276941756441</v>
      </c>
      <c r="N37" s="4">
        <f t="shared" si="16"/>
        <v>47123.005489517687</v>
      </c>
      <c r="O37" s="4">
        <f t="shared" si="16"/>
        <v>44333.106575050726</v>
      </c>
      <c r="P37" s="4">
        <f t="shared" si="16"/>
        <v>42100.219432352918</v>
      </c>
      <c r="Q37" s="4">
        <f t="shared" si="16"/>
        <v>39490.36538225547</v>
      </c>
      <c r="R37" s="4">
        <f t="shared" si="16"/>
        <v>35778.924399937234</v>
      </c>
      <c r="S37" s="4">
        <f t="shared" si="16"/>
        <v>33709.497839863143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7">SUM(C15:C22)/10000</f>
        <v>12012.62054702</v>
      </c>
      <c r="D38" s="4">
        <f t="shared" si="17"/>
        <v>15154.352891801322</v>
      </c>
      <c r="E38" s="4">
        <f t="shared" si="17"/>
        <v>18913.325169038158</v>
      </c>
      <c r="F38" s="4">
        <f t="shared" si="17"/>
        <v>21948.176425221358</v>
      </c>
      <c r="G38" s="4">
        <f t="shared" si="17"/>
        <v>23600.785765063301</v>
      </c>
      <c r="H38" s="4">
        <f t="shared" si="17"/>
        <v>25151.341367138677</v>
      </c>
      <c r="I38" s="4">
        <f t="shared" si="17"/>
        <v>27500.60778271177</v>
      </c>
      <c r="J38" s="4">
        <f t="shared" si="17"/>
        <v>27896.013748551901</v>
      </c>
      <c r="K38" s="4">
        <f t="shared" si="17"/>
        <v>9051.0360999999994</v>
      </c>
      <c r="L38" s="4">
        <f t="shared" si="17"/>
        <v>10692.796235039999</v>
      </c>
      <c r="M38" s="4">
        <f t="shared" si="17"/>
        <v>13214.712613992775</v>
      </c>
      <c r="N38" s="4">
        <f t="shared" si="17"/>
        <v>16221.173521791226</v>
      </c>
      <c r="O38" s="4">
        <f t="shared" si="17"/>
        <v>18510.197243024431</v>
      </c>
      <c r="P38" s="4">
        <f t="shared" si="17"/>
        <v>19466.739011584148</v>
      </c>
      <c r="Q38" s="4">
        <f t="shared" si="17"/>
        <v>20424.985087516321</v>
      </c>
      <c r="R38" s="4">
        <f t="shared" si="17"/>
        <v>22284.027393316825</v>
      </c>
      <c r="S38" s="4">
        <f t="shared" si="17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8">(C36+L36)/(C37+L37)*100</f>
        <v>23.411200383581047</v>
      </c>
      <c r="D39">
        <f t="shared" si="18"/>
        <v>19.544019353976115</v>
      </c>
      <c r="E39">
        <f t="shared" si="18"/>
        <v>17.203378678503793</v>
      </c>
      <c r="F39">
        <f t="shared" si="18"/>
        <v>17.107809539883213</v>
      </c>
      <c r="G39">
        <f t="shared" si="18"/>
        <v>18.275888050633142</v>
      </c>
      <c r="H39">
        <f t="shared" si="18"/>
        <v>20.043845084019285</v>
      </c>
      <c r="I39">
        <f t="shared" si="18"/>
        <v>21.914139336449782</v>
      </c>
      <c r="J39">
        <f t="shared" si="18"/>
        <v>21.432528157462922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19">(C38+L38)/(C37+L37)*100</f>
        <v>23.435200662995186</v>
      </c>
      <c r="D40">
        <f t="shared" si="19"/>
        <v>29.782645167547173</v>
      </c>
      <c r="E40">
        <f t="shared" si="19"/>
        <v>38.7144417133673</v>
      </c>
      <c r="F40">
        <f t="shared" si="19"/>
        <v>47.47274044711591</v>
      </c>
      <c r="G40">
        <f t="shared" si="19"/>
        <v>53.263084652188951</v>
      </c>
      <c r="H40">
        <f t="shared" si="19"/>
        <v>60.152015839226635</v>
      </c>
      <c r="I40">
        <f t="shared" si="19"/>
        <v>72.703336736924342</v>
      </c>
      <c r="J40">
        <f t="shared" si="19"/>
        <v>77.963275881162716</v>
      </c>
    </row>
    <row r="56" spans="1:22" x14ac:dyDescent="0.2">
      <c r="B56">
        <v>1960</v>
      </c>
      <c r="C56">
        <v>1965</v>
      </c>
      <c r="D56">
        <v>1970</v>
      </c>
      <c r="E56">
        <v>1975</v>
      </c>
      <c r="F56">
        <v>1980</v>
      </c>
      <c r="G56">
        <v>1985</v>
      </c>
      <c r="H56">
        <v>1990</v>
      </c>
      <c r="I56">
        <v>1995</v>
      </c>
      <c r="J56">
        <v>2000</v>
      </c>
      <c r="K56">
        <v>2005</v>
      </c>
      <c r="L56">
        <v>2010</v>
      </c>
      <c r="M56">
        <v>2015</v>
      </c>
      <c r="N56">
        <v>2020</v>
      </c>
      <c r="O56">
        <v>2025</v>
      </c>
      <c r="P56">
        <v>2030</v>
      </c>
      <c r="Q56">
        <v>2035</v>
      </c>
      <c r="R56">
        <v>2040</v>
      </c>
      <c r="S56">
        <v>2045</v>
      </c>
      <c r="T56">
        <v>2050</v>
      </c>
      <c r="U56">
        <v>2055</v>
      </c>
      <c r="V56">
        <v>2060</v>
      </c>
    </row>
    <row r="57" spans="1:22" s="5" customFormat="1" x14ac:dyDescent="0.2">
      <c r="A57" s="5" t="s">
        <v>52</v>
      </c>
      <c r="N57" s="5">
        <f>B27</f>
        <v>14.097787239999999</v>
      </c>
      <c r="O57" s="5">
        <f t="shared" ref="O57:V57" si="20">C27</f>
        <v>14.227353060274199</v>
      </c>
      <c r="P57" s="5">
        <f t="shared" si="20"/>
        <v>14.223914308957674</v>
      </c>
      <c r="Q57" s="5">
        <f t="shared" si="20"/>
        <v>14.150002464180419</v>
      </c>
      <c r="R57" s="5">
        <f t="shared" si="20"/>
        <v>14.026283983578086</v>
      </c>
      <c r="S57" s="5">
        <f t="shared" si="20"/>
        <v>13.870317510301813</v>
      </c>
      <c r="T57" s="5">
        <f t="shared" si="20"/>
        <v>13.653183968374645</v>
      </c>
      <c r="U57" s="5">
        <f t="shared" si="20"/>
        <v>13.326706145897713</v>
      </c>
      <c r="V57" s="5">
        <f t="shared" si="20"/>
        <v>12.879039117507707</v>
      </c>
    </row>
    <row r="58" spans="1:22" s="5" customFormat="1" x14ac:dyDescent="0.2">
      <c r="A58" s="5" t="s">
        <v>53</v>
      </c>
      <c r="N58" s="5">
        <f>High_40!B27</f>
        <v>14.097787239999999</v>
      </c>
      <c r="O58" s="5">
        <f>High_40!C27</f>
        <v>14.227353060274199</v>
      </c>
      <c r="P58" s="5">
        <f>High_40!D27</f>
        <v>14.326572714419912</v>
      </c>
      <c r="Q58" s="5">
        <f>High_40!E27</f>
        <v>14.404565903724482</v>
      </c>
      <c r="R58" s="5">
        <f>High_40!F27</f>
        <v>14.466843849148361</v>
      </c>
      <c r="S58" s="5">
        <f>High_40!G27</f>
        <v>14.495342915690712</v>
      </c>
      <c r="T58" s="5">
        <f>High_40!H27</f>
        <v>14.465419713496402</v>
      </c>
      <c r="U58" s="5">
        <f>High_40!I27</f>
        <v>14.330560047592275</v>
      </c>
      <c r="V58" s="5">
        <f>High_40!J27</f>
        <v>14.084631117348918</v>
      </c>
    </row>
    <row r="59" spans="1:22" s="5" customFormat="1" x14ac:dyDescent="0.2">
      <c r="A59" s="5" t="s">
        <v>69</v>
      </c>
      <c r="B59" s="5">
        <f>HLOOKUP(B56,Past!$B$3:$BT$14,2,FALSE)/10000</f>
        <v>6.6207000000000003</v>
      </c>
      <c r="C59" s="5">
        <f>HLOOKUP(C56,Past!$B$3:$BT$14,2,FALSE)/10000</f>
        <v>7.2538</v>
      </c>
      <c r="D59" s="5">
        <f>HLOOKUP(D56,Past!$B$3:$BT$14,2,FALSE)/10000</f>
        <v>8.2992000000000008</v>
      </c>
      <c r="E59" s="5">
        <f>HLOOKUP(E56,Past!$B$3:$BT$14,2,FALSE)/10000</f>
        <v>9.2420000000000009</v>
      </c>
      <c r="F59" s="5">
        <f>HLOOKUP(F56,Past!$B$3:$BT$14,2,FALSE)/10000</f>
        <v>9.8704999999999998</v>
      </c>
      <c r="G59" s="5">
        <f>HLOOKUP(G56,Past!$B$3:$BT$14,2,FALSE)/10000</f>
        <v>10.585100000000001</v>
      </c>
      <c r="H59" s="5">
        <f>HLOOKUP(H56,Past!$B$3:$BT$14,2,FALSE)/10000</f>
        <v>11.433299999999999</v>
      </c>
      <c r="I59" s="5">
        <f>HLOOKUP(I56,Past!$B$3:$BT$14,2,FALSE)/10000</f>
        <v>12.1121</v>
      </c>
      <c r="J59" s="5">
        <f>HLOOKUP(J56,Past!$B$3:$BT$14,2,FALSE)/10000</f>
        <v>12.674300000000001</v>
      </c>
      <c r="K59" s="5">
        <f>HLOOKUP(K56,Past!$B$3:$BT$14,2,FALSE)/10000</f>
        <v>13.0756</v>
      </c>
      <c r="L59" s="5">
        <f>HLOOKUP(L56,Past!$B$3:$BT$14,2,FALSE)/10000</f>
        <v>13.4091</v>
      </c>
      <c r="M59" s="5">
        <f>HLOOKUP(M56,Past!$B$3:$BT$14,2,FALSE)/10000</f>
        <v>13.832599999999999</v>
      </c>
      <c r="N59" s="5">
        <f>HLOOKUP(N56,Past!$B$3:$BT$14,2,FALSE)/10000</f>
        <v>14.1212</v>
      </c>
    </row>
    <row r="61" spans="1:22" x14ac:dyDescent="0.2">
      <c r="B61">
        <v>1960</v>
      </c>
      <c r="C61">
        <v>1965</v>
      </c>
      <c r="D61">
        <v>1970</v>
      </c>
      <c r="E61">
        <v>1975</v>
      </c>
      <c r="F61">
        <v>1980</v>
      </c>
      <c r="G61">
        <v>1985</v>
      </c>
      <c r="H61">
        <v>1990</v>
      </c>
      <c r="I61">
        <v>1995</v>
      </c>
      <c r="J61">
        <v>2000</v>
      </c>
      <c r="K61">
        <v>2005</v>
      </c>
      <c r="L61">
        <v>2010</v>
      </c>
      <c r="M61">
        <v>2015</v>
      </c>
      <c r="N61">
        <v>2020</v>
      </c>
      <c r="O61">
        <v>2025</v>
      </c>
      <c r="P61">
        <v>2030</v>
      </c>
      <c r="Q61">
        <v>2035</v>
      </c>
      <c r="R61">
        <v>2040</v>
      </c>
      <c r="S61">
        <v>2045</v>
      </c>
      <c r="T61">
        <v>2050</v>
      </c>
      <c r="U61">
        <v>2055</v>
      </c>
      <c r="V61">
        <v>2060</v>
      </c>
    </row>
    <row r="62" spans="1:22" s="5" customFormat="1" x14ac:dyDescent="0.2">
      <c r="A62" s="5" t="s">
        <v>72</v>
      </c>
      <c r="N62" s="5">
        <f>B26</f>
        <v>7.2141639399999997</v>
      </c>
      <c r="O62" s="5">
        <f t="shared" ref="O62:V62" si="21">C26</f>
        <v>7.2482846901116638</v>
      </c>
      <c r="P62" s="5">
        <f t="shared" si="21"/>
        <v>7.2104264981552051</v>
      </c>
      <c r="Q62" s="5">
        <f t="shared" si="21"/>
        <v>7.1339210896138656</v>
      </c>
      <c r="R62" s="5">
        <f t="shared" si="21"/>
        <v>7.0309903955669961</v>
      </c>
      <c r="S62" s="5">
        <f t="shared" si="21"/>
        <v>6.9134859599290053</v>
      </c>
      <c r="T62" s="5">
        <f t="shared" si="21"/>
        <v>6.7692901279753546</v>
      </c>
      <c r="U62" s="5">
        <f t="shared" si="21"/>
        <v>6.5747926284348246</v>
      </c>
      <c r="V62" s="5">
        <f t="shared" si="21"/>
        <v>6.3259966128853096</v>
      </c>
    </row>
    <row r="63" spans="1:22" s="5" customFormat="1" x14ac:dyDescent="0.2">
      <c r="A63" s="5" t="s">
        <v>71</v>
      </c>
      <c r="N63" s="5">
        <f>High_40!B26</f>
        <v>7.2141639399999997</v>
      </c>
      <c r="O63" s="5">
        <f>High_40!C26</f>
        <v>7.2482846901116638</v>
      </c>
      <c r="P63" s="5">
        <f>High_40!D26</f>
        <v>7.2630076326602531</v>
      </c>
      <c r="Q63" s="5">
        <f>High_40!E26</f>
        <v>7.2642944169085064</v>
      </c>
      <c r="R63" s="5">
        <f>High_40!F26</f>
        <v>7.2566124228637596</v>
      </c>
      <c r="S63" s="5">
        <f>High_40!G26</f>
        <v>7.2335653655083325</v>
      </c>
      <c r="T63" s="5">
        <f>High_40!H26</f>
        <v>7.185215522103646</v>
      </c>
      <c r="U63" s="5">
        <f>High_40!I26</f>
        <v>7.0887842741460547</v>
      </c>
      <c r="V63" s="5">
        <f>High_40!J26</f>
        <v>6.9431864055374293</v>
      </c>
    </row>
    <row r="64" spans="1:22" s="5" customFormat="1" x14ac:dyDescent="0.2">
      <c r="A64" s="5" t="s">
        <v>70</v>
      </c>
      <c r="B64" s="5">
        <f>HLOOKUP(B56,Past!$B$3:$BT$14,3,FALSE)/10000</f>
        <v>3.4283000000000001</v>
      </c>
      <c r="C64" s="5">
        <f>HLOOKUP(C56,Past!$B$3:$BT$14,3,FALSE)/10000</f>
        <v>3.7128000000000001</v>
      </c>
      <c r="D64" s="5">
        <f>HLOOKUP(D56,Past!$B$3:$BT$14,3,FALSE)/10000</f>
        <v>4.2686000000000002</v>
      </c>
      <c r="E64" s="5">
        <f>HLOOKUP(E56,Past!$B$3:$BT$14,3,FALSE)/10000</f>
        <v>4.7564000000000002</v>
      </c>
      <c r="F64" s="5">
        <f>HLOOKUP(F56,Past!$B$3:$BT$14,3,FALSE)/10000</f>
        <v>5.0785</v>
      </c>
      <c r="G64" s="5">
        <f>HLOOKUP(G56,Past!$B$3:$BT$14,3,FALSE)/10000</f>
        <v>5.4725000000000001</v>
      </c>
      <c r="H64" s="5">
        <f>HLOOKUP(H56,Past!$B$3:$BT$14,3,FALSE)/10000</f>
        <v>5.8903999999999996</v>
      </c>
      <c r="I64" s="5">
        <f>HLOOKUP(I56,Past!$B$3:$BT$14,3,FALSE)/10000</f>
        <v>6.1807999999999996</v>
      </c>
      <c r="J64" s="5">
        <f>HLOOKUP(J56,Past!$B$3:$BT$14,3,FALSE)/10000</f>
        <v>6.5437000000000003</v>
      </c>
      <c r="K64" s="5">
        <f>HLOOKUP(K56,Past!$B$3:$BT$14,3,FALSE)/10000</f>
        <v>6.7374999999999998</v>
      </c>
      <c r="L64" s="5">
        <f>HLOOKUP(L56,Past!$B$3:$BT$14,3,FALSE)/10000</f>
        <v>6.8747999999999996</v>
      </c>
      <c r="M64" s="5">
        <f>HLOOKUP(M56,Past!$B$3:$BT$14,3,FALSE)/10000</f>
        <v>7.0857000000000001</v>
      </c>
      <c r="N64" s="5">
        <f>HLOOKUP(N56,Past!$B$3:$BT$14,3,FALSE)/10000</f>
        <v>7.2356999999999996</v>
      </c>
    </row>
    <row r="66" spans="1:22" x14ac:dyDescent="0.2">
      <c r="B66">
        <v>1960</v>
      </c>
      <c r="C66">
        <v>1965</v>
      </c>
      <c r="D66">
        <v>1970</v>
      </c>
      <c r="E66">
        <v>1975</v>
      </c>
      <c r="F66">
        <v>1980</v>
      </c>
      <c r="G66">
        <v>1985</v>
      </c>
      <c r="H66">
        <v>1990</v>
      </c>
      <c r="I66">
        <v>1995</v>
      </c>
      <c r="J66">
        <v>2000</v>
      </c>
      <c r="K66">
        <v>2005</v>
      </c>
      <c r="L66">
        <v>2010</v>
      </c>
      <c r="M66">
        <v>2015</v>
      </c>
      <c r="N66">
        <v>2020</v>
      </c>
      <c r="O66">
        <v>2025</v>
      </c>
      <c r="P66">
        <v>2030</v>
      </c>
      <c r="Q66">
        <v>2035</v>
      </c>
      <c r="R66">
        <v>2040</v>
      </c>
      <c r="S66">
        <v>2045</v>
      </c>
      <c r="T66">
        <v>2050</v>
      </c>
      <c r="U66">
        <v>2055</v>
      </c>
      <c r="V66">
        <v>2060</v>
      </c>
    </row>
    <row r="67" spans="1:22" s="5" customFormat="1" x14ac:dyDescent="0.2">
      <c r="A67" s="5" t="s">
        <v>73</v>
      </c>
      <c r="N67" s="5">
        <f>B25</f>
        <v>6.8836233</v>
      </c>
      <c r="O67" s="5">
        <f t="shared" ref="O67:V67" si="22">C25</f>
        <v>6.9790683701625351</v>
      </c>
      <c r="P67" s="5">
        <f t="shared" si="22"/>
        <v>7.0134878108024701</v>
      </c>
      <c r="Q67" s="5">
        <f t="shared" si="22"/>
        <v>7.0160813745665536</v>
      </c>
      <c r="R67" s="5">
        <f t="shared" si="22"/>
        <v>6.9952935880110907</v>
      </c>
      <c r="S67" s="5">
        <f t="shared" si="22"/>
        <v>6.9568315503728071</v>
      </c>
      <c r="T67" s="5">
        <f t="shared" si="22"/>
        <v>6.8838938403992893</v>
      </c>
      <c r="U67" s="5">
        <f t="shared" si="22"/>
        <v>6.7519135174628877</v>
      </c>
      <c r="V67" s="5">
        <f t="shared" si="22"/>
        <v>6.5530425046223977</v>
      </c>
    </row>
    <row r="68" spans="1:22" s="5" customFormat="1" x14ac:dyDescent="0.2">
      <c r="A68" s="5" t="s">
        <v>74</v>
      </c>
      <c r="N68" s="5">
        <f>High_40!B25</f>
        <v>6.8836233</v>
      </c>
      <c r="O68" s="5">
        <f>High_40!C25</f>
        <v>6.9790683701625351</v>
      </c>
      <c r="P68" s="5">
        <f>High_40!D25</f>
        <v>7.0635650817596591</v>
      </c>
      <c r="Q68" s="5">
        <f>High_40!E25</f>
        <v>7.1402714868159762</v>
      </c>
      <c r="R68" s="5">
        <f>High_40!F25</f>
        <v>7.2102314262846017</v>
      </c>
      <c r="S68" s="5">
        <f>High_40!G25</f>
        <v>7.2617775501823791</v>
      </c>
      <c r="T68" s="5">
        <f>High_40!H25</f>
        <v>7.2802041913927571</v>
      </c>
      <c r="U68" s="5">
        <f>High_40!I25</f>
        <v>7.2417757734462205</v>
      </c>
      <c r="V68" s="5">
        <f>High_40!J25</f>
        <v>7.1414447118114888</v>
      </c>
    </row>
    <row r="69" spans="1:22" s="5" customFormat="1" x14ac:dyDescent="0.2">
      <c r="A69" s="5" t="s">
        <v>75</v>
      </c>
      <c r="B69" s="5">
        <f>HLOOKUP(B61,Past!$B$3:$BT$14,4,FALSE)/10000</f>
        <v>3.1924000000000001</v>
      </c>
      <c r="C69" s="5">
        <f>HLOOKUP(C61,Past!$B$3:$BT$14,4,FALSE)/10000</f>
        <v>3.5409999999999999</v>
      </c>
      <c r="D69" s="5">
        <f>HLOOKUP(D61,Past!$B$3:$BT$14,4,FALSE)/10000</f>
        <v>4.0305999999999997</v>
      </c>
      <c r="E69" s="5">
        <f>HLOOKUP(E61,Past!$B$3:$BT$14,4,FALSE)/10000</f>
        <v>4.4855999999999998</v>
      </c>
      <c r="F69" s="5">
        <f>HLOOKUP(F61,Past!$B$3:$BT$14,4,FALSE)/10000</f>
        <v>4.7919999999999998</v>
      </c>
      <c r="G69" s="5">
        <f>HLOOKUP(G61,Past!$B$3:$BT$14,4,FALSE)/10000</f>
        <v>5.1125999999999996</v>
      </c>
      <c r="H69" s="5">
        <f>HLOOKUP(H61,Past!$B$3:$BT$14,4,FALSE)/10000</f>
        <v>5.5429000000000004</v>
      </c>
      <c r="I69" s="5">
        <f>HLOOKUP(I61,Past!$B$3:$BT$14,4,FALSE)/10000</f>
        <v>5.9313000000000002</v>
      </c>
      <c r="J69" s="5">
        <f>HLOOKUP(J61,Past!$B$3:$BT$14,4,FALSE)/10000</f>
        <v>6.1306000000000003</v>
      </c>
      <c r="K69" s="5">
        <f>HLOOKUP(K61,Past!$B$3:$BT$14,4,FALSE)/10000</f>
        <v>6.3380999999999998</v>
      </c>
      <c r="L69" s="5">
        <f>HLOOKUP(L61,Past!$B$3:$BT$14,4,FALSE)/10000</f>
        <v>6.5343</v>
      </c>
      <c r="M69" s="5">
        <f>HLOOKUP(M61,Past!$B$3:$BT$14,4,FALSE)/10000</f>
        <v>6.7469000000000001</v>
      </c>
      <c r="N69" s="5">
        <f>HLOOKUP(N61,Past!$B$3:$BT$14,4,FALSE)/10000</f>
        <v>6.8855000000000004</v>
      </c>
    </row>
    <row r="71" spans="1:22" x14ac:dyDescent="0.2">
      <c r="B71">
        <v>1960</v>
      </c>
      <c r="C71">
        <v>1965</v>
      </c>
      <c r="D71">
        <v>1970</v>
      </c>
      <c r="E71">
        <v>1975</v>
      </c>
      <c r="F71">
        <v>1980</v>
      </c>
      <c r="G71">
        <v>1985</v>
      </c>
      <c r="H71">
        <v>1990</v>
      </c>
      <c r="I71">
        <v>1995</v>
      </c>
      <c r="J71">
        <v>2000</v>
      </c>
      <c r="K71">
        <v>2005</v>
      </c>
      <c r="L71">
        <v>2010</v>
      </c>
      <c r="M71">
        <v>2015</v>
      </c>
      <c r="N71">
        <v>2020</v>
      </c>
      <c r="O71">
        <v>2025</v>
      </c>
      <c r="P71">
        <v>2030</v>
      </c>
      <c r="Q71">
        <v>2035</v>
      </c>
      <c r="R71">
        <v>2040</v>
      </c>
      <c r="S71">
        <v>2045</v>
      </c>
      <c r="T71">
        <v>2050</v>
      </c>
      <c r="U71">
        <v>2055</v>
      </c>
      <c r="V71">
        <v>2060</v>
      </c>
    </row>
    <row r="72" spans="1:22" s="5" customFormat="1" x14ac:dyDescent="0.2">
      <c r="A72" s="5" t="s">
        <v>76</v>
      </c>
      <c r="N72" s="5">
        <f>B32</f>
        <v>1200</v>
      </c>
      <c r="O72" s="5">
        <f t="shared" ref="O72:V72" si="23">C32</f>
        <v>1180.4343156804002</v>
      </c>
      <c r="P72" s="5">
        <f t="shared" si="23"/>
        <v>994.87877789969366</v>
      </c>
      <c r="Q72" s="5">
        <f t="shared" si="23"/>
        <v>954.45912209263827</v>
      </c>
      <c r="R72" s="5">
        <f t="shared" si="23"/>
        <v>972.8336840997332</v>
      </c>
      <c r="S72" s="5">
        <f t="shared" si="23"/>
        <v>1033.9527997727523</v>
      </c>
      <c r="T72" s="5">
        <f t="shared" si="23"/>
        <v>1036.2662181540172</v>
      </c>
      <c r="U72" s="5">
        <f t="shared" si="23"/>
        <v>936.58232836172442</v>
      </c>
      <c r="V72" s="5">
        <f t="shared" si="23"/>
        <v>800.87638371121977</v>
      </c>
    </row>
    <row r="73" spans="1:22" s="5" customFormat="1" x14ac:dyDescent="0.2">
      <c r="A73" s="5" t="s">
        <v>77</v>
      </c>
      <c r="N73" s="5">
        <f>High_40!B32</f>
        <v>1200</v>
      </c>
      <c r="O73" s="5">
        <f>High_40!C32</f>
        <v>1180.4343156804002</v>
      </c>
      <c r="P73" s="5">
        <f>High_40!D32</f>
        <v>1200.195588824166</v>
      </c>
      <c r="Q73" s="5">
        <f>High_40!E32</f>
        <v>1258.87612678029</v>
      </c>
      <c r="R73" s="5">
        <f>High_40!F32</f>
        <v>1345.7932262384591</v>
      </c>
      <c r="S73" s="5">
        <f>High_40!G32</f>
        <v>1404.1219751638628</v>
      </c>
      <c r="T73" s="5">
        <f>High_40!H32</f>
        <v>1412.0738703191557</v>
      </c>
      <c r="U73" s="5">
        <f>High_40!I32</f>
        <v>1321.5675717380434</v>
      </c>
      <c r="V73" s="5">
        <f>High_40!J32</f>
        <v>1206.5971049500458</v>
      </c>
    </row>
    <row r="74" spans="1:22" s="5" customFormat="1" x14ac:dyDescent="0.2">
      <c r="A74" s="5" t="s">
        <v>78</v>
      </c>
      <c r="B74" s="5">
        <f>HLOOKUP(B66,Past!$B$3:$BT$14,8,FALSE)</f>
        <v>1381.0780199999999</v>
      </c>
      <c r="C74" s="5">
        <f>HLOOKUP(C66,Past!$B$3:$BT$14,8,FALSE)</f>
        <v>2756.444</v>
      </c>
      <c r="D74" s="5">
        <f>HLOOKUP(D66,Past!$B$3:$BT$14,8,FALSE)</f>
        <v>2787.7012800000002</v>
      </c>
      <c r="E74" s="5">
        <f>HLOOKUP(E66,Past!$B$3:$BT$14,8,FALSE)</f>
        <v>2137.6746000000003</v>
      </c>
      <c r="F74" s="5">
        <f>HLOOKUP(F66,Past!$B$3:$BT$14,8,FALSE)</f>
        <v>1797.41805</v>
      </c>
      <c r="G74" s="5">
        <f>HLOOKUP(G66,Past!$B$3:$BT$14,8,FALSE)</f>
        <v>2227.1050399999999</v>
      </c>
      <c r="H74" s="5">
        <f>HLOOKUP(H66,Past!$B$3:$BT$14,8,FALSE)</f>
        <v>2407.8529800000001</v>
      </c>
      <c r="I74" s="5">
        <f>HLOOKUP(I66,Past!$B$3:$BT$14,8,FALSE)</f>
        <v>2073.5915199999999</v>
      </c>
      <c r="J74" s="5">
        <f>HLOOKUP(J66,Past!$B$3:$BT$14,8,FALSE)</f>
        <v>1778.2042899999999</v>
      </c>
      <c r="K74" s="5">
        <f>HLOOKUP(K66,Past!$B$3:$BT$14,8,FALSE)</f>
        <v>1621.3744000000002</v>
      </c>
      <c r="L74" s="5">
        <f>HLOOKUP(L66,Past!$B$3:$BT$14,8,FALSE)</f>
        <v>1595.6829000000002</v>
      </c>
      <c r="M74" s="5">
        <f>HLOOKUP(M66,Past!$B$3:$BT$14,8,FALSE)</f>
        <v>1658.52874</v>
      </c>
      <c r="N74" s="5">
        <f>HLOOKUP(N66,Past!$B$3:$BT$14,8,FALSE)</f>
        <v>1203.1262400000001</v>
      </c>
    </row>
    <row r="76" spans="1:22" x14ac:dyDescent="0.2">
      <c r="B76">
        <v>1960</v>
      </c>
      <c r="C76">
        <v>1965</v>
      </c>
      <c r="D76">
        <v>1970</v>
      </c>
      <c r="E76">
        <v>1975</v>
      </c>
      <c r="F76">
        <v>1980</v>
      </c>
      <c r="G76">
        <v>1985</v>
      </c>
      <c r="H76">
        <v>1990</v>
      </c>
      <c r="I76">
        <v>1995</v>
      </c>
      <c r="J76">
        <v>2000</v>
      </c>
      <c r="K76">
        <v>2005</v>
      </c>
      <c r="L76">
        <v>2010</v>
      </c>
      <c r="M76">
        <v>2015</v>
      </c>
      <c r="N76">
        <v>2020</v>
      </c>
      <c r="O76">
        <v>2025</v>
      </c>
      <c r="P76">
        <v>2030</v>
      </c>
      <c r="Q76">
        <v>2035</v>
      </c>
      <c r="R76">
        <v>2040</v>
      </c>
      <c r="S76">
        <v>2045</v>
      </c>
      <c r="T76">
        <v>2050</v>
      </c>
      <c r="U76">
        <v>2055</v>
      </c>
      <c r="V76">
        <v>2060</v>
      </c>
    </row>
    <row r="77" spans="1:22" s="5" customFormat="1" x14ac:dyDescent="0.2">
      <c r="A77" s="5" t="s">
        <v>79</v>
      </c>
      <c r="N77" s="5">
        <f>B33</f>
        <v>996</v>
      </c>
      <c r="O77" s="5">
        <f t="shared" ref="O77:V77" si="24">C33</f>
        <v>921.30267513200045</v>
      </c>
      <c r="P77" s="5">
        <f t="shared" si="24"/>
        <v>1001.7562805327392</v>
      </c>
      <c r="Q77" s="5">
        <f t="shared" si="24"/>
        <v>1102.282811647148</v>
      </c>
      <c r="R77" s="5">
        <f t="shared" si="24"/>
        <v>1220.2706453043961</v>
      </c>
      <c r="S77" s="5">
        <f t="shared" si="24"/>
        <v>1345.8857463253069</v>
      </c>
      <c r="T77" s="5">
        <f t="shared" si="24"/>
        <v>1470.5333020083547</v>
      </c>
      <c r="U77" s="5">
        <f t="shared" si="24"/>
        <v>1589.5379733155894</v>
      </c>
      <c r="V77" s="5">
        <f t="shared" si="24"/>
        <v>1696.2104404912304</v>
      </c>
    </row>
    <row r="78" spans="1:22" s="5" customFormat="1" x14ac:dyDescent="0.2">
      <c r="A78" s="5" t="s">
        <v>80</v>
      </c>
      <c r="N78" s="5">
        <f>High_40!B33</f>
        <v>996</v>
      </c>
      <c r="O78" s="5">
        <f>High_40!C33</f>
        <v>921.30267513200045</v>
      </c>
      <c r="P78" s="5">
        <f>High_40!D33</f>
        <v>1001.7562805327392</v>
      </c>
      <c r="Q78" s="5">
        <f>High_40!E33</f>
        <v>1102.8897481711506</v>
      </c>
      <c r="R78" s="5">
        <f>High_40!F33</f>
        <v>1221.2373353906989</v>
      </c>
      <c r="S78" s="5">
        <f>High_40!G33</f>
        <v>1347.1238420791626</v>
      </c>
      <c r="T78" s="5">
        <f>High_40!H33</f>
        <v>1471.9202747077752</v>
      </c>
      <c r="U78" s="5">
        <f>High_40!I33</f>
        <v>1591.2869035462975</v>
      </c>
      <c r="V78" s="5">
        <f>High_40!J33</f>
        <v>1698.4549654367613</v>
      </c>
    </row>
    <row r="79" spans="1:22" s="5" customFormat="1" x14ac:dyDescent="0.2">
      <c r="A79" s="5" t="s">
        <v>81</v>
      </c>
      <c r="C79" s="5">
        <f>HLOOKUP(C71,Past!$B$3:$BT$14,9,FALSE)</f>
        <v>689.11099999999999</v>
      </c>
      <c r="D79" s="5">
        <f>HLOOKUP(D71,Past!$B$3:$BT$14,9,FALSE)</f>
        <v>634.05888000000004</v>
      </c>
      <c r="E79" s="5">
        <f>HLOOKUP(E71,Past!$B$3:$BT$14,9,FALSE)</f>
        <v>680.21120000000008</v>
      </c>
      <c r="F79" s="5">
        <f>HLOOKUP(F71,Past!$B$3:$BT$14,9,FALSE)</f>
        <v>625.78969999999993</v>
      </c>
      <c r="G79" s="5">
        <f>HLOOKUP(G71,Past!$B$3:$BT$14,9,FALSE)</f>
        <v>717.66978000000006</v>
      </c>
      <c r="H79" s="5">
        <f>HLOOKUP(H71,Past!$B$3:$BT$14,9,FALSE)</f>
        <v>762.60110999999995</v>
      </c>
      <c r="I79" s="5">
        <f>HLOOKUP(I71,Past!$B$3:$BT$14,9,FALSE)</f>
        <v>795.76497000000006</v>
      </c>
      <c r="J79" s="5">
        <f>HLOOKUP(J71,Past!$B$3:$BT$14,9,FALSE)</f>
        <v>817.49234999999999</v>
      </c>
      <c r="K79" s="5">
        <f>HLOOKUP(K71,Past!$B$3:$BT$14,9,FALSE)</f>
        <v>851.22155999999995</v>
      </c>
      <c r="L79" s="5">
        <f>HLOOKUP(L71,Past!$B$3:$BT$14,9,FALSE)</f>
        <v>953.38701000000003</v>
      </c>
      <c r="M79" s="5">
        <f>HLOOKUP(M71,Past!$B$3:$BT$14,9,FALSE)</f>
        <v>977.96482000000003</v>
      </c>
      <c r="N79" s="5">
        <f>HLOOKUP(N71,Past!$B$3:$BT$14,9,FALSE)</f>
        <v>998.36884000000009</v>
      </c>
    </row>
    <row r="88" spans="1:31" x14ac:dyDescent="0.2">
      <c r="B88">
        <v>1960</v>
      </c>
      <c r="C88">
        <v>1965</v>
      </c>
      <c r="D88">
        <v>1970</v>
      </c>
      <c r="E88">
        <v>1975</v>
      </c>
      <c r="F88">
        <v>1980</v>
      </c>
      <c r="G88">
        <v>1985</v>
      </c>
      <c r="H88">
        <v>1990</v>
      </c>
      <c r="I88">
        <v>1995</v>
      </c>
      <c r="J88">
        <v>2000</v>
      </c>
      <c r="K88">
        <v>2005</v>
      </c>
      <c r="L88">
        <v>2010</v>
      </c>
      <c r="M88">
        <v>2015</v>
      </c>
      <c r="N88">
        <v>2020</v>
      </c>
      <c r="O88">
        <v>2025</v>
      </c>
      <c r="P88">
        <v>2030</v>
      </c>
      <c r="Q88">
        <v>2035</v>
      </c>
      <c r="R88">
        <v>2040</v>
      </c>
      <c r="S88">
        <v>2045</v>
      </c>
      <c r="T88">
        <v>2050</v>
      </c>
      <c r="U88">
        <v>2055</v>
      </c>
      <c r="V88">
        <v>2060</v>
      </c>
    </row>
    <row r="89" spans="1:31" x14ac:dyDescent="0.2">
      <c r="A89" s="2" t="s">
        <v>49</v>
      </c>
      <c r="B89">
        <f>HLOOKUP(B56,Past!$B$3:$BT$14,5,FALSE)</f>
        <v>0</v>
      </c>
      <c r="C89">
        <f>HLOOKUP(C56,Past!$B$3:$BT$14,5,FALSE)</f>
        <v>0</v>
      </c>
      <c r="D89">
        <f>HLOOKUP(D56,Past!$B$3:$BT$14,5,FALSE)</f>
        <v>0</v>
      </c>
      <c r="E89">
        <f>HLOOKUP(E56,Past!$B$3:$BT$14,5,FALSE)</f>
        <v>0</v>
      </c>
      <c r="F89">
        <f>HLOOKUP(F56,Past!$B$3:$BT$14,5,FALSE)</f>
        <v>0</v>
      </c>
      <c r="G89">
        <f>HLOOKUP(G56,Past!$B$3:$BT$14,5,FALSE)</f>
        <v>0</v>
      </c>
      <c r="H89">
        <f>HLOOKUP(H56,Past!$B$3:$BT$14,5,FALSE)</f>
        <v>31659</v>
      </c>
      <c r="I89">
        <f>HLOOKUP(I56,Past!$B$3:$BT$14,5,FALSE)</f>
        <v>32218</v>
      </c>
      <c r="J89">
        <f>HLOOKUP(J56,Past!$B$3:$BT$14,5,FALSE)</f>
        <v>29012</v>
      </c>
      <c r="K89">
        <f>HLOOKUP(K56,Past!$B$3:$BT$14,5,FALSE)</f>
        <v>26504</v>
      </c>
      <c r="L89">
        <f>HLOOKUP(L56,Past!$B$3:$BT$14,5,FALSE)</f>
        <v>22259</v>
      </c>
      <c r="M89">
        <f>HLOOKUP(M56,Past!$B$3:$BT$14,5,FALSE)</f>
        <v>22824</v>
      </c>
      <c r="N89" s="4">
        <f t="shared" ref="N89:V91" si="25">B36+K36</f>
        <v>25338.393800000002</v>
      </c>
      <c r="O89" s="4">
        <f t="shared" si="25"/>
        <v>22682.163883361998</v>
      </c>
      <c r="P89" s="4">
        <f t="shared" si="25"/>
        <v>18616.397643000855</v>
      </c>
      <c r="Q89" s="4">
        <f t="shared" si="25"/>
        <v>15612.573988094879</v>
      </c>
      <c r="R89" s="4">
        <f t="shared" si="25"/>
        <v>14580.033604355047</v>
      </c>
      <c r="S89" s="4">
        <f t="shared" si="25"/>
        <v>14777.538074928796</v>
      </c>
      <c r="T89" s="4">
        <f t="shared" si="25"/>
        <v>15186.936201730121</v>
      </c>
      <c r="U89" s="4">
        <f t="shared" si="25"/>
        <v>15006.015968834105</v>
      </c>
      <c r="V89" s="4">
        <f t="shared" si="25"/>
        <v>13843.338873549194</v>
      </c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s="2" t="s">
        <v>50</v>
      </c>
      <c r="B90">
        <f>HLOOKUP(B56,Past!$B$3:$BT$14,6,FALSE)</f>
        <v>0</v>
      </c>
      <c r="C90">
        <f>HLOOKUP(C56,Past!$B$3:$BT$14,6,FALSE)</f>
        <v>0</v>
      </c>
      <c r="D90">
        <f>HLOOKUP(D56,Past!$B$3:$BT$14,6,FALSE)</f>
        <v>0</v>
      </c>
      <c r="E90">
        <f>HLOOKUP(E56,Past!$B$3:$BT$14,6,FALSE)</f>
        <v>0</v>
      </c>
      <c r="F90">
        <f>HLOOKUP(F56,Past!$B$3:$BT$14,6,FALSE)</f>
        <v>0</v>
      </c>
      <c r="G90">
        <f>HLOOKUP(G56,Past!$B$3:$BT$14,6,FALSE)</f>
        <v>0</v>
      </c>
      <c r="H90">
        <f>HLOOKUP(H56,Past!$B$3:$BT$14,6,FALSE)</f>
        <v>76306</v>
      </c>
      <c r="I90">
        <f>HLOOKUP(I56,Past!$B$3:$BT$14,6,FALSE)</f>
        <v>81393</v>
      </c>
      <c r="J90">
        <f>HLOOKUP(J56,Past!$B$3:$BT$14,6,FALSE)</f>
        <v>88910</v>
      </c>
      <c r="K90">
        <f>HLOOKUP(K56,Past!$B$3:$BT$14,6,FALSE)</f>
        <v>94197</v>
      </c>
      <c r="L90">
        <f>HLOOKUP(L56,Past!$B$3:$BT$14,6,FALSE)</f>
        <v>99938</v>
      </c>
      <c r="M90">
        <f>HLOOKUP(M56,Past!$B$3:$BT$14,6,FALSE)</f>
        <v>100978</v>
      </c>
      <c r="N90" s="4">
        <f t="shared" si="25"/>
        <v>96575.950599999996</v>
      </c>
      <c r="O90" s="4">
        <f t="shared" si="25"/>
        <v>96885.949937319994</v>
      </c>
      <c r="P90" s="4">
        <f t="shared" si="25"/>
        <v>95253.679940781789</v>
      </c>
      <c r="Q90" s="4">
        <f t="shared" si="25"/>
        <v>90752.951962879961</v>
      </c>
      <c r="R90" s="4">
        <f t="shared" si="25"/>
        <v>85224.432563180031</v>
      </c>
      <c r="S90" s="4">
        <f t="shared" si="25"/>
        <v>80858.112251441868</v>
      </c>
      <c r="T90" s="4">
        <f t="shared" si="25"/>
        <v>75768.577027361287</v>
      </c>
      <c r="U90" s="4">
        <f t="shared" si="25"/>
        <v>68476.410314114415</v>
      </c>
      <c r="V90" s="4">
        <f t="shared" si="25"/>
        <v>64590.321644947267</v>
      </c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s="2" t="s">
        <v>51</v>
      </c>
      <c r="B91">
        <f>HLOOKUP(B56,Past!$B$3:$BT$14,7,FALSE)</f>
        <v>0</v>
      </c>
      <c r="C91">
        <f>HLOOKUP(C56,Past!$B$3:$BT$14,7,FALSE)</f>
        <v>0</v>
      </c>
      <c r="D91">
        <f>HLOOKUP(D56,Past!$B$3:$BT$14,7,FALSE)</f>
        <v>0</v>
      </c>
      <c r="E91">
        <f>HLOOKUP(E56,Past!$B$3:$BT$14,7,FALSE)</f>
        <v>0</v>
      </c>
      <c r="F91">
        <f>HLOOKUP(F56,Past!$B$3:$BT$14,7,FALSE)</f>
        <v>0</v>
      </c>
      <c r="G91">
        <f>HLOOKUP(G56,Past!$B$3:$BT$14,7,FALSE)</f>
        <v>0</v>
      </c>
      <c r="H91">
        <f>HLOOKUP(H56,Past!$B$3:$BT$14,7,FALSE)</f>
        <v>6368</v>
      </c>
      <c r="I91">
        <f>HLOOKUP(I56,Past!$B$3:$BT$14,7,FALSE)</f>
        <v>7510</v>
      </c>
      <c r="J91">
        <f>HLOOKUP(J56,Past!$B$3:$BT$14,7,FALSE)</f>
        <v>8821</v>
      </c>
      <c r="K91">
        <f>HLOOKUP(K56,Past!$B$3:$BT$14,7,FALSE)</f>
        <v>10055</v>
      </c>
      <c r="L91">
        <f>HLOOKUP(L56,Past!$B$3:$BT$14,7,FALSE)</f>
        <v>11894</v>
      </c>
      <c r="M91">
        <f>HLOOKUP(M56,Past!$B$3:$BT$14,7,FALSE)</f>
        <v>14524</v>
      </c>
      <c r="N91" s="4">
        <f t="shared" si="25"/>
        <v>19063.527999999998</v>
      </c>
      <c r="O91" s="4">
        <f t="shared" si="25"/>
        <v>22705.416782059998</v>
      </c>
      <c r="P91" s="4">
        <f t="shared" si="25"/>
        <v>28369.065505794097</v>
      </c>
      <c r="Q91" s="4">
        <f t="shared" si="25"/>
        <v>35134.498690829387</v>
      </c>
      <c r="R91" s="4">
        <f t="shared" si="25"/>
        <v>40458.373668245789</v>
      </c>
      <c r="S91" s="4">
        <f t="shared" si="25"/>
        <v>43067.524776647449</v>
      </c>
      <c r="T91" s="4">
        <f t="shared" si="25"/>
        <v>45576.326454654998</v>
      </c>
      <c r="U91" s="4">
        <f t="shared" si="25"/>
        <v>49784.635176028591</v>
      </c>
      <c r="V91" s="4">
        <f t="shared" si="25"/>
        <v>50356.730656580599</v>
      </c>
      <c r="W91" s="4"/>
      <c r="X91" s="4"/>
      <c r="Y91" s="4"/>
      <c r="Z91" s="4"/>
      <c r="AA91" s="4"/>
      <c r="AB91" s="4"/>
      <c r="AC91" s="4"/>
      <c r="AD91" s="4"/>
      <c r="AE91" s="4"/>
    </row>
  </sheetData>
  <phoneticPr fontId="1" type="noConversion"/>
  <conditionalFormatting sqref="V2:AD22">
    <cfRule type="cellIs" dxfId="43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B66C-5178-4BD5-A73C-058D22998F59}">
  <dimension ref="A1:AD40"/>
  <sheetViews>
    <sheetView topLeftCell="H1" workbookViewId="0">
      <selection activeCell="AD27" sqref="AD27"/>
    </sheetView>
  </sheetViews>
  <sheetFormatPr defaultRowHeight="14.25" x14ac:dyDescent="0.2"/>
  <cols>
    <col min="2" max="2" width="9.125" bestFit="1" customWidth="1"/>
    <col min="3" max="3" width="11.75" bestFit="1" customWidth="1"/>
    <col min="4" max="10" width="10" bestFit="1" customWidth="1"/>
    <col min="11" max="11" width="9.125" bestFit="1" customWidth="1"/>
    <col min="12" max="12" width="11.75" bestFit="1" customWidth="1"/>
    <col min="13" max="19" width="10" bestFit="1" customWidth="1"/>
  </cols>
  <sheetData>
    <row r="1" spans="1:30" x14ac:dyDescent="0.2">
      <c r="A1" s="6" t="s">
        <v>0</v>
      </c>
      <c r="B1" s="6" t="s">
        <v>47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48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V1">
        <v>2020</v>
      </c>
      <c r="W1">
        <v>2025</v>
      </c>
      <c r="X1">
        <v>2030</v>
      </c>
      <c r="Y1">
        <v>2035</v>
      </c>
      <c r="Z1">
        <v>2040</v>
      </c>
      <c r="AA1">
        <v>2045</v>
      </c>
      <c r="AB1">
        <v>2050</v>
      </c>
      <c r="AC1">
        <v>2055</v>
      </c>
      <c r="AD1">
        <v>2060</v>
      </c>
    </row>
    <row r="2" spans="1:30" x14ac:dyDescent="0.2">
      <c r="A2" s="6" t="s">
        <v>17</v>
      </c>
      <c r="B2" s="7">
        <v>36914557</v>
      </c>
      <c r="C2" s="6">
        <f>High_2041[[#This Row],[2025女]]</f>
        <v>28791080.87025366</v>
      </c>
      <c r="D2" s="6">
        <f>High_2041[[#This Row],[2030女]]</f>
        <v>29273063.142052829</v>
      </c>
      <c r="E2" s="6">
        <f>High_2041[[#This Row],[2035女]]</f>
        <v>30704295.775129024</v>
      </c>
      <c r="F2" s="6">
        <f>High_2041[[#This Row],[2040女]]</f>
        <v>32824225.030206315</v>
      </c>
      <c r="G2" s="6">
        <f>High_2041[[#This Row],[2045女]]</f>
        <v>34246877.443021044</v>
      </c>
      <c r="H2" s="6">
        <f>High_2041[[#This Row],[2050女]]</f>
        <v>34440826.105345264</v>
      </c>
      <c r="I2" s="6">
        <f>High_2041[[#This Row],[2055女]]</f>
        <v>32233355.40824496</v>
      </c>
      <c r="J2" s="6">
        <f>High_2041[[#This Row],[2060女]]</f>
        <v>29429197.681708436</v>
      </c>
      <c r="K2" s="8">
        <v>40969331</v>
      </c>
      <c r="L2" s="6">
        <f>High_2041[[#This Row],[2025男]]</f>
        <v>30230634.913766347</v>
      </c>
      <c r="M2" s="6">
        <f>High_2041[[#This Row],[2030男]]</f>
        <v>30736716.299155474</v>
      </c>
      <c r="N2" s="6">
        <f>High_2041[[#This Row],[2035男]]</f>
        <v>32239510.563885476</v>
      </c>
      <c r="O2" s="6">
        <f>High_2041[[#This Row],[2040男]]</f>
        <v>34465436.281716637</v>
      </c>
      <c r="P2" s="6">
        <f>High_2041[[#This Row],[2045男]]</f>
        <v>35959221.315172091</v>
      </c>
      <c r="Q2" s="6">
        <f>High_2041[[#This Row],[2050男]]</f>
        <v>36162867.410612524</v>
      </c>
      <c r="R2" s="6">
        <f>High_2041[[#This Row],[2055男]]</f>
        <v>33845023.178657211</v>
      </c>
      <c r="S2" s="6">
        <f>High_2041[[#This Row],[2060男]]</f>
        <v>30900657.565793861</v>
      </c>
      <c r="U2">
        <v>0</v>
      </c>
      <c r="V2" s="9">
        <f>(SUM(B$2:B2)+SUM(K$2:K2))/(SUM(B$2:B$22)+SUM(K$2:K$22))</f>
        <v>5.5245469855736029E-2</v>
      </c>
      <c r="W2" s="9">
        <f>(SUM(C$2:C2)+SUM(L$2:L2))/(SUM(C$2:C$22)+SUM(L$2:L$22))</f>
        <v>4.1484677813205618E-2</v>
      </c>
      <c r="X2" s="9">
        <f>(SUM(D$2:D2)+SUM(M$2:M2))/(SUM(D$2:D$22)+SUM(M$2:M$22))</f>
        <v>4.1887044890232226E-2</v>
      </c>
      <c r="Y2" s="9">
        <f>(SUM(E$2:E2)+SUM(N$2:N2))/(SUM(E$2:E$22)+SUM(N$2:N$22))</f>
        <v>4.3697121287590894E-2</v>
      </c>
      <c r="Z2" s="9">
        <f>(SUM(F$2:F2)+SUM(O$2:O2))/(SUM(F$2:F$22)+SUM(O$2:O$22))</f>
        <v>4.6513021094012973E-2</v>
      </c>
      <c r="AA2" s="9">
        <f>(SUM(G$2:G2)+SUM(P$2:P2))/(SUM(G$2:G$22)+SUM(P$2:P$22))</f>
        <v>4.8433554946946053E-2</v>
      </c>
      <c r="AB2" s="9">
        <f>(SUM(H$2:H2)+SUM(Q$2:Q2))/(SUM(H$2:H$22)+SUM(Q$2:Q$22))</f>
        <v>4.8808603493256213E-2</v>
      </c>
      <c r="AC2" s="9">
        <f>(SUM(I$2:I2)+SUM(R$2:R2))/(SUM(I$2:I$22)+SUM(R$2:R$22))</f>
        <v>4.6110115981129587E-2</v>
      </c>
      <c r="AD2" s="9">
        <f>(SUM(J$2:J2)+SUM(S$2:S2))/(SUM(J$2:J$22)+SUM(S$2:S$22))</f>
        <v>4.2833819888396116E-2</v>
      </c>
    </row>
    <row r="3" spans="1:30" x14ac:dyDescent="0.2">
      <c r="A3" s="6" t="s">
        <v>18</v>
      </c>
      <c r="B3" s="7">
        <v>42226598</v>
      </c>
      <c r="C3" s="6">
        <f>High_2041[[#This Row],[2025女]]</f>
        <v>36807504.784699999</v>
      </c>
      <c r="D3" s="6">
        <f>High_2041[[#This Row],[2030女]]</f>
        <v>28710465.843816947</v>
      </c>
      <c r="E3" s="6">
        <f>High_2041[[#This Row],[2035女]]</f>
        <v>29194025.871569287</v>
      </c>
      <c r="F3" s="6">
        <f>High_2041[[#This Row],[2040女]]</f>
        <v>30624464.606113687</v>
      </c>
      <c r="G3" s="6">
        <f>High_2041[[#This Row],[2045女]]</f>
        <v>32742164.4676308</v>
      </c>
      <c r="H3" s="6">
        <f>High_2041[[#This Row],[2050女]]</f>
        <v>34164684.937157795</v>
      </c>
      <c r="I3" s="6">
        <f>High_2041[[#This Row],[2055女]]</f>
        <v>34361612.205302969</v>
      </c>
      <c r="J3" s="6">
        <f>High_2041[[#This Row],[2060女]]</f>
        <v>32162442.026346821</v>
      </c>
      <c r="K3" s="8">
        <v>48017458</v>
      </c>
      <c r="L3" s="6">
        <f>High_2041[[#This Row],[2025男]]</f>
        <v>40825938.341499999</v>
      </c>
      <c r="M3" s="6">
        <f>High_2041[[#This Row],[2030男]]</f>
        <v>30130873.818550918</v>
      </c>
      <c r="N3" s="6">
        <f>High_2041[[#This Row],[2035男]]</f>
        <v>30638358.806998178</v>
      </c>
      <c r="O3" s="6">
        <f>High_2041[[#This Row],[2040男]]</f>
        <v>32142792.032193821</v>
      </c>
      <c r="P3" s="6">
        <f>High_2041[[#This Row],[2045男]]</f>
        <v>34365486.516499661</v>
      </c>
      <c r="Q3" s="6">
        <f>High_2041[[#This Row],[2050男]]</f>
        <v>35858535.495489605</v>
      </c>
      <c r="R3" s="6">
        <f>High_2041[[#This Row],[2055男]]</f>
        <v>36068843.95534493</v>
      </c>
      <c r="S3" s="6">
        <f>High_2041[[#This Row],[2060男]]</f>
        <v>33760410.620710567</v>
      </c>
      <c r="U3">
        <v>5</v>
      </c>
      <c r="V3" s="9">
        <f>(SUM(B$2:B3)+SUM(K$2:K3))/(SUM(B$2:B$22)+SUM(K$2:K$22))</f>
        <v>0.1192583922127626</v>
      </c>
      <c r="W3" s="9">
        <f>(SUM(C$2:C3)+SUM(L$2:L3))/(SUM(C$2:C$22)+SUM(L$2:L$22))</f>
        <v>9.6051007050489468E-2</v>
      </c>
      <c r="X3" s="9">
        <f>(SUM(D$2:D3)+SUM(M$2:M3))/(SUM(D$2:D$22)+SUM(M$2:M$22))</f>
        <v>8.295851455383374E-2</v>
      </c>
      <c r="Y3" s="9">
        <f>(SUM(E$2:E3)+SUM(N$2:N3))/(SUM(E$2:E$22)+SUM(N$2:N$22))</f>
        <v>8.5234217982116792E-2</v>
      </c>
      <c r="Z3" s="9">
        <f>(SUM(F$2:F3)+SUM(O$2:O3))/(SUM(F$2:F$22)+SUM(O$2:O$22))</f>
        <v>8.9899994294807203E-2</v>
      </c>
      <c r="AA3" s="9">
        <f>(SUM(G$2:G3)+SUM(P$2:P3))/(SUM(G$2:G$22)+SUM(P$2:P$22))</f>
        <v>9.4729562826475905E-2</v>
      </c>
      <c r="AB3" s="9">
        <f>(SUM(H$2:H3)+SUM(Q$2:Q3))/(SUM(H$2:H$22)+SUM(Q$2:Q$22))</f>
        <v>9.7215923722834427E-2</v>
      </c>
      <c r="AC3" s="9">
        <f>(SUM(I$2:I3)+SUM(R$2:R3))/(SUM(I$2:I$22)+SUM(R$2:R$22))</f>
        <v>9.5257152752020582E-2</v>
      </c>
      <c r="AD3" s="9">
        <f>(SUM(J$2:J3)+SUM(S$2:S3))/(SUM(J$2:J$22)+SUM(S$2:S$22))</f>
        <v>8.9638632948680033E-2</v>
      </c>
    </row>
    <row r="4" spans="1:30" x14ac:dyDescent="0.2">
      <c r="A4" s="6" t="s">
        <v>19</v>
      </c>
      <c r="B4" s="7">
        <v>39649204</v>
      </c>
      <c r="C4" s="6">
        <f>High_2041[[#This Row],[2025女]]</f>
        <v>42197039.381399997</v>
      </c>
      <c r="D4" s="6">
        <f>High_2041[[#This Row],[2030女]]</f>
        <v>36785420.281829178</v>
      </c>
      <c r="E4" s="6">
        <f>High_2041[[#This Row],[2035女]]</f>
        <v>28696110.610895041</v>
      </c>
      <c r="F4" s="6">
        <f>High_2041[[#This Row],[2040女]]</f>
        <v>29179428.858633503</v>
      </c>
      <c r="G4" s="6">
        <f>High_2041[[#This Row],[2045女]]</f>
        <v>30612214.820271242</v>
      </c>
      <c r="H4" s="6">
        <f>High_2041[[#This Row],[2050女]]</f>
        <v>32732341.818290513</v>
      </c>
      <c r="I4" s="6">
        <f>High_2041[[#This Row],[2055女]]</f>
        <v>34154435.53167665</v>
      </c>
      <c r="J4" s="6">
        <f>High_2041[[#This Row],[2060女]]</f>
        <v>34351303.721641377</v>
      </c>
      <c r="K4" s="8">
        <v>45606790</v>
      </c>
      <c r="L4" s="6">
        <f>High_2041[[#This Row],[2025男]]</f>
        <v>47969440.542000003</v>
      </c>
      <c r="M4" s="6">
        <f>High_2041[[#This Row],[2030男]]</f>
        <v>40793277.590826802</v>
      </c>
      <c r="N4" s="6">
        <f>High_2041[[#This Row],[2035男]]</f>
        <v>30109782.206877932</v>
      </c>
      <c r="O4" s="6">
        <f>High_2041[[#This Row],[2040男]]</f>
        <v>30619975.791713979</v>
      </c>
      <c r="P4" s="6">
        <f>High_2041[[#This Row],[2045男]]</f>
        <v>32126720.636177726</v>
      </c>
      <c r="Q4" s="6">
        <f>High_2041[[#This Row],[2050男]]</f>
        <v>34351740.321893066</v>
      </c>
      <c r="R4" s="6">
        <f>High_2041[[#This Row],[2055男]]</f>
        <v>35844192.081291407</v>
      </c>
      <c r="S4" s="6">
        <f>High_2041[[#This Row],[2060男]]</f>
        <v>36058023.302158326</v>
      </c>
      <c r="U4">
        <v>10</v>
      </c>
      <c r="V4" s="9">
        <f>(SUM(B$2:B4)+SUM(K$2:K4))/(SUM(B$2:B$22)+SUM(K$2:K$22))</f>
        <v>0.17973312668605715</v>
      </c>
      <c r="W4" s="9">
        <f>(SUM(C$2:C4)+SUM(L$2:L4))/(SUM(C$2:C$22)+SUM(L$2:L$22))</f>
        <v>0.15942644979195345</v>
      </c>
      <c r="X4" s="9">
        <f>(SUM(D$2:D4)+SUM(M$2:M4))/(SUM(D$2:D$22)+SUM(M$2:M$22))</f>
        <v>0.1371087285785543</v>
      </c>
      <c r="Y4" s="9">
        <f>(SUM(E$2:E4)+SUM(N$2:N4))/(SUM(E$2:E$22)+SUM(N$2:N$22))</f>
        <v>0.12605869906041708</v>
      </c>
      <c r="Z4" s="9">
        <f>(SUM(F$2:F4)+SUM(O$2:O4))/(SUM(F$2:F$22)+SUM(O$2:O$22))</f>
        <v>0.13123548203069493</v>
      </c>
      <c r="AA4" s="9">
        <f>(SUM(G$2:G4)+SUM(P$2:P4))/(SUM(G$2:G$22)+SUM(P$2:P$22))</f>
        <v>0.13801169545442238</v>
      </c>
      <c r="AB4" s="9">
        <f>(SUM(H$2:H4)+SUM(Q$2:Q4))/(SUM(H$2:H$22)+SUM(Q$2:Q$22))</f>
        <v>0.14359140640419302</v>
      </c>
      <c r="AC4" s="9">
        <f>(SUM(I$2:I4)+SUM(R$2:R4))/(SUM(I$2:I$22)+SUM(R$2:R$22))</f>
        <v>0.1441028554883409</v>
      </c>
      <c r="AD4" s="9">
        <f>(SUM(J$2:J4)+SUM(S$2:S4))/(SUM(J$2:J$22)+SUM(S$2:S$22))</f>
        <v>0.13962881475548089</v>
      </c>
    </row>
    <row r="5" spans="1:30" x14ac:dyDescent="0.2">
      <c r="A5" s="6" t="s">
        <v>20</v>
      </c>
      <c r="B5" s="7">
        <v>33630797</v>
      </c>
      <c r="C5" s="6">
        <f>High_2041[[#This Row],[2025女]]</f>
        <v>39609554.795999996</v>
      </c>
      <c r="D5" s="6">
        <f>High_2041[[#This Row],[2030女]]</f>
        <v>42163281.749894872</v>
      </c>
      <c r="E5" s="6">
        <f>High_2041[[#This Row],[2035女]]</f>
        <v>36763349.029660076</v>
      </c>
      <c r="F5" s="6">
        <f>High_2041[[#This Row],[2040女]]</f>
        <v>28681762.555589594</v>
      </c>
      <c r="G5" s="6">
        <f>High_2041[[#This Row],[2045女]]</f>
        <v>29167757.087090053</v>
      </c>
      <c r="H5" s="6">
        <f>High_2041[[#This Row],[2050女]]</f>
        <v>30603031.15582516</v>
      </c>
      <c r="I5" s="6">
        <f>High_2041[[#This Row],[2055女]]</f>
        <v>32722522.115745027</v>
      </c>
      <c r="J5" s="6">
        <f>High_2041[[#This Row],[2060女]]</f>
        <v>34147604.644570313</v>
      </c>
      <c r="K5" s="8">
        <v>39053343</v>
      </c>
      <c r="L5" s="6">
        <f>High_2041[[#This Row],[2025男]]</f>
        <v>45547501.173</v>
      </c>
      <c r="M5" s="6">
        <f>High_2041[[#This Row],[2030男]]</f>
        <v>47921471.101458006</v>
      </c>
      <c r="N5" s="6">
        <f>High_2041[[#This Row],[2035男]]</f>
        <v>40760642.968754143</v>
      </c>
      <c r="O5" s="6">
        <f>High_2041[[#This Row],[2040男]]</f>
        <v>30091716.337553803</v>
      </c>
      <c r="P5" s="6">
        <f>High_2041[[#This Row],[2045男]]</f>
        <v>30604665.803818125</v>
      </c>
      <c r="Q5" s="6">
        <f>High_2041[[#This Row],[2050男]]</f>
        <v>32113869.947923258</v>
      </c>
      <c r="R5" s="6">
        <f>High_2041[[#This Row],[2055男]]</f>
        <v>34341434.799796499</v>
      </c>
      <c r="S5" s="6">
        <f>High_2041[[#This Row],[2060男]]</f>
        <v>35837023.242875151</v>
      </c>
      <c r="U5">
        <v>15</v>
      </c>
      <c r="V5" s="9">
        <f>(SUM(B$2:B5)+SUM(K$2:K5))/(SUM(B$2:B$22)+SUM(K$2:K$22))</f>
        <v>0.23129025317876764</v>
      </c>
      <c r="W5" s="9">
        <f>(SUM(C$2:C5)+SUM(L$2:L5))/(SUM(C$2:C$22)+SUM(L$2:L$22))</f>
        <v>0.21928091155179877</v>
      </c>
      <c r="X5" s="9">
        <f>(SUM(D$2:D5)+SUM(M$2:M5))/(SUM(D$2:D$22)+SUM(M$2:M$22))</f>
        <v>0.19998821458477908</v>
      </c>
      <c r="Y5" s="9">
        <f>(SUM(E$2:E5)+SUM(N$2:N5))/(SUM(E$2:E$22)+SUM(N$2:N$22))</f>
        <v>0.17987773985384314</v>
      </c>
      <c r="Z5" s="9">
        <f>(SUM(F$2:F5)+SUM(O$2:O5))/(SUM(F$2:F$22)+SUM(O$2:O$22))</f>
        <v>0.17186181318211832</v>
      </c>
      <c r="AA5" s="9">
        <f>(SUM(G$2:G5)+SUM(P$2:P5))/(SUM(G$2:G$22)+SUM(P$2:P$22))</f>
        <v>0.1792473000472648</v>
      </c>
      <c r="AB5" s="9">
        <f>(SUM(H$2:H5)+SUM(Q$2:Q5))/(SUM(H$2:H$22)+SUM(Q$2:Q$22))</f>
        <v>0.18694784012400611</v>
      </c>
      <c r="AC5" s="9">
        <f>(SUM(I$2:I5)+SUM(R$2:R5))/(SUM(I$2:I$22)+SUM(R$2:R$22))</f>
        <v>0.19090071732543576</v>
      </c>
      <c r="AD5" s="9">
        <f>(SUM(J$2:J5)+SUM(S$2:S5))/(SUM(J$2:J$22)+SUM(S$2:S$22))</f>
        <v>0.18931746283178089</v>
      </c>
    </row>
    <row r="6" spans="1:30" x14ac:dyDescent="0.2">
      <c r="A6" s="6" t="s">
        <v>21</v>
      </c>
      <c r="B6" s="7">
        <v>35265680</v>
      </c>
      <c r="C6" s="6">
        <f>High_2041[[#This Row],[2025女]]</f>
        <v>33590440.0436</v>
      </c>
      <c r="D6" s="6">
        <f>High_2041[[#This Row],[2030女]]</f>
        <v>39569945.241203994</v>
      </c>
      <c r="E6" s="6">
        <f>High_2041[[#This Row],[2035女]]</f>
        <v>42125334.796319969</v>
      </c>
      <c r="F6" s="6">
        <f>High_2041[[#This Row],[2040女]]</f>
        <v>36733938.350436345</v>
      </c>
      <c r="G6" s="6">
        <f>High_2041[[#This Row],[2045女]]</f>
        <v>28661685.321800679</v>
      </c>
      <c r="H6" s="6">
        <f>High_2041[[#This Row],[2050女]]</f>
        <v>29150256.432837795</v>
      </c>
      <c r="I6" s="6">
        <f>High_2041[[#This Row],[2055女]]</f>
        <v>30587729.640247248</v>
      </c>
      <c r="J6" s="6">
        <f>High_2041[[#This Row],[2060女]]</f>
        <v>32706160.854687154</v>
      </c>
      <c r="K6" s="8">
        <v>39675995</v>
      </c>
      <c r="L6" s="6">
        <f>High_2041[[#This Row],[2025男]]</f>
        <v>38963520.311099999</v>
      </c>
      <c r="M6" s="6">
        <f>High_2041[[#This Row],[2030男]]</f>
        <v>45456406.170653999</v>
      </c>
      <c r="N6" s="6">
        <f>High_2041[[#This Row],[2035男]]</f>
        <v>47835212.453475378</v>
      </c>
      <c r="O6" s="6">
        <f>High_2041[[#This Row],[2040男]]</f>
        <v>40695425.940004133</v>
      </c>
      <c r="P6" s="6">
        <f>High_2041[[#This Row],[2045男]]</f>
        <v>30049587.934681229</v>
      </c>
      <c r="Q6" s="6">
        <f>High_2041[[#This Row],[2050男]]</f>
        <v>30567940.204853546</v>
      </c>
      <c r="R6" s="6">
        <f>High_2041[[#This Row],[2055男]]</f>
        <v>32078544.690980542</v>
      </c>
      <c r="S6" s="6">
        <f>High_2041[[#This Row],[2060男]]</f>
        <v>34307093.364996701</v>
      </c>
      <c r="U6">
        <v>20</v>
      </c>
      <c r="V6" s="9">
        <f>(SUM(B$2:B6)+SUM(K$2:K6))/(SUM(B$2:B$22)+SUM(K$2:K$22))</f>
        <v>0.28444871962757751</v>
      </c>
      <c r="W6" s="9">
        <f>(SUM(C$2:C6)+SUM(L$2:L6))/(SUM(C$2:C$22)+SUM(L$2:L$22))</f>
        <v>0.27027701746645844</v>
      </c>
      <c r="X6" s="9">
        <f>(SUM(D$2:D6)+SUM(M$2:M6))/(SUM(D$2:D$22)+SUM(M$2:M$22))</f>
        <v>0.25933691793954422</v>
      </c>
      <c r="Y6" s="9">
        <f>(SUM(E$2:E6)+SUM(N$2:N6))/(SUM(E$2:E$22)+SUM(N$2:N$22))</f>
        <v>0.24233053978621386</v>
      </c>
      <c r="Z6" s="9">
        <f>(SUM(F$2:F6)+SUM(O$2:O6))/(SUM(F$2:F$22)+SUM(O$2:O$22))</f>
        <v>0.2253837597088299</v>
      </c>
      <c r="AA6" s="9">
        <f>(SUM(G$2:G6)+SUM(P$2:P6))/(SUM(G$2:G$22)+SUM(P$2:P$22))</f>
        <v>0.21975084218349736</v>
      </c>
      <c r="AB6" s="9">
        <f>(SUM(H$2:H6)+SUM(Q$2:Q6))/(SUM(H$2:H$22)+SUM(Q$2:Q$22))</f>
        <v>0.22823125797186403</v>
      </c>
      <c r="AC6" s="9">
        <f>(SUM(I$2:I6)+SUM(R$2:R6))/(SUM(I$2:I$22)+SUM(R$2:R$22))</f>
        <v>0.23462983476614357</v>
      </c>
      <c r="AD6" s="9">
        <f>(SUM(J$2:J6)+SUM(S$2:S6))/(SUM(J$2:J$22)+SUM(S$2:S$22))</f>
        <v>0.23689645418863614</v>
      </c>
    </row>
    <row r="7" spans="1:30" x14ac:dyDescent="0.2">
      <c r="A7" s="6" t="s">
        <v>22</v>
      </c>
      <c r="B7" s="7">
        <v>43685062</v>
      </c>
      <c r="C7" s="6">
        <f>High_2041[[#This Row],[2025女]]</f>
        <v>35219834.616000004</v>
      </c>
      <c r="D7" s="6">
        <f>High_2041[[#This Row],[2030女]]</f>
        <v>33550131.515547682</v>
      </c>
      <c r="E7" s="6">
        <f>High_2041[[#This Row],[2035女]]</f>
        <v>39526418.301438667</v>
      </c>
      <c r="F7" s="6">
        <f>High_2041[[#This Row],[2040女]]</f>
        <v>42078996.928044021</v>
      </c>
      <c r="G7" s="6">
        <f>High_2041[[#This Row],[2045女]]</f>
        <v>36697204.412085906</v>
      </c>
      <c r="H7" s="6">
        <f>High_2041[[#This Row],[2050女]]</f>
        <v>28635889.805011056</v>
      </c>
      <c r="I7" s="6">
        <f>High_2041[[#This Row],[2055女]]</f>
        <v>29124021.202048242</v>
      </c>
      <c r="J7" s="6">
        <f>High_2041[[#This Row],[2060女]]</f>
        <v>30563259.456535049</v>
      </c>
      <c r="K7" s="8">
        <v>48162270</v>
      </c>
      <c r="L7" s="6">
        <f>High_2041[[#This Row],[2025男]]</f>
        <v>39568869.813500002</v>
      </c>
      <c r="M7" s="6">
        <f>High_2041[[#This Row],[2030男]]</f>
        <v>38862215.158291139</v>
      </c>
      <c r="N7" s="6">
        <f>High_2041[[#This Row],[2035男]]</f>
        <v>45338219.514610298</v>
      </c>
      <c r="O7" s="6">
        <f>High_2041[[#This Row],[2040男]]</f>
        <v>47715624.422341689</v>
      </c>
      <c r="P7" s="6">
        <f>High_2041[[#This Row],[2045男]]</f>
        <v>40593687.375154123</v>
      </c>
      <c r="Q7" s="6">
        <f>High_2041[[#This Row],[2050男]]</f>
        <v>29974463.964844529</v>
      </c>
      <c r="R7" s="6">
        <f>High_2041[[#This Row],[2055男]]</f>
        <v>30494577.148361899</v>
      </c>
      <c r="S7" s="6">
        <f>High_2041[[#This Row],[2060男]]</f>
        <v>32001556.183722191</v>
      </c>
      <c r="U7">
        <v>25</v>
      </c>
      <c r="V7" s="9">
        <f>(SUM(B$2:B7)+SUM(K$2:K7))/(SUM(B$2:B$22)+SUM(K$2:K$22))</f>
        <v>0.34959889563491525</v>
      </c>
      <c r="W7" s="9">
        <f>(SUM(C$2:C7)+SUM(L$2:L7))/(SUM(C$2:C$22)+SUM(L$2:L$22))</f>
        <v>0.32284386114613484</v>
      </c>
      <c r="X7" s="9">
        <f>(SUM(D$2:D7)+SUM(M$2:M7))/(SUM(D$2:D$22)+SUM(M$2:M$22))</f>
        <v>0.30988099998713309</v>
      </c>
      <c r="Y7" s="9">
        <f>(SUM(E$2:E7)+SUM(N$2:N7))/(SUM(E$2:E$22)+SUM(N$2:N$22))</f>
        <v>0.30124563544633798</v>
      </c>
      <c r="Z7" s="9">
        <f>(SUM(F$2:F7)+SUM(O$2:O7))/(SUM(F$2:F$22)+SUM(O$2:O$22))</f>
        <v>0.28745301426546338</v>
      </c>
      <c r="AA7" s="9">
        <f>(SUM(G$2:G7)+SUM(P$2:P7))/(SUM(G$2:G$22)+SUM(P$2:P$22))</f>
        <v>0.27307203109002215</v>
      </c>
      <c r="AB7" s="9">
        <f>(SUM(H$2:H7)+SUM(Q$2:Q7))/(SUM(H$2:H$22)+SUM(Q$2:Q$22))</f>
        <v>0.26874881980601628</v>
      </c>
      <c r="AC7" s="9">
        <f>(SUM(I$2:I7)+SUM(R$2:R7))/(SUM(I$2:I$22)+SUM(R$2:R$22))</f>
        <v>0.27623225515475003</v>
      </c>
      <c r="AD7" s="9">
        <f>(SUM(J$2:J7)+SUM(S$2:S7))/(SUM(J$2:J$22)+SUM(S$2:S$22))</f>
        <v>0.28131708197717104</v>
      </c>
    </row>
    <row r="8" spans="1:30" x14ac:dyDescent="0.2">
      <c r="A8" s="6" t="s">
        <v>23</v>
      </c>
      <c r="B8" s="7">
        <v>60273382</v>
      </c>
      <c r="C8" s="6">
        <f>High_2041[[#This Row],[2025女]]</f>
        <v>43623902.913199998</v>
      </c>
      <c r="D8" s="6">
        <f>High_2041[[#This Row],[2030女]]</f>
        <v>35170526.847537607</v>
      </c>
      <c r="E8" s="6">
        <f>High_2041[[#This Row],[2035女]]</f>
        <v>33506516.344577469</v>
      </c>
      <c r="F8" s="6">
        <f>High_2041[[#This Row],[2040女]]</f>
        <v>39475033.957646795</v>
      </c>
      <c r="G8" s="6">
        <f>High_2041[[#This Row],[2045女]]</f>
        <v>42024294.232037567</v>
      </c>
      <c r="H8" s="6">
        <f>High_2041[[#This Row],[2050女]]</f>
        <v>36649498.046350196</v>
      </c>
      <c r="I8" s="6">
        <f>High_2041[[#This Row],[2055女]]</f>
        <v>28598663.148264542</v>
      </c>
      <c r="J8" s="6">
        <f>High_2041[[#This Row],[2060女]]</f>
        <v>29089072.376605786</v>
      </c>
      <c r="K8" s="8">
        <v>63871808</v>
      </c>
      <c r="L8" s="6">
        <f>High_2041[[#This Row],[2025男]]</f>
        <v>48003334.509000003</v>
      </c>
      <c r="M8" s="6">
        <f>High_2041[[#This Row],[2030男]]</f>
        <v>39442249.430096805</v>
      </c>
      <c r="N8" s="6">
        <f>High_2041[[#This Row],[2035男]]</f>
        <v>38745628.512816265</v>
      </c>
      <c r="O8" s="6">
        <f>High_2041[[#This Row],[2040男]]</f>
        <v>45206738.678017929</v>
      </c>
      <c r="P8" s="6">
        <f>High_2041[[#This Row],[2045男]]</f>
        <v>47582020.673959129</v>
      </c>
      <c r="Q8" s="6">
        <f>High_2041[[#This Row],[2050男]]</f>
        <v>40484084.419241205</v>
      </c>
      <c r="R8" s="6">
        <f>High_2041[[#This Row],[2055男]]</f>
        <v>29896530.358535931</v>
      </c>
      <c r="S8" s="6">
        <f>High_2041[[#This Row],[2060男]]</f>
        <v>30418340.705490995</v>
      </c>
      <c r="U8">
        <v>30</v>
      </c>
      <c r="V8" s="9">
        <f>(SUM(B$2:B8)+SUM(K$2:K8))/(SUM(B$2:B$22)+SUM(K$2:K$22))</f>
        <v>0.43765894923521348</v>
      </c>
      <c r="W8" s="9">
        <f>(SUM(C$2:C8)+SUM(L$2:L8))/(SUM(C$2:C$22)+SUM(L$2:L$22))</f>
        <v>0.38724602860062979</v>
      </c>
      <c r="X8" s="9">
        <f>(SUM(D$2:D8)+SUM(M$2:M8))/(SUM(D$2:D$22)+SUM(M$2:M$22))</f>
        <v>0.36196098992257353</v>
      </c>
      <c r="Y8" s="9">
        <f>(SUM(E$2:E8)+SUM(N$2:N8))/(SUM(E$2:E$22)+SUM(N$2:N$22))</f>
        <v>0.35140483173194903</v>
      </c>
      <c r="Z8" s="9">
        <f>(SUM(F$2:F8)+SUM(O$2:O8))/(SUM(F$2:F$22)+SUM(O$2:O$22))</f>
        <v>0.34598808488534138</v>
      </c>
      <c r="AA8" s="9">
        <f>(SUM(G$2:G8)+SUM(P$2:P8))/(SUM(G$2:G$22)+SUM(P$2:P$22))</f>
        <v>0.33488934402092285</v>
      </c>
      <c r="AB8" s="9">
        <f>(SUM(H$2:H8)+SUM(Q$2:Q8))/(SUM(H$2:H$22)+SUM(Q$2:Q$22))</f>
        <v>0.32207156051683361</v>
      </c>
      <c r="AC8" s="9">
        <f>(SUM(I$2:I8)+SUM(R$2:R8))/(SUM(I$2:I$22)+SUM(R$2:R$22))</f>
        <v>0.31705075304494829</v>
      </c>
      <c r="AD8" s="9">
        <f>(SUM(J$2:J8)+SUM(S$2:S8))/(SUM(J$2:J$22)+SUM(S$2:S$22))</f>
        <v>0.32356697307215165</v>
      </c>
    </row>
    <row r="9" spans="1:30" x14ac:dyDescent="0.2">
      <c r="A9" s="6" t="s">
        <v>24</v>
      </c>
      <c r="B9" s="7">
        <v>48080895</v>
      </c>
      <c r="C9" s="6">
        <f>High_2041[[#This Row],[2025女]]</f>
        <v>60158862.574199997</v>
      </c>
      <c r="D9" s="6">
        <f>High_2041[[#This Row],[2030女]]</f>
        <v>43545379.887956239</v>
      </c>
      <c r="E9" s="6">
        <f>High_2041[[#This Row],[2035女]]</f>
        <v>35107219.89921204</v>
      </c>
      <c r="F9" s="6">
        <f>High_2041[[#This Row],[2040女]]</f>
        <v>33449555.266791686</v>
      </c>
      <c r="G9" s="6">
        <f>High_2041[[#This Row],[2045女]]</f>
        <v>39407926.399918795</v>
      </c>
      <c r="H9" s="6">
        <f>High_2041[[#This Row],[2050女]]</f>
        <v>41952852.931843102</v>
      </c>
      <c r="I9" s="6">
        <f>High_2041[[#This Row],[2055女]]</f>
        <v>36590858.849476032</v>
      </c>
      <c r="J9" s="6">
        <f>High_2041[[#This Row],[2060女]]</f>
        <v>28552905.287227318</v>
      </c>
      <c r="K9" s="8">
        <v>50932037</v>
      </c>
      <c r="L9" s="6">
        <f>High_2041[[#This Row],[2025男]]</f>
        <v>63590772.044800006</v>
      </c>
      <c r="M9" s="6">
        <f>High_2041[[#This Row],[2030男]]</f>
        <v>47806520.837513104</v>
      </c>
      <c r="N9" s="6">
        <f>High_2041[[#This Row],[2035男]]</f>
        <v>39292368.882262439</v>
      </c>
      <c r="O9" s="6">
        <f>High_2041[[#This Row],[2040男]]</f>
        <v>38610018.813021414</v>
      </c>
      <c r="P9" s="6">
        <f>High_2041[[#This Row],[2045男]]</f>
        <v>45062077.114248276</v>
      </c>
      <c r="Q9" s="6">
        <f>High_2041[[#This Row],[2050男]]</f>
        <v>47439274.611937255</v>
      </c>
      <c r="R9" s="6">
        <f>High_2041[[#This Row],[2055男]]</f>
        <v>40374777.391309254</v>
      </c>
      <c r="S9" s="6">
        <f>High_2041[[#This Row],[2060男]]</f>
        <v>29821789.032639593</v>
      </c>
      <c r="U9">
        <v>35</v>
      </c>
      <c r="V9" s="9">
        <f>(SUM(B$2:B9)+SUM(K$2:K9))/(SUM(B$2:B$22)+SUM(K$2:K$22))</f>
        <v>0.50789190871630718</v>
      </c>
      <c r="W9" s="9">
        <f>(SUM(C$2:C9)+SUM(L$2:L9))/(SUM(C$2:C$22)+SUM(L$2:L$22))</f>
        <v>0.47422611132911374</v>
      </c>
      <c r="X9" s="9">
        <f>(SUM(D$2:D9)+SUM(M$2:M9))/(SUM(D$2:D$22)+SUM(M$2:M$22))</f>
        <v>0.42572494976589481</v>
      </c>
      <c r="Y9" s="9">
        <f>(SUM(E$2:E9)+SUM(N$2:N9))/(SUM(E$2:E$22)+SUM(N$2:N$22))</f>
        <v>0.40305483582005386</v>
      </c>
      <c r="Z9" s="9">
        <f>(SUM(F$2:F9)+SUM(O$2:O9))/(SUM(F$2:F$22)+SUM(O$2:O$22))</f>
        <v>0.39579824032159794</v>
      </c>
      <c r="AA9" s="9">
        <f>(SUM(G$2:G9)+SUM(P$2:P9))/(SUM(G$2:G$22)+SUM(P$2:P$22))</f>
        <v>0.39316323516338847</v>
      </c>
      <c r="AB9" s="9">
        <f>(SUM(H$2:H9)+SUM(Q$2:Q9))/(SUM(H$2:H$22)+SUM(Q$2:Q$22))</f>
        <v>0.38386868034763705</v>
      </c>
      <c r="AC9" s="9">
        <f>(SUM(I$2:I9)+SUM(R$2:R9))/(SUM(I$2:I$22)+SUM(R$2:R$22))</f>
        <v>0.37075810013060284</v>
      </c>
      <c r="AD9" s="9">
        <f>(SUM(J$2:J9)+SUM(S$2:S9))/(SUM(J$2:J$22)+SUM(S$2:S$22))</f>
        <v>0.36501264093061847</v>
      </c>
    </row>
    <row r="10" spans="1:30" x14ac:dyDescent="0.2">
      <c r="A10" s="6" t="s">
        <v>25</v>
      </c>
      <c r="B10" s="7">
        <v>45322636</v>
      </c>
      <c r="C10" s="6">
        <f>High_2041[[#This Row],[2025女]]</f>
        <v>47951076.583499998</v>
      </c>
      <c r="D10" s="6">
        <f>High_2041[[#This Row],[2030女]]</f>
        <v>60002449.531507075</v>
      </c>
      <c r="E10" s="6">
        <f>High_2041[[#This Row],[2035女]]</f>
        <v>43436516.438236348</v>
      </c>
      <c r="F10" s="6">
        <f>High_2041[[#This Row],[2040女]]</f>
        <v>35019451.849464014</v>
      </c>
      <c r="G10" s="6">
        <f>High_2041[[#This Row],[2045女]]</f>
        <v>33369276.334151387</v>
      </c>
      <c r="H10" s="6">
        <f>High_2041[[#This Row],[2050女]]</f>
        <v>39317288.169198982</v>
      </c>
      <c r="I10" s="6">
        <f>High_2041[[#This Row],[2055女]]</f>
        <v>41856361.370099865</v>
      </c>
      <c r="J10" s="6">
        <f>High_2041[[#This Row],[2060女]]</f>
        <v>36510358.960007183</v>
      </c>
      <c r="K10" s="8">
        <v>47632694</v>
      </c>
      <c r="L10" s="6">
        <f>High_2041[[#This Row],[2025男]]</f>
        <v>50580605.944700003</v>
      </c>
      <c r="M10" s="6">
        <f>High_2041[[#This Row],[2030男]]</f>
        <v>63202868.335326724</v>
      </c>
      <c r="N10" s="6">
        <f>High_2041[[#This Row],[2035男]]</f>
        <v>47553146.277074285</v>
      </c>
      <c r="O10" s="6">
        <f>High_2041[[#This Row],[2040男]]</f>
        <v>39107694.748515807</v>
      </c>
      <c r="P10" s="6">
        <f>High_2041[[#This Row],[2045男]]</f>
        <v>38451717.735888027</v>
      </c>
      <c r="Q10" s="6">
        <f>High_2041[[#This Row],[2050男]]</f>
        <v>44899853.63663698</v>
      </c>
      <c r="R10" s="6">
        <f>High_2041[[#This Row],[2055男]]</f>
        <v>47287468.933179058</v>
      </c>
      <c r="S10" s="6">
        <f>High_2041[[#This Row],[2060男]]</f>
        <v>40261728.014613584</v>
      </c>
      <c r="U10">
        <v>40</v>
      </c>
      <c r="V10" s="9">
        <f>(SUM(B$2:B10)+SUM(K$2:K10))/(SUM(B$2:B$22)+SUM(K$2:K$22))</f>
        <v>0.57382802224783758</v>
      </c>
      <c r="W10" s="9">
        <f>(SUM(C$2:C10)+SUM(L$2:L10))/(SUM(C$2:C$22)+SUM(L$2:L$22))</f>
        <v>0.54348121599318622</v>
      </c>
      <c r="X10" s="9">
        <f>(SUM(D$2:D10)+SUM(M$2:M10))/(SUM(D$2:D$22)+SUM(M$2:M$22))</f>
        <v>0.511722710935128</v>
      </c>
      <c r="Y10" s="9">
        <f>(SUM(E$2:E10)+SUM(N$2:N10))/(SUM(E$2:E$22)+SUM(N$2:N$22))</f>
        <v>0.46622207273885896</v>
      </c>
      <c r="Z10" s="9">
        <f>(SUM(F$2:F10)+SUM(O$2:O10))/(SUM(F$2:F$22)+SUM(O$2:O$22))</f>
        <v>0.44703757584697829</v>
      </c>
      <c r="AA10" s="9">
        <f>(SUM(G$2:G10)+SUM(P$2:P10))/(SUM(G$2:G$22)+SUM(P$2:P$22))</f>
        <v>0.4427108688328863</v>
      </c>
      <c r="AB10" s="9">
        <f>(SUM(H$2:H10)+SUM(Q$2:Q10))/(SUM(H$2:H$22)+SUM(Q$2:Q$22))</f>
        <v>0.44208831273566956</v>
      </c>
      <c r="AC10" s="9">
        <f>(SUM(I$2:I10)+SUM(R$2:R10))/(SUM(I$2:I$22)+SUM(R$2:R$22))</f>
        <v>0.43296350592579108</v>
      </c>
      <c r="AD10" s="9">
        <f>(SUM(J$2:J10)+SUM(S$2:S10))/(SUM(J$2:J$22)+SUM(S$2:S$22))</f>
        <v>0.41952034250617187</v>
      </c>
    </row>
    <row r="11" spans="1:30" x14ac:dyDescent="0.2">
      <c r="A11" s="6" t="s">
        <v>26</v>
      </c>
      <c r="B11" s="7">
        <v>56033201</v>
      </c>
      <c r="C11" s="6">
        <f>High_2041[[#This Row],[2025女]]</f>
        <v>45127748.665200002</v>
      </c>
      <c r="D11" s="6">
        <f>High_2041[[#This Row],[2030女]]</f>
        <v>47754477.169507645</v>
      </c>
      <c r="E11" s="6">
        <f>High_2041[[#This Row],[2035女]]</f>
        <v>59762439.733381048</v>
      </c>
      <c r="F11" s="6">
        <f>High_2041[[#This Row],[2040女]]</f>
        <v>43271457.67577105</v>
      </c>
      <c r="G11" s="6">
        <f>High_2041[[#This Row],[2045女]]</f>
        <v>34889879.877620995</v>
      </c>
      <c r="H11" s="6">
        <f>High_2041[[#This Row],[2050女]]</f>
        <v>33249146.939348441</v>
      </c>
      <c r="I11" s="6">
        <f>High_2041[[#This Row],[2055女]]</f>
        <v>39183609.389423706</v>
      </c>
      <c r="J11" s="6">
        <f>High_2041[[#This Row],[2060女]]</f>
        <v>41718235.377578534</v>
      </c>
      <c r="K11" s="8">
        <v>58191686</v>
      </c>
      <c r="L11" s="6">
        <f>High_2041[[#This Row],[2025男]]</f>
        <v>47108734.365999997</v>
      </c>
      <c r="M11" s="6">
        <f>High_2041[[#This Row],[2030男]]</f>
        <v>50095032.127630882</v>
      </c>
      <c r="N11" s="6">
        <f>High_2041[[#This Row],[2035男]]</f>
        <v>62678284.52814351</v>
      </c>
      <c r="O11" s="6">
        <f>High_2041[[#This Row],[2040男]]</f>
        <v>47210763.623879351</v>
      </c>
      <c r="P11" s="6">
        <f>High_2041[[#This Row],[2045男]]</f>
        <v>38861316.271600157</v>
      </c>
      <c r="Q11" s="6">
        <f>High_2041[[#This Row],[2050男]]</f>
        <v>38240233.288340643</v>
      </c>
      <c r="R11" s="6">
        <f>High_2041[[#This Row],[2055男]]</f>
        <v>44684334.339181118</v>
      </c>
      <c r="S11" s="6">
        <f>High_2041[[#This Row],[2060男]]</f>
        <v>47093590.310553022</v>
      </c>
      <c r="U11">
        <v>45</v>
      </c>
      <c r="V11" s="9">
        <f>(SUM(B$2:B11)+SUM(K$2:K11))/(SUM(B$2:B$22)+SUM(K$2:K$22))</f>
        <v>0.65485129565623945</v>
      </c>
      <c r="W11" s="9">
        <f>(SUM(C$2:C11)+SUM(L$2:L11))/(SUM(C$2:C$22)+SUM(L$2:L$22))</f>
        <v>0.60831160478050306</v>
      </c>
      <c r="X11" s="9">
        <f>(SUM(D$2:D11)+SUM(M$2:M11))/(SUM(D$2:D$22)+SUM(M$2:M$22))</f>
        <v>0.58002202525658575</v>
      </c>
      <c r="Y11" s="9">
        <f>(SUM(E$2:E11)+SUM(N$2:N11))/(SUM(E$2:E$22)+SUM(N$2:N$22))</f>
        <v>0.55122340153965677</v>
      </c>
      <c r="Z11" s="9">
        <f>(SUM(F$2:F11)+SUM(O$2:O11))/(SUM(F$2:F$22)+SUM(O$2:O$22))</f>
        <v>0.50958212408648729</v>
      </c>
      <c r="AA11" s="9">
        <f>(SUM(G$2:G11)+SUM(P$2:P11))/(SUM(G$2:G$22)+SUM(P$2:P$22))</f>
        <v>0.49359010403151543</v>
      </c>
      <c r="AB11" s="9">
        <f>(SUM(H$2:H11)+SUM(Q$2:Q11))/(SUM(H$2:H$22)+SUM(Q$2:Q$22))</f>
        <v>0.49150919484183386</v>
      </c>
      <c r="AC11" s="9">
        <f>(SUM(I$2:I11)+SUM(R$2:R11))/(SUM(I$2:I$22)+SUM(R$2:R$22))</f>
        <v>0.49148734829487961</v>
      </c>
      <c r="AD11" s="9">
        <f>(SUM(J$2:J11)+SUM(S$2:S11))/(SUM(J$2:J$22)+SUM(S$2:S$22))</f>
        <v>0.48257618326492385</v>
      </c>
    </row>
    <row r="12" spans="1:30" x14ac:dyDescent="0.2">
      <c r="A12" s="6" t="s">
        <v>27</v>
      </c>
      <c r="B12" s="7">
        <v>60058826</v>
      </c>
      <c r="C12" s="6">
        <f>High_2041[[#This Row],[2025女]]</f>
        <v>55640968.593000002</v>
      </c>
      <c r="D12" s="6">
        <f>High_2041[[#This Row],[2030女]]</f>
        <v>44829905.524009682</v>
      </c>
      <c r="E12" s="6">
        <f>High_2041[[#This Row],[2035女]]</f>
        <v>47453623.963339746</v>
      </c>
      <c r="F12" s="6">
        <f>High_2041[[#This Row],[2040女]]</f>
        <v>59403865.094980761</v>
      </c>
      <c r="G12" s="6">
        <f>High_2041[[#This Row],[2045女]]</f>
        <v>43024810.367019154</v>
      </c>
      <c r="H12" s="6">
        <f>High_2041[[#This Row],[2050女]]</f>
        <v>34701474.526281841</v>
      </c>
      <c r="I12" s="6">
        <f>High_2041[[#This Row],[2055女]]</f>
        <v>33079576.289957765</v>
      </c>
      <c r="J12" s="6">
        <f>High_2041[[#This Row],[2060女]]</f>
        <v>38991609.703415528</v>
      </c>
      <c r="K12" s="8">
        <v>61105470</v>
      </c>
      <c r="L12" s="6">
        <f>High_2041[[#This Row],[2025男]]</f>
        <v>57214065.6752</v>
      </c>
      <c r="M12" s="6">
        <f>High_2041[[#This Row],[2030男]]</f>
        <v>46416235.970819794</v>
      </c>
      <c r="N12" s="6">
        <f>High_2041[[#This Row],[2035男]]</f>
        <v>49448806.213184446</v>
      </c>
      <c r="O12" s="6">
        <f>High_2041[[#This Row],[2040男]]</f>
        <v>61970019.91297549</v>
      </c>
      <c r="P12" s="6">
        <f>High_2041[[#This Row],[2045男]]</f>
        <v>46743377.064002946</v>
      </c>
      <c r="Q12" s="6">
        <f>High_2041[[#This Row],[2050男]]</f>
        <v>38523222.820037231</v>
      </c>
      <c r="R12" s="6">
        <f>High_2041[[#This Row],[2055男]]</f>
        <v>37949607.515349254</v>
      </c>
      <c r="S12" s="6">
        <f>High_2041[[#This Row],[2060男]]</f>
        <v>44384949.299108602</v>
      </c>
      <c r="U12">
        <v>50</v>
      </c>
      <c r="V12" s="9">
        <f>(SUM(B$2:B12)+SUM(K$2:K12))/(SUM(B$2:B$22)+SUM(K$2:K$22))</f>
        <v>0.74079690821039801</v>
      </c>
      <c r="W12" s="9">
        <f>(SUM(C$2:C12)+SUM(L$2:L12))/(SUM(C$2:C$22)+SUM(L$2:L$22))</f>
        <v>0.68763418417393585</v>
      </c>
      <c r="X12" s="9">
        <f>(SUM(D$2:D12)+SUM(M$2:M12))/(SUM(D$2:D$22)+SUM(M$2:M$22))</f>
        <v>0.6437121647712436</v>
      </c>
      <c r="Y12" s="9">
        <f>(SUM(E$2:E12)+SUM(N$2:N12))/(SUM(E$2:E$22)+SUM(N$2:N$22))</f>
        <v>0.61849542544109826</v>
      </c>
      <c r="Z12" s="9">
        <f>(SUM(F$2:F12)+SUM(O$2:O12))/(SUM(F$2:F$22)+SUM(O$2:O$22))</f>
        <v>0.59348009538801716</v>
      </c>
      <c r="AA12" s="9">
        <f>(SUM(G$2:G12)+SUM(P$2:P12))/(SUM(G$2:G$22)+SUM(P$2:P$22))</f>
        <v>0.5555190890532159</v>
      </c>
      <c r="AB12" s="9">
        <f>(SUM(H$2:H12)+SUM(Q$2:Q12))/(SUM(H$2:H$22)+SUM(Q$2:Q$22))</f>
        <v>0.54212970831231388</v>
      </c>
      <c r="AC12" s="9">
        <f>(SUM(I$2:I12)+SUM(R$2:R12))/(SUM(I$2:I$22)+SUM(R$2:R$22))</f>
        <v>0.5410521828647894</v>
      </c>
      <c r="AD12" s="9">
        <f>(SUM(J$2:J12)+SUM(S$2:S12))/(SUM(J$2:J$22)+SUM(S$2:S$22))</f>
        <v>0.54177301867215288</v>
      </c>
    </row>
    <row r="13" spans="1:30" x14ac:dyDescent="0.2">
      <c r="A13" s="6" t="s">
        <v>28</v>
      </c>
      <c r="B13" s="7">
        <v>50584760</v>
      </c>
      <c r="C13" s="6">
        <f>High_2041[[#This Row],[2025女]]</f>
        <v>59368149.501000002</v>
      </c>
      <c r="D13" s="6">
        <f>High_2041[[#This Row],[2030女]]</f>
        <v>55045610.229054898</v>
      </c>
      <c r="E13" s="6">
        <f>High_2041[[#This Row],[2035女]]</f>
        <v>44381606.468769588</v>
      </c>
      <c r="F13" s="6">
        <f>High_2041[[#This Row],[2040女]]</f>
        <v>47012305.260480687</v>
      </c>
      <c r="G13" s="6">
        <f>High_2041[[#This Row],[2045女]]</f>
        <v>58887051.468654424</v>
      </c>
      <c r="H13" s="6">
        <f>High_2041[[#This Row],[2050女]]</f>
        <v>42676309.403046302</v>
      </c>
      <c r="I13" s="6">
        <f>High_2041[[#This Row],[2055女]]</f>
        <v>34437743.319882095</v>
      </c>
      <c r="J13" s="6">
        <f>High_2041[[#This Row],[2060女]]</f>
        <v>32844711.298299067</v>
      </c>
      <c r="K13" s="8">
        <v>50816026</v>
      </c>
      <c r="L13" s="6">
        <f>High_2041[[#This Row],[2025男]]</f>
        <v>59528948.873999998</v>
      </c>
      <c r="M13" s="6">
        <f>High_2041[[#This Row],[2030男]]</f>
        <v>55903863.571237922</v>
      </c>
      <c r="N13" s="6">
        <f>High_2041[[#This Row],[2035男]]</f>
        <v>45473986.38061215</v>
      </c>
      <c r="O13" s="6">
        <f>High_2041[[#This Row],[2040男]]</f>
        <v>48558727.701347128</v>
      </c>
      <c r="P13" s="6">
        <f>High_2041[[#This Row],[2045男]]</f>
        <v>60978499.594367884</v>
      </c>
      <c r="Q13" s="6">
        <f>High_2041[[#This Row],[2050男]]</f>
        <v>46079621.109694101</v>
      </c>
      <c r="R13" s="6">
        <f>High_2041[[#This Row],[2055男]]</f>
        <v>38037830.212504767</v>
      </c>
      <c r="S13" s="6">
        <f>High_2041[[#This Row],[2060男]]</f>
        <v>37524571.911177345</v>
      </c>
      <c r="U13">
        <v>55</v>
      </c>
      <c r="V13" s="9">
        <f>(SUM(B$2:B13)+SUM(K$2:K13))/(SUM(B$2:B$22)+SUM(K$2:K$22))</f>
        <v>0.8127236469770982</v>
      </c>
      <c r="W13" s="9">
        <f>(SUM(C$2:C13)+SUM(L$2:L13))/(SUM(C$2:C$22)+SUM(L$2:L$22))</f>
        <v>0.77120355781026328</v>
      </c>
      <c r="X13" s="9">
        <f>(SUM(D$2:D13)+SUM(M$2:M13))/(SUM(D$2:D$22)+SUM(M$2:M$22))</f>
        <v>0.7211553020881124</v>
      </c>
      <c r="Y13" s="9">
        <f>(SUM(E$2:E13)+SUM(N$2:N13))/(SUM(E$2:E$22)+SUM(N$2:N$22))</f>
        <v>0.68087536347598787</v>
      </c>
      <c r="Z13" s="9">
        <f>(SUM(F$2:F13)+SUM(O$2:O13))/(SUM(F$2:F$22)+SUM(O$2:O$22))</f>
        <v>0.65954221229367094</v>
      </c>
      <c r="AA13" s="9">
        <f>(SUM(G$2:G13)+SUM(P$2:P13))/(SUM(G$2:G$22)+SUM(P$2:P$22))</f>
        <v>0.63821154535466151</v>
      </c>
      <c r="AB13" s="9">
        <f>(SUM(H$2:H13)+SUM(Q$2:Q13))/(SUM(H$2:H$22)+SUM(Q$2:Q$22))</f>
        <v>0.60348702270114563</v>
      </c>
      <c r="AC13" s="9">
        <f>(SUM(I$2:I13)+SUM(R$2:R13))/(SUM(I$2:I$22)+SUM(R$2:R$22))</f>
        <v>0.59162632183192898</v>
      </c>
      <c r="AD13" s="9">
        <f>(SUM(J$2:J13)+SUM(S$2:S13))/(SUM(J$2:J$22)+SUM(S$2:S$22))</f>
        <v>0.59173476962124105</v>
      </c>
    </row>
    <row r="14" spans="1:30" x14ac:dyDescent="0.2">
      <c r="A14" s="6" t="s">
        <v>29</v>
      </c>
      <c r="B14" s="7">
        <v>36511813</v>
      </c>
      <c r="C14" s="6">
        <f>High_2041[[#This Row],[2025女]]</f>
        <v>49694468.223999999</v>
      </c>
      <c r="D14" s="6">
        <f>High_2041[[#This Row],[2030女]]</f>
        <v>58412322.2940339</v>
      </c>
      <c r="E14" s="6">
        <f>High_2041[[#This Row],[2035女]]</f>
        <v>54236439.758687787</v>
      </c>
      <c r="F14" s="6">
        <f>High_2041[[#This Row],[2040女]]</f>
        <v>43786892.942088075</v>
      </c>
      <c r="G14" s="6">
        <f>High_2041[[#This Row],[2045女]]</f>
        <v>46438755.136302821</v>
      </c>
      <c r="H14" s="6">
        <f>High_2041[[#This Row],[2050女]]</f>
        <v>58233405.197352357</v>
      </c>
      <c r="I14" s="6">
        <f>High_2041[[#This Row],[2055女]]</f>
        <v>42241011.047135234</v>
      </c>
      <c r="J14" s="6">
        <f>High_2041[[#This Row],[2060女]]</f>
        <v>34117472.307007194</v>
      </c>
      <c r="K14" s="8">
        <v>36871125</v>
      </c>
      <c r="L14" s="6">
        <f>High_2041[[#This Row],[2025男]]</f>
        <v>48768140.152199998</v>
      </c>
      <c r="M14" s="6">
        <f>High_2041[[#This Row],[2030男]]</f>
        <v>57385906.714535996</v>
      </c>
      <c r="N14" s="6">
        <f>High_2041[[#This Row],[2035男]]</f>
        <v>54103759.164244063</v>
      </c>
      <c r="O14" s="6">
        <f>High_2041[[#This Row],[2040男]]</f>
        <v>44164335.572850518</v>
      </c>
      <c r="P14" s="6">
        <f>High_2041[[#This Row],[2045男]]</f>
        <v>47310768.399422511</v>
      </c>
      <c r="Q14" s="6">
        <f>High_2041[[#This Row],[2050男]]</f>
        <v>59575994.103697419</v>
      </c>
      <c r="R14" s="6">
        <f>High_2041[[#This Row],[2055男]]</f>
        <v>45134988.876945376</v>
      </c>
      <c r="S14" s="6">
        <f>High_2041[[#This Row],[2060男]]</f>
        <v>37341737.919615932</v>
      </c>
      <c r="U14">
        <v>60</v>
      </c>
      <c r="V14" s="9">
        <f>(SUM(B$2:B14)+SUM(K$2:K14))/(SUM(B$2:B$22)+SUM(K$2:K$22))</f>
        <v>0.86477645267683867</v>
      </c>
      <c r="W14" s="9">
        <f>(SUM(C$2:C14)+SUM(L$2:L14))/(SUM(C$2:C$22)+SUM(L$2:L$22))</f>
        <v>0.84041011222629758</v>
      </c>
      <c r="X14" s="9">
        <f>(SUM(D$2:D14)+SUM(M$2:M14))/(SUM(D$2:D$22)+SUM(M$2:M$22))</f>
        <v>0.80198288822252495</v>
      </c>
      <c r="Y14" s="9">
        <f>(SUM(E$2:E14)+SUM(N$2:N14))/(SUM(E$2:E$22)+SUM(N$2:N$22))</f>
        <v>0.75608776463201244</v>
      </c>
      <c r="Z14" s="9">
        <f>(SUM(F$2:F14)+SUM(O$2:O14))/(SUM(F$2:F$22)+SUM(O$2:O$22))</f>
        <v>0.72033724777759656</v>
      </c>
      <c r="AA14" s="9">
        <f>(SUM(G$2:G14)+SUM(P$2:P14))/(SUM(G$2:G$22)+SUM(P$2:P$22))</f>
        <v>0.7028871615722293</v>
      </c>
      <c r="AB14" s="9">
        <f>(SUM(H$2:H14)+SUM(Q$2:Q14))/(SUM(H$2:H$22)+SUM(Q$2:Q$22))</f>
        <v>0.68492911123669786</v>
      </c>
      <c r="AC14" s="9">
        <f>(SUM(I$2:I14)+SUM(R$2:R14))/(SUM(I$2:I$22)+SUM(R$2:R$22))</f>
        <v>0.65259811891027197</v>
      </c>
      <c r="AD14" s="9">
        <f>(SUM(J$2:J14)+SUM(S$2:S14))/(SUM(J$2:J$22)+SUM(S$2:S$22))</f>
        <v>0.64247036193547813</v>
      </c>
    </row>
    <row r="15" spans="1:30" x14ac:dyDescent="0.2">
      <c r="A15" s="6" t="s">
        <v>30</v>
      </c>
      <c r="B15" s="7">
        <v>37667637</v>
      </c>
      <c r="C15" s="6">
        <f>High_2041[[#This Row],[2025女]]</f>
        <v>35463923.966899998</v>
      </c>
      <c r="D15" s="6">
        <f>High_2041[[#This Row],[2030女]]</f>
        <v>48417320.390643202</v>
      </c>
      <c r="E15" s="6">
        <f>High_2041[[#This Row],[2035女]]</f>
        <v>57068838.881271116</v>
      </c>
      <c r="F15" s="6">
        <f>High_2041[[#This Row],[2040女]]</f>
        <v>53119169.099658825</v>
      </c>
      <c r="G15" s="6">
        <f>High_2041[[#This Row],[2045女]]</f>
        <v>42976835.422659449</v>
      </c>
      <c r="H15" s="6">
        <f>High_2041[[#This Row],[2050女]]</f>
        <v>45667871.801040195</v>
      </c>
      <c r="I15" s="6">
        <f>High_2041[[#This Row],[2055女]]</f>
        <v>57365727.459911808</v>
      </c>
      <c r="J15" s="6">
        <f>High_2041[[#This Row],[2060女]]</f>
        <v>41679205.600208335</v>
      </c>
      <c r="K15" s="8">
        <v>36337923</v>
      </c>
      <c r="L15" s="6">
        <f>High_2041[[#This Row],[2025男]]</f>
        <v>34585115.25</v>
      </c>
      <c r="M15" s="6">
        <f>High_2041[[#This Row],[2030男]]</f>
        <v>46017617.047615916</v>
      </c>
      <c r="N15" s="6">
        <f>High_2041[[#This Row],[2035男]]</f>
        <v>54442009.700080298</v>
      </c>
      <c r="O15" s="6">
        <f>High_2041[[#This Row],[2040男]]</f>
        <v>51577113.61127387</v>
      </c>
      <c r="P15" s="6">
        <f>High_2041[[#This Row],[2045男]]</f>
        <v>42287351.31100437</v>
      </c>
      <c r="Q15" s="6">
        <f>High_2041[[#This Row],[2050男]]</f>
        <v>45479841.662364863</v>
      </c>
      <c r="R15" s="6">
        <f>High_2041[[#This Row],[2055男]]</f>
        <v>57478919.111247271</v>
      </c>
      <c r="S15" s="6">
        <f>High_2041[[#This Row],[2060男]]</f>
        <v>43690669.232883126</v>
      </c>
      <c r="U15">
        <v>65</v>
      </c>
      <c r="V15" s="9">
        <f>(SUM(B$2:B15)+SUM(K$2:K15))/(SUM(B$2:B$22)+SUM(K$2:K$22))</f>
        <v>0.91727090357195662</v>
      </c>
      <c r="W15" s="9">
        <f>(SUM(C$2:C15)+SUM(L$2:L15))/(SUM(C$2:C$22)+SUM(L$2:L$22))</f>
        <v>0.88964558063713783</v>
      </c>
      <c r="X15" s="9">
        <f>(SUM(D$2:D15)+SUM(M$2:M15))/(SUM(D$2:D$22)+SUM(M$2:M$22))</f>
        <v>0.86789881893441734</v>
      </c>
      <c r="Y15" s="9">
        <f>(SUM(E$2:E15)+SUM(N$2:N15))/(SUM(E$2:E$22)+SUM(N$2:N$22))</f>
        <v>0.83350130789784505</v>
      </c>
      <c r="Z15" s="9">
        <f>(SUM(F$2:F15)+SUM(O$2:O15))/(SUM(F$2:F$22)+SUM(O$2:O$22))</f>
        <v>0.79270706375310807</v>
      </c>
      <c r="AA15" s="9">
        <f>(SUM(G$2:G15)+SUM(P$2:P15))/(SUM(G$2:G$22)+SUM(P$2:P$22))</f>
        <v>0.7617089412497341</v>
      </c>
      <c r="AB15" s="9">
        <f>(SUM(H$2:H15)+SUM(Q$2:Q15))/(SUM(H$2:H$22)+SUM(Q$2:Q$22))</f>
        <v>0.74793987433150344</v>
      </c>
      <c r="AC15" s="9">
        <f>(SUM(I$2:I15)+SUM(R$2:R15))/(SUM(I$2:I$22)+SUM(R$2:R$22))</f>
        <v>0.73273779676637529</v>
      </c>
      <c r="AD15" s="9">
        <f>(SUM(J$2:J15)+SUM(S$2:S15))/(SUM(J$2:J$22)+SUM(S$2:S$22))</f>
        <v>0.70308243911507562</v>
      </c>
    </row>
    <row r="16" spans="1:30" x14ac:dyDescent="0.2">
      <c r="A16" s="6" t="s">
        <v>31</v>
      </c>
      <c r="B16" s="7">
        <v>25427303</v>
      </c>
      <c r="C16" s="6">
        <f>High_2041[[#This Row],[2025女]]</f>
        <v>35780488.386299998</v>
      </c>
      <c r="D16" s="6">
        <f>High_2041[[#This Row],[2030女]]</f>
        <v>33949614.41351337</v>
      </c>
      <c r="E16" s="6">
        <f>High_2041[[#This Row],[2035女]]</f>
        <v>46654929.928423792</v>
      </c>
      <c r="F16" s="6">
        <f>High_2041[[#This Row],[2040女]]</f>
        <v>55293997.992063582</v>
      </c>
      <c r="G16" s="6">
        <f>High_2041[[#This Row],[2045女]]</f>
        <v>51711511.118517868</v>
      </c>
      <c r="H16" s="6">
        <f>High_2041[[#This Row],[2050女]]</f>
        <v>42005558.94210735</v>
      </c>
      <c r="I16" s="6">
        <f>High_2041[[#This Row],[2055女]]</f>
        <v>44786481.875280119</v>
      </c>
      <c r="J16" s="6">
        <f>High_2041[[#This Row],[2060女]]</f>
        <v>56424929.529569253</v>
      </c>
      <c r="K16" s="8">
        <v>24162733</v>
      </c>
      <c r="L16" s="6">
        <f>High_2041[[#This Row],[2025男]]</f>
        <v>32871285.145799998</v>
      </c>
      <c r="M16" s="6">
        <f>High_2041[[#This Row],[2030男]]</f>
        <v>31603878.315449998</v>
      </c>
      <c r="N16" s="6">
        <f>High_2041[[#This Row],[2035男]]</f>
        <v>42428242.917901874</v>
      </c>
      <c r="O16" s="6">
        <f>High_2041[[#This Row],[2040男]]</f>
        <v>50603848.016224638</v>
      </c>
      <c r="P16" s="6">
        <f>High_2041[[#This Row],[2045男]]</f>
        <v>48291651.474235728</v>
      </c>
      <c r="Q16" s="6">
        <f>High_2041[[#This Row],[2050男]]</f>
        <v>39851599.875490516</v>
      </c>
      <c r="R16" s="6">
        <f>High_2041[[#This Row],[2055男]]</f>
        <v>43110341.911755651</v>
      </c>
      <c r="S16" s="6">
        <f>High_2041[[#This Row],[2060男]]</f>
        <v>54771662.021107525</v>
      </c>
      <c r="U16">
        <v>70</v>
      </c>
      <c r="V16" s="9">
        <f>(SUM(B$2:B16)+SUM(K$2:K16))/(SUM(B$2:B$22)+SUM(K$2:K$22))</f>
        <v>0.95244666211887019</v>
      </c>
      <c r="W16" s="9">
        <f>(SUM(C$2:C16)+SUM(L$2:L16))/(SUM(C$2:C$22)+SUM(L$2:L$22))</f>
        <v>0.9378989509170883</v>
      </c>
      <c r="X16" s="9">
        <f>(SUM(D$2:D16)+SUM(M$2:M16))/(SUM(D$2:D$22)+SUM(M$2:M$22))</f>
        <v>0.91365539591600264</v>
      </c>
      <c r="Y16" s="9">
        <f>(SUM(E$2:E16)+SUM(N$2:N16))/(SUM(E$2:E$22)+SUM(N$2:N$22))</f>
        <v>0.89534501317971826</v>
      </c>
      <c r="Z16" s="9">
        <f>(SUM(F$2:F16)+SUM(O$2:O16))/(SUM(F$2:F$22)+SUM(O$2:O$22))</f>
        <v>0.86590744326402824</v>
      </c>
      <c r="AA16" s="9">
        <f>(SUM(G$2:G16)+SUM(P$2:P16))/(SUM(G$2:G$22)+SUM(P$2:P$22))</f>
        <v>0.83069879762940169</v>
      </c>
      <c r="AB16" s="9">
        <f>(SUM(H$2:H16)+SUM(Q$2:Q16))/(SUM(H$2:H$22)+SUM(Q$2:Q$22))</f>
        <v>0.80452804144927059</v>
      </c>
      <c r="AC16" s="9">
        <f>(SUM(I$2:I16)+SUM(R$2:R16))/(SUM(I$2:I$22)+SUM(R$2:R$22))</f>
        <v>0.79407302964989668</v>
      </c>
      <c r="AD16" s="9">
        <f>(SUM(J$2:J16)+SUM(S$2:S16))/(SUM(J$2:J$22)+SUM(S$2:S$22))</f>
        <v>0.78203132362913952</v>
      </c>
    </row>
    <row r="17" spans="1:30" x14ac:dyDescent="0.2">
      <c r="A17" s="6" t="s">
        <v>32</v>
      </c>
      <c r="B17" s="7">
        <v>16486416</v>
      </c>
      <c r="C17" s="6">
        <f>High_2041[[#This Row],[2025女]]</f>
        <v>23077820.202799998</v>
      </c>
      <c r="D17" s="6">
        <f>High_2041[[#This Row],[2030女]]</f>
        <v>33028968.829393528</v>
      </c>
      <c r="E17" s="6">
        <f>High_2041[[#This Row],[2035女]]</f>
        <v>31776839.091048516</v>
      </c>
      <c r="F17" s="6">
        <f>High_2041[[#This Row],[2040女]]</f>
        <v>44172887.656231642</v>
      </c>
      <c r="G17" s="6">
        <f>High_2041[[#This Row],[2045女]]</f>
        <v>52844473.881015167</v>
      </c>
      <c r="H17" s="6">
        <f>High_2041[[#This Row],[2050女]]</f>
        <v>49803356.358244553</v>
      </c>
      <c r="I17" s="6">
        <f>High_2041[[#This Row],[2055女]]</f>
        <v>40715988.28258466</v>
      </c>
      <c r="J17" s="6">
        <f>High_2041[[#This Row],[2060女]]</f>
        <v>43644426.587460481</v>
      </c>
      <c r="K17" s="8">
        <v>14752433</v>
      </c>
      <c r="L17" s="6">
        <f>High_2041[[#This Row],[2025男]]</f>
        <v>20429590.751499999</v>
      </c>
      <c r="M17" s="6">
        <f>High_2041[[#This Row],[2030男]]</f>
        <v>28292315.124990061</v>
      </c>
      <c r="N17" s="6">
        <f>High_2041[[#This Row],[2035男]]</f>
        <v>27634431.199029475</v>
      </c>
      <c r="O17" s="6">
        <f>High_2041[[#This Row],[2040男]]</f>
        <v>37625365.819595382</v>
      </c>
      <c r="P17" s="6">
        <f>High_2041[[#This Row],[2045男]]</f>
        <v>45437195.133768104</v>
      </c>
      <c r="Q17" s="6">
        <f>High_2041[[#This Row],[2050男]]</f>
        <v>43843990.373458616</v>
      </c>
      <c r="R17" s="6">
        <f>High_2041[[#This Row],[2055男]]</f>
        <v>36543917.085824803</v>
      </c>
      <c r="S17" s="6">
        <f>High_2041[[#This Row],[2060男]]</f>
        <v>39885688.336756326</v>
      </c>
      <c r="U17">
        <v>75</v>
      </c>
      <c r="V17" s="9">
        <f>(SUM(B$2:B17)+SUM(K$2:K17))/(SUM(B$2:B$22)+SUM(K$2:K$22))</f>
        <v>0.97460535161261241</v>
      </c>
      <c r="W17" s="9">
        <f>(SUM(C$2:C17)+SUM(L$2:L17))/(SUM(C$2:C$22)+SUM(L$2:L$22))</f>
        <v>0.96847906709891141</v>
      </c>
      <c r="X17" s="9">
        <f>(SUM(D$2:D17)+SUM(M$2:M17))/(SUM(D$2:D$22)+SUM(M$2:M$22))</f>
        <v>0.95645787573915164</v>
      </c>
      <c r="Y17" s="9">
        <f>(SUM(E$2:E17)+SUM(N$2:N17))/(SUM(E$2:E$22)+SUM(N$2:N$22))</f>
        <v>0.93658976202335842</v>
      </c>
      <c r="Z17" s="9">
        <f>(SUM(F$2:F17)+SUM(O$2:O17))/(SUM(F$2:F$22)+SUM(O$2:O$22))</f>
        <v>0.92244932228668897</v>
      </c>
      <c r="AA17" s="9">
        <f>(SUM(G$2:G17)+SUM(P$2:P17))/(SUM(G$2:G$22)+SUM(P$2:P$22))</f>
        <v>0.89850103562157557</v>
      </c>
      <c r="AB17" s="9">
        <f>(SUM(H$2:H17)+SUM(Q$2:Q17))/(SUM(H$2:H$22)+SUM(Q$2:Q$22))</f>
        <v>0.86926681058732003</v>
      </c>
      <c r="AC17" s="9">
        <f>(SUM(I$2:I17)+SUM(R$2:R17))/(SUM(I$2:I$22)+SUM(R$2:R$22))</f>
        <v>0.84798572050903032</v>
      </c>
      <c r="AD17" s="9">
        <f>(SUM(J$2:J17)+SUM(S$2:S17))/(SUM(J$2:J$22)+SUM(S$2:S$22))</f>
        <v>0.84133718278034397</v>
      </c>
    </row>
    <row r="18" spans="1:30" x14ac:dyDescent="0.2">
      <c r="A18" s="6" t="s">
        <v>33</v>
      </c>
      <c r="B18" s="7">
        <v>11225875</v>
      </c>
      <c r="C18" s="6">
        <f>High_2041[[#This Row],[2025女]]</f>
        <v>13715049.4704</v>
      </c>
      <c r="D18" s="6">
        <f>High_2041[[#This Row],[2030女]]</f>
        <v>19879234.322691921</v>
      </c>
      <c r="E18" s="6">
        <f>High_2041[[#This Row],[2035女]]</f>
        <v>29253757.692193851</v>
      </c>
      <c r="F18" s="6">
        <f>High_2041[[#This Row],[2040女]]</f>
        <v>28783460.848671749</v>
      </c>
      <c r="G18" s="6">
        <f>High_2041[[#This Row],[2045女]]</f>
        <v>40740654.28534244</v>
      </c>
      <c r="H18" s="6">
        <f>High_2041[[#This Row],[2050女]]</f>
        <v>49457143.105242088</v>
      </c>
      <c r="I18" s="6">
        <f>High_2041[[#This Row],[2055女]]</f>
        <v>47173739.142529242</v>
      </c>
      <c r="J18" s="6">
        <f>High_2041[[#This Row],[2060女]]</f>
        <v>38940771.193463966</v>
      </c>
      <c r="K18" s="8">
        <v>9157003</v>
      </c>
      <c r="L18" s="6">
        <f>High_2041[[#This Row],[2025男]]</f>
        <v>11083502.912899999</v>
      </c>
      <c r="M18" s="6">
        <f>High_2041[[#This Row],[2030男]]</f>
        <v>15869706.0957652</v>
      </c>
      <c r="N18" s="6">
        <f>High_2041[[#This Row],[2035男]]</f>
        <v>22628193.636967048</v>
      </c>
      <c r="O18" s="6">
        <f>High_2041[[#This Row],[2040男]]</f>
        <v>22668523.912563879</v>
      </c>
      <c r="P18" s="6">
        <f>High_2041[[#This Row],[2045男]]</f>
        <v>31560156.849476606</v>
      </c>
      <c r="Q18" s="6">
        <f>High_2041[[#This Row],[2050男]]</f>
        <v>38866976.717425242</v>
      </c>
      <c r="R18" s="6">
        <f>High_2041[[#This Row],[2055男]]</f>
        <v>38153040.422983684</v>
      </c>
      <c r="S18" s="6">
        <f>High_2041[[#This Row],[2060男]]</f>
        <v>32290205.137034796</v>
      </c>
      <c r="U18">
        <v>80</v>
      </c>
      <c r="V18" s="9">
        <f>(SUM(B$2:B18)+SUM(K$2:K18))/(SUM(B$2:B$22)+SUM(K$2:K$22))</f>
        <v>0.98906356243180193</v>
      </c>
      <c r="W18" s="9">
        <f>(SUM(C$2:C18)+SUM(L$2:L18))/(SUM(C$2:C$22)+SUM(L$2:L$22))</f>
        <v>0.98590926109089361</v>
      </c>
      <c r="X18" s="9">
        <f>(SUM(D$2:D18)+SUM(M$2:M18))/(SUM(D$2:D$22)+SUM(M$2:M$22))</f>
        <v>0.98141076651844827</v>
      </c>
      <c r="Y18" s="9">
        <f>(SUM(E$2:E18)+SUM(N$2:N18))/(SUM(E$2:E$22)+SUM(N$2:N$22))</f>
        <v>0.97260747451530249</v>
      </c>
      <c r="Z18" s="9">
        <f>(SUM(F$2:F18)+SUM(O$2:O18))/(SUM(F$2:F$22)+SUM(O$2:O$22))</f>
        <v>0.95801477477774122</v>
      </c>
      <c r="AA18" s="9">
        <f>(SUM(G$2:G18)+SUM(P$2:P18))/(SUM(G$2:G$22)+SUM(P$2:P$22))</f>
        <v>0.94837968392630512</v>
      </c>
      <c r="AB18" s="9">
        <f>(SUM(H$2:H18)+SUM(Q$2:Q18))/(SUM(H$2:H$22)+SUM(Q$2:Q$22))</f>
        <v>0.93032561259377666</v>
      </c>
      <c r="AC18" s="9">
        <f>(SUM(I$2:I18)+SUM(R$2:R18))/(SUM(I$2:I$22)+SUM(R$2:R$22))</f>
        <v>0.90752755228820714</v>
      </c>
      <c r="AD18" s="9">
        <f>(SUM(J$2:J18)+SUM(S$2:S18))/(SUM(J$2:J$22)+SUM(S$2:S$22))</f>
        <v>0.89191073045583769</v>
      </c>
    </row>
    <row r="19" spans="1:30" x14ac:dyDescent="0.2">
      <c r="A19" s="6" t="s">
        <v>34</v>
      </c>
      <c r="B19" s="7">
        <v>6400439</v>
      </c>
      <c r="C19" s="6">
        <f>High_2041[[#This Row],[2025女]]</f>
        <v>7876073.9000000004</v>
      </c>
      <c r="D19" s="6">
        <f>High_2041[[#This Row],[2030女]]</f>
        <v>10272572.0533296</v>
      </c>
      <c r="E19" s="6">
        <f>High_2041[[#This Row],[2035女]]</f>
        <v>15680740.033739386</v>
      </c>
      <c r="F19" s="6">
        <f>High_2041[[#This Row],[2040女]]</f>
        <v>24055364.950291004</v>
      </c>
      <c r="G19" s="6">
        <f>High_2041[[#This Row],[2045女]]</f>
        <v>24480333.451795325</v>
      </c>
      <c r="H19" s="6">
        <f>High_2041[[#This Row],[2050女]]</f>
        <v>35615479.976246357</v>
      </c>
      <c r="I19" s="6">
        <f>High_2041[[#This Row],[2055女]]</f>
        <v>44224577.364707477</v>
      </c>
      <c r="J19" s="6">
        <f>High_2041[[#This Row],[2060女]]</f>
        <v>42975276.358844139</v>
      </c>
      <c r="K19" s="8">
        <v>4426091</v>
      </c>
      <c r="L19" s="6">
        <f>High_2041[[#This Row],[2025男]]</f>
        <v>5560132.2215999998</v>
      </c>
      <c r="M19" s="6">
        <f>High_2041[[#This Row],[2030男]]</f>
        <v>7090116.8133821301</v>
      </c>
      <c r="N19" s="6">
        <f>High_2041[[#This Row],[2035男]]</f>
        <v>10624768.231114801</v>
      </c>
      <c r="O19" s="6">
        <f>High_2041[[#This Row],[2040男]]</f>
        <v>15769588.145602334</v>
      </c>
      <c r="P19" s="6">
        <f>High_2041[[#This Row],[2045男]]</f>
        <v>16366674.26487112</v>
      </c>
      <c r="Q19" s="6">
        <f>High_2041[[#This Row],[2050男]]</f>
        <v>23512316.852860071</v>
      </c>
      <c r="R19" s="6">
        <f>High_2041[[#This Row],[2055男]]</f>
        <v>29775990.863219477</v>
      </c>
      <c r="S19" s="6">
        <f>High_2041[[#This Row],[2060男]]</f>
        <v>29969213.252253681</v>
      </c>
      <c r="U19">
        <v>85</v>
      </c>
      <c r="V19" s="9">
        <f>(SUM(B$2:B19)+SUM(K$2:K19))/(SUM(B$2:B$22)+SUM(K$2:K$22))</f>
        <v>0.99674315768720601</v>
      </c>
      <c r="W19" s="9">
        <f>(SUM(C$2:C19)+SUM(L$2:L19))/(SUM(C$2:C$22)+SUM(L$2:L$22))</f>
        <v>0.99535318651024418</v>
      </c>
      <c r="X19" s="9">
        <f>(SUM(D$2:D19)+SUM(M$2:M19))/(SUM(D$2:D$22)+SUM(M$2:M$22))</f>
        <v>0.99352998666468462</v>
      </c>
      <c r="Y19" s="9">
        <f>(SUM(E$2:E19)+SUM(N$2:N19))/(SUM(E$2:E$22)+SUM(N$2:N$22))</f>
        <v>0.99086939815859165</v>
      </c>
      <c r="Z19" s="9">
        <f>(SUM(F$2:F19)+SUM(O$2:O19))/(SUM(F$2:F$22)+SUM(O$2:O$22))</f>
        <v>0.98554320704062059</v>
      </c>
      <c r="AA19" s="9">
        <f>(SUM(G$2:G19)+SUM(P$2:P19))/(SUM(G$2:G$22)+SUM(P$2:P$22))</f>
        <v>0.97655908468573871</v>
      </c>
      <c r="AB19" s="9">
        <f>(SUM(H$2:H19)+SUM(Q$2:Q19))/(SUM(H$2:H$22)+SUM(Q$2:Q$22))</f>
        <v>0.97120088479478972</v>
      </c>
      <c r="AC19" s="9">
        <f>(SUM(I$2:I19)+SUM(R$2:R19))/(SUM(I$2:I$22)+SUM(R$2:R$22))</f>
        <v>0.95916584694115037</v>
      </c>
      <c r="AD19" s="9">
        <f>(SUM(J$2:J19)+SUM(S$2:S19))/(SUM(J$2:J$22)+SUM(S$2:S$22))</f>
        <v>0.94370086184326707</v>
      </c>
    </row>
    <row r="20" spans="1:30" x14ac:dyDescent="0.2">
      <c r="A20" s="6" t="s">
        <v>35</v>
      </c>
      <c r="B20" s="7">
        <v>2285155</v>
      </c>
      <c r="C20" s="6">
        <f>High_2041[[#This Row],[2025女]]</f>
        <v>3358310.3433000003</v>
      </c>
      <c r="D20" s="6">
        <f>High_2041[[#This Row],[2030女]]</f>
        <v>4580724.58024</v>
      </c>
      <c r="E20" s="6">
        <f>High_2041[[#This Row],[2035女]]</f>
        <v>6489183.7660883088</v>
      </c>
      <c r="F20" s="6">
        <f>High_2041[[#This Row],[2040女]]</f>
        <v>10597044.114801077</v>
      </c>
      <c r="G20" s="6">
        <f>High_2041[[#This Row],[2045女]]</f>
        <v>17189963.793477952</v>
      </c>
      <c r="H20" s="6">
        <f>High_2041[[#This Row],[2050女]]</f>
        <v>18330873.688704338</v>
      </c>
      <c r="I20" s="6">
        <f>High_2041[[#This Row],[2055女]]</f>
        <v>27737335.805500664</v>
      </c>
      <c r="J20" s="6">
        <f>High_2041[[#This Row],[2060女]]</f>
        <v>35614052.151798934</v>
      </c>
      <c r="K20" s="8">
        <v>1367594</v>
      </c>
      <c r="L20" s="6">
        <f>High_2041[[#This Row],[2025男]]</f>
        <v>1951463.5219000001</v>
      </c>
      <c r="M20" s="6">
        <f>High_2041[[#This Row],[2030男]]</f>
        <v>2612150.11770768</v>
      </c>
      <c r="N20" s="6">
        <f>High_2041[[#This Row],[2035男]]</f>
        <v>3525206.0796135948</v>
      </c>
      <c r="O20" s="6">
        <f>High_2041[[#This Row],[2040男]]</f>
        <v>5558878.7385192635</v>
      </c>
      <c r="P20" s="6">
        <f>High_2041[[#This Row],[2045男]]</f>
        <v>8638580.3861609586</v>
      </c>
      <c r="Q20" s="6">
        <f>High_2041[[#This Row],[2050男]]</f>
        <v>9348644.3400943838</v>
      </c>
      <c r="R20" s="6">
        <f>High_2041[[#This Row],[2055男]]</f>
        <v>13949857.588801881</v>
      </c>
      <c r="S20" s="6">
        <f>High_2041[[#This Row],[2060男]]</f>
        <v>18291391.187275723</v>
      </c>
      <c r="U20">
        <v>90</v>
      </c>
      <c r="V20" s="9">
        <f>(SUM(B$2:B20)+SUM(K$2:K20))/(SUM(B$2:B$22)+SUM(K$2:K$22))</f>
        <v>0.99933416643050432</v>
      </c>
      <c r="W20" s="9">
        <f>(SUM(C$2:C20)+SUM(L$2:L20))/(SUM(C$2:C$22)+SUM(L$2:L$22))</f>
        <v>0.99908527486336596</v>
      </c>
      <c r="X20" s="9">
        <f>(SUM(D$2:D20)+SUM(M$2:M20))/(SUM(D$2:D$22)+SUM(M$2:M$22))</f>
        <v>0.99855063943442068</v>
      </c>
      <c r="Y20" s="9">
        <f>(SUM(E$2:E20)+SUM(N$2:N20))/(SUM(E$2:E$22)+SUM(N$2:N$22))</f>
        <v>0.99782163116070688</v>
      </c>
      <c r="Z20" s="9">
        <f>(SUM(F$2:F20)+SUM(O$2:O20))/(SUM(F$2:F$22)+SUM(O$2:O$22))</f>
        <v>0.99671075887278571</v>
      </c>
      <c r="AA20" s="9">
        <f>(SUM(G$2:G20)+SUM(P$2:P20))/(SUM(G$2:G$22)+SUM(P$2:P$22))</f>
        <v>0.99437759669326098</v>
      </c>
      <c r="AB20" s="9">
        <f>(SUM(H$2:H20)+SUM(Q$2:Q20))/(SUM(H$2:H$22)+SUM(Q$2:Q$22))</f>
        <v>0.99033584152402554</v>
      </c>
      <c r="AC20" s="9">
        <f>(SUM(I$2:I20)+SUM(R$2:R20))/(SUM(I$2:I$22)+SUM(R$2:R$22))</f>
        <v>0.98825556378114687</v>
      </c>
      <c r="AD20" s="9">
        <f>(SUM(J$2:J20)+SUM(S$2:S20))/(SUM(J$2:J$22)+SUM(S$2:S$22))</f>
        <v>0.98197338945861656</v>
      </c>
    </row>
    <row r="21" spans="1:30" x14ac:dyDescent="0.2">
      <c r="A21" s="6" t="s">
        <v>36</v>
      </c>
      <c r="B21" s="7">
        <v>548357</v>
      </c>
      <c r="C21" s="6">
        <f>High_2041[[#This Row],[2025女]]</f>
        <v>735819.91</v>
      </c>
      <c r="D21" s="6">
        <f>High_2041[[#This Row],[2030女]]</f>
        <v>1248283.9546046101</v>
      </c>
      <c r="E21" s="6">
        <f>High_2041[[#This Row],[2035女]]</f>
        <v>1913368.6571662482</v>
      </c>
      <c r="F21" s="6">
        <f>High_2041[[#This Row],[2040女]]</f>
        <v>2987620.205907057</v>
      </c>
      <c r="G21" s="6">
        <f>High_2041[[#This Row],[2045女]]</f>
        <v>5297462.3529890589</v>
      </c>
      <c r="H21" s="6">
        <f>High_2041[[#This Row],[2050女]]</f>
        <v>9222415.5752009209</v>
      </c>
      <c r="I21" s="6">
        <f>High_2041[[#This Row],[2055女]]</f>
        <v>10457763.439405825</v>
      </c>
      <c r="J21" s="6">
        <f>High_2041[[#This Row],[2060女]]</f>
        <v>16697876.154911399</v>
      </c>
      <c r="K21" s="8">
        <v>271455</v>
      </c>
      <c r="L21" s="6">
        <f>High_2041[[#This Row],[2025男]]</f>
        <v>385387.98920000001</v>
      </c>
      <c r="M21" s="6">
        <f>High_2041[[#This Row],[2030男]]</f>
        <v>580950.69046963006</v>
      </c>
      <c r="N21" s="6">
        <f>High_2041[[#This Row],[2035男]]</f>
        <v>818386.63187781617</v>
      </c>
      <c r="O21" s="6">
        <f>High_2041[[#This Row],[2040男]]</f>
        <v>1158382.7177610272</v>
      </c>
      <c r="P21" s="6">
        <f>High_2041[[#This Row],[2045男]]</f>
        <v>1909474.8466813671</v>
      </c>
      <c r="Q21" s="6">
        <f>High_2041[[#This Row],[2050男]]</f>
        <v>3093475.6362842391</v>
      </c>
      <c r="R21" s="6">
        <f>High_2041[[#This Row],[2055男]]</f>
        <v>3480500.2878171392</v>
      </c>
      <c r="S21" s="6">
        <f>High_2041[[#This Row],[2060男]]</f>
        <v>5388829.9865541663</v>
      </c>
      <c r="U21">
        <v>95</v>
      </c>
      <c r="V21" s="9">
        <f>(SUM(B$2:B21)+SUM(K$2:K21))/(SUM(B$2:B$22)+SUM(K$2:K$22))</f>
        <v>0.99991568464045</v>
      </c>
      <c r="W21" s="9">
        <f>(SUM(C$2:C21)+SUM(L$2:L21))/(SUM(C$2:C$22)+SUM(L$2:L$22))</f>
        <v>0.99987333986354554</v>
      </c>
      <c r="X21" s="9">
        <f>(SUM(D$2:D21)+SUM(M$2:M21))/(SUM(D$2:D$22)+SUM(M$2:M$22))</f>
        <v>0.99982745188743205</v>
      </c>
      <c r="Y21" s="9">
        <f>(SUM(E$2:E21)+SUM(N$2:N21))/(SUM(E$2:E$22)+SUM(N$2:N$22))</f>
        <v>0.99971808212445146</v>
      </c>
      <c r="Z21" s="9">
        <f>(SUM(F$2:F21)+SUM(O$2:O21))/(SUM(F$2:F$22)+SUM(O$2:O$22))</f>
        <v>0.99957662441118522</v>
      </c>
      <c r="AA21" s="9">
        <f>(SUM(G$2:G21)+SUM(P$2:P21))/(SUM(G$2:G$22)+SUM(P$2:P$22))</f>
        <v>0.99934949507578863</v>
      </c>
      <c r="AB21" s="9">
        <f>(SUM(H$2:H21)+SUM(Q$2:Q21))/(SUM(H$2:H$22)+SUM(Q$2:Q$22))</f>
        <v>0.99884986424539457</v>
      </c>
      <c r="AC21" s="9">
        <f>(SUM(I$2:I21)+SUM(R$2:R21))/(SUM(I$2:I$22)+SUM(R$2:R$22))</f>
        <v>0.99798181570775235</v>
      </c>
      <c r="AD21" s="9">
        <f>(SUM(J$2:J21)+SUM(S$2:S21))/(SUM(J$2:J$22)+SUM(S$2:S$22))</f>
        <v>0.99765481267619738</v>
      </c>
    </row>
    <row r="22" spans="1:30" x14ac:dyDescent="0.2">
      <c r="A22" s="6" t="s">
        <v>37</v>
      </c>
      <c r="B22" s="7">
        <v>83737</v>
      </c>
      <c r="C22" s="6">
        <f>High_2041[[#This Row],[2025女]]</f>
        <v>118719.2905</v>
      </c>
      <c r="D22" s="6">
        <f>High_2041[[#This Row],[2030女]]</f>
        <v>166810.37359700003</v>
      </c>
      <c r="E22" s="6">
        <f>High_2041[[#This Row],[2035女]]</f>
        <v>295593.64045037166</v>
      </c>
      <c r="F22" s="6">
        <f>High_2041[[#This Row],[2040女]]</f>
        <v>472219.38458863006</v>
      </c>
      <c r="G22" s="6">
        <f>High_2041[[#This Row],[2045女]]</f>
        <v>766623.34483575088</v>
      </c>
      <c r="H22" s="6">
        <f>High_2041[[#This Row],[2050女]]</f>
        <v>1410714.2246009863</v>
      </c>
      <c r="I22" s="6">
        <f>High_2041[[#This Row],[2055女]]</f>
        <v>2544464.4571979339</v>
      </c>
      <c r="J22" s="6">
        <f>High_2041[[#This Row],[2060女]]</f>
        <v>2983599.9092624821</v>
      </c>
      <c r="K22" s="8">
        <v>35129</v>
      </c>
      <c r="L22" s="6">
        <f>High_2041[[#This Row],[2025男]]</f>
        <v>61484.557500000003</v>
      </c>
      <c r="M22" s="6">
        <f>High_2041[[#This Row],[2030男]]</f>
        <v>80391.934547120007</v>
      </c>
      <c r="N22" s="6">
        <f>High_2041[[#This Row],[2035男]]</f>
        <v>110496.82132732365</v>
      </c>
      <c r="O22" s="6">
        <f>High_2041[[#This Row],[2040男]]</f>
        <v>140271.46870385768</v>
      </c>
      <c r="P22" s="6">
        <f>High_2041[[#This Row],[2045男]]</f>
        <v>176305.84964322834</v>
      </c>
      <c r="Q22" s="6">
        <f>High_2041[[#This Row],[2050男]]</f>
        <v>253005.41718528117</v>
      </c>
      <c r="R22" s="6">
        <f>High_2041[[#This Row],[2055男]]</f>
        <v>347706.6615183485</v>
      </c>
      <c r="S22" s="6">
        <f>High_2041[[#This Row],[2060男]]</f>
        <v>319509.92642161337</v>
      </c>
      <c r="U22">
        <v>100</v>
      </c>
      <c r="V22" s="9">
        <f>(SUM(B$2:B22)+SUM(K$2:K22))/(SUM(B$2:B$22)+SUM(K$2:K$22))</f>
        <v>1</v>
      </c>
      <c r="W22" s="9">
        <f>(SUM(C$2:C22)+SUM(L$2:L22))/(SUM(C$2:C$22)+SUM(L$2:L$22))</f>
        <v>1</v>
      </c>
      <c r="X22" s="9">
        <f>(SUM(D$2:D22)+SUM(M$2:M22))/(SUM(D$2:D$22)+SUM(M$2:M$22))</f>
        <v>1</v>
      </c>
      <c r="Y22" s="9">
        <f>(SUM(E$2:E22)+SUM(N$2:N22))/(SUM(E$2:E$22)+SUM(N$2:N$22))</f>
        <v>1</v>
      </c>
      <c r="Z22" s="9">
        <f>(SUM(F$2:F22)+SUM(O$2:O22))/(SUM(F$2:F$22)+SUM(O$2:O$22))</f>
        <v>1</v>
      </c>
      <c r="AA22" s="9">
        <f>(SUM(G$2:G22)+SUM(P$2:P22))/(SUM(G$2:G$22)+SUM(P$2:P$22))</f>
        <v>1</v>
      </c>
      <c r="AB22" s="9">
        <f>(SUM(H$2:H22)+SUM(Q$2:Q22))/(SUM(H$2:H$22)+SUM(Q$2:Q$22))</f>
        <v>1</v>
      </c>
      <c r="AC22" s="9">
        <f>(SUM(I$2:I22)+SUM(R$2:R22))/(SUM(I$2:I$22)+SUM(R$2:R$22))</f>
        <v>1</v>
      </c>
      <c r="AD22" s="9">
        <f>(SUM(J$2:J22)+SUM(S$2:S22))/(SUM(J$2:J$22)+SUM(S$2:S$22))</f>
        <v>1</v>
      </c>
    </row>
    <row r="23" spans="1:30" x14ac:dyDescent="0.2">
      <c r="U23" t="s">
        <v>91</v>
      </c>
      <c r="V23" s="3">
        <f>SUM(V24:V28)</f>
        <v>39.438162027158228</v>
      </c>
      <c r="W23" s="3">
        <f t="shared" ref="W23:AD23" si="0">SUM(W24:W28)</f>
        <v>41.860793424246822</v>
      </c>
      <c r="X23" s="3">
        <f t="shared" si="0"/>
        <v>44.318429295382522</v>
      </c>
      <c r="Y23" s="3">
        <f t="shared" si="0"/>
        <v>46.986905836513465</v>
      </c>
      <c r="Z23" s="3">
        <f t="shared" si="0"/>
        <v>49.233976073358676</v>
      </c>
      <c r="AA23" s="3">
        <f t="shared" si="0"/>
        <v>50.517519862971959</v>
      </c>
      <c r="AB23" s="3">
        <f t="shared" si="0"/>
        <v>50.838672365810517</v>
      </c>
      <c r="AC23" s="3">
        <f t="shared" si="0"/>
        <v>50.85873904139774</v>
      </c>
      <c r="AD23" s="3">
        <f t="shared" si="0"/>
        <v>51.471684813488224</v>
      </c>
    </row>
    <row r="24" spans="1:30" x14ac:dyDescent="0.2">
      <c r="B24">
        <v>2020</v>
      </c>
      <c r="C24">
        <v>2025</v>
      </c>
      <c r="D24">
        <v>2030</v>
      </c>
      <c r="E24">
        <v>2035</v>
      </c>
      <c r="F24">
        <v>2040</v>
      </c>
      <c r="G24">
        <v>2045</v>
      </c>
      <c r="H24">
        <v>2050</v>
      </c>
      <c r="I24">
        <v>2055</v>
      </c>
      <c r="J24">
        <v>2060</v>
      </c>
      <c r="V24">
        <f>((0.5-V8)/(V9-V8)*5)+$U9</f>
        <v>39.438162027158228</v>
      </c>
    </row>
    <row r="25" spans="1:30" x14ac:dyDescent="0.2">
      <c r="A25" s="1" t="s">
        <v>38</v>
      </c>
      <c r="B25" s="3">
        <f>SUM(B2:B22)/100000000</f>
        <v>6.8836233</v>
      </c>
      <c r="C25" s="3">
        <f t="shared" ref="C25:J25" si="1">SUM(C2:C22)/100000000</f>
        <v>6.9790683701625351</v>
      </c>
      <c r="D25" s="3">
        <f t="shared" si="1"/>
        <v>7.0635650817596591</v>
      </c>
      <c r="E25" s="3">
        <f t="shared" si="1"/>
        <v>7.1402714868159762</v>
      </c>
      <c r="F25" s="3">
        <f t="shared" si="1"/>
        <v>7.2102314262846017</v>
      </c>
      <c r="G25" s="3">
        <f t="shared" si="1"/>
        <v>7.2617775501823791</v>
      </c>
      <c r="H25" s="3">
        <f t="shared" si="1"/>
        <v>7.2802041913927571</v>
      </c>
      <c r="I25" s="3">
        <f t="shared" si="1"/>
        <v>7.2417757734462205</v>
      </c>
      <c r="J25" s="3">
        <f t="shared" si="1"/>
        <v>7.1414447118114888</v>
      </c>
      <c r="K25" s="3">
        <f t="shared" ref="K25:S25" si="2">SUM(K2:K22)/100000000</f>
        <v>7.2141639399999997</v>
      </c>
      <c r="L25" s="3">
        <f t="shared" si="2"/>
        <v>7.2482846901116638</v>
      </c>
      <c r="M25" s="3">
        <f t="shared" si="2"/>
        <v>7.2630076326602531</v>
      </c>
      <c r="N25" s="3">
        <f t="shared" si="2"/>
        <v>7.2642944169085064</v>
      </c>
      <c r="O25" s="3">
        <f t="shared" si="2"/>
        <v>7.2566124228637596</v>
      </c>
      <c r="P25" s="3">
        <f t="shared" si="2"/>
        <v>7.2335653655083325</v>
      </c>
      <c r="Q25" s="3">
        <f t="shared" si="2"/>
        <v>7.185215522103646</v>
      </c>
      <c r="R25" s="3">
        <f>SUM(R2:R22)/100000000</f>
        <v>7.0887842741460547</v>
      </c>
      <c r="S25" s="3">
        <f t="shared" si="2"/>
        <v>6.9431864055374293</v>
      </c>
      <c r="U25" s="1"/>
      <c r="V25" s="1"/>
      <c r="W25">
        <f t="shared" ref="W25:X25" si="3">((0.5-W9)/(W10-W9)*5)+$U10</f>
        <v>41.860793424246822</v>
      </c>
      <c r="X25">
        <f t="shared" si="3"/>
        <v>44.318429295382522</v>
      </c>
    </row>
    <row r="26" spans="1:30" x14ac:dyDescent="0.2">
      <c r="A26" s="1" t="s">
        <v>39</v>
      </c>
      <c r="B26" s="3">
        <f>K25</f>
        <v>7.2141639399999997</v>
      </c>
      <c r="C26" s="3">
        <f t="shared" ref="C26:J26" si="4">L25</f>
        <v>7.2482846901116638</v>
      </c>
      <c r="D26" s="3">
        <f t="shared" si="4"/>
        <v>7.2630076326602531</v>
      </c>
      <c r="E26" s="3">
        <f t="shared" si="4"/>
        <v>7.2642944169085064</v>
      </c>
      <c r="F26" s="3">
        <f t="shared" si="4"/>
        <v>7.2566124228637596</v>
      </c>
      <c r="G26" s="3">
        <f t="shared" si="4"/>
        <v>7.2335653655083325</v>
      </c>
      <c r="H26" s="3">
        <f t="shared" si="4"/>
        <v>7.185215522103646</v>
      </c>
      <c r="I26" s="3">
        <f t="shared" si="4"/>
        <v>7.0887842741460547</v>
      </c>
      <c r="J26" s="3">
        <f t="shared" si="4"/>
        <v>6.9431864055374293</v>
      </c>
      <c r="K26" s="1"/>
      <c r="L26" s="1"/>
      <c r="M26" s="1"/>
      <c r="N26" s="1"/>
      <c r="O26" s="1"/>
      <c r="P26" s="1"/>
      <c r="Q26" s="1"/>
      <c r="R26" s="1"/>
      <c r="S26" s="1"/>
      <c r="U26" s="1"/>
      <c r="V26" s="1"/>
      <c r="Y26">
        <f t="shared" ref="Y26:Z26" si="5">((0.5-Y10)/(Y11-Y10)*5)+$U11</f>
        <v>46.986905836513465</v>
      </c>
      <c r="Z26">
        <f t="shared" si="5"/>
        <v>49.233976073358676</v>
      </c>
    </row>
    <row r="27" spans="1:30" x14ac:dyDescent="0.2">
      <c r="A27" s="1" t="s">
        <v>40</v>
      </c>
      <c r="B27" s="3">
        <f>B25+B26</f>
        <v>14.097787239999999</v>
      </c>
      <c r="C27" s="3">
        <f t="shared" ref="C27:J27" si="6">C25+C26</f>
        <v>14.227353060274199</v>
      </c>
      <c r="D27" s="3">
        <f t="shared" si="6"/>
        <v>14.326572714419912</v>
      </c>
      <c r="E27" s="3">
        <f t="shared" si="6"/>
        <v>14.404565903724482</v>
      </c>
      <c r="F27" s="3">
        <f t="shared" si="6"/>
        <v>14.466843849148361</v>
      </c>
      <c r="G27" s="3">
        <f t="shared" si="6"/>
        <v>14.495342915690712</v>
      </c>
      <c r="H27" s="3">
        <f t="shared" si="6"/>
        <v>14.465419713496402</v>
      </c>
      <c r="I27" s="3">
        <f t="shared" si="6"/>
        <v>14.330560047592275</v>
      </c>
      <c r="J27" s="3">
        <f t="shared" si="6"/>
        <v>14.084631117348918</v>
      </c>
      <c r="K27" s="1"/>
      <c r="L27" s="1"/>
      <c r="M27" s="1"/>
      <c r="N27" s="1"/>
      <c r="O27" s="1"/>
      <c r="P27" s="1"/>
      <c r="Q27" s="1"/>
      <c r="R27" s="1"/>
      <c r="S27" s="1"/>
      <c r="AA27">
        <f>((0.5-AA11)/(AA12-AA11)*5)+$U12</f>
        <v>50.517519862971959</v>
      </c>
      <c r="AB27">
        <f t="shared" ref="AB27:AC27" si="7">((0.5-AB11)/(AB12-AB11)*5)+$U12</f>
        <v>50.838672365810517</v>
      </c>
      <c r="AC27">
        <f t="shared" si="7"/>
        <v>50.85873904139774</v>
      </c>
      <c r="AD27">
        <f t="shared" ref="AD27" si="8">((0.5-AD11)/(AD12-AD11)*5)+$U12</f>
        <v>51.471684813488224</v>
      </c>
    </row>
    <row r="28" spans="1:30" x14ac:dyDescent="0.2">
      <c r="A28" s="2" t="s">
        <v>41</v>
      </c>
      <c r="B28" s="2">
        <f>K25/B25</f>
        <v>1.0480184091421736</v>
      </c>
      <c r="C28" s="2">
        <f t="shared" ref="C28:J28" si="9">L25/C25</f>
        <v>1.0385748219776874</v>
      </c>
      <c r="D28" s="2">
        <f t="shared" si="9"/>
        <v>1.0282353951003604</v>
      </c>
      <c r="E28" s="2">
        <f t="shared" si="9"/>
        <v>1.0173694978295336</v>
      </c>
      <c r="F28" s="2">
        <f t="shared" si="9"/>
        <v>1.0064326640626371</v>
      </c>
      <c r="G28" s="2">
        <f t="shared" si="9"/>
        <v>0.99611497536531701</v>
      </c>
      <c r="H28" s="2">
        <f t="shared" si="9"/>
        <v>0.98695247182745038</v>
      </c>
      <c r="I28" s="2">
        <f t="shared" si="9"/>
        <v>0.97887375913223562</v>
      </c>
      <c r="J28" s="2">
        <f t="shared" si="9"/>
        <v>0.97223834752285443</v>
      </c>
      <c r="K28" s="2"/>
      <c r="L28" s="2"/>
      <c r="M28" s="2"/>
      <c r="N28" s="2"/>
      <c r="O28" s="2"/>
      <c r="P28" s="2"/>
      <c r="Q28" s="2"/>
      <c r="R28" s="2"/>
      <c r="S28" s="2"/>
    </row>
    <row r="29" spans="1:30" x14ac:dyDescent="0.2">
      <c r="A29" s="2" t="s">
        <v>42</v>
      </c>
      <c r="B29" s="2">
        <f>SUM(B15:B22)/(B25*10^8)</f>
        <v>0.14545380337706743</v>
      </c>
      <c r="C29" s="2">
        <f t="shared" ref="C29:J29" si="10">SUM(C15:C22)/(C25*10^8)</f>
        <v>0.1721235544614709</v>
      </c>
      <c r="D29" s="2">
        <f t="shared" si="10"/>
        <v>0.21454255346120638</v>
      </c>
      <c r="E29" s="2">
        <f t="shared" si="10"/>
        <v>0.26488243764904912</v>
      </c>
      <c r="F29" s="2">
        <f t="shared" si="10"/>
        <v>0.30440321714515545</v>
      </c>
      <c r="G29" s="2">
        <f t="shared" si="10"/>
        <v>0.32500012017678187</v>
      </c>
      <c r="H29" s="2">
        <f t="shared" si="10"/>
        <v>0.34547576834279753</v>
      </c>
      <c r="I29" s="2">
        <f t="shared" si="10"/>
        <v>0.37974950679292802</v>
      </c>
      <c r="J29" s="2">
        <f t="shared" si="10"/>
        <v>0.39062143409741296</v>
      </c>
      <c r="K29" s="2">
        <f t="shared" ref="K29:S29" si="11">SUM(K15:K22)/(K25*10^8)</f>
        <v>0.12546202408591231</v>
      </c>
      <c r="L29" s="2">
        <f t="shared" si="11"/>
        <v>0.14752174745050295</v>
      </c>
      <c r="M29" s="2">
        <f t="shared" si="11"/>
        <v>0.18194545954445823</v>
      </c>
      <c r="N29" s="2">
        <f t="shared" si="11"/>
        <v>0.22330005628674027</v>
      </c>
      <c r="O29" s="2">
        <f t="shared" si="11"/>
        <v>0.25508041720270819</v>
      </c>
      <c r="P29" s="2">
        <f t="shared" si="11"/>
        <v>0.26911679134617372</v>
      </c>
      <c r="Q29" s="2">
        <f t="shared" si="11"/>
        <v>0.28426405616760692</v>
      </c>
      <c r="R29" s="2">
        <f t="shared" si="11"/>
        <v>0.31435612273588692</v>
      </c>
      <c r="S29" s="2">
        <f t="shared" si="11"/>
        <v>0.32349292667867174</v>
      </c>
    </row>
    <row r="30" spans="1:30" x14ac:dyDescent="0.2">
      <c r="A30" s="2" t="s">
        <v>43</v>
      </c>
      <c r="B30" s="2">
        <f>K29</f>
        <v>0.12546202408591231</v>
      </c>
      <c r="C30" s="2">
        <f t="shared" ref="C30:J30" si="12">L29</f>
        <v>0.14752174745050295</v>
      </c>
      <c r="D30" s="2">
        <f t="shared" si="12"/>
        <v>0.18194545954445823</v>
      </c>
      <c r="E30" s="2">
        <f t="shared" si="12"/>
        <v>0.22330005628674027</v>
      </c>
      <c r="F30" s="2">
        <f t="shared" si="12"/>
        <v>0.25508041720270819</v>
      </c>
      <c r="G30" s="2">
        <f t="shared" si="12"/>
        <v>0.26911679134617372</v>
      </c>
      <c r="H30" s="2">
        <f t="shared" si="12"/>
        <v>0.28426405616760692</v>
      </c>
      <c r="I30" s="2">
        <f t="shared" si="12"/>
        <v>0.31435612273588692</v>
      </c>
      <c r="J30" s="2">
        <f t="shared" si="12"/>
        <v>0.32349292667867174</v>
      </c>
      <c r="K30" s="2"/>
      <c r="L30" s="2"/>
      <c r="M30" s="2"/>
      <c r="N30" s="2"/>
      <c r="O30" s="2"/>
      <c r="P30" s="2"/>
      <c r="Q30" s="2"/>
      <c r="R30" s="2"/>
      <c r="S30" s="2"/>
    </row>
    <row r="31" spans="1:30" x14ac:dyDescent="0.2">
      <c r="A31" s="2" t="s">
        <v>44</v>
      </c>
      <c r="B31" s="2">
        <f>(SUM(B15:B22)+SUM(K15:K22))/(B27*10^8)</f>
        <v>0.13522354732316133</v>
      </c>
      <c r="C31" s="2">
        <f t="shared" ref="C31:J31" si="13">(SUM(C15:C22)+SUM(L15:L22))/(C27*10^8)</f>
        <v>0.15958988777370234</v>
      </c>
      <c r="D31" s="2">
        <f t="shared" si="13"/>
        <v>0.19801711177747489</v>
      </c>
      <c r="E31" s="2">
        <f t="shared" si="13"/>
        <v>0.24391223536798784</v>
      </c>
      <c r="F31" s="2">
        <f t="shared" si="13"/>
        <v>0.27966275222240339</v>
      </c>
      <c r="G31" s="2">
        <f t="shared" si="13"/>
        <v>0.2971128384277707</v>
      </c>
      <c r="H31" s="2">
        <f t="shared" si="13"/>
        <v>0.31507088876330197</v>
      </c>
      <c r="I31" s="2">
        <f t="shared" si="13"/>
        <v>0.34740188108972803</v>
      </c>
      <c r="J31" s="2">
        <f t="shared" si="13"/>
        <v>0.35752963806452176</v>
      </c>
      <c r="K31" s="2"/>
      <c r="L31" s="2"/>
      <c r="M31" s="2"/>
      <c r="N31" s="2"/>
      <c r="O31" s="2"/>
      <c r="P31" s="2"/>
      <c r="Q31" s="2"/>
      <c r="R31" s="2"/>
      <c r="S31" s="2"/>
    </row>
    <row r="32" spans="1:30" x14ac:dyDescent="0.2">
      <c r="A32" s="2" t="s">
        <v>45</v>
      </c>
      <c r="B32">
        <v>1200</v>
      </c>
      <c r="C32" s="1">
        <f>(C2+L2)/50000</f>
        <v>1180.4343156804002</v>
      </c>
      <c r="D32" s="1">
        <f t="shared" ref="D32:J32" si="14">(D2+M2)/50000</f>
        <v>1200.195588824166</v>
      </c>
      <c r="E32" s="1">
        <f t="shared" si="14"/>
        <v>1258.87612678029</v>
      </c>
      <c r="F32" s="1">
        <f t="shared" si="14"/>
        <v>1345.7932262384591</v>
      </c>
      <c r="G32" s="1">
        <f t="shared" si="14"/>
        <v>1404.1219751638628</v>
      </c>
      <c r="H32" s="1">
        <f t="shared" si="14"/>
        <v>1412.0738703191557</v>
      </c>
      <c r="I32" s="1">
        <f t="shared" si="14"/>
        <v>1321.5675717380434</v>
      </c>
      <c r="J32" s="1">
        <f t="shared" si="14"/>
        <v>1206.5971049500458</v>
      </c>
    </row>
    <row r="33" spans="1:19" x14ac:dyDescent="0.2">
      <c r="A33" s="2" t="s">
        <v>46</v>
      </c>
      <c r="B33">
        <v>996</v>
      </c>
      <c r="C33" s="1">
        <f>(SUM(B2:B22)-SUM(C3:C22)+SUM(K2:K22)-SUM(L3:L22))/50000</f>
        <v>921.30267513200045</v>
      </c>
      <c r="D33" s="1">
        <f t="shared" ref="D33:J33" si="15">(SUM(C2:C22)-SUM(D3:D22)+SUM(L2:L22)-SUM(M3:M22))/50000</f>
        <v>1001.7562805327392</v>
      </c>
      <c r="E33" s="1">
        <f t="shared" si="15"/>
        <v>1102.8897481711506</v>
      </c>
      <c r="F33" s="1">
        <f t="shared" si="15"/>
        <v>1221.2373353906989</v>
      </c>
      <c r="G33" s="1">
        <f t="shared" si="15"/>
        <v>1347.1238420791626</v>
      </c>
      <c r="H33" s="1">
        <f t="shared" si="15"/>
        <v>1471.9202747077752</v>
      </c>
      <c r="I33" s="1">
        <f t="shared" si="15"/>
        <v>1591.2869035462975</v>
      </c>
      <c r="J33" s="1">
        <f t="shared" si="15"/>
        <v>1698.4549654367613</v>
      </c>
    </row>
    <row r="35" spans="1:19" x14ac:dyDescent="0.2">
      <c r="B35">
        <v>2020</v>
      </c>
      <c r="C35">
        <v>2025</v>
      </c>
      <c r="D35">
        <v>2030</v>
      </c>
      <c r="E35">
        <v>2035</v>
      </c>
      <c r="F35">
        <v>2040</v>
      </c>
      <c r="G35">
        <v>2045</v>
      </c>
      <c r="H35">
        <v>2050</v>
      </c>
      <c r="I35">
        <v>2055</v>
      </c>
      <c r="J35">
        <v>2060</v>
      </c>
      <c r="K35">
        <v>2020</v>
      </c>
      <c r="L35">
        <v>2025</v>
      </c>
      <c r="M35">
        <v>2030</v>
      </c>
      <c r="N35">
        <v>2035</v>
      </c>
      <c r="O35">
        <v>2040</v>
      </c>
      <c r="P35">
        <v>2045</v>
      </c>
      <c r="Q35">
        <v>2050</v>
      </c>
      <c r="R35">
        <v>2055</v>
      </c>
      <c r="S35">
        <v>2060</v>
      </c>
    </row>
    <row r="36" spans="1:19" x14ac:dyDescent="0.2">
      <c r="A36" s="2" t="s">
        <v>49</v>
      </c>
      <c r="B36" s="4">
        <f>SUM(B2:B4)/10000</f>
        <v>11879.035900000001</v>
      </c>
      <c r="C36" s="4">
        <f t="shared" ref="C36:S36" si="16">SUM(C2:C4)/10000</f>
        <v>10779.562503635365</v>
      </c>
      <c r="D36" s="4">
        <f t="shared" si="16"/>
        <v>9476.8949267698954</v>
      </c>
      <c r="E36" s="4">
        <f t="shared" si="16"/>
        <v>8859.4432257593344</v>
      </c>
      <c r="F36" s="4">
        <f t="shared" si="16"/>
        <v>9262.8118494953505</v>
      </c>
      <c r="G36" s="4">
        <f t="shared" si="16"/>
        <v>9760.1256730923087</v>
      </c>
      <c r="H36" s="4">
        <f t="shared" si="16"/>
        <v>10133.785286079357</v>
      </c>
      <c r="I36" s="4">
        <f t="shared" si="16"/>
        <v>10074.940314522457</v>
      </c>
      <c r="J36" s="4">
        <f t="shared" si="16"/>
        <v>9594.2943429696643</v>
      </c>
      <c r="K36" s="4">
        <f t="shared" si="16"/>
        <v>13459.357900000001</v>
      </c>
      <c r="L36" s="4">
        <f t="shared" si="16"/>
        <v>11902.601379726633</v>
      </c>
      <c r="M36" s="4">
        <f t="shared" si="16"/>
        <v>10166.086770853321</v>
      </c>
      <c r="N36" s="4">
        <f t="shared" si="16"/>
        <v>9298.765157776159</v>
      </c>
      <c r="O36" s="4">
        <f t="shared" si="16"/>
        <v>9722.8204105624445</v>
      </c>
      <c r="P36" s="4">
        <f t="shared" si="16"/>
        <v>10245.142846784946</v>
      </c>
      <c r="Q36" s="4">
        <f t="shared" si="16"/>
        <v>10637.314322799519</v>
      </c>
      <c r="R36" s="4">
        <f t="shared" si="16"/>
        <v>10575.805921529356</v>
      </c>
      <c r="S36" s="4">
        <f t="shared" si="16"/>
        <v>10071.909148866274</v>
      </c>
    </row>
    <row r="37" spans="1:19" x14ac:dyDescent="0.2">
      <c r="A37" s="2" t="s">
        <v>50</v>
      </c>
      <c r="B37" s="4">
        <f>SUM(B5:B14)/10000</f>
        <v>46944.705199999997</v>
      </c>
      <c r="C37" s="4">
        <f t="shared" ref="C37:S37" si="17">SUM(C5:C14)/10000</f>
        <v>46998.500650969996</v>
      </c>
      <c r="D37" s="4">
        <f t="shared" si="17"/>
        <v>46004.402999025355</v>
      </c>
      <c r="E37" s="4">
        <f t="shared" si="17"/>
        <v>43629.946473362274</v>
      </c>
      <c r="F37" s="4">
        <f t="shared" si="17"/>
        <v>40891.325988129305</v>
      </c>
      <c r="G37" s="4">
        <f t="shared" si="17"/>
        <v>39256.864063668181</v>
      </c>
      <c r="H37" s="4">
        <f t="shared" si="17"/>
        <v>37516.915260709524</v>
      </c>
      <c r="I37" s="4">
        <f t="shared" si="17"/>
        <v>34842.209637227978</v>
      </c>
      <c r="J37" s="4">
        <f t="shared" si="17"/>
        <v>33924.139026593315</v>
      </c>
      <c r="K37" s="4">
        <f t="shared" si="17"/>
        <v>49631.2454</v>
      </c>
      <c r="L37" s="4">
        <f t="shared" si="17"/>
        <v>49887.449286349998</v>
      </c>
      <c r="M37" s="4">
        <f t="shared" si="17"/>
        <v>49249.276941756441</v>
      </c>
      <c r="N37" s="4">
        <f t="shared" si="17"/>
        <v>47123.005489517687</v>
      </c>
      <c r="O37" s="4">
        <f t="shared" si="17"/>
        <v>44333.106575050726</v>
      </c>
      <c r="P37" s="4">
        <f t="shared" si="17"/>
        <v>42623.771796714238</v>
      </c>
      <c r="Q37" s="4">
        <f t="shared" si="17"/>
        <v>40789.855810720619</v>
      </c>
      <c r="R37" s="4">
        <f t="shared" si="17"/>
        <v>38028.009426614371</v>
      </c>
      <c r="S37" s="4">
        <f t="shared" si="17"/>
        <v>36899.237998479315</v>
      </c>
    </row>
    <row r="38" spans="1:19" x14ac:dyDescent="0.2">
      <c r="A38" s="2" t="s">
        <v>51</v>
      </c>
      <c r="B38" s="4">
        <f>SUM(B15:B22)/10000</f>
        <v>10012.491900000001</v>
      </c>
      <c r="C38" s="4">
        <f t="shared" ref="C38:S38" si="18">SUM(C15:C22)/10000</f>
        <v>12012.62054702</v>
      </c>
      <c r="D38" s="4">
        <f t="shared" si="18"/>
        <v>15154.352891801322</v>
      </c>
      <c r="E38" s="4">
        <f t="shared" si="18"/>
        <v>18913.325169038158</v>
      </c>
      <c r="F38" s="4">
        <f t="shared" si="18"/>
        <v>21948.176425221358</v>
      </c>
      <c r="G38" s="4">
        <f t="shared" si="18"/>
        <v>23600.785765063301</v>
      </c>
      <c r="H38" s="4">
        <f t="shared" si="18"/>
        <v>25151.341367138677</v>
      </c>
      <c r="I38" s="4">
        <f t="shared" si="18"/>
        <v>27500.60778271177</v>
      </c>
      <c r="J38" s="4">
        <f t="shared" si="18"/>
        <v>27896.013748551901</v>
      </c>
      <c r="K38" s="4">
        <f t="shared" si="18"/>
        <v>9051.0360999999994</v>
      </c>
      <c r="L38" s="4">
        <f t="shared" si="18"/>
        <v>10692.796235039999</v>
      </c>
      <c r="M38" s="4">
        <f t="shared" si="18"/>
        <v>13214.712613992775</v>
      </c>
      <c r="N38" s="4">
        <f t="shared" si="18"/>
        <v>16221.173521791226</v>
      </c>
      <c r="O38" s="4">
        <f t="shared" si="18"/>
        <v>18510.197243024431</v>
      </c>
      <c r="P38" s="4">
        <f t="shared" si="18"/>
        <v>19466.739011584148</v>
      </c>
      <c r="Q38" s="4">
        <f t="shared" si="18"/>
        <v>20424.985087516321</v>
      </c>
      <c r="R38" s="4">
        <f t="shared" si="18"/>
        <v>22284.027393316825</v>
      </c>
      <c r="S38" s="4">
        <f t="shared" si="18"/>
        <v>22460.716908028699</v>
      </c>
    </row>
    <row r="39" spans="1:19" x14ac:dyDescent="0.2">
      <c r="A39" s="2" t="s">
        <v>89</v>
      </c>
      <c r="B39">
        <f>(B36+K36)/(B37+K37)*100</f>
        <v>26.236753190188121</v>
      </c>
      <c r="C39">
        <f t="shared" ref="C39:J39" si="19">(C36+L36)/(C37+L37)*100</f>
        <v>23.411200383581047</v>
      </c>
      <c r="D39">
        <f t="shared" si="19"/>
        <v>20.621756251133867</v>
      </c>
      <c r="E39">
        <f t="shared" si="19"/>
        <v>20.008394207345031</v>
      </c>
      <c r="F39">
        <f t="shared" si="19"/>
        <v>22.277217564321173</v>
      </c>
      <c r="G39">
        <f t="shared" si="19"/>
        <v>24.432233958208318</v>
      </c>
      <c r="H39">
        <f t="shared" si="19"/>
        <v>26.525291906024091</v>
      </c>
      <c r="I39">
        <f t="shared" si="19"/>
        <v>28.339075278419951</v>
      </c>
      <c r="J39">
        <f t="shared" si="19"/>
        <v>27.767955042406093</v>
      </c>
    </row>
    <row r="40" spans="1:19" x14ac:dyDescent="0.2">
      <c r="A40" s="2" t="s">
        <v>90</v>
      </c>
      <c r="B40">
        <f>(B38+K38)/(B37+K37)*100</f>
        <v>19.739415332247319</v>
      </c>
      <c r="C40">
        <f t="shared" ref="C40:J40" si="20">(C38+L38)/(C37+L37)*100</f>
        <v>23.435200662995186</v>
      </c>
      <c r="D40">
        <f t="shared" si="20"/>
        <v>29.782645167547173</v>
      </c>
      <c r="E40">
        <f t="shared" si="20"/>
        <v>38.7144417133673</v>
      </c>
      <c r="F40">
        <f t="shared" si="20"/>
        <v>47.47274044711591</v>
      </c>
      <c r="G40">
        <f t="shared" si="20"/>
        <v>52.59793640352698</v>
      </c>
      <c r="H40">
        <f t="shared" si="20"/>
        <v>58.202280378897278</v>
      </c>
      <c r="I40">
        <f t="shared" si="20"/>
        <v>68.319590383571864</v>
      </c>
      <c r="J40">
        <f t="shared" si="20"/>
        <v>71.101849095325534</v>
      </c>
    </row>
  </sheetData>
  <phoneticPr fontId="1" type="noConversion"/>
  <conditionalFormatting sqref="V2:AD22">
    <cfRule type="cellIs" dxfId="21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6E57-9D33-4BB5-97AB-D222DF5845D3}">
  <dimension ref="A3:BT17"/>
  <sheetViews>
    <sheetView workbookViewId="0">
      <selection activeCell="A13" sqref="A13:XFD13"/>
    </sheetView>
  </sheetViews>
  <sheetFormatPr defaultRowHeight="14.25" x14ac:dyDescent="0.2"/>
  <cols>
    <col min="1" max="1" width="20.75" bestFit="1" customWidth="1"/>
    <col min="9" max="10" width="9" style="1"/>
    <col min="71" max="71" width="9" customWidth="1"/>
  </cols>
  <sheetData>
    <row r="3" spans="1:72" x14ac:dyDescent="0.2">
      <c r="A3" t="s">
        <v>54</v>
      </c>
      <c r="B3">
        <v>1950</v>
      </c>
      <c r="C3">
        <v>1951</v>
      </c>
      <c r="D3">
        <v>1952</v>
      </c>
      <c r="E3">
        <v>1953</v>
      </c>
      <c r="F3">
        <v>1954</v>
      </c>
      <c r="G3">
        <v>1955</v>
      </c>
      <c r="H3">
        <v>1956</v>
      </c>
      <c r="I3">
        <v>1957</v>
      </c>
      <c r="J3">
        <v>1958</v>
      </c>
      <c r="K3">
        <v>1959</v>
      </c>
      <c r="L3">
        <v>1960</v>
      </c>
      <c r="M3">
        <v>1961</v>
      </c>
      <c r="N3">
        <v>1962</v>
      </c>
      <c r="O3">
        <v>1963</v>
      </c>
      <c r="P3">
        <v>1964</v>
      </c>
      <c r="Q3">
        <v>1965</v>
      </c>
      <c r="R3">
        <v>1966</v>
      </c>
      <c r="S3">
        <v>1967</v>
      </c>
      <c r="T3">
        <v>1968</v>
      </c>
      <c r="U3">
        <v>1969</v>
      </c>
      <c r="V3">
        <v>1970</v>
      </c>
      <c r="W3">
        <v>1971</v>
      </c>
      <c r="X3">
        <v>1972</v>
      </c>
      <c r="Y3">
        <v>1973</v>
      </c>
      <c r="Z3">
        <v>1974</v>
      </c>
      <c r="AA3">
        <v>1975</v>
      </c>
      <c r="AB3">
        <v>1976</v>
      </c>
      <c r="AC3">
        <v>1977</v>
      </c>
      <c r="AD3">
        <v>1978</v>
      </c>
      <c r="AE3">
        <v>1979</v>
      </c>
      <c r="AF3">
        <v>1980</v>
      </c>
      <c r="AG3">
        <v>1981</v>
      </c>
      <c r="AH3">
        <v>1982</v>
      </c>
      <c r="AI3">
        <v>1983</v>
      </c>
      <c r="AJ3">
        <v>1984</v>
      </c>
      <c r="AK3">
        <v>1985</v>
      </c>
      <c r="AL3">
        <v>1986</v>
      </c>
      <c r="AM3">
        <v>1987</v>
      </c>
      <c r="AN3">
        <v>1988</v>
      </c>
      <c r="AO3">
        <v>1989</v>
      </c>
      <c r="AP3">
        <v>1990</v>
      </c>
      <c r="AQ3">
        <v>1991</v>
      </c>
      <c r="AR3">
        <v>1992</v>
      </c>
      <c r="AS3">
        <v>1993</v>
      </c>
      <c r="AT3">
        <v>1994</v>
      </c>
      <c r="AU3">
        <v>1995</v>
      </c>
      <c r="AV3">
        <v>1996</v>
      </c>
      <c r="AW3">
        <v>1997</v>
      </c>
      <c r="AX3">
        <v>1998</v>
      </c>
      <c r="AY3">
        <v>1999</v>
      </c>
      <c r="AZ3">
        <v>2000</v>
      </c>
      <c r="BA3">
        <v>2001</v>
      </c>
      <c r="BB3">
        <v>2002</v>
      </c>
      <c r="BC3">
        <v>2003</v>
      </c>
      <c r="BD3">
        <v>2004</v>
      </c>
      <c r="BE3">
        <v>2005</v>
      </c>
      <c r="BF3">
        <v>2006</v>
      </c>
      <c r="BG3">
        <v>2007</v>
      </c>
      <c r="BH3">
        <v>2008</v>
      </c>
      <c r="BI3">
        <v>2009</v>
      </c>
      <c r="BJ3">
        <v>2010</v>
      </c>
      <c r="BK3">
        <v>2011</v>
      </c>
      <c r="BL3">
        <v>2012</v>
      </c>
      <c r="BM3">
        <v>2013</v>
      </c>
      <c r="BN3">
        <v>2014</v>
      </c>
      <c r="BO3">
        <v>2015</v>
      </c>
      <c r="BP3">
        <v>2016</v>
      </c>
      <c r="BQ3">
        <v>2017</v>
      </c>
      <c r="BR3">
        <v>2018</v>
      </c>
      <c r="BS3">
        <v>2019</v>
      </c>
      <c r="BT3">
        <v>2020</v>
      </c>
    </row>
    <row r="4" spans="1:72" x14ac:dyDescent="0.2">
      <c r="A4" t="s">
        <v>55</v>
      </c>
      <c r="B4">
        <v>55196</v>
      </c>
      <c r="C4">
        <v>56300</v>
      </c>
      <c r="D4">
        <v>57482</v>
      </c>
      <c r="E4">
        <v>58796</v>
      </c>
      <c r="F4">
        <v>60266</v>
      </c>
      <c r="G4">
        <v>61465</v>
      </c>
      <c r="H4">
        <v>62828</v>
      </c>
      <c r="I4">
        <v>64653</v>
      </c>
      <c r="J4">
        <v>65994</v>
      </c>
      <c r="K4">
        <v>67207</v>
      </c>
      <c r="L4">
        <v>66207</v>
      </c>
      <c r="M4">
        <v>65859</v>
      </c>
      <c r="N4">
        <v>67296</v>
      </c>
      <c r="O4">
        <v>69172</v>
      </c>
      <c r="P4">
        <v>70499</v>
      </c>
      <c r="Q4">
        <v>72538</v>
      </c>
      <c r="R4">
        <v>74542</v>
      </c>
      <c r="S4">
        <v>76368</v>
      </c>
      <c r="T4">
        <v>78534</v>
      </c>
      <c r="U4">
        <v>80671</v>
      </c>
      <c r="V4">
        <v>82992</v>
      </c>
      <c r="W4">
        <v>85229</v>
      </c>
      <c r="X4">
        <v>87177</v>
      </c>
      <c r="Y4">
        <v>89211</v>
      </c>
      <c r="Z4">
        <v>90859</v>
      </c>
      <c r="AA4">
        <v>92420</v>
      </c>
      <c r="AB4">
        <v>93717</v>
      </c>
      <c r="AC4">
        <v>94974</v>
      </c>
      <c r="AD4">
        <v>96259</v>
      </c>
      <c r="AE4">
        <v>97542</v>
      </c>
      <c r="AF4">
        <v>98705</v>
      </c>
      <c r="AG4">
        <v>100072</v>
      </c>
      <c r="AH4">
        <v>101654</v>
      </c>
      <c r="AI4">
        <v>103008</v>
      </c>
      <c r="AJ4">
        <v>104357</v>
      </c>
      <c r="AK4">
        <v>105851</v>
      </c>
      <c r="AL4">
        <v>107507</v>
      </c>
      <c r="AM4">
        <v>109300</v>
      </c>
      <c r="AN4">
        <v>111026</v>
      </c>
      <c r="AO4">
        <v>112704</v>
      </c>
      <c r="AP4">
        <v>114333</v>
      </c>
      <c r="AQ4">
        <v>115823</v>
      </c>
      <c r="AR4">
        <v>117171</v>
      </c>
      <c r="AS4">
        <v>118517</v>
      </c>
      <c r="AT4">
        <v>119850</v>
      </c>
      <c r="AU4">
        <v>121121</v>
      </c>
      <c r="AV4">
        <v>122389</v>
      </c>
      <c r="AW4">
        <v>123626</v>
      </c>
      <c r="AX4">
        <v>124761</v>
      </c>
      <c r="AY4">
        <v>125786</v>
      </c>
      <c r="AZ4">
        <v>126743</v>
      </c>
      <c r="BA4">
        <v>127627</v>
      </c>
      <c r="BB4">
        <v>128453</v>
      </c>
      <c r="BC4">
        <v>129227</v>
      </c>
      <c r="BD4">
        <v>129988</v>
      </c>
      <c r="BE4">
        <v>130756</v>
      </c>
      <c r="BF4">
        <v>131448</v>
      </c>
      <c r="BG4">
        <v>132129</v>
      </c>
      <c r="BH4">
        <v>132802</v>
      </c>
      <c r="BI4">
        <v>133450</v>
      </c>
      <c r="BJ4">
        <v>134091</v>
      </c>
      <c r="BK4">
        <v>134916</v>
      </c>
      <c r="BL4">
        <v>135922</v>
      </c>
      <c r="BM4">
        <v>136726</v>
      </c>
      <c r="BN4">
        <v>137646</v>
      </c>
      <c r="BO4">
        <v>138326</v>
      </c>
      <c r="BP4">
        <v>139232</v>
      </c>
      <c r="BQ4">
        <v>140011</v>
      </c>
      <c r="BR4">
        <v>140541</v>
      </c>
      <c r="BS4">
        <v>141008</v>
      </c>
      <c r="BT4">
        <v>141212</v>
      </c>
    </row>
    <row r="5" spans="1:72" x14ac:dyDescent="0.2">
      <c r="A5" t="s">
        <v>56</v>
      </c>
      <c r="B5">
        <v>28669</v>
      </c>
      <c r="C5">
        <v>29231</v>
      </c>
      <c r="D5">
        <v>29833</v>
      </c>
      <c r="E5">
        <v>30468</v>
      </c>
      <c r="F5">
        <v>31242</v>
      </c>
      <c r="G5">
        <v>31809</v>
      </c>
      <c r="H5">
        <v>32536</v>
      </c>
      <c r="I5">
        <v>33469</v>
      </c>
      <c r="J5">
        <v>34195</v>
      </c>
      <c r="K5">
        <v>34890</v>
      </c>
      <c r="L5">
        <v>34283</v>
      </c>
      <c r="M5">
        <v>33880</v>
      </c>
      <c r="N5">
        <v>34517</v>
      </c>
      <c r="O5">
        <v>35533</v>
      </c>
      <c r="P5">
        <v>36142</v>
      </c>
      <c r="Q5">
        <v>37128</v>
      </c>
      <c r="R5">
        <v>38189</v>
      </c>
      <c r="S5">
        <v>39115</v>
      </c>
      <c r="T5">
        <v>40226</v>
      </c>
      <c r="U5">
        <v>41289</v>
      </c>
      <c r="V5">
        <v>42686</v>
      </c>
      <c r="W5">
        <v>43819</v>
      </c>
      <c r="X5">
        <v>44813</v>
      </c>
      <c r="Y5">
        <v>45876</v>
      </c>
      <c r="Z5">
        <v>46727</v>
      </c>
      <c r="AA5">
        <v>47564</v>
      </c>
      <c r="AB5">
        <v>48257</v>
      </c>
      <c r="AC5">
        <v>48908</v>
      </c>
      <c r="AD5">
        <v>49567</v>
      </c>
      <c r="AE5">
        <v>50192</v>
      </c>
      <c r="AF5">
        <v>50785</v>
      </c>
      <c r="AG5">
        <v>51519</v>
      </c>
      <c r="AH5">
        <v>52352</v>
      </c>
      <c r="AI5">
        <v>53152</v>
      </c>
      <c r="AJ5">
        <v>53848</v>
      </c>
      <c r="AK5">
        <v>54725</v>
      </c>
      <c r="AL5">
        <v>55581</v>
      </c>
      <c r="AM5">
        <v>56290</v>
      </c>
      <c r="AN5">
        <v>57201</v>
      </c>
      <c r="AO5">
        <v>58099</v>
      </c>
      <c r="AP5">
        <v>58904</v>
      </c>
      <c r="AQ5">
        <v>59466</v>
      </c>
      <c r="AR5">
        <v>59811</v>
      </c>
      <c r="AS5">
        <v>60472</v>
      </c>
      <c r="AT5">
        <v>61246</v>
      </c>
      <c r="AU5">
        <v>61808</v>
      </c>
      <c r="AV5">
        <v>62200</v>
      </c>
      <c r="AW5">
        <v>63131</v>
      </c>
      <c r="AX5">
        <v>63940</v>
      </c>
      <c r="AY5">
        <v>64692</v>
      </c>
      <c r="AZ5">
        <v>65437</v>
      </c>
      <c r="BA5">
        <v>65672</v>
      </c>
      <c r="BB5">
        <v>66115</v>
      </c>
      <c r="BC5">
        <v>66556</v>
      </c>
      <c r="BD5">
        <v>66976</v>
      </c>
      <c r="BE5">
        <v>67375</v>
      </c>
      <c r="BF5">
        <v>67728</v>
      </c>
      <c r="BG5">
        <v>68048</v>
      </c>
      <c r="BH5">
        <v>68357</v>
      </c>
      <c r="BI5">
        <v>68647</v>
      </c>
      <c r="BJ5">
        <v>68748</v>
      </c>
      <c r="BK5">
        <v>69161</v>
      </c>
      <c r="BL5">
        <v>69660</v>
      </c>
      <c r="BM5">
        <v>70063</v>
      </c>
      <c r="BN5">
        <v>70522</v>
      </c>
      <c r="BO5">
        <v>70857</v>
      </c>
      <c r="BP5">
        <v>71307</v>
      </c>
      <c r="BQ5">
        <v>71650</v>
      </c>
      <c r="BR5">
        <v>71864</v>
      </c>
      <c r="BS5">
        <v>72039</v>
      </c>
      <c r="BT5">
        <v>72357</v>
      </c>
    </row>
    <row r="6" spans="1:72" x14ac:dyDescent="0.2">
      <c r="A6" t="s">
        <v>57</v>
      </c>
      <c r="B6">
        <v>26527</v>
      </c>
      <c r="C6">
        <v>27069</v>
      </c>
      <c r="D6">
        <v>27649</v>
      </c>
      <c r="E6">
        <v>28328</v>
      </c>
      <c r="F6">
        <v>29024</v>
      </c>
      <c r="G6">
        <v>29656</v>
      </c>
      <c r="H6">
        <v>30292</v>
      </c>
      <c r="I6">
        <v>31184</v>
      </c>
      <c r="J6">
        <v>31799</v>
      </c>
      <c r="K6">
        <v>32317</v>
      </c>
      <c r="L6">
        <v>31924</v>
      </c>
      <c r="M6">
        <v>31979</v>
      </c>
      <c r="N6">
        <v>32778</v>
      </c>
      <c r="O6">
        <v>33639</v>
      </c>
      <c r="P6">
        <v>34357</v>
      </c>
      <c r="Q6">
        <v>35410</v>
      </c>
      <c r="R6">
        <v>36353</v>
      </c>
      <c r="S6">
        <v>37253</v>
      </c>
      <c r="T6">
        <v>38308</v>
      </c>
      <c r="U6">
        <v>39382</v>
      </c>
      <c r="V6">
        <v>40306</v>
      </c>
      <c r="W6">
        <v>41410</v>
      </c>
      <c r="X6">
        <v>42364</v>
      </c>
      <c r="Y6">
        <v>43335</v>
      </c>
      <c r="Z6">
        <v>44132</v>
      </c>
      <c r="AA6">
        <v>44856</v>
      </c>
      <c r="AB6">
        <v>45460</v>
      </c>
      <c r="AC6">
        <v>46066</v>
      </c>
      <c r="AD6">
        <v>46692</v>
      </c>
      <c r="AE6">
        <v>47350</v>
      </c>
      <c r="AF6">
        <v>47920</v>
      </c>
      <c r="AG6">
        <v>48553</v>
      </c>
      <c r="AH6">
        <v>49302</v>
      </c>
      <c r="AI6">
        <v>49856</v>
      </c>
      <c r="AJ6">
        <v>50509</v>
      </c>
      <c r="AK6">
        <v>51126</v>
      </c>
      <c r="AL6">
        <v>51926</v>
      </c>
      <c r="AM6">
        <v>53010</v>
      </c>
      <c r="AN6">
        <v>53825</v>
      </c>
      <c r="AO6">
        <v>54605</v>
      </c>
      <c r="AP6">
        <v>55429</v>
      </c>
      <c r="AQ6">
        <v>56357</v>
      </c>
      <c r="AR6">
        <v>57360</v>
      </c>
      <c r="AS6">
        <v>58045</v>
      </c>
      <c r="AT6">
        <v>58604</v>
      </c>
      <c r="AU6">
        <v>59313</v>
      </c>
      <c r="AV6">
        <v>60189</v>
      </c>
      <c r="AW6">
        <v>60495</v>
      </c>
      <c r="AX6">
        <v>60821</v>
      </c>
      <c r="AY6">
        <v>61094</v>
      </c>
      <c r="AZ6">
        <v>61306</v>
      </c>
      <c r="BA6">
        <v>61955</v>
      </c>
      <c r="BB6">
        <v>62338</v>
      </c>
      <c r="BC6">
        <v>62671</v>
      </c>
      <c r="BD6">
        <v>63012</v>
      </c>
      <c r="BE6">
        <v>63381</v>
      </c>
      <c r="BF6">
        <v>63720</v>
      </c>
      <c r="BG6">
        <v>64081</v>
      </c>
      <c r="BH6">
        <v>64445</v>
      </c>
      <c r="BI6">
        <v>64803</v>
      </c>
      <c r="BJ6">
        <v>65343</v>
      </c>
      <c r="BK6">
        <v>65755</v>
      </c>
      <c r="BL6">
        <v>66262</v>
      </c>
      <c r="BM6">
        <v>66663</v>
      </c>
      <c r="BN6">
        <v>67124</v>
      </c>
      <c r="BO6">
        <v>67469</v>
      </c>
      <c r="BP6">
        <v>67925</v>
      </c>
      <c r="BQ6">
        <v>68361</v>
      </c>
      <c r="BR6">
        <v>68677</v>
      </c>
      <c r="BS6">
        <v>68969</v>
      </c>
      <c r="BT6">
        <v>68855</v>
      </c>
    </row>
    <row r="7" spans="1:72" x14ac:dyDescent="0.2">
      <c r="A7" t="s">
        <v>58</v>
      </c>
      <c r="I7"/>
      <c r="J7"/>
      <c r="AH7">
        <v>34146</v>
      </c>
      <c r="AM7">
        <v>31347</v>
      </c>
      <c r="AP7">
        <v>31659</v>
      </c>
      <c r="AQ7">
        <v>32095</v>
      </c>
      <c r="AR7">
        <v>32339</v>
      </c>
      <c r="AS7">
        <v>32177</v>
      </c>
      <c r="AT7">
        <v>32360</v>
      </c>
      <c r="AU7">
        <v>32218</v>
      </c>
      <c r="AV7">
        <v>32311</v>
      </c>
      <c r="AW7">
        <v>32093</v>
      </c>
      <c r="AX7">
        <v>32064</v>
      </c>
      <c r="AY7">
        <v>31950</v>
      </c>
      <c r="AZ7">
        <v>29012</v>
      </c>
      <c r="BA7">
        <v>28716</v>
      </c>
      <c r="BB7">
        <v>28774</v>
      </c>
      <c r="BC7">
        <v>28559</v>
      </c>
      <c r="BD7">
        <v>27947</v>
      </c>
      <c r="BE7">
        <v>26504</v>
      </c>
      <c r="BF7">
        <v>25961</v>
      </c>
      <c r="BG7">
        <v>25660</v>
      </c>
      <c r="BH7">
        <v>25166</v>
      </c>
      <c r="BI7">
        <v>24659</v>
      </c>
      <c r="BJ7">
        <v>22259</v>
      </c>
      <c r="BK7">
        <v>22261</v>
      </c>
      <c r="BL7">
        <v>22427</v>
      </c>
      <c r="BM7">
        <v>22423</v>
      </c>
      <c r="BN7">
        <v>22712</v>
      </c>
      <c r="BO7">
        <v>22824</v>
      </c>
      <c r="BP7">
        <v>23252</v>
      </c>
      <c r="BQ7">
        <v>23522</v>
      </c>
      <c r="BR7">
        <v>23751</v>
      </c>
      <c r="BS7">
        <v>23689</v>
      </c>
      <c r="BT7">
        <v>25277</v>
      </c>
    </row>
    <row r="8" spans="1:72" x14ac:dyDescent="0.2">
      <c r="A8" t="s">
        <v>59</v>
      </c>
      <c r="I8"/>
      <c r="J8"/>
      <c r="AH8">
        <v>62517</v>
      </c>
      <c r="AM8">
        <v>71985</v>
      </c>
      <c r="AP8">
        <v>76306</v>
      </c>
      <c r="AQ8">
        <v>76791</v>
      </c>
      <c r="AR8">
        <v>77614</v>
      </c>
      <c r="AS8">
        <v>79051</v>
      </c>
      <c r="AT8">
        <v>79868</v>
      </c>
      <c r="AU8">
        <v>81393</v>
      </c>
      <c r="AV8">
        <v>82245</v>
      </c>
      <c r="AW8">
        <v>83448</v>
      </c>
      <c r="AX8">
        <v>84338</v>
      </c>
      <c r="AY8">
        <v>85157</v>
      </c>
      <c r="AZ8">
        <v>88910</v>
      </c>
      <c r="BA8">
        <v>89849</v>
      </c>
      <c r="BB8">
        <v>90302</v>
      </c>
      <c r="BC8">
        <v>90976</v>
      </c>
      <c r="BD8">
        <v>92184</v>
      </c>
      <c r="BE8">
        <v>94197</v>
      </c>
      <c r="BF8">
        <v>95068</v>
      </c>
      <c r="BG8">
        <v>95833</v>
      </c>
      <c r="BH8">
        <v>96680</v>
      </c>
      <c r="BI8">
        <v>97484</v>
      </c>
      <c r="BJ8">
        <v>99938</v>
      </c>
      <c r="BK8">
        <v>100378</v>
      </c>
      <c r="BL8">
        <v>100718</v>
      </c>
      <c r="BM8">
        <v>101041</v>
      </c>
      <c r="BN8">
        <v>101032</v>
      </c>
      <c r="BO8">
        <v>100978</v>
      </c>
      <c r="BP8">
        <v>100943</v>
      </c>
      <c r="BQ8">
        <v>100528</v>
      </c>
      <c r="BR8">
        <v>100065</v>
      </c>
      <c r="BS8">
        <v>99552</v>
      </c>
      <c r="BT8">
        <v>96871</v>
      </c>
    </row>
    <row r="9" spans="1:72" x14ac:dyDescent="0.2">
      <c r="A9" t="s">
        <v>60</v>
      </c>
      <c r="I9"/>
      <c r="J9"/>
      <c r="AH9">
        <v>4991</v>
      </c>
      <c r="AM9">
        <v>5968</v>
      </c>
      <c r="AP9">
        <v>6368</v>
      </c>
      <c r="AQ9">
        <v>6938</v>
      </c>
      <c r="AR9">
        <v>7218</v>
      </c>
      <c r="AS9">
        <v>7289</v>
      </c>
      <c r="AT9">
        <v>7622</v>
      </c>
      <c r="AU9">
        <v>7510</v>
      </c>
      <c r="AV9">
        <v>7833</v>
      </c>
      <c r="AW9">
        <v>8085</v>
      </c>
      <c r="AX9">
        <v>8359</v>
      </c>
      <c r="AY9">
        <v>8679</v>
      </c>
      <c r="AZ9">
        <v>8821</v>
      </c>
      <c r="BA9">
        <v>9062</v>
      </c>
      <c r="BB9">
        <v>9377</v>
      </c>
      <c r="BC9">
        <v>9692</v>
      </c>
      <c r="BD9">
        <v>9857</v>
      </c>
      <c r="BE9">
        <v>10055</v>
      </c>
      <c r="BF9">
        <v>10419</v>
      </c>
      <c r="BG9">
        <v>10636</v>
      </c>
      <c r="BH9">
        <v>10956</v>
      </c>
      <c r="BI9">
        <v>11307</v>
      </c>
      <c r="BJ9">
        <v>11894</v>
      </c>
      <c r="BK9">
        <v>12277</v>
      </c>
      <c r="BL9">
        <v>12777</v>
      </c>
      <c r="BM9">
        <v>13262</v>
      </c>
      <c r="BN9">
        <v>13902</v>
      </c>
      <c r="BO9">
        <v>14524</v>
      </c>
      <c r="BP9">
        <v>15037</v>
      </c>
      <c r="BQ9">
        <v>15961</v>
      </c>
      <c r="BR9">
        <v>16724</v>
      </c>
      <c r="BS9">
        <v>17767</v>
      </c>
      <c r="BT9">
        <v>19064</v>
      </c>
    </row>
    <row r="10" spans="1:72" x14ac:dyDescent="0.2">
      <c r="A10" s="1" t="s">
        <v>67</v>
      </c>
      <c r="B10" s="1">
        <v>2042.252</v>
      </c>
      <c r="C10" s="1">
        <v>2128.14</v>
      </c>
      <c r="D10" s="1">
        <v>2126.8339999999998</v>
      </c>
      <c r="E10" s="1">
        <v>2175.4520000000002</v>
      </c>
      <c r="F10" s="1">
        <v>2288.3000200000001</v>
      </c>
      <c r="G10" s="1">
        <v>2003.759</v>
      </c>
      <c r="H10" s="1">
        <v>2004.2131999999999</v>
      </c>
      <c r="I10" s="1">
        <v>2200.1415899999997</v>
      </c>
      <c r="J10" s="1">
        <v>1928.3446799999999</v>
      </c>
      <c r="K10" s="1">
        <v>1665.3894599999999</v>
      </c>
      <c r="L10" s="1">
        <v>1381.0780199999999</v>
      </c>
      <c r="M10" s="1">
        <v>1194.02367</v>
      </c>
      <c r="N10" s="1">
        <v>2504.7571200000002</v>
      </c>
      <c r="O10" s="1">
        <v>3015.8992000000003</v>
      </c>
      <c r="P10" s="1">
        <v>2773.43066</v>
      </c>
      <c r="Q10" s="1">
        <v>2756.444</v>
      </c>
      <c r="R10" s="1">
        <v>2624.6238199999998</v>
      </c>
      <c r="S10" s="1">
        <v>2605.6761599999995</v>
      </c>
      <c r="T10" s="1">
        <v>2807.5904999999998</v>
      </c>
      <c r="U10" s="1">
        <v>2762.9817499999999</v>
      </c>
      <c r="V10" s="1">
        <v>2787.7012800000002</v>
      </c>
      <c r="W10" s="1">
        <v>2619.9394600000001</v>
      </c>
      <c r="X10" s="1">
        <v>2608.3358400000002</v>
      </c>
      <c r="Y10" s="1">
        <v>2504.1527700000001</v>
      </c>
      <c r="Z10" s="1">
        <v>2266.9320499999999</v>
      </c>
      <c r="AA10" s="1">
        <v>2137.6746000000003</v>
      </c>
      <c r="AB10" s="1">
        <v>1875.2771700000001</v>
      </c>
      <c r="AC10" s="1">
        <v>1807.3552200000001</v>
      </c>
      <c r="AD10" s="1">
        <v>1756.72675</v>
      </c>
      <c r="AE10" s="1">
        <v>1738.1984399999999</v>
      </c>
      <c r="AF10" s="1">
        <v>1797.41805</v>
      </c>
      <c r="AG10" s="1">
        <v>2092.5055200000002</v>
      </c>
      <c r="AH10" s="1">
        <v>2264.8511200000003</v>
      </c>
      <c r="AI10" s="1">
        <v>2079.7315199999998</v>
      </c>
      <c r="AJ10" s="1">
        <v>2076.7042999999999</v>
      </c>
      <c r="AK10" s="1">
        <v>2227.1050399999999</v>
      </c>
      <c r="AL10" s="1">
        <v>2411.3820099999998</v>
      </c>
      <c r="AM10" s="1">
        <v>2549.9690000000001</v>
      </c>
      <c r="AN10" s="1">
        <v>2483.6516200000001</v>
      </c>
      <c r="AO10" s="1">
        <v>2432.1523199999997</v>
      </c>
      <c r="AP10" s="1">
        <v>2407.8529800000001</v>
      </c>
      <c r="AQ10" s="1">
        <v>2279.3966399999999</v>
      </c>
      <c r="AR10" s="1">
        <v>2137.19904</v>
      </c>
      <c r="AS10" s="1">
        <v>2143.97253</v>
      </c>
      <c r="AT10" s="1">
        <v>2121.3449999999998</v>
      </c>
      <c r="AU10" s="1">
        <v>2073.5915199999999</v>
      </c>
      <c r="AV10" s="1">
        <v>2078.1652199999999</v>
      </c>
      <c r="AW10" s="1">
        <v>2048.4828200000002</v>
      </c>
      <c r="AX10" s="1">
        <v>1951.2620400000001</v>
      </c>
      <c r="AY10" s="1">
        <v>1841.50704</v>
      </c>
      <c r="AZ10" s="1">
        <v>1778.2042899999999</v>
      </c>
      <c r="BA10" s="1">
        <v>1707.6492599999999</v>
      </c>
      <c r="BB10" s="1">
        <v>1651.9055799999999</v>
      </c>
      <c r="BC10" s="1">
        <v>1603.7070700000002</v>
      </c>
      <c r="BD10" s="1">
        <v>1597.5525199999997</v>
      </c>
      <c r="BE10" s="1">
        <v>1621.3744000000002</v>
      </c>
      <c r="BF10" s="1">
        <v>1589.20632</v>
      </c>
      <c r="BG10" s="1">
        <v>1598.7609</v>
      </c>
      <c r="BH10" s="1">
        <v>1612.2162800000001</v>
      </c>
      <c r="BI10" s="1">
        <v>1594.7275</v>
      </c>
      <c r="BJ10" s="1">
        <v>1595.6829000000002</v>
      </c>
      <c r="BK10" s="1">
        <v>1790.3353199999999</v>
      </c>
      <c r="BL10" s="1">
        <v>1980.38354</v>
      </c>
      <c r="BM10" s="1">
        <v>1781.5397800000001</v>
      </c>
      <c r="BN10" s="1">
        <v>1903.64418</v>
      </c>
      <c r="BO10" s="1">
        <v>1658.52874</v>
      </c>
      <c r="BP10" s="1">
        <v>1889.37824</v>
      </c>
      <c r="BQ10" s="1">
        <v>1769.7390399999999</v>
      </c>
      <c r="BR10" s="1">
        <v>1526.2752600000001</v>
      </c>
      <c r="BS10" s="1">
        <v>1467.89328</v>
      </c>
      <c r="BT10" s="1">
        <v>1203.1262400000001</v>
      </c>
    </row>
    <row r="11" spans="1:72" x14ac:dyDescent="0.2">
      <c r="A11" s="1" t="s">
        <v>68</v>
      </c>
      <c r="B11" s="1">
        <v>993.52800000000002</v>
      </c>
      <c r="C11" s="1">
        <v>1002.14</v>
      </c>
      <c r="D11" s="1">
        <v>977.19399999999996</v>
      </c>
      <c r="E11" s="1">
        <v>823.14400000000001</v>
      </c>
      <c r="F11" s="1">
        <v>794.30588</v>
      </c>
      <c r="G11" s="1">
        <v>754.79019999999991</v>
      </c>
      <c r="H11" s="1">
        <v>716.2392000000001</v>
      </c>
      <c r="I11" s="1">
        <v>698.25240000000008</v>
      </c>
      <c r="J11" s="1">
        <v>790.60811999999999</v>
      </c>
      <c r="K11" s="1">
        <v>980.55012999999997</v>
      </c>
      <c r="L11" s="1">
        <v>1683.64401</v>
      </c>
      <c r="M11" s="1">
        <v>943.75946999999996</v>
      </c>
      <c r="N11" s="1">
        <v>678.34368000000006</v>
      </c>
      <c r="O11" s="1">
        <v>698.63720000000001</v>
      </c>
      <c r="P11" s="1">
        <v>814.9684400000001</v>
      </c>
      <c r="Q11" s="1">
        <v>689.11099999999999</v>
      </c>
      <c r="R11" s="1">
        <v>661.1875399999999</v>
      </c>
      <c r="S11" s="1">
        <v>646.83696000000009</v>
      </c>
      <c r="T11" s="1">
        <v>647.90549999999996</v>
      </c>
      <c r="U11" s="1">
        <v>650.20826</v>
      </c>
      <c r="V11" s="1">
        <v>634.05888000000004</v>
      </c>
      <c r="W11" s="1">
        <v>625.58086000000003</v>
      </c>
      <c r="X11" s="1">
        <v>666.9040500000001</v>
      </c>
      <c r="Y11" s="1">
        <v>631.61387999999999</v>
      </c>
      <c r="Z11" s="1">
        <v>670.53942000000006</v>
      </c>
      <c r="AA11" s="1">
        <v>680.21120000000008</v>
      </c>
      <c r="AB11" s="1">
        <v>683.19693000000007</v>
      </c>
      <c r="AC11" s="1">
        <v>656.27033999999992</v>
      </c>
      <c r="AD11" s="1">
        <v>601.61874999999998</v>
      </c>
      <c r="AE11" s="1">
        <v>605.73581999999999</v>
      </c>
      <c r="AF11" s="1">
        <v>625.78969999999993</v>
      </c>
      <c r="AG11" s="1">
        <v>636.45792000000006</v>
      </c>
      <c r="AH11" s="1">
        <v>670.91639999999995</v>
      </c>
      <c r="AI11" s="1">
        <v>710.75520000000006</v>
      </c>
      <c r="AJ11" s="1">
        <v>711.71474000000001</v>
      </c>
      <c r="AK11" s="1">
        <v>717.66978000000006</v>
      </c>
      <c r="AL11" s="1">
        <v>737.49802</v>
      </c>
      <c r="AM11" s="1">
        <v>734.49599999999998</v>
      </c>
      <c r="AN11" s="1">
        <v>737.21263999999996</v>
      </c>
      <c r="AO11" s="1">
        <v>737.08416</v>
      </c>
      <c r="AP11" s="1">
        <v>762.60110999999995</v>
      </c>
      <c r="AQ11" s="1">
        <v>776.01409999999998</v>
      </c>
      <c r="AR11" s="1">
        <v>778.0154399999999</v>
      </c>
      <c r="AS11" s="1">
        <v>786.95288000000005</v>
      </c>
      <c r="AT11" s="1">
        <v>777.82650000000001</v>
      </c>
      <c r="AU11" s="1">
        <v>795.76497000000006</v>
      </c>
      <c r="AV11" s="1">
        <v>802.87184000000002</v>
      </c>
      <c r="AW11" s="1">
        <v>804.80525999999998</v>
      </c>
      <c r="AX11" s="1">
        <v>810.94650000000001</v>
      </c>
      <c r="AY11" s="1">
        <v>812.57755999999995</v>
      </c>
      <c r="AZ11" s="1">
        <v>817.49234999999999</v>
      </c>
      <c r="BA11" s="1">
        <v>820.64161000000001</v>
      </c>
      <c r="BB11" s="1">
        <v>823.38373000000001</v>
      </c>
      <c r="BC11" s="1">
        <v>827.05280000000005</v>
      </c>
      <c r="BD11" s="1">
        <v>834.52296000000001</v>
      </c>
      <c r="BE11" s="1">
        <v>851.22155999999995</v>
      </c>
      <c r="BF11" s="1">
        <v>895.16088000000002</v>
      </c>
      <c r="BG11" s="1">
        <v>915.65396999999996</v>
      </c>
      <c r="BH11" s="1">
        <v>937.58212000000003</v>
      </c>
      <c r="BI11" s="1">
        <v>944.82600000000002</v>
      </c>
      <c r="BJ11" s="1">
        <v>953.38701000000003</v>
      </c>
      <c r="BK11" s="1">
        <v>963.30024000000003</v>
      </c>
      <c r="BL11" s="1">
        <v>969.12386000000004</v>
      </c>
      <c r="BM11" s="1">
        <v>974.85638000000006</v>
      </c>
      <c r="BN11" s="1">
        <v>980.03952000000004</v>
      </c>
      <c r="BO11" s="1">
        <v>977.96482000000003</v>
      </c>
      <c r="BP11" s="1">
        <v>980.19328000000007</v>
      </c>
      <c r="BQ11" s="1">
        <v>988.4776599999999</v>
      </c>
      <c r="BR11" s="1">
        <v>995.03028000000006</v>
      </c>
      <c r="BS11" s="1">
        <v>999.74671999999998</v>
      </c>
      <c r="BT11" s="1">
        <v>998.36884000000009</v>
      </c>
    </row>
    <row r="12" spans="1:72" x14ac:dyDescent="0.2">
      <c r="A12" t="s">
        <v>61</v>
      </c>
      <c r="I12"/>
      <c r="J12"/>
      <c r="AH12">
        <v>62.6</v>
      </c>
      <c r="AM12">
        <v>51.8</v>
      </c>
      <c r="AP12">
        <v>49.8</v>
      </c>
      <c r="AQ12">
        <v>50.8</v>
      </c>
      <c r="AR12">
        <v>51</v>
      </c>
      <c r="AS12">
        <v>49.9</v>
      </c>
      <c r="AT12">
        <v>50.1</v>
      </c>
      <c r="AU12">
        <v>48.8</v>
      </c>
      <c r="AV12">
        <v>48.8</v>
      </c>
      <c r="AW12">
        <v>48.1</v>
      </c>
      <c r="AX12">
        <v>47.9</v>
      </c>
      <c r="AY12">
        <v>47.7</v>
      </c>
      <c r="AZ12">
        <v>42.6</v>
      </c>
      <c r="BA12">
        <v>42</v>
      </c>
      <c r="BB12">
        <v>42.2</v>
      </c>
      <c r="BC12">
        <v>42</v>
      </c>
      <c r="BD12">
        <v>41</v>
      </c>
      <c r="BE12">
        <v>38.799999999999997</v>
      </c>
      <c r="BF12">
        <v>38.299999999999997</v>
      </c>
      <c r="BG12">
        <v>37.9</v>
      </c>
      <c r="BH12">
        <v>37.4</v>
      </c>
      <c r="BI12">
        <v>36.9</v>
      </c>
      <c r="BJ12">
        <v>34.200000000000003</v>
      </c>
      <c r="BK12">
        <v>34.4</v>
      </c>
      <c r="BL12">
        <v>34.9</v>
      </c>
      <c r="BM12">
        <v>35.299999999999997</v>
      </c>
      <c r="BN12">
        <v>36.200000000000003</v>
      </c>
      <c r="BO12">
        <v>37</v>
      </c>
      <c r="BP12">
        <v>37.9</v>
      </c>
      <c r="BQ12">
        <v>39.299999999999997</v>
      </c>
      <c r="BR12">
        <v>40.4</v>
      </c>
      <c r="BS12">
        <v>41.5</v>
      </c>
      <c r="BT12">
        <v>45.9</v>
      </c>
    </row>
    <row r="13" spans="1:72" x14ac:dyDescent="0.2">
      <c r="A13" t="s">
        <v>62</v>
      </c>
      <c r="I13"/>
      <c r="J13"/>
      <c r="AH13">
        <v>54.6</v>
      </c>
      <c r="AM13">
        <v>43.5</v>
      </c>
      <c r="AP13">
        <v>41.5</v>
      </c>
      <c r="AQ13">
        <v>41.8</v>
      </c>
      <c r="AR13">
        <v>41.7</v>
      </c>
      <c r="AS13">
        <v>40.700000000000003</v>
      </c>
      <c r="AT13">
        <v>40.5</v>
      </c>
      <c r="AU13">
        <v>39.6</v>
      </c>
      <c r="AV13">
        <v>39.299999999999997</v>
      </c>
      <c r="AW13">
        <v>38.5</v>
      </c>
      <c r="AX13">
        <v>38</v>
      </c>
      <c r="AY13">
        <v>37.5</v>
      </c>
      <c r="AZ13">
        <v>32.6</v>
      </c>
      <c r="BA13">
        <v>32</v>
      </c>
      <c r="BB13">
        <v>31.9</v>
      </c>
      <c r="BC13">
        <v>31.4</v>
      </c>
      <c r="BD13">
        <v>30.3</v>
      </c>
      <c r="BE13">
        <v>28.1</v>
      </c>
      <c r="BF13">
        <v>27.3</v>
      </c>
      <c r="BG13">
        <v>26.8</v>
      </c>
      <c r="BH13">
        <v>26</v>
      </c>
      <c r="BI13">
        <v>25.3</v>
      </c>
      <c r="BJ13">
        <v>22.3</v>
      </c>
      <c r="BK13">
        <v>22.1</v>
      </c>
      <c r="BL13">
        <v>22.2</v>
      </c>
      <c r="BM13">
        <v>22.2</v>
      </c>
      <c r="BN13">
        <v>22.5</v>
      </c>
      <c r="BO13">
        <v>22.6</v>
      </c>
      <c r="BP13">
        <v>22.9</v>
      </c>
      <c r="BQ13">
        <v>23.4</v>
      </c>
      <c r="BR13">
        <v>23.7</v>
      </c>
      <c r="BS13">
        <v>23.8</v>
      </c>
      <c r="BT13">
        <v>26.2</v>
      </c>
    </row>
    <row r="14" spans="1:72" x14ac:dyDescent="0.2">
      <c r="A14" t="s">
        <v>63</v>
      </c>
      <c r="I14"/>
      <c r="J14"/>
      <c r="AH14">
        <v>8</v>
      </c>
      <c r="AM14">
        <v>8.3000000000000007</v>
      </c>
      <c r="AP14">
        <v>8.3000000000000007</v>
      </c>
      <c r="AQ14">
        <v>9</v>
      </c>
      <c r="AR14">
        <v>9.3000000000000007</v>
      </c>
      <c r="AS14">
        <v>9.1999999999999993</v>
      </c>
      <c r="AT14">
        <v>9.5</v>
      </c>
      <c r="AU14">
        <v>9.1999999999999993</v>
      </c>
      <c r="AV14">
        <v>9.5</v>
      </c>
      <c r="AW14">
        <v>9.6999999999999993</v>
      </c>
      <c r="AX14">
        <v>9.9</v>
      </c>
      <c r="AY14">
        <v>10.199999999999999</v>
      </c>
      <c r="AZ14">
        <v>9.9</v>
      </c>
      <c r="BA14">
        <v>10.1</v>
      </c>
      <c r="BB14">
        <v>10.4</v>
      </c>
      <c r="BC14">
        <v>10.7</v>
      </c>
      <c r="BD14">
        <v>10.7</v>
      </c>
      <c r="BE14">
        <v>10.7</v>
      </c>
      <c r="BF14">
        <v>11</v>
      </c>
      <c r="BG14">
        <v>11.1</v>
      </c>
      <c r="BH14">
        <v>11.3</v>
      </c>
      <c r="BI14">
        <v>11.6</v>
      </c>
      <c r="BJ14">
        <v>11.9</v>
      </c>
      <c r="BK14">
        <v>12.3</v>
      </c>
      <c r="BL14">
        <v>12.7</v>
      </c>
      <c r="BM14">
        <v>13.1</v>
      </c>
      <c r="BN14">
        <v>13.7</v>
      </c>
      <c r="BO14">
        <v>14.3</v>
      </c>
      <c r="BP14">
        <v>15</v>
      </c>
      <c r="BQ14">
        <v>15.9</v>
      </c>
      <c r="BR14">
        <v>16.8</v>
      </c>
      <c r="BS14">
        <v>17.8</v>
      </c>
      <c r="BT14">
        <v>19.7</v>
      </c>
    </row>
    <row r="15" spans="1:72" x14ac:dyDescent="0.2">
      <c r="A15" t="s">
        <v>64</v>
      </c>
      <c r="B15">
        <v>37</v>
      </c>
      <c r="C15">
        <v>37.799999999999997</v>
      </c>
      <c r="D15">
        <v>37</v>
      </c>
      <c r="E15">
        <v>37</v>
      </c>
      <c r="F15">
        <v>37.97</v>
      </c>
      <c r="G15">
        <v>32.6</v>
      </c>
      <c r="H15">
        <v>31.9</v>
      </c>
      <c r="I15">
        <v>34.03</v>
      </c>
      <c r="J15">
        <v>29.22</v>
      </c>
      <c r="K15">
        <v>24.78</v>
      </c>
      <c r="L15">
        <v>20.86</v>
      </c>
      <c r="M15">
        <v>18.13</v>
      </c>
      <c r="N15">
        <v>37.22</v>
      </c>
      <c r="O15">
        <v>43.6</v>
      </c>
      <c r="P15">
        <v>39.340000000000003</v>
      </c>
      <c r="Q15">
        <v>38</v>
      </c>
      <c r="R15">
        <v>35.21</v>
      </c>
      <c r="S15">
        <v>34.119999999999997</v>
      </c>
      <c r="T15">
        <v>35.75</v>
      </c>
      <c r="U15">
        <v>34.25</v>
      </c>
      <c r="V15">
        <v>33.590000000000003</v>
      </c>
      <c r="W15">
        <v>30.74</v>
      </c>
      <c r="X15">
        <v>29.92</v>
      </c>
      <c r="Y15">
        <v>28.07</v>
      </c>
      <c r="Z15">
        <v>24.95</v>
      </c>
      <c r="AA15">
        <v>23.13</v>
      </c>
      <c r="AB15">
        <v>20.010000000000002</v>
      </c>
      <c r="AC15">
        <v>19.03</v>
      </c>
      <c r="AD15">
        <v>18.25</v>
      </c>
      <c r="AE15">
        <v>17.82</v>
      </c>
      <c r="AF15">
        <v>18.21</v>
      </c>
      <c r="AG15">
        <v>20.91</v>
      </c>
      <c r="AH15">
        <v>22.28</v>
      </c>
      <c r="AI15">
        <v>20.190000000000001</v>
      </c>
      <c r="AJ15">
        <v>19.899999999999999</v>
      </c>
      <c r="AK15">
        <v>21.04</v>
      </c>
      <c r="AL15">
        <v>22.43</v>
      </c>
      <c r="AM15">
        <v>23.33</v>
      </c>
      <c r="AN15">
        <v>22.37</v>
      </c>
      <c r="AO15">
        <v>21.58</v>
      </c>
      <c r="AP15">
        <v>21.06</v>
      </c>
      <c r="AQ15">
        <v>19.68</v>
      </c>
      <c r="AR15">
        <v>18.239999999999998</v>
      </c>
      <c r="AS15">
        <v>18.09</v>
      </c>
      <c r="AT15">
        <v>17.7</v>
      </c>
      <c r="AU15">
        <v>17.12</v>
      </c>
      <c r="AV15">
        <v>16.98</v>
      </c>
      <c r="AW15">
        <v>16.57</v>
      </c>
      <c r="AX15">
        <v>15.64</v>
      </c>
      <c r="AY15">
        <v>14.64</v>
      </c>
      <c r="AZ15">
        <v>14.03</v>
      </c>
      <c r="BA15">
        <v>13.38</v>
      </c>
      <c r="BB15">
        <v>12.86</v>
      </c>
      <c r="BC15">
        <v>12.41</v>
      </c>
      <c r="BD15">
        <v>12.29</v>
      </c>
      <c r="BE15">
        <v>12.4</v>
      </c>
      <c r="BF15">
        <v>12.09</v>
      </c>
      <c r="BG15">
        <v>12.1</v>
      </c>
      <c r="BH15">
        <v>12.14</v>
      </c>
      <c r="BI15">
        <v>11.95</v>
      </c>
      <c r="BJ15">
        <v>11.9</v>
      </c>
      <c r="BK15">
        <v>13.27</v>
      </c>
      <c r="BL15">
        <v>14.57</v>
      </c>
      <c r="BM15">
        <v>13.03</v>
      </c>
      <c r="BN15">
        <v>13.83</v>
      </c>
      <c r="BO15">
        <v>11.99</v>
      </c>
      <c r="BP15">
        <v>13.57</v>
      </c>
      <c r="BQ15">
        <v>12.64</v>
      </c>
      <c r="BR15">
        <v>10.86</v>
      </c>
      <c r="BS15">
        <v>10.41</v>
      </c>
      <c r="BT15">
        <v>8.52</v>
      </c>
    </row>
    <row r="16" spans="1:72" x14ac:dyDescent="0.2">
      <c r="A16" t="s">
        <v>65</v>
      </c>
      <c r="B16">
        <v>18</v>
      </c>
      <c r="C16">
        <v>17.8</v>
      </c>
      <c r="D16">
        <v>17</v>
      </c>
      <c r="E16">
        <v>14</v>
      </c>
      <c r="F16">
        <v>13.18</v>
      </c>
      <c r="G16">
        <v>12.28</v>
      </c>
      <c r="H16">
        <v>11.4</v>
      </c>
      <c r="I16">
        <v>10.8</v>
      </c>
      <c r="J16">
        <v>11.98</v>
      </c>
      <c r="K16">
        <v>14.59</v>
      </c>
      <c r="L16">
        <v>25.43</v>
      </c>
      <c r="M16">
        <v>14.33</v>
      </c>
      <c r="N16">
        <v>10.08</v>
      </c>
      <c r="O16">
        <v>10.1</v>
      </c>
      <c r="P16">
        <v>11.56</v>
      </c>
      <c r="Q16">
        <v>9.5</v>
      </c>
      <c r="R16">
        <v>8.8699999999999992</v>
      </c>
      <c r="S16">
        <v>8.4700000000000006</v>
      </c>
      <c r="T16">
        <v>8.25</v>
      </c>
      <c r="U16">
        <v>8.06</v>
      </c>
      <c r="V16">
        <v>7.64</v>
      </c>
      <c r="W16">
        <v>7.34</v>
      </c>
      <c r="X16">
        <v>7.65</v>
      </c>
      <c r="Y16">
        <v>7.08</v>
      </c>
      <c r="Z16">
        <v>7.38</v>
      </c>
      <c r="AA16">
        <v>7.36</v>
      </c>
      <c r="AB16">
        <v>7.29</v>
      </c>
      <c r="AC16">
        <v>6.91</v>
      </c>
      <c r="AD16">
        <v>6.25</v>
      </c>
      <c r="AE16">
        <v>6.21</v>
      </c>
      <c r="AF16">
        <v>6.34</v>
      </c>
      <c r="AG16">
        <v>6.36</v>
      </c>
      <c r="AH16">
        <v>6.6</v>
      </c>
      <c r="AI16">
        <v>6.9</v>
      </c>
      <c r="AJ16">
        <v>6.82</v>
      </c>
      <c r="AK16">
        <v>6.78</v>
      </c>
      <c r="AL16">
        <v>6.86</v>
      </c>
      <c r="AM16">
        <v>6.72</v>
      </c>
      <c r="AN16">
        <v>6.64</v>
      </c>
      <c r="AO16">
        <v>6.54</v>
      </c>
      <c r="AP16">
        <v>6.67</v>
      </c>
      <c r="AQ16">
        <v>6.7</v>
      </c>
      <c r="AR16">
        <v>6.64</v>
      </c>
      <c r="AS16">
        <v>6.64</v>
      </c>
      <c r="AT16">
        <v>6.49</v>
      </c>
      <c r="AU16">
        <v>6.57</v>
      </c>
      <c r="AV16">
        <v>6.56</v>
      </c>
      <c r="AW16">
        <v>6.51</v>
      </c>
      <c r="AX16">
        <v>6.5</v>
      </c>
      <c r="AY16">
        <v>6.46</v>
      </c>
      <c r="AZ16">
        <v>6.45</v>
      </c>
      <c r="BA16">
        <v>6.43</v>
      </c>
      <c r="BB16">
        <v>6.41</v>
      </c>
      <c r="BC16">
        <v>6.4</v>
      </c>
      <c r="BD16">
        <v>6.42</v>
      </c>
      <c r="BE16">
        <v>6.51</v>
      </c>
      <c r="BF16">
        <v>6.81</v>
      </c>
      <c r="BG16">
        <v>6.93</v>
      </c>
      <c r="BH16">
        <v>7.06</v>
      </c>
      <c r="BI16">
        <v>7.08</v>
      </c>
      <c r="BJ16">
        <v>7.11</v>
      </c>
      <c r="BK16">
        <v>7.14</v>
      </c>
      <c r="BL16">
        <v>7.13</v>
      </c>
      <c r="BM16">
        <v>7.13</v>
      </c>
      <c r="BN16">
        <v>7.12</v>
      </c>
      <c r="BO16">
        <v>7.07</v>
      </c>
      <c r="BP16">
        <v>7.04</v>
      </c>
      <c r="BQ16">
        <v>7.06</v>
      </c>
      <c r="BR16">
        <v>7.08</v>
      </c>
      <c r="BS16">
        <v>7.09</v>
      </c>
      <c r="BT16">
        <v>7.07</v>
      </c>
    </row>
    <row r="17" spans="1:72" x14ac:dyDescent="0.2">
      <c r="A17" t="s">
        <v>66</v>
      </c>
      <c r="B17">
        <v>19</v>
      </c>
      <c r="C17">
        <v>20</v>
      </c>
      <c r="D17">
        <v>20</v>
      </c>
      <c r="E17">
        <v>23</v>
      </c>
      <c r="F17">
        <v>24.79</v>
      </c>
      <c r="G17">
        <v>20.32</v>
      </c>
      <c r="H17">
        <v>20.5</v>
      </c>
      <c r="I17">
        <v>23.23</v>
      </c>
      <c r="J17">
        <v>17.239999999999998</v>
      </c>
      <c r="K17">
        <v>10.19</v>
      </c>
      <c r="L17">
        <v>-4.57</v>
      </c>
      <c r="M17">
        <v>3.8</v>
      </c>
      <c r="N17">
        <v>27.14</v>
      </c>
      <c r="O17">
        <v>33.5</v>
      </c>
      <c r="P17">
        <v>27.78</v>
      </c>
      <c r="Q17">
        <v>28.5</v>
      </c>
      <c r="R17">
        <v>26.34</v>
      </c>
      <c r="S17">
        <v>25.65</v>
      </c>
      <c r="T17">
        <v>27.5</v>
      </c>
      <c r="U17">
        <v>26.19</v>
      </c>
      <c r="V17">
        <v>25.95</v>
      </c>
      <c r="W17">
        <v>23.4</v>
      </c>
      <c r="X17">
        <v>22.27</v>
      </c>
      <c r="Y17">
        <v>20.99</v>
      </c>
      <c r="Z17">
        <v>17.57</v>
      </c>
      <c r="AA17">
        <v>15.77</v>
      </c>
      <c r="AB17">
        <v>12.72</v>
      </c>
      <c r="AC17">
        <v>12.12</v>
      </c>
      <c r="AD17">
        <v>12</v>
      </c>
      <c r="AE17">
        <v>11.61</v>
      </c>
      <c r="AF17">
        <v>11.87</v>
      </c>
      <c r="AG17">
        <v>14.55</v>
      </c>
      <c r="AH17">
        <v>15.68</v>
      </c>
      <c r="AI17">
        <v>13.29</v>
      </c>
      <c r="AJ17">
        <v>13.08</v>
      </c>
      <c r="AK17">
        <v>14.26</v>
      </c>
      <c r="AL17">
        <v>15.57</v>
      </c>
      <c r="AM17">
        <v>16.61</v>
      </c>
      <c r="AN17">
        <v>15.73</v>
      </c>
      <c r="AO17">
        <v>15.04</v>
      </c>
      <c r="AP17">
        <v>14.39</v>
      </c>
      <c r="AQ17">
        <v>12.98</v>
      </c>
      <c r="AR17">
        <v>11.6</v>
      </c>
      <c r="AS17">
        <v>11.45</v>
      </c>
      <c r="AT17">
        <v>11.21</v>
      </c>
      <c r="AU17">
        <v>10.55</v>
      </c>
      <c r="AV17">
        <v>10.42</v>
      </c>
      <c r="AW17">
        <v>10.06</v>
      </c>
      <c r="AX17">
        <v>9.14</v>
      </c>
      <c r="AY17">
        <v>8.18</v>
      </c>
      <c r="AZ17">
        <v>7.58</v>
      </c>
      <c r="BA17">
        <v>6.95</v>
      </c>
      <c r="BB17">
        <v>6.45</v>
      </c>
      <c r="BC17">
        <v>6.01</v>
      </c>
      <c r="BD17">
        <v>5.87</v>
      </c>
      <c r="BE17">
        <v>5.89</v>
      </c>
      <c r="BF17">
        <v>5.28</v>
      </c>
      <c r="BG17">
        <v>5.17</v>
      </c>
      <c r="BH17">
        <v>5.08</v>
      </c>
      <c r="BI17">
        <v>4.87</v>
      </c>
      <c r="BJ17">
        <v>4.79</v>
      </c>
      <c r="BK17">
        <v>6.13</v>
      </c>
      <c r="BL17">
        <v>7.43</v>
      </c>
      <c r="BM17">
        <v>5.9</v>
      </c>
      <c r="BN17">
        <v>6.71</v>
      </c>
      <c r="BO17">
        <v>4.93</v>
      </c>
      <c r="BP17">
        <v>6.53</v>
      </c>
      <c r="BQ17">
        <v>5.58</v>
      </c>
      <c r="BR17">
        <v>3.78</v>
      </c>
      <c r="BS17">
        <v>3.32</v>
      </c>
      <c r="BT17">
        <v>1.45</v>
      </c>
    </row>
  </sheetData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C664-763C-4F28-A94B-E893E52D8CF7}">
  <dimension ref="A1:BS80"/>
  <sheetViews>
    <sheetView topLeftCell="B1" workbookViewId="0">
      <selection activeCell="AA76" sqref="AA76"/>
    </sheetView>
  </sheetViews>
  <sheetFormatPr defaultRowHeight="14.25" x14ac:dyDescent="0.2"/>
  <cols>
    <col min="1" max="70" width="8.75" customWidth="1"/>
  </cols>
  <sheetData>
    <row r="1" spans="1:70" x14ac:dyDescent="0.2">
      <c r="A1" t="s">
        <v>100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97</v>
      </c>
      <c r="J1" t="s">
        <v>98</v>
      </c>
      <c r="K1" t="s">
        <v>99</v>
      </c>
      <c r="M1" t="s">
        <v>92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97</v>
      </c>
      <c r="V1" t="s">
        <v>98</v>
      </c>
      <c r="W1" t="s">
        <v>99</v>
      </c>
      <c r="Y1" t="s">
        <v>93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97</v>
      </c>
      <c r="AH1" t="s">
        <v>98</v>
      </c>
      <c r="AI1" t="s">
        <v>99</v>
      </c>
      <c r="AJ1" t="s">
        <v>94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97</v>
      </c>
      <c r="AS1" t="s">
        <v>98</v>
      </c>
      <c r="AT1" t="s">
        <v>99</v>
      </c>
      <c r="AV1" t="s">
        <v>95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97</v>
      </c>
      <c r="BE1" t="s">
        <v>98</v>
      </c>
      <c r="BF1" t="s">
        <v>99</v>
      </c>
      <c r="BH1" t="s">
        <v>96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97</v>
      </c>
      <c r="BQ1" t="s">
        <v>98</v>
      </c>
      <c r="BR1" t="s">
        <v>99</v>
      </c>
    </row>
    <row r="2" spans="1:70" x14ac:dyDescent="0.2">
      <c r="A2">
        <v>1950</v>
      </c>
      <c r="B2" s="3" cm="1">
        <f t="array" ref="B2:B72">TRANSPOSE(Past!$B4:$BT4)/10000</f>
        <v>5.5195999999999996</v>
      </c>
      <c r="C2" s="3"/>
      <c r="D2" s="3"/>
      <c r="E2" s="3"/>
      <c r="F2" s="3"/>
      <c r="G2" s="3"/>
      <c r="H2" s="3"/>
      <c r="I2" s="3"/>
      <c r="J2" s="3"/>
      <c r="K2" s="3"/>
      <c r="M2">
        <v>1950</v>
      </c>
      <c r="N2" s="1" cm="1">
        <f t="array" ref="N2:N72">TRANSPOSE(Past!B10:BT10)</f>
        <v>2042.252</v>
      </c>
      <c r="O2" s="1"/>
      <c r="P2" s="1"/>
      <c r="Q2" s="1"/>
      <c r="R2" s="1"/>
      <c r="S2" s="1"/>
      <c r="T2" s="1"/>
      <c r="U2" s="1"/>
      <c r="V2" s="1"/>
      <c r="W2" s="1"/>
      <c r="Y2">
        <v>1950</v>
      </c>
      <c r="Z2" s="1" cm="1">
        <f t="array" ref="Z2:Z72">TRANSPOSE(Past!B11:BT11)</f>
        <v>993.52800000000002</v>
      </c>
      <c r="AA2" s="1"/>
      <c r="AB2" s="1"/>
      <c r="AC2" s="1"/>
      <c r="AD2" s="1"/>
      <c r="AE2" s="1"/>
      <c r="AF2" s="1"/>
      <c r="AG2" s="1"/>
      <c r="AH2" s="1"/>
      <c r="AI2" s="1"/>
      <c r="AJ2">
        <v>1950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V2">
        <v>1950</v>
      </c>
      <c r="AW2" s="12"/>
      <c r="AX2" s="12"/>
      <c r="AY2" s="12"/>
      <c r="AZ2" s="12"/>
      <c r="BA2" s="12"/>
      <c r="BB2" s="12"/>
      <c r="BC2" s="12"/>
      <c r="BD2" s="12"/>
      <c r="BE2" s="12"/>
      <c r="BF2" s="12"/>
      <c r="BH2">
        <v>1950</v>
      </c>
    </row>
    <row r="3" spans="1:70" x14ac:dyDescent="0.2">
      <c r="A3">
        <v>1951</v>
      </c>
      <c r="B3" s="3">
        <v>5.63</v>
      </c>
      <c r="C3" s="3"/>
      <c r="D3" s="3"/>
      <c r="E3" s="3"/>
      <c r="F3" s="3"/>
      <c r="G3" s="3"/>
      <c r="H3" s="3"/>
      <c r="I3" s="3"/>
      <c r="J3" s="3"/>
      <c r="K3" s="3"/>
      <c r="M3">
        <v>1951</v>
      </c>
      <c r="N3" s="1">
        <v>2128.14</v>
      </c>
      <c r="O3" s="1"/>
      <c r="P3" s="1"/>
      <c r="Q3" s="1"/>
      <c r="R3" s="1"/>
      <c r="S3" s="1"/>
      <c r="T3" s="1"/>
      <c r="U3" s="1"/>
      <c r="V3" s="1"/>
      <c r="W3" s="1"/>
      <c r="Y3">
        <v>1951</v>
      </c>
      <c r="Z3" s="1">
        <v>1002.14</v>
      </c>
      <c r="AA3" s="1"/>
      <c r="AB3" s="1"/>
      <c r="AC3" s="1"/>
      <c r="AD3" s="1"/>
      <c r="AE3" s="1"/>
      <c r="AF3" s="1"/>
      <c r="AG3" s="1"/>
      <c r="AH3" s="1"/>
      <c r="AI3" s="1"/>
      <c r="AJ3">
        <v>1951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V3">
        <v>1951</v>
      </c>
      <c r="AW3" s="12"/>
      <c r="AX3" s="12"/>
      <c r="AY3" s="12"/>
      <c r="AZ3" s="12"/>
      <c r="BA3" s="12"/>
      <c r="BB3" s="12"/>
      <c r="BC3" s="12"/>
      <c r="BD3" s="12"/>
      <c r="BE3" s="12"/>
      <c r="BF3" s="12"/>
      <c r="BH3">
        <v>1951</v>
      </c>
    </row>
    <row r="4" spans="1:70" x14ac:dyDescent="0.2">
      <c r="A4">
        <v>1952</v>
      </c>
      <c r="B4" s="3">
        <v>5.7481999999999998</v>
      </c>
      <c r="C4" s="3"/>
      <c r="D4" s="3"/>
      <c r="E4" s="3"/>
      <c r="F4" s="3"/>
      <c r="G4" s="3"/>
      <c r="H4" s="3"/>
      <c r="I4" s="3"/>
      <c r="J4" s="3"/>
      <c r="K4" s="3"/>
      <c r="M4">
        <v>1952</v>
      </c>
      <c r="N4" s="1">
        <v>2126.8339999999998</v>
      </c>
      <c r="O4" s="1"/>
      <c r="P4" s="1"/>
      <c r="Q4" s="1"/>
      <c r="R4" s="1"/>
      <c r="S4" s="1"/>
      <c r="T4" s="1"/>
      <c r="U4" s="1"/>
      <c r="V4" s="1"/>
      <c r="W4" s="1"/>
      <c r="Y4">
        <v>1952</v>
      </c>
      <c r="Z4" s="1">
        <v>977.19399999999996</v>
      </c>
      <c r="AA4" s="1"/>
      <c r="AB4" s="1"/>
      <c r="AC4" s="1"/>
      <c r="AD4" s="1"/>
      <c r="AE4" s="1"/>
      <c r="AF4" s="1"/>
      <c r="AG4" s="1"/>
      <c r="AH4" s="1"/>
      <c r="AI4" s="1"/>
      <c r="AJ4">
        <v>1952</v>
      </c>
      <c r="AK4" s="11"/>
      <c r="AL4" s="11"/>
      <c r="AM4" s="11"/>
      <c r="AN4" s="11"/>
      <c r="AO4" s="11"/>
      <c r="AP4" s="11"/>
      <c r="AQ4" s="11"/>
      <c r="AR4" s="11"/>
      <c r="AS4" s="11"/>
      <c r="AT4" s="11"/>
      <c r="AV4">
        <v>1952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  <c r="BH4">
        <v>1952</v>
      </c>
    </row>
    <row r="5" spans="1:70" x14ac:dyDescent="0.2">
      <c r="A5">
        <v>1953</v>
      </c>
      <c r="B5" s="3">
        <v>5.8795999999999999</v>
      </c>
      <c r="C5" s="3"/>
      <c r="D5" s="3"/>
      <c r="E5" s="3"/>
      <c r="F5" s="3"/>
      <c r="G5" s="3"/>
      <c r="H5" s="3"/>
      <c r="I5" s="3"/>
      <c r="J5" s="3"/>
      <c r="K5" s="3"/>
      <c r="M5">
        <v>1953</v>
      </c>
      <c r="N5" s="1">
        <v>2175.4520000000002</v>
      </c>
      <c r="O5" s="1"/>
      <c r="P5" s="1"/>
      <c r="Q5" s="1"/>
      <c r="R5" s="1"/>
      <c r="S5" s="1"/>
      <c r="T5" s="1"/>
      <c r="U5" s="1"/>
      <c r="V5" s="1"/>
      <c r="W5" s="1"/>
      <c r="Y5">
        <v>1953</v>
      </c>
      <c r="Z5" s="1">
        <v>823.14400000000001</v>
      </c>
      <c r="AA5" s="1"/>
      <c r="AB5" s="1"/>
      <c r="AC5" s="1"/>
      <c r="AD5" s="1"/>
      <c r="AE5" s="1"/>
      <c r="AF5" s="1"/>
      <c r="AG5" s="1"/>
      <c r="AH5" s="1"/>
      <c r="AI5" s="1"/>
      <c r="AJ5">
        <v>1953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V5">
        <v>1953</v>
      </c>
      <c r="AW5" s="12"/>
      <c r="AX5" s="12"/>
      <c r="AY5" s="12"/>
      <c r="AZ5" s="12"/>
      <c r="BA5" s="12"/>
      <c r="BB5" s="12"/>
      <c r="BC5" s="12"/>
      <c r="BD5" s="12"/>
      <c r="BE5" s="12"/>
      <c r="BF5" s="12"/>
      <c r="BH5">
        <v>1953</v>
      </c>
    </row>
    <row r="6" spans="1:70" x14ac:dyDescent="0.2">
      <c r="A6">
        <v>1954</v>
      </c>
      <c r="B6" s="3">
        <v>6.0266000000000002</v>
      </c>
      <c r="C6" s="3"/>
      <c r="D6" s="3"/>
      <c r="E6" s="3"/>
      <c r="F6" s="3"/>
      <c r="G6" s="3"/>
      <c r="H6" s="3"/>
      <c r="I6" s="3"/>
      <c r="J6" s="3"/>
      <c r="K6" s="3"/>
      <c r="M6">
        <v>1954</v>
      </c>
      <c r="N6" s="1">
        <v>2288.3000200000001</v>
      </c>
      <c r="O6" s="1"/>
      <c r="P6" s="1"/>
      <c r="Q6" s="1"/>
      <c r="R6" s="1"/>
      <c r="S6" s="1"/>
      <c r="T6" s="1"/>
      <c r="U6" s="1"/>
      <c r="V6" s="1"/>
      <c r="W6" s="1"/>
      <c r="Y6">
        <v>1954</v>
      </c>
      <c r="Z6" s="1">
        <v>794.30588</v>
      </c>
      <c r="AA6" s="1"/>
      <c r="AB6" s="1"/>
      <c r="AC6" s="1"/>
      <c r="AD6" s="1"/>
      <c r="AE6" s="1"/>
      <c r="AF6" s="1"/>
      <c r="AG6" s="1"/>
      <c r="AH6" s="1"/>
      <c r="AI6" s="1"/>
      <c r="AJ6">
        <v>1954</v>
      </c>
      <c r="AK6" s="11"/>
      <c r="AL6" s="11"/>
      <c r="AM6" s="11"/>
      <c r="AN6" s="11"/>
      <c r="AO6" s="11"/>
      <c r="AP6" s="11"/>
      <c r="AQ6" s="11"/>
      <c r="AR6" s="11"/>
      <c r="AS6" s="11"/>
      <c r="AT6" s="11"/>
      <c r="AV6">
        <v>1954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H6">
        <v>1954</v>
      </c>
    </row>
    <row r="7" spans="1:70" x14ac:dyDescent="0.2">
      <c r="A7">
        <v>1955</v>
      </c>
      <c r="B7" s="3">
        <v>6.1464999999999996</v>
      </c>
      <c r="C7" s="3"/>
      <c r="D7" s="3"/>
      <c r="E7" s="3"/>
      <c r="F7" s="3"/>
      <c r="G7" s="3"/>
      <c r="H7" s="3"/>
      <c r="I7" s="3"/>
      <c r="J7" s="3"/>
      <c r="K7" s="3"/>
      <c r="M7">
        <v>1955</v>
      </c>
      <c r="N7" s="1">
        <v>2003.759</v>
      </c>
      <c r="O7" s="1"/>
      <c r="P7" s="1"/>
      <c r="Q7" s="1"/>
      <c r="R7" s="1"/>
      <c r="S7" s="1"/>
      <c r="T7" s="1"/>
      <c r="U7" s="1"/>
      <c r="V7" s="1"/>
      <c r="W7" s="1"/>
      <c r="Y7">
        <v>1955</v>
      </c>
      <c r="Z7" s="1">
        <v>754.79019999999991</v>
      </c>
      <c r="AA7" s="1"/>
      <c r="AB7" s="1"/>
      <c r="AC7" s="1"/>
      <c r="AD7" s="1"/>
      <c r="AE7" s="1"/>
      <c r="AF7" s="1"/>
      <c r="AG7" s="1"/>
      <c r="AH7" s="1"/>
      <c r="AI7" s="1"/>
      <c r="AJ7">
        <v>1955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V7">
        <v>1955</v>
      </c>
      <c r="AW7" s="12"/>
      <c r="AX7" s="12"/>
      <c r="AY7" s="12"/>
      <c r="AZ7" s="12"/>
      <c r="BA7" s="12"/>
      <c r="BB7" s="12"/>
      <c r="BC7" s="12"/>
      <c r="BD7" s="12"/>
      <c r="BE7" s="12"/>
      <c r="BF7" s="12"/>
      <c r="BH7">
        <v>1955</v>
      </c>
    </row>
    <row r="8" spans="1:70" x14ac:dyDescent="0.2">
      <c r="A8">
        <v>1956</v>
      </c>
      <c r="B8" s="3">
        <v>6.2827999999999999</v>
      </c>
      <c r="C8" s="3"/>
      <c r="D8" s="3"/>
      <c r="E8" s="3"/>
      <c r="F8" s="3"/>
      <c r="G8" s="3"/>
      <c r="H8" s="3"/>
      <c r="I8" s="3"/>
      <c r="J8" s="3"/>
      <c r="K8" s="3"/>
      <c r="M8">
        <v>1956</v>
      </c>
      <c r="N8" s="1">
        <v>2004.2131999999999</v>
      </c>
      <c r="O8" s="1"/>
      <c r="P8" s="1"/>
      <c r="Q8" s="1"/>
      <c r="R8" s="1"/>
      <c r="S8" s="1"/>
      <c r="T8" s="1"/>
      <c r="U8" s="1"/>
      <c r="V8" s="1"/>
      <c r="W8" s="1"/>
      <c r="Y8">
        <v>1956</v>
      </c>
      <c r="Z8" s="1">
        <v>716.2392000000001</v>
      </c>
      <c r="AA8" s="1"/>
      <c r="AB8" s="1"/>
      <c r="AC8" s="1"/>
      <c r="AD8" s="1"/>
      <c r="AE8" s="1"/>
      <c r="AF8" s="1"/>
      <c r="AG8" s="1"/>
      <c r="AH8" s="1"/>
      <c r="AI8" s="1"/>
      <c r="AJ8">
        <v>1956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V8">
        <v>1956</v>
      </c>
      <c r="AW8" s="12"/>
      <c r="AX8" s="12"/>
      <c r="AY8" s="12"/>
      <c r="AZ8" s="12"/>
      <c r="BA8" s="12"/>
      <c r="BB8" s="12"/>
      <c r="BC8" s="12"/>
      <c r="BD8" s="12"/>
      <c r="BE8" s="12"/>
      <c r="BF8" s="12"/>
      <c r="BH8">
        <v>1956</v>
      </c>
    </row>
    <row r="9" spans="1:70" x14ac:dyDescent="0.2">
      <c r="A9">
        <v>1957</v>
      </c>
      <c r="B9" s="3">
        <v>6.4653</v>
      </c>
      <c r="C9" s="3"/>
      <c r="D9" s="3"/>
      <c r="E9" s="3"/>
      <c r="F9" s="3"/>
      <c r="G9" s="3"/>
      <c r="H9" s="3"/>
      <c r="I9" s="3"/>
      <c r="J9" s="3"/>
      <c r="K9" s="3"/>
      <c r="M9">
        <v>1957</v>
      </c>
      <c r="N9" s="1">
        <v>2200.1415899999997</v>
      </c>
      <c r="O9" s="1"/>
      <c r="P9" s="1"/>
      <c r="Q9" s="1"/>
      <c r="R9" s="1"/>
      <c r="S9" s="1"/>
      <c r="T9" s="1"/>
      <c r="U9" s="1"/>
      <c r="V9" s="1"/>
      <c r="W9" s="1"/>
      <c r="Y9">
        <v>1957</v>
      </c>
      <c r="Z9" s="1">
        <v>698.25240000000008</v>
      </c>
      <c r="AA9" s="1"/>
      <c r="AB9" s="1"/>
      <c r="AC9" s="1"/>
      <c r="AD9" s="1"/>
      <c r="AE9" s="1"/>
      <c r="AF9" s="1"/>
      <c r="AG9" s="1"/>
      <c r="AH9" s="1"/>
      <c r="AI9" s="1"/>
      <c r="AJ9">
        <v>1957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V9">
        <v>1957</v>
      </c>
      <c r="AW9" s="12"/>
      <c r="AX9" s="12"/>
      <c r="AY9" s="12"/>
      <c r="AZ9" s="12"/>
      <c r="BA9" s="12"/>
      <c r="BB9" s="12"/>
      <c r="BC9" s="12"/>
      <c r="BD9" s="12"/>
      <c r="BE9" s="12"/>
      <c r="BF9" s="12"/>
      <c r="BH9">
        <v>1957</v>
      </c>
    </row>
    <row r="10" spans="1:70" x14ac:dyDescent="0.2">
      <c r="A10">
        <v>1958</v>
      </c>
      <c r="B10" s="3">
        <v>6.5994000000000002</v>
      </c>
      <c r="C10" s="3"/>
      <c r="D10" s="3"/>
      <c r="E10" s="3"/>
      <c r="F10" s="3"/>
      <c r="G10" s="3"/>
      <c r="H10" s="3"/>
      <c r="I10" s="3"/>
      <c r="J10" s="3"/>
      <c r="K10" s="3"/>
      <c r="M10">
        <v>1958</v>
      </c>
      <c r="N10" s="1">
        <v>1928.3446799999999</v>
      </c>
      <c r="O10" s="1"/>
      <c r="P10" s="1"/>
      <c r="Q10" s="1"/>
      <c r="R10" s="1"/>
      <c r="S10" s="1"/>
      <c r="T10" s="1"/>
      <c r="U10" s="1"/>
      <c r="V10" s="1"/>
      <c r="W10" s="1"/>
      <c r="Y10">
        <v>1958</v>
      </c>
      <c r="Z10" s="1">
        <v>790.60811999999999</v>
      </c>
      <c r="AA10" s="1"/>
      <c r="AB10" s="1"/>
      <c r="AC10" s="1"/>
      <c r="AD10" s="1"/>
      <c r="AE10" s="1"/>
      <c r="AF10" s="1"/>
      <c r="AG10" s="1"/>
      <c r="AH10" s="1"/>
      <c r="AI10" s="1"/>
      <c r="AJ10">
        <v>1958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V10">
        <v>1958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H10">
        <v>1958</v>
      </c>
    </row>
    <row r="11" spans="1:70" x14ac:dyDescent="0.2">
      <c r="A11">
        <v>1959</v>
      </c>
      <c r="B11" s="3">
        <v>6.7206999999999999</v>
      </c>
      <c r="C11" s="3"/>
      <c r="D11" s="3"/>
      <c r="E11" s="3"/>
      <c r="F11" s="3"/>
      <c r="G11" s="3"/>
      <c r="H11" s="3"/>
      <c r="I11" s="3"/>
      <c r="J11" s="3"/>
      <c r="K11" s="3"/>
      <c r="M11">
        <v>1959</v>
      </c>
      <c r="N11" s="1">
        <v>1665.3894599999999</v>
      </c>
      <c r="O11" s="1"/>
      <c r="P11" s="1"/>
      <c r="Q11" s="1"/>
      <c r="R11" s="1"/>
      <c r="S11" s="1"/>
      <c r="T11" s="1"/>
      <c r="U11" s="1"/>
      <c r="V11" s="1"/>
      <c r="W11" s="1"/>
      <c r="Y11">
        <v>1959</v>
      </c>
      <c r="Z11" s="1">
        <v>980.55012999999997</v>
      </c>
      <c r="AA11" s="1"/>
      <c r="AB11" s="1"/>
      <c r="AC11" s="1"/>
      <c r="AD11" s="1"/>
      <c r="AE11" s="1"/>
      <c r="AF11" s="1"/>
      <c r="AG11" s="1"/>
      <c r="AH11" s="1"/>
      <c r="AI11" s="1"/>
      <c r="AJ11">
        <v>1959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V11">
        <v>1959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H11">
        <v>1959</v>
      </c>
    </row>
    <row r="12" spans="1:70" x14ac:dyDescent="0.2">
      <c r="A12">
        <v>1960</v>
      </c>
      <c r="B12" s="3">
        <v>6.6207000000000003</v>
      </c>
      <c r="C12" s="3"/>
      <c r="D12" s="3"/>
      <c r="E12" s="3"/>
      <c r="F12" s="3"/>
      <c r="G12" s="3"/>
      <c r="H12" s="3"/>
      <c r="I12" s="3"/>
      <c r="J12" s="3"/>
      <c r="K12" s="3"/>
      <c r="M12">
        <v>1960</v>
      </c>
      <c r="N12" s="1">
        <v>1381.0780199999999</v>
      </c>
      <c r="O12" s="1"/>
      <c r="P12" s="1"/>
      <c r="Q12" s="1"/>
      <c r="R12" s="1"/>
      <c r="S12" s="1"/>
      <c r="T12" s="1"/>
      <c r="U12" s="1"/>
      <c r="V12" s="1"/>
      <c r="W12" s="1"/>
      <c r="Y12">
        <v>1960</v>
      </c>
      <c r="Z12" s="1">
        <v>1683.64401</v>
      </c>
      <c r="AA12" s="1"/>
      <c r="AB12" s="1"/>
      <c r="AC12" s="1"/>
      <c r="AD12" s="1"/>
      <c r="AE12" s="1"/>
      <c r="AF12" s="1"/>
      <c r="AG12" s="1"/>
      <c r="AH12" s="1"/>
      <c r="AI12" s="1"/>
      <c r="AJ12">
        <v>1960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V12">
        <v>1960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H12">
        <v>1960</v>
      </c>
    </row>
    <row r="13" spans="1:70" x14ac:dyDescent="0.2">
      <c r="A13">
        <v>1961</v>
      </c>
      <c r="B13" s="3">
        <v>6.5858999999999996</v>
      </c>
      <c r="C13" s="3"/>
      <c r="D13" s="3"/>
      <c r="E13" s="3"/>
      <c r="F13" s="3"/>
      <c r="G13" s="3"/>
      <c r="H13" s="3"/>
      <c r="I13" s="3"/>
      <c r="J13" s="3"/>
      <c r="K13" s="3"/>
      <c r="M13">
        <v>1961</v>
      </c>
      <c r="N13" s="1">
        <v>1194.02367</v>
      </c>
      <c r="O13" s="1"/>
      <c r="P13" s="1"/>
      <c r="Q13" s="1"/>
      <c r="R13" s="1"/>
      <c r="S13" s="1"/>
      <c r="T13" s="1"/>
      <c r="U13" s="1"/>
      <c r="V13" s="1"/>
      <c r="W13" s="1"/>
      <c r="Y13">
        <v>1961</v>
      </c>
      <c r="Z13" s="1">
        <v>943.75946999999996</v>
      </c>
      <c r="AA13" s="1"/>
      <c r="AB13" s="1"/>
      <c r="AC13" s="1"/>
      <c r="AD13" s="1"/>
      <c r="AE13" s="1"/>
      <c r="AF13" s="1"/>
      <c r="AG13" s="1"/>
      <c r="AH13" s="1"/>
      <c r="AI13" s="1"/>
      <c r="AJ13">
        <v>1961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V13">
        <v>1961</v>
      </c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H13">
        <v>1961</v>
      </c>
    </row>
    <row r="14" spans="1:70" x14ac:dyDescent="0.2">
      <c r="A14">
        <v>1962</v>
      </c>
      <c r="B14" s="3">
        <v>6.7295999999999996</v>
      </c>
      <c r="C14" s="3"/>
      <c r="D14" s="3"/>
      <c r="E14" s="3"/>
      <c r="F14" s="3"/>
      <c r="G14" s="3"/>
      <c r="H14" s="3"/>
      <c r="I14" s="3"/>
      <c r="J14" s="3"/>
      <c r="K14" s="3"/>
      <c r="M14">
        <v>1962</v>
      </c>
      <c r="N14" s="1">
        <v>2504.7571200000002</v>
      </c>
      <c r="O14" s="1"/>
      <c r="P14" s="1"/>
      <c r="Q14" s="1"/>
      <c r="R14" s="1"/>
      <c r="S14" s="1"/>
      <c r="T14" s="1"/>
      <c r="U14" s="1"/>
      <c r="V14" s="1"/>
      <c r="W14" s="1"/>
      <c r="Y14">
        <v>1962</v>
      </c>
      <c r="Z14" s="1">
        <v>678.34368000000006</v>
      </c>
      <c r="AA14" s="1"/>
      <c r="AB14" s="1"/>
      <c r="AC14" s="1"/>
      <c r="AD14" s="1"/>
      <c r="AE14" s="1"/>
      <c r="AF14" s="1"/>
      <c r="AG14" s="1"/>
      <c r="AH14" s="1"/>
      <c r="AI14" s="1"/>
      <c r="AJ14">
        <v>1962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V14">
        <v>1962</v>
      </c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H14">
        <v>1962</v>
      </c>
    </row>
    <row r="15" spans="1:70" x14ac:dyDescent="0.2">
      <c r="A15">
        <v>1963</v>
      </c>
      <c r="B15" s="3">
        <v>6.9172000000000002</v>
      </c>
      <c r="C15" s="3"/>
      <c r="D15" s="3"/>
      <c r="E15" s="3"/>
      <c r="F15" s="3"/>
      <c r="G15" s="3"/>
      <c r="H15" s="3"/>
      <c r="I15" s="3"/>
      <c r="J15" s="3"/>
      <c r="K15" s="3"/>
      <c r="M15">
        <v>1963</v>
      </c>
      <c r="N15" s="1">
        <v>3015.8992000000003</v>
      </c>
      <c r="O15" s="1"/>
      <c r="P15" s="1"/>
      <c r="Q15" s="1"/>
      <c r="R15" s="1"/>
      <c r="S15" s="1"/>
      <c r="T15" s="1"/>
      <c r="U15" s="1"/>
      <c r="V15" s="1"/>
      <c r="W15" s="1"/>
      <c r="Y15">
        <v>1963</v>
      </c>
      <c r="Z15" s="1">
        <v>698.63720000000001</v>
      </c>
      <c r="AA15" s="1"/>
      <c r="AB15" s="1"/>
      <c r="AC15" s="1"/>
      <c r="AD15" s="1"/>
      <c r="AE15" s="1"/>
      <c r="AF15" s="1"/>
      <c r="AG15" s="1"/>
      <c r="AH15" s="1"/>
      <c r="AI15" s="1"/>
      <c r="AJ15">
        <v>1963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V15">
        <v>1963</v>
      </c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H15">
        <v>1963</v>
      </c>
    </row>
    <row r="16" spans="1:70" x14ac:dyDescent="0.2">
      <c r="A16">
        <v>1964</v>
      </c>
      <c r="B16" s="3">
        <v>7.0499000000000001</v>
      </c>
      <c r="C16" s="3"/>
      <c r="D16" s="3"/>
      <c r="E16" s="3"/>
      <c r="F16" s="3"/>
      <c r="G16" s="3"/>
      <c r="H16" s="3"/>
      <c r="I16" s="3"/>
      <c r="J16" s="3"/>
      <c r="K16" s="3"/>
      <c r="M16">
        <v>1964</v>
      </c>
      <c r="N16" s="1">
        <v>2773.43066</v>
      </c>
      <c r="O16" s="1"/>
      <c r="P16" s="1"/>
      <c r="Q16" s="1"/>
      <c r="R16" s="1"/>
      <c r="S16" s="1"/>
      <c r="T16" s="1"/>
      <c r="U16" s="1"/>
      <c r="V16" s="1"/>
      <c r="W16" s="1"/>
      <c r="Y16">
        <v>1964</v>
      </c>
      <c r="Z16" s="1">
        <v>814.9684400000001</v>
      </c>
      <c r="AA16" s="1"/>
      <c r="AB16" s="1"/>
      <c r="AC16" s="1"/>
      <c r="AD16" s="1"/>
      <c r="AE16" s="1"/>
      <c r="AF16" s="1"/>
      <c r="AG16" s="1"/>
      <c r="AH16" s="1"/>
      <c r="AI16" s="1"/>
      <c r="AJ16">
        <v>1964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V16">
        <v>1964</v>
      </c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H16">
        <v>1964</v>
      </c>
    </row>
    <row r="17" spans="1:60" x14ac:dyDescent="0.2">
      <c r="A17">
        <v>1965</v>
      </c>
      <c r="B17" s="3">
        <v>7.2538</v>
      </c>
      <c r="C17" s="3"/>
      <c r="D17" s="3"/>
      <c r="E17" s="3"/>
      <c r="F17" s="3"/>
      <c r="G17" s="3"/>
      <c r="H17" s="3"/>
      <c r="I17" s="3"/>
      <c r="J17" s="3"/>
      <c r="K17" s="3"/>
      <c r="M17">
        <v>1965</v>
      </c>
      <c r="N17" s="1">
        <v>2756.444</v>
      </c>
      <c r="O17" s="1"/>
      <c r="P17" s="1"/>
      <c r="Q17" s="1"/>
      <c r="R17" s="1"/>
      <c r="S17" s="1"/>
      <c r="T17" s="1"/>
      <c r="U17" s="1"/>
      <c r="V17" s="1"/>
      <c r="W17" s="1"/>
      <c r="Y17">
        <v>1965</v>
      </c>
      <c r="Z17" s="1">
        <v>689.11099999999999</v>
      </c>
      <c r="AA17" s="1"/>
      <c r="AB17" s="1"/>
      <c r="AC17" s="1"/>
      <c r="AD17" s="1"/>
      <c r="AE17" s="1"/>
      <c r="AF17" s="1"/>
      <c r="AG17" s="1"/>
      <c r="AH17" s="1"/>
      <c r="AI17" s="1"/>
      <c r="AJ17">
        <v>1965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V17">
        <v>1965</v>
      </c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H17">
        <v>1965</v>
      </c>
    </row>
    <row r="18" spans="1:60" x14ac:dyDescent="0.2">
      <c r="A18">
        <v>1966</v>
      </c>
      <c r="B18" s="3">
        <v>7.4542000000000002</v>
      </c>
      <c r="C18" s="3"/>
      <c r="D18" s="3"/>
      <c r="E18" s="3"/>
      <c r="F18" s="3"/>
      <c r="G18" s="3"/>
      <c r="H18" s="3"/>
      <c r="I18" s="3"/>
      <c r="J18" s="3"/>
      <c r="K18" s="3"/>
      <c r="M18">
        <v>1966</v>
      </c>
      <c r="N18" s="1">
        <v>2624.6238199999998</v>
      </c>
      <c r="O18" s="1"/>
      <c r="P18" s="1"/>
      <c r="Q18" s="1"/>
      <c r="R18" s="1"/>
      <c r="S18" s="1"/>
      <c r="T18" s="1"/>
      <c r="U18" s="1"/>
      <c r="V18" s="1"/>
      <c r="W18" s="1"/>
      <c r="Y18">
        <v>1966</v>
      </c>
      <c r="Z18" s="1">
        <v>661.1875399999999</v>
      </c>
      <c r="AA18" s="1"/>
      <c r="AB18" s="1"/>
      <c r="AC18" s="1"/>
      <c r="AD18" s="1"/>
      <c r="AE18" s="1"/>
      <c r="AF18" s="1"/>
      <c r="AG18" s="1"/>
      <c r="AH18" s="1"/>
      <c r="AI18" s="1"/>
      <c r="AJ18">
        <v>1966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V18">
        <v>1966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H18">
        <v>1966</v>
      </c>
    </row>
    <row r="19" spans="1:60" x14ac:dyDescent="0.2">
      <c r="A19">
        <v>1967</v>
      </c>
      <c r="B19" s="3">
        <v>7.6368</v>
      </c>
      <c r="C19" s="3"/>
      <c r="D19" s="3"/>
      <c r="E19" s="3"/>
      <c r="F19" s="3"/>
      <c r="G19" s="3"/>
      <c r="H19" s="3"/>
      <c r="I19" s="3"/>
      <c r="J19" s="3"/>
      <c r="K19" s="3"/>
      <c r="M19">
        <v>1967</v>
      </c>
      <c r="N19" s="1">
        <v>2605.6761599999995</v>
      </c>
      <c r="O19" s="1"/>
      <c r="P19" s="1"/>
      <c r="Q19" s="1"/>
      <c r="R19" s="1"/>
      <c r="S19" s="1"/>
      <c r="T19" s="1"/>
      <c r="U19" s="1"/>
      <c r="V19" s="1"/>
      <c r="W19" s="1"/>
      <c r="Y19">
        <v>1967</v>
      </c>
      <c r="Z19" s="1">
        <v>646.83696000000009</v>
      </c>
      <c r="AA19" s="1"/>
      <c r="AB19" s="1"/>
      <c r="AC19" s="1"/>
      <c r="AD19" s="1"/>
      <c r="AE19" s="1"/>
      <c r="AF19" s="1"/>
      <c r="AG19" s="1"/>
      <c r="AH19" s="1"/>
      <c r="AI19" s="1"/>
      <c r="AJ19">
        <v>1967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V19">
        <v>1967</v>
      </c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H19">
        <v>1967</v>
      </c>
    </row>
    <row r="20" spans="1:60" x14ac:dyDescent="0.2">
      <c r="A20">
        <v>1968</v>
      </c>
      <c r="B20" s="3">
        <v>7.8533999999999997</v>
      </c>
      <c r="C20" s="3"/>
      <c r="D20" s="3"/>
      <c r="E20" s="3"/>
      <c r="F20" s="3"/>
      <c r="G20" s="3"/>
      <c r="H20" s="3"/>
      <c r="I20" s="3"/>
      <c r="J20" s="3"/>
      <c r="K20" s="3"/>
      <c r="M20">
        <v>1968</v>
      </c>
      <c r="N20" s="1">
        <v>2807.5904999999998</v>
      </c>
      <c r="O20" s="1"/>
      <c r="P20" s="1"/>
      <c r="Q20" s="1"/>
      <c r="R20" s="1"/>
      <c r="S20" s="1"/>
      <c r="T20" s="1"/>
      <c r="U20" s="1"/>
      <c r="V20" s="1"/>
      <c r="W20" s="1"/>
      <c r="Y20">
        <v>1968</v>
      </c>
      <c r="Z20" s="1">
        <v>647.90549999999996</v>
      </c>
      <c r="AA20" s="1"/>
      <c r="AB20" s="1"/>
      <c r="AC20" s="1"/>
      <c r="AD20" s="1"/>
      <c r="AE20" s="1"/>
      <c r="AF20" s="1"/>
      <c r="AG20" s="1"/>
      <c r="AH20" s="1"/>
      <c r="AI20" s="1"/>
      <c r="AJ20">
        <v>1968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V20">
        <v>1968</v>
      </c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H20">
        <v>1968</v>
      </c>
    </row>
    <row r="21" spans="1:60" x14ac:dyDescent="0.2">
      <c r="A21">
        <v>1969</v>
      </c>
      <c r="B21" s="3">
        <v>8.0670999999999999</v>
      </c>
      <c r="C21" s="3"/>
      <c r="D21" s="3"/>
      <c r="E21" s="3"/>
      <c r="F21" s="3"/>
      <c r="G21" s="3"/>
      <c r="H21" s="3"/>
      <c r="I21" s="3"/>
      <c r="J21" s="3"/>
      <c r="K21" s="3"/>
      <c r="M21">
        <v>1969</v>
      </c>
      <c r="N21" s="1">
        <v>2762.9817499999999</v>
      </c>
      <c r="O21" s="1"/>
      <c r="P21" s="1"/>
      <c r="Q21" s="1"/>
      <c r="R21" s="1"/>
      <c r="S21" s="1"/>
      <c r="T21" s="1"/>
      <c r="U21" s="1"/>
      <c r="V21" s="1"/>
      <c r="W21" s="1"/>
      <c r="Y21">
        <v>1969</v>
      </c>
      <c r="Z21" s="1">
        <v>650.20826</v>
      </c>
      <c r="AA21" s="1"/>
      <c r="AB21" s="1"/>
      <c r="AC21" s="1"/>
      <c r="AD21" s="1"/>
      <c r="AE21" s="1"/>
      <c r="AF21" s="1"/>
      <c r="AG21" s="1"/>
      <c r="AH21" s="1"/>
      <c r="AI21" s="1"/>
      <c r="AJ21">
        <v>1969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V21">
        <v>1969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H21">
        <v>1969</v>
      </c>
    </row>
    <row r="22" spans="1:60" x14ac:dyDescent="0.2">
      <c r="A22">
        <v>1970</v>
      </c>
      <c r="B22" s="3">
        <v>8.2992000000000008</v>
      </c>
      <c r="C22" s="3"/>
      <c r="D22" s="3"/>
      <c r="E22" s="3"/>
      <c r="F22" s="3"/>
      <c r="G22" s="3"/>
      <c r="H22" s="3"/>
      <c r="I22" s="3"/>
      <c r="J22" s="3"/>
      <c r="K22" s="3"/>
      <c r="M22">
        <v>1970</v>
      </c>
      <c r="N22" s="1">
        <v>2787.7012800000002</v>
      </c>
      <c r="O22" s="1"/>
      <c r="P22" s="1"/>
      <c r="Q22" s="1"/>
      <c r="R22" s="1"/>
      <c r="S22" s="1"/>
      <c r="T22" s="1"/>
      <c r="U22" s="1"/>
      <c r="V22" s="1"/>
      <c r="W22" s="1"/>
      <c r="Y22">
        <v>1970</v>
      </c>
      <c r="Z22" s="1">
        <v>634.05888000000004</v>
      </c>
      <c r="AA22" s="1"/>
      <c r="AB22" s="1"/>
      <c r="AC22" s="1"/>
      <c r="AD22" s="1"/>
      <c r="AE22" s="1"/>
      <c r="AF22" s="1"/>
      <c r="AG22" s="1"/>
      <c r="AH22" s="1"/>
      <c r="AI22" s="1"/>
      <c r="AJ22">
        <v>1970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V22">
        <v>1970</v>
      </c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H22">
        <v>1970</v>
      </c>
    </row>
    <row r="23" spans="1:60" x14ac:dyDescent="0.2">
      <c r="A23">
        <v>1971</v>
      </c>
      <c r="B23" s="3">
        <v>8.5228999999999999</v>
      </c>
      <c r="C23" s="3"/>
      <c r="D23" s="3"/>
      <c r="E23" s="3"/>
      <c r="F23" s="3"/>
      <c r="G23" s="3"/>
      <c r="H23" s="3"/>
      <c r="I23" s="3"/>
      <c r="J23" s="3"/>
      <c r="K23" s="3"/>
      <c r="M23">
        <v>1971</v>
      </c>
      <c r="N23" s="1">
        <v>2619.9394600000001</v>
      </c>
      <c r="O23" s="1"/>
      <c r="P23" s="1"/>
      <c r="Q23" s="1"/>
      <c r="R23" s="1"/>
      <c r="S23" s="1"/>
      <c r="T23" s="1"/>
      <c r="U23" s="1"/>
      <c r="V23" s="1"/>
      <c r="W23" s="1"/>
      <c r="Y23">
        <v>1971</v>
      </c>
      <c r="Z23" s="1">
        <v>625.58086000000003</v>
      </c>
      <c r="AA23" s="1"/>
      <c r="AB23" s="1"/>
      <c r="AC23" s="1"/>
      <c r="AD23" s="1"/>
      <c r="AE23" s="1"/>
      <c r="AF23" s="1"/>
      <c r="AG23" s="1"/>
      <c r="AH23" s="1"/>
      <c r="AI23" s="1"/>
      <c r="AJ23">
        <v>1971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V23">
        <v>1971</v>
      </c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H23">
        <v>1971</v>
      </c>
    </row>
    <row r="24" spans="1:60" x14ac:dyDescent="0.2">
      <c r="A24">
        <v>1972</v>
      </c>
      <c r="B24" s="3">
        <v>8.7177000000000007</v>
      </c>
      <c r="C24" s="3"/>
      <c r="D24" s="3"/>
      <c r="E24" s="3"/>
      <c r="F24" s="3"/>
      <c r="G24" s="3"/>
      <c r="H24" s="3"/>
      <c r="I24" s="3"/>
      <c r="J24" s="3"/>
      <c r="K24" s="3"/>
      <c r="M24">
        <v>1972</v>
      </c>
      <c r="N24" s="1">
        <v>2608.3358400000002</v>
      </c>
      <c r="O24" s="1"/>
      <c r="P24" s="1"/>
      <c r="Q24" s="1"/>
      <c r="R24" s="1"/>
      <c r="S24" s="1"/>
      <c r="T24" s="1"/>
      <c r="U24" s="1"/>
      <c r="V24" s="1"/>
      <c r="W24" s="1"/>
      <c r="Y24">
        <v>1972</v>
      </c>
      <c r="Z24" s="1">
        <v>666.9040500000001</v>
      </c>
      <c r="AA24" s="1"/>
      <c r="AB24" s="1"/>
      <c r="AC24" s="1"/>
      <c r="AD24" s="1"/>
      <c r="AE24" s="1"/>
      <c r="AF24" s="1"/>
      <c r="AG24" s="1"/>
      <c r="AH24" s="1"/>
      <c r="AI24" s="1"/>
      <c r="AJ24">
        <v>1972</v>
      </c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V24">
        <v>1972</v>
      </c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H24">
        <v>1972</v>
      </c>
    </row>
    <row r="25" spans="1:60" x14ac:dyDescent="0.2">
      <c r="A25">
        <v>1973</v>
      </c>
      <c r="B25" s="3">
        <v>8.9210999999999991</v>
      </c>
      <c r="C25" s="3"/>
      <c r="D25" s="3"/>
      <c r="E25" s="3"/>
      <c r="F25" s="3"/>
      <c r="G25" s="3"/>
      <c r="H25" s="3"/>
      <c r="I25" s="3"/>
      <c r="J25" s="3"/>
      <c r="K25" s="3"/>
      <c r="M25">
        <v>1973</v>
      </c>
      <c r="N25" s="1">
        <v>2504.1527700000001</v>
      </c>
      <c r="O25" s="1"/>
      <c r="P25" s="1"/>
      <c r="Q25" s="1"/>
      <c r="R25" s="1"/>
      <c r="S25" s="1"/>
      <c r="T25" s="1"/>
      <c r="U25" s="1"/>
      <c r="V25" s="1"/>
      <c r="W25" s="1"/>
      <c r="Y25">
        <v>1973</v>
      </c>
      <c r="Z25" s="1">
        <v>631.61387999999999</v>
      </c>
      <c r="AA25" s="1"/>
      <c r="AB25" s="1"/>
      <c r="AC25" s="1"/>
      <c r="AD25" s="1"/>
      <c r="AE25" s="1"/>
      <c r="AF25" s="1"/>
      <c r="AG25" s="1"/>
      <c r="AH25" s="1"/>
      <c r="AI25" s="1"/>
      <c r="AJ25">
        <v>1973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V25">
        <v>1973</v>
      </c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H25">
        <v>1973</v>
      </c>
    </row>
    <row r="26" spans="1:60" x14ac:dyDescent="0.2">
      <c r="A26">
        <v>1974</v>
      </c>
      <c r="B26" s="3">
        <v>9.0859000000000005</v>
      </c>
      <c r="C26" s="3"/>
      <c r="D26" s="3"/>
      <c r="E26" s="3"/>
      <c r="F26" s="3"/>
      <c r="G26" s="3"/>
      <c r="H26" s="3"/>
      <c r="I26" s="3"/>
      <c r="J26" s="3"/>
      <c r="K26" s="3"/>
      <c r="M26">
        <v>1974</v>
      </c>
      <c r="N26" s="1">
        <v>2266.9320499999999</v>
      </c>
      <c r="O26" s="1"/>
      <c r="P26" s="1"/>
      <c r="Q26" s="1"/>
      <c r="R26" s="1"/>
      <c r="S26" s="1"/>
      <c r="T26" s="1"/>
      <c r="U26" s="1"/>
      <c r="V26" s="1"/>
      <c r="W26" s="1"/>
      <c r="Y26">
        <v>1974</v>
      </c>
      <c r="Z26" s="1">
        <v>670.53942000000006</v>
      </c>
      <c r="AA26" s="1"/>
      <c r="AB26" s="1"/>
      <c r="AC26" s="1"/>
      <c r="AD26" s="1"/>
      <c r="AE26" s="1"/>
      <c r="AF26" s="1"/>
      <c r="AG26" s="1"/>
      <c r="AH26" s="1"/>
      <c r="AI26" s="1"/>
      <c r="AJ26">
        <v>1974</v>
      </c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V26">
        <v>1974</v>
      </c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H26">
        <v>1974</v>
      </c>
    </row>
    <row r="27" spans="1:60" x14ac:dyDescent="0.2">
      <c r="A27">
        <v>1975</v>
      </c>
      <c r="B27" s="3">
        <v>9.2420000000000009</v>
      </c>
      <c r="C27" s="3"/>
      <c r="D27" s="3"/>
      <c r="E27" s="3"/>
      <c r="F27" s="3"/>
      <c r="G27" s="3"/>
      <c r="H27" s="3"/>
      <c r="I27" s="3"/>
      <c r="J27" s="3"/>
      <c r="K27" s="3"/>
      <c r="M27">
        <v>1975</v>
      </c>
      <c r="N27" s="1">
        <v>2137.6746000000003</v>
      </c>
      <c r="O27" s="1"/>
      <c r="P27" s="1"/>
      <c r="Q27" s="1"/>
      <c r="R27" s="1"/>
      <c r="S27" s="1"/>
      <c r="T27" s="1"/>
      <c r="U27" s="1"/>
      <c r="V27" s="1"/>
      <c r="W27" s="1"/>
      <c r="Y27">
        <v>1975</v>
      </c>
      <c r="Z27" s="1">
        <v>680.21120000000008</v>
      </c>
      <c r="AA27" s="1"/>
      <c r="AB27" s="1"/>
      <c r="AC27" s="1"/>
      <c r="AD27" s="1"/>
      <c r="AE27" s="1"/>
      <c r="AF27" s="1"/>
      <c r="AG27" s="1"/>
      <c r="AH27" s="1"/>
      <c r="AI27" s="1"/>
      <c r="AJ27">
        <v>1975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V27">
        <v>1975</v>
      </c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H27">
        <v>1975</v>
      </c>
    </row>
    <row r="28" spans="1:60" x14ac:dyDescent="0.2">
      <c r="A28">
        <v>1976</v>
      </c>
      <c r="B28" s="3">
        <v>9.3717000000000006</v>
      </c>
      <c r="C28" s="3"/>
      <c r="D28" s="3"/>
      <c r="E28" s="3"/>
      <c r="F28" s="3"/>
      <c r="G28" s="3"/>
      <c r="H28" s="3"/>
      <c r="I28" s="3"/>
      <c r="J28" s="3"/>
      <c r="K28" s="3"/>
      <c r="M28">
        <v>1976</v>
      </c>
      <c r="N28" s="1">
        <v>1875.2771700000001</v>
      </c>
      <c r="O28" s="1"/>
      <c r="P28" s="1"/>
      <c r="Q28" s="1"/>
      <c r="R28" s="1"/>
      <c r="S28" s="1"/>
      <c r="T28" s="1"/>
      <c r="U28" s="1"/>
      <c r="V28" s="1"/>
      <c r="W28" s="1"/>
      <c r="Y28">
        <v>1976</v>
      </c>
      <c r="Z28" s="1">
        <v>683.19693000000007</v>
      </c>
      <c r="AA28" s="1"/>
      <c r="AB28" s="1"/>
      <c r="AC28" s="1"/>
      <c r="AD28" s="1"/>
      <c r="AE28" s="1"/>
      <c r="AF28" s="1"/>
      <c r="AG28" s="1"/>
      <c r="AH28" s="1"/>
      <c r="AI28" s="1"/>
      <c r="AJ28">
        <v>1976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V28">
        <v>1976</v>
      </c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H28">
        <v>1976</v>
      </c>
    </row>
    <row r="29" spans="1:60" x14ac:dyDescent="0.2">
      <c r="A29">
        <v>1977</v>
      </c>
      <c r="B29" s="3">
        <v>9.4974000000000007</v>
      </c>
      <c r="C29" s="3"/>
      <c r="D29" s="3"/>
      <c r="E29" s="3"/>
      <c r="F29" s="3"/>
      <c r="G29" s="3"/>
      <c r="H29" s="3"/>
      <c r="I29" s="3"/>
      <c r="J29" s="3"/>
      <c r="K29" s="3"/>
      <c r="M29">
        <v>1977</v>
      </c>
      <c r="N29" s="1">
        <v>1807.3552200000001</v>
      </c>
      <c r="O29" s="1"/>
      <c r="P29" s="1"/>
      <c r="Q29" s="1"/>
      <c r="R29" s="1"/>
      <c r="S29" s="1"/>
      <c r="T29" s="1"/>
      <c r="U29" s="1"/>
      <c r="V29" s="1"/>
      <c r="W29" s="1"/>
      <c r="Y29">
        <v>1977</v>
      </c>
      <c r="Z29" s="1">
        <v>656.27033999999992</v>
      </c>
      <c r="AA29" s="1"/>
      <c r="AB29" s="1"/>
      <c r="AC29" s="1"/>
      <c r="AD29" s="1"/>
      <c r="AE29" s="1"/>
      <c r="AF29" s="1"/>
      <c r="AG29" s="1"/>
      <c r="AH29" s="1"/>
      <c r="AI29" s="1"/>
      <c r="AJ29">
        <v>1977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V29">
        <v>1977</v>
      </c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H29">
        <v>1977</v>
      </c>
    </row>
    <row r="30" spans="1:60" x14ac:dyDescent="0.2">
      <c r="A30">
        <v>1978</v>
      </c>
      <c r="B30" s="3">
        <v>9.6258999999999997</v>
      </c>
      <c r="C30" s="3"/>
      <c r="D30" s="3"/>
      <c r="E30" s="3"/>
      <c r="F30" s="3"/>
      <c r="G30" s="3"/>
      <c r="H30" s="3"/>
      <c r="I30" s="3"/>
      <c r="J30" s="3"/>
      <c r="K30" s="3"/>
      <c r="M30">
        <v>1978</v>
      </c>
      <c r="N30" s="1">
        <v>1756.72675</v>
      </c>
      <c r="O30" s="1"/>
      <c r="P30" s="1"/>
      <c r="Q30" s="1"/>
      <c r="R30" s="1"/>
      <c r="S30" s="1"/>
      <c r="T30" s="1"/>
      <c r="U30" s="1"/>
      <c r="V30" s="1"/>
      <c r="W30" s="1"/>
      <c r="Y30">
        <v>1978</v>
      </c>
      <c r="Z30" s="1">
        <v>601.61874999999998</v>
      </c>
      <c r="AA30" s="1"/>
      <c r="AB30" s="1"/>
      <c r="AC30" s="1"/>
      <c r="AD30" s="1"/>
      <c r="AE30" s="1"/>
      <c r="AF30" s="1"/>
      <c r="AG30" s="1"/>
      <c r="AH30" s="1"/>
      <c r="AI30" s="1"/>
      <c r="AJ30">
        <v>1978</v>
      </c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V30">
        <v>1978</v>
      </c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H30">
        <v>1978</v>
      </c>
    </row>
    <row r="31" spans="1:60" x14ac:dyDescent="0.2">
      <c r="A31">
        <v>1979</v>
      </c>
      <c r="B31" s="3">
        <v>9.7542000000000009</v>
      </c>
      <c r="C31" s="3"/>
      <c r="D31" s="3"/>
      <c r="E31" s="3"/>
      <c r="F31" s="3"/>
      <c r="G31" s="3"/>
      <c r="H31" s="3"/>
      <c r="I31" s="3"/>
      <c r="J31" s="3"/>
      <c r="K31" s="3"/>
      <c r="M31">
        <v>1979</v>
      </c>
      <c r="N31" s="1">
        <v>1738.1984399999999</v>
      </c>
      <c r="O31" s="1"/>
      <c r="P31" s="1"/>
      <c r="Q31" s="1"/>
      <c r="R31" s="1"/>
      <c r="S31" s="1"/>
      <c r="T31" s="1"/>
      <c r="U31" s="1"/>
      <c r="V31" s="1"/>
      <c r="W31" s="1"/>
      <c r="Y31">
        <v>1979</v>
      </c>
      <c r="Z31" s="1">
        <v>605.73581999999999</v>
      </c>
      <c r="AA31" s="1"/>
      <c r="AB31" s="1"/>
      <c r="AC31" s="1"/>
      <c r="AD31" s="1"/>
      <c r="AE31" s="1"/>
      <c r="AF31" s="1"/>
      <c r="AG31" s="1"/>
      <c r="AH31" s="1"/>
      <c r="AI31" s="1"/>
      <c r="AJ31">
        <v>1979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V31">
        <v>1979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H31">
        <v>1979</v>
      </c>
    </row>
    <row r="32" spans="1:60" x14ac:dyDescent="0.2">
      <c r="A32">
        <v>1980</v>
      </c>
      <c r="B32" s="3">
        <v>9.8704999999999998</v>
      </c>
      <c r="C32" s="3"/>
      <c r="D32" s="3"/>
      <c r="E32" s="3"/>
      <c r="F32" s="3"/>
      <c r="G32" s="3"/>
      <c r="H32" s="3"/>
      <c r="I32" s="3"/>
      <c r="J32" s="3"/>
      <c r="K32" s="3"/>
      <c r="M32">
        <v>1980</v>
      </c>
      <c r="N32" s="1">
        <v>1797.41805</v>
      </c>
      <c r="O32" s="1"/>
      <c r="P32" s="1"/>
      <c r="Q32" s="1"/>
      <c r="R32" s="1"/>
      <c r="S32" s="1"/>
      <c r="T32" s="1"/>
      <c r="U32" s="1"/>
      <c r="V32" s="1"/>
      <c r="W32" s="1"/>
      <c r="Y32">
        <v>1980</v>
      </c>
      <c r="Z32" s="1">
        <v>625.78969999999993</v>
      </c>
      <c r="AA32" s="1"/>
      <c r="AB32" s="1"/>
      <c r="AC32" s="1"/>
      <c r="AD32" s="1"/>
      <c r="AE32" s="1"/>
      <c r="AF32" s="1"/>
      <c r="AG32" s="1"/>
      <c r="AH32" s="1"/>
      <c r="AI32" s="1"/>
      <c r="AJ32">
        <v>1980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V32">
        <v>1980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H32">
        <v>1980</v>
      </c>
    </row>
    <row r="33" spans="1:61" x14ac:dyDescent="0.2">
      <c r="A33">
        <v>1981</v>
      </c>
      <c r="B33" s="3">
        <v>10.007199999999999</v>
      </c>
      <c r="C33" s="3"/>
      <c r="D33" s="3"/>
      <c r="E33" s="3"/>
      <c r="F33" s="3"/>
      <c r="G33" s="3"/>
      <c r="H33" s="3"/>
      <c r="I33" s="3"/>
      <c r="J33" s="3"/>
      <c r="K33" s="3"/>
      <c r="M33">
        <v>1981</v>
      </c>
      <c r="N33" s="1">
        <v>2092.5055200000002</v>
      </c>
      <c r="O33" s="1"/>
      <c r="P33" s="1"/>
      <c r="Q33" s="1"/>
      <c r="R33" s="1"/>
      <c r="S33" s="1"/>
      <c r="T33" s="1"/>
      <c r="U33" s="1"/>
      <c r="V33" s="1"/>
      <c r="W33" s="1"/>
      <c r="Y33">
        <v>1981</v>
      </c>
      <c r="Z33" s="1">
        <v>636.45792000000006</v>
      </c>
      <c r="AA33" s="1"/>
      <c r="AB33" s="1"/>
      <c r="AC33" s="1"/>
      <c r="AD33" s="1"/>
      <c r="AE33" s="1"/>
      <c r="AF33" s="1"/>
      <c r="AG33" s="1"/>
      <c r="AH33" s="1"/>
      <c r="AI33" s="1"/>
      <c r="AJ33">
        <v>1981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V33">
        <v>1981</v>
      </c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H33">
        <v>1981</v>
      </c>
    </row>
    <row r="34" spans="1:61" x14ac:dyDescent="0.2">
      <c r="A34">
        <v>1982</v>
      </c>
      <c r="B34" s="3">
        <v>10.1654</v>
      </c>
      <c r="C34" s="3"/>
      <c r="D34" s="3"/>
      <c r="E34" s="3"/>
      <c r="F34" s="3"/>
      <c r="G34" s="3"/>
      <c r="H34" s="3"/>
      <c r="I34" s="3"/>
      <c r="J34" s="3"/>
      <c r="K34" s="3"/>
      <c r="M34">
        <v>1982</v>
      </c>
      <c r="N34" s="1">
        <v>2264.8511200000003</v>
      </c>
      <c r="O34" s="1"/>
      <c r="P34" s="1"/>
      <c r="Q34" s="1"/>
      <c r="R34" s="1"/>
      <c r="S34" s="1"/>
      <c r="T34" s="1"/>
      <c r="U34" s="1"/>
      <c r="V34" s="1"/>
      <c r="W34" s="1"/>
      <c r="Y34">
        <v>1982</v>
      </c>
      <c r="Z34" s="1">
        <v>670.91639999999995</v>
      </c>
      <c r="AA34" s="1"/>
      <c r="AB34" s="1"/>
      <c r="AC34" s="1"/>
      <c r="AD34" s="1"/>
      <c r="AE34" s="1"/>
      <c r="AF34" s="1"/>
      <c r="AG34" s="1"/>
      <c r="AH34" s="1"/>
      <c r="AI34" s="1"/>
      <c r="AJ34">
        <v>1982</v>
      </c>
      <c r="AK34" s="11">
        <f>Past!AH13</f>
        <v>54.6</v>
      </c>
      <c r="AL34" s="11"/>
      <c r="AM34" s="11"/>
      <c r="AN34" s="11"/>
      <c r="AO34" s="11"/>
      <c r="AP34" s="11"/>
      <c r="AQ34" s="11"/>
      <c r="AR34" s="11"/>
      <c r="AS34" s="11"/>
      <c r="AT34" s="11"/>
      <c r="AV34">
        <v>1982</v>
      </c>
      <c r="AW34" s="12">
        <f>Past!AH14</f>
        <v>8</v>
      </c>
      <c r="AX34" s="12"/>
      <c r="AY34" s="12"/>
      <c r="AZ34" s="12"/>
      <c r="BA34" s="12"/>
      <c r="BB34" s="12"/>
      <c r="BC34" s="12"/>
      <c r="BD34" s="12"/>
      <c r="BE34" s="12"/>
      <c r="BF34" s="12"/>
      <c r="BH34">
        <v>1982</v>
      </c>
    </row>
    <row r="35" spans="1:61" x14ac:dyDescent="0.2">
      <c r="A35">
        <v>1983</v>
      </c>
      <c r="B35" s="3">
        <v>10.300800000000001</v>
      </c>
      <c r="C35" s="3"/>
      <c r="D35" s="3"/>
      <c r="E35" s="3"/>
      <c r="F35" s="3"/>
      <c r="G35" s="3"/>
      <c r="H35" s="3"/>
      <c r="I35" s="3"/>
      <c r="J35" s="3"/>
      <c r="K35" s="3"/>
      <c r="M35">
        <v>1983</v>
      </c>
      <c r="N35" s="1">
        <v>2079.7315199999998</v>
      </c>
      <c r="O35" s="1"/>
      <c r="P35" s="1"/>
      <c r="Q35" s="1"/>
      <c r="R35" s="1"/>
      <c r="S35" s="1"/>
      <c r="T35" s="1"/>
      <c r="U35" s="1"/>
      <c r="V35" s="1"/>
      <c r="W35" s="1"/>
      <c r="Y35">
        <v>1983</v>
      </c>
      <c r="Z35" s="1">
        <v>710.75520000000006</v>
      </c>
      <c r="AA35" s="1"/>
      <c r="AB35" s="1"/>
      <c r="AC35" s="1"/>
      <c r="AD35" s="1"/>
      <c r="AE35" s="1"/>
      <c r="AF35" s="1"/>
      <c r="AG35" s="1"/>
      <c r="AH35" s="1"/>
      <c r="AI35" s="1"/>
      <c r="AJ35">
        <v>1983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V35">
        <v>1983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H35">
        <v>1983</v>
      </c>
    </row>
    <row r="36" spans="1:61" x14ac:dyDescent="0.2">
      <c r="A36">
        <v>1984</v>
      </c>
      <c r="B36" s="3">
        <v>10.435700000000001</v>
      </c>
      <c r="C36" s="3"/>
      <c r="D36" s="3"/>
      <c r="E36" s="3"/>
      <c r="F36" s="3"/>
      <c r="G36" s="3"/>
      <c r="H36" s="3"/>
      <c r="I36" s="3"/>
      <c r="J36" s="3"/>
      <c r="K36" s="3"/>
      <c r="M36">
        <v>1984</v>
      </c>
      <c r="N36" s="1">
        <v>2076.7042999999999</v>
      </c>
      <c r="O36" s="1"/>
      <c r="P36" s="1"/>
      <c r="Q36" s="1"/>
      <c r="R36" s="1"/>
      <c r="S36" s="1"/>
      <c r="T36" s="1"/>
      <c r="U36" s="1"/>
      <c r="V36" s="1"/>
      <c r="W36" s="1"/>
      <c r="Y36">
        <v>1984</v>
      </c>
      <c r="Z36" s="1">
        <v>711.71474000000001</v>
      </c>
      <c r="AA36" s="1"/>
      <c r="AB36" s="1"/>
      <c r="AC36" s="1"/>
      <c r="AD36" s="1"/>
      <c r="AE36" s="1"/>
      <c r="AF36" s="1"/>
      <c r="AG36" s="1"/>
      <c r="AH36" s="1"/>
      <c r="AI36" s="1"/>
      <c r="AJ36">
        <v>1984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V36">
        <v>1984</v>
      </c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H36">
        <v>1984</v>
      </c>
    </row>
    <row r="37" spans="1:61" x14ac:dyDescent="0.2">
      <c r="A37">
        <v>1985</v>
      </c>
      <c r="B37" s="3">
        <v>10.585100000000001</v>
      </c>
      <c r="C37" s="3"/>
      <c r="D37" s="3"/>
      <c r="E37" s="3"/>
      <c r="F37" s="3"/>
      <c r="G37" s="3"/>
      <c r="H37" s="3"/>
      <c r="I37" s="3"/>
      <c r="J37" s="3"/>
      <c r="K37" s="3"/>
      <c r="M37">
        <v>1985</v>
      </c>
      <c r="N37" s="1">
        <v>2227.1050399999999</v>
      </c>
      <c r="O37" s="1"/>
      <c r="P37" s="1"/>
      <c r="Q37" s="1"/>
      <c r="R37" s="1"/>
      <c r="S37" s="1"/>
      <c r="T37" s="1"/>
      <c r="U37" s="1"/>
      <c r="V37" s="1"/>
      <c r="W37" s="1"/>
      <c r="Y37">
        <v>1985</v>
      </c>
      <c r="Z37" s="1">
        <v>717.66978000000006</v>
      </c>
      <c r="AA37" s="1"/>
      <c r="AB37" s="1"/>
      <c r="AC37" s="1"/>
      <c r="AD37" s="1"/>
      <c r="AE37" s="1"/>
      <c r="AF37" s="1"/>
      <c r="AG37" s="1"/>
      <c r="AH37" s="1"/>
      <c r="AI37" s="1"/>
      <c r="AJ37">
        <v>1985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V37">
        <v>1985</v>
      </c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H37">
        <v>1985</v>
      </c>
    </row>
    <row r="38" spans="1:61" x14ac:dyDescent="0.2">
      <c r="A38">
        <v>1986</v>
      </c>
      <c r="B38" s="3">
        <v>10.7507</v>
      </c>
      <c r="C38" s="3"/>
      <c r="D38" s="3"/>
      <c r="E38" s="3"/>
      <c r="F38" s="3"/>
      <c r="G38" s="3"/>
      <c r="H38" s="3"/>
      <c r="I38" s="3"/>
      <c r="J38" s="3"/>
      <c r="K38" s="3"/>
      <c r="M38">
        <v>1986</v>
      </c>
      <c r="N38" s="1">
        <v>2411.3820099999998</v>
      </c>
      <c r="O38" s="1"/>
      <c r="P38" s="1"/>
      <c r="Q38" s="1"/>
      <c r="R38" s="1"/>
      <c r="S38" s="1"/>
      <c r="T38" s="1"/>
      <c r="U38" s="1"/>
      <c r="V38" s="1"/>
      <c r="W38" s="1"/>
      <c r="Y38">
        <v>1986</v>
      </c>
      <c r="Z38" s="1">
        <v>737.49802</v>
      </c>
      <c r="AA38" s="1"/>
      <c r="AB38" s="1"/>
      <c r="AC38" s="1"/>
      <c r="AD38" s="1"/>
      <c r="AE38" s="1"/>
      <c r="AF38" s="1"/>
      <c r="AG38" s="1"/>
      <c r="AH38" s="1"/>
      <c r="AI38" s="1"/>
      <c r="AJ38">
        <v>1986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V38">
        <v>1986</v>
      </c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H38">
        <v>1986</v>
      </c>
    </row>
    <row r="39" spans="1:61" x14ac:dyDescent="0.2">
      <c r="A39">
        <v>1987</v>
      </c>
      <c r="B39" s="3">
        <v>10.93</v>
      </c>
      <c r="C39" s="3"/>
      <c r="D39" s="3"/>
      <c r="E39" s="3"/>
      <c r="F39" s="3"/>
      <c r="G39" s="3"/>
      <c r="H39" s="3"/>
      <c r="I39" s="3"/>
      <c r="J39" s="3"/>
      <c r="K39" s="3"/>
      <c r="M39">
        <v>1987</v>
      </c>
      <c r="N39" s="1">
        <v>2549.9690000000001</v>
      </c>
      <c r="O39" s="1"/>
      <c r="P39" s="1"/>
      <c r="Q39" s="1"/>
      <c r="R39" s="1"/>
      <c r="S39" s="1"/>
      <c r="T39" s="1"/>
      <c r="U39" s="1"/>
      <c r="V39" s="1"/>
      <c r="W39" s="1"/>
      <c r="Y39">
        <v>1987</v>
      </c>
      <c r="Z39" s="1">
        <v>734.49599999999998</v>
      </c>
      <c r="AA39" s="1"/>
      <c r="AB39" s="1"/>
      <c r="AC39" s="1"/>
      <c r="AD39" s="1"/>
      <c r="AE39" s="1"/>
      <c r="AF39" s="1"/>
      <c r="AG39" s="1"/>
      <c r="AH39" s="1"/>
      <c r="AI39" s="1"/>
      <c r="AJ39">
        <v>1987</v>
      </c>
      <c r="AK39" s="11">
        <f>Past!AM13</f>
        <v>43.5</v>
      </c>
      <c r="AL39" s="11"/>
      <c r="AM39" s="11"/>
      <c r="AN39" s="11"/>
      <c r="AO39" s="11"/>
      <c r="AP39" s="11"/>
      <c r="AQ39" s="11"/>
      <c r="AR39" s="11"/>
      <c r="AS39" s="11"/>
      <c r="AT39" s="11"/>
      <c r="AV39">
        <v>1987</v>
      </c>
      <c r="AW39" s="12">
        <f>Past!AM14</f>
        <v>8.3000000000000007</v>
      </c>
      <c r="AX39" s="12"/>
      <c r="AY39" s="12"/>
      <c r="AZ39" s="12"/>
      <c r="BA39" s="12"/>
      <c r="BB39" s="12"/>
      <c r="BC39" s="12"/>
      <c r="BD39" s="12"/>
      <c r="BE39" s="12"/>
      <c r="BF39" s="12"/>
      <c r="BH39">
        <v>1987</v>
      </c>
    </row>
    <row r="40" spans="1:61" x14ac:dyDescent="0.2">
      <c r="A40">
        <v>1988</v>
      </c>
      <c r="B40" s="3">
        <v>11.102600000000001</v>
      </c>
      <c r="C40" s="3"/>
      <c r="D40" s="3"/>
      <c r="E40" s="3"/>
      <c r="F40" s="3"/>
      <c r="G40" s="3"/>
      <c r="H40" s="3"/>
      <c r="I40" s="3"/>
      <c r="J40" s="3"/>
      <c r="K40" s="3"/>
      <c r="M40">
        <v>1988</v>
      </c>
      <c r="N40" s="1">
        <v>2483.6516200000001</v>
      </c>
      <c r="O40" s="1"/>
      <c r="P40" s="1"/>
      <c r="Q40" s="1"/>
      <c r="R40" s="1"/>
      <c r="S40" s="1"/>
      <c r="T40" s="1"/>
      <c r="U40" s="1"/>
      <c r="V40" s="1"/>
      <c r="W40" s="1"/>
      <c r="Y40">
        <v>1988</v>
      </c>
      <c r="Z40" s="1">
        <v>737.21263999999996</v>
      </c>
      <c r="AA40" s="1"/>
      <c r="AB40" s="1"/>
      <c r="AC40" s="1"/>
      <c r="AD40" s="1"/>
      <c r="AE40" s="1"/>
      <c r="AF40" s="1"/>
      <c r="AG40" s="1"/>
      <c r="AH40" s="1"/>
      <c r="AI40" s="1"/>
      <c r="AJ40">
        <v>1988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V40">
        <v>1988</v>
      </c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H40">
        <v>1988</v>
      </c>
    </row>
    <row r="41" spans="1:61" x14ac:dyDescent="0.2">
      <c r="A41">
        <v>1989</v>
      </c>
      <c r="B41" s="3">
        <v>11.2704</v>
      </c>
      <c r="C41" s="3"/>
      <c r="D41" s="3"/>
      <c r="E41" s="3"/>
      <c r="F41" s="3"/>
      <c r="G41" s="3"/>
      <c r="H41" s="3"/>
      <c r="I41" s="3"/>
      <c r="J41" s="3"/>
      <c r="K41" s="3"/>
      <c r="M41">
        <v>1989</v>
      </c>
      <c r="N41" s="1">
        <v>2432.1523199999997</v>
      </c>
      <c r="O41" s="1"/>
      <c r="P41" s="1"/>
      <c r="Q41" s="1"/>
      <c r="R41" s="1"/>
      <c r="S41" s="1"/>
      <c r="T41" s="1"/>
      <c r="U41" s="1"/>
      <c r="V41" s="1"/>
      <c r="W41" s="1"/>
      <c r="Y41">
        <v>1989</v>
      </c>
      <c r="Z41" s="1">
        <v>737.08416</v>
      </c>
      <c r="AA41" s="1"/>
      <c r="AB41" s="1"/>
      <c r="AC41" s="1"/>
      <c r="AD41" s="1"/>
      <c r="AE41" s="1"/>
      <c r="AF41" s="1"/>
      <c r="AG41" s="1"/>
      <c r="AH41" s="1"/>
      <c r="AI41" s="1"/>
      <c r="AJ41">
        <v>1989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V41">
        <v>1989</v>
      </c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H41">
        <v>1989</v>
      </c>
    </row>
    <row r="42" spans="1:61" x14ac:dyDescent="0.2">
      <c r="A42">
        <v>1990</v>
      </c>
      <c r="B42" s="3">
        <v>11.433299999999999</v>
      </c>
      <c r="C42" s="3"/>
      <c r="D42" s="3"/>
      <c r="E42" s="3"/>
      <c r="F42" s="3"/>
      <c r="G42" s="3"/>
      <c r="H42" s="3"/>
      <c r="I42" s="3"/>
      <c r="J42" s="3"/>
      <c r="K42" s="3"/>
      <c r="M42">
        <v>1990</v>
      </c>
      <c r="N42" s="1">
        <v>2407.8529800000001</v>
      </c>
      <c r="O42" s="1"/>
      <c r="P42" s="1"/>
      <c r="Q42" s="1"/>
      <c r="R42" s="1"/>
      <c r="S42" s="1"/>
      <c r="T42" s="1"/>
      <c r="U42" s="1"/>
      <c r="V42" s="1"/>
      <c r="W42" s="1"/>
      <c r="Y42">
        <v>1990</v>
      </c>
      <c r="Z42" s="1">
        <v>762.60110999999995</v>
      </c>
      <c r="AA42" s="1"/>
      <c r="AB42" s="1"/>
      <c r="AC42" s="1"/>
      <c r="AD42" s="1"/>
      <c r="AE42" s="1"/>
      <c r="AF42" s="1"/>
      <c r="AG42" s="1"/>
      <c r="AH42" s="1"/>
      <c r="AI42" s="1"/>
      <c r="AJ42">
        <v>1990</v>
      </c>
      <c r="AK42" s="11" cm="1">
        <f t="array" ref="AK42:AK72">TRANSPOSE(Past!AP13:BT13)</f>
        <v>41.5</v>
      </c>
      <c r="AL42" s="11"/>
      <c r="AM42" s="11"/>
      <c r="AN42" s="11"/>
      <c r="AO42" s="11"/>
      <c r="AP42" s="11"/>
      <c r="AQ42" s="11"/>
      <c r="AR42" s="11"/>
      <c r="AS42" s="11"/>
      <c r="AT42" s="11"/>
      <c r="AV42">
        <v>1990</v>
      </c>
      <c r="AW42" s="12" cm="1">
        <f t="array" ref="AW42:AW72">TRANSPOSE(Past!AP14:BT14)</f>
        <v>8.3000000000000007</v>
      </c>
      <c r="AX42" s="12"/>
      <c r="AY42" s="12"/>
      <c r="AZ42" s="12"/>
      <c r="BA42" s="12"/>
      <c r="BB42" s="12"/>
      <c r="BC42" s="12"/>
      <c r="BD42" s="12"/>
      <c r="BE42" s="12"/>
      <c r="BF42" s="12"/>
      <c r="BH42">
        <v>1990</v>
      </c>
      <c r="BI42">
        <v>23.69</v>
      </c>
    </row>
    <row r="43" spans="1:61" x14ac:dyDescent="0.2">
      <c r="A43">
        <v>1991</v>
      </c>
      <c r="B43" s="3">
        <v>11.5823</v>
      </c>
      <c r="C43" s="3"/>
      <c r="D43" s="3"/>
      <c r="E43" s="3"/>
      <c r="F43" s="3"/>
      <c r="G43" s="3"/>
      <c r="H43" s="3"/>
      <c r="I43" s="3"/>
      <c r="J43" s="3"/>
      <c r="K43" s="3"/>
      <c r="M43">
        <v>1991</v>
      </c>
      <c r="N43" s="1">
        <v>2279.3966399999999</v>
      </c>
      <c r="O43" s="1"/>
      <c r="P43" s="1"/>
      <c r="Q43" s="1"/>
      <c r="R43" s="1"/>
      <c r="S43" s="1"/>
      <c r="T43" s="1"/>
      <c r="U43" s="1"/>
      <c r="V43" s="1"/>
      <c r="W43" s="1"/>
      <c r="Y43">
        <v>1991</v>
      </c>
      <c r="Z43" s="1">
        <v>776.01409999999998</v>
      </c>
      <c r="AA43" s="1"/>
      <c r="AB43" s="1"/>
      <c r="AC43" s="1"/>
      <c r="AD43" s="1"/>
      <c r="AE43" s="1"/>
      <c r="AF43" s="1"/>
      <c r="AG43" s="1"/>
      <c r="AH43" s="1"/>
      <c r="AI43" s="1"/>
      <c r="AJ43">
        <v>1991</v>
      </c>
      <c r="AK43" s="11">
        <v>41.8</v>
      </c>
      <c r="AL43" s="11"/>
      <c r="AM43" s="11"/>
      <c r="AN43" s="11"/>
      <c r="AO43" s="11"/>
      <c r="AP43" s="11"/>
      <c r="AQ43" s="11"/>
      <c r="AR43" s="11"/>
      <c r="AS43" s="11"/>
      <c r="AT43" s="11"/>
      <c r="AV43">
        <v>1991</v>
      </c>
      <c r="AW43" s="12">
        <v>9</v>
      </c>
      <c r="AX43" s="12"/>
      <c r="AY43" s="12"/>
      <c r="AZ43" s="12"/>
      <c r="BA43" s="12"/>
      <c r="BB43" s="12"/>
      <c r="BC43" s="12"/>
      <c r="BD43" s="12"/>
      <c r="BE43" s="12"/>
      <c r="BF43" s="12"/>
      <c r="BH43">
        <v>1991</v>
      </c>
    </row>
    <row r="44" spans="1:61" x14ac:dyDescent="0.2">
      <c r="A44">
        <v>1992</v>
      </c>
      <c r="B44" s="3">
        <v>11.7171</v>
      </c>
      <c r="C44" s="3"/>
      <c r="D44" s="3"/>
      <c r="E44" s="3"/>
      <c r="F44" s="3"/>
      <c r="G44" s="3"/>
      <c r="H44" s="3"/>
      <c r="I44" s="3"/>
      <c r="J44" s="3"/>
      <c r="K44" s="3"/>
      <c r="M44">
        <v>1992</v>
      </c>
      <c r="N44" s="1">
        <v>2137.19904</v>
      </c>
      <c r="O44" s="1"/>
      <c r="P44" s="1"/>
      <c r="Q44" s="1"/>
      <c r="R44" s="1"/>
      <c r="S44" s="1"/>
      <c r="T44" s="1"/>
      <c r="U44" s="1"/>
      <c r="V44" s="1"/>
      <c r="W44" s="1"/>
      <c r="Y44">
        <v>1992</v>
      </c>
      <c r="Z44" s="1">
        <v>778.0154399999999</v>
      </c>
      <c r="AA44" s="1"/>
      <c r="AB44" s="1"/>
      <c r="AC44" s="1"/>
      <c r="AD44" s="1"/>
      <c r="AE44" s="1"/>
      <c r="AF44" s="1"/>
      <c r="AG44" s="1"/>
      <c r="AH44" s="1"/>
      <c r="AI44" s="1"/>
      <c r="AJ44">
        <v>1992</v>
      </c>
      <c r="AK44" s="11">
        <v>41.7</v>
      </c>
      <c r="AL44" s="11"/>
      <c r="AM44" s="11"/>
      <c r="AN44" s="11"/>
      <c r="AO44" s="11"/>
      <c r="AP44" s="11"/>
      <c r="AQ44" s="11"/>
      <c r="AR44" s="11"/>
      <c r="AS44" s="11"/>
      <c r="AT44" s="11"/>
      <c r="AV44">
        <v>1992</v>
      </c>
      <c r="AW44" s="12">
        <v>9.3000000000000007</v>
      </c>
      <c r="AX44" s="12"/>
      <c r="AY44" s="12"/>
      <c r="AZ44" s="12"/>
      <c r="BA44" s="12"/>
      <c r="BB44" s="12"/>
      <c r="BC44" s="12"/>
      <c r="BD44" s="12"/>
      <c r="BE44" s="12"/>
      <c r="BF44" s="12"/>
      <c r="BH44">
        <v>1992</v>
      </c>
    </row>
    <row r="45" spans="1:61" x14ac:dyDescent="0.2">
      <c r="A45">
        <v>1993</v>
      </c>
      <c r="B45" s="3">
        <v>11.851699999999999</v>
      </c>
      <c r="C45" s="3"/>
      <c r="D45" s="3"/>
      <c r="E45" s="3"/>
      <c r="F45" s="3"/>
      <c r="G45" s="3"/>
      <c r="H45" s="3"/>
      <c r="I45" s="3"/>
      <c r="J45" s="3"/>
      <c r="K45" s="3"/>
      <c r="M45">
        <v>1993</v>
      </c>
      <c r="N45" s="1">
        <v>2143.97253</v>
      </c>
      <c r="O45" s="1"/>
      <c r="P45" s="1"/>
      <c r="Q45" s="1"/>
      <c r="R45" s="1"/>
      <c r="S45" s="1"/>
      <c r="T45" s="1"/>
      <c r="U45" s="1"/>
      <c r="V45" s="1"/>
      <c r="W45" s="1"/>
      <c r="Y45">
        <v>1993</v>
      </c>
      <c r="Z45" s="1">
        <v>786.95288000000005</v>
      </c>
      <c r="AA45" s="1"/>
      <c r="AB45" s="1"/>
      <c r="AC45" s="1"/>
      <c r="AD45" s="1"/>
      <c r="AE45" s="1"/>
      <c r="AF45" s="1"/>
      <c r="AG45" s="1"/>
      <c r="AH45" s="1"/>
      <c r="AI45" s="1"/>
      <c r="AJ45">
        <v>1993</v>
      </c>
      <c r="AK45" s="11">
        <v>40.700000000000003</v>
      </c>
      <c r="AL45" s="11"/>
      <c r="AM45" s="11"/>
      <c r="AN45" s="11"/>
      <c r="AO45" s="11"/>
      <c r="AP45" s="11"/>
      <c r="AQ45" s="11"/>
      <c r="AR45" s="11"/>
      <c r="AS45" s="11"/>
      <c r="AT45" s="11"/>
      <c r="AV45">
        <v>1993</v>
      </c>
      <c r="AW45" s="12">
        <v>9.1999999999999993</v>
      </c>
      <c r="AX45" s="12"/>
      <c r="AY45" s="12"/>
      <c r="AZ45" s="12"/>
      <c r="BA45" s="12"/>
      <c r="BB45" s="12"/>
      <c r="BC45" s="12"/>
      <c r="BD45" s="12"/>
      <c r="BE45" s="12"/>
      <c r="BF45" s="12"/>
      <c r="BH45">
        <v>1993</v>
      </c>
    </row>
    <row r="46" spans="1:61" x14ac:dyDescent="0.2">
      <c r="A46">
        <v>1994</v>
      </c>
      <c r="B46" s="3">
        <v>11.984999999999999</v>
      </c>
      <c r="C46" s="3"/>
      <c r="D46" s="3"/>
      <c r="E46" s="3"/>
      <c r="F46" s="3"/>
      <c r="G46" s="3"/>
      <c r="H46" s="3"/>
      <c r="I46" s="3"/>
      <c r="J46" s="3"/>
      <c r="K46" s="3"/>
      <c r="M46">
        <v>1994</v>
      </c>
      <c r="N46" s="1">
        <v>2121.3449999999998</v>
      </c>
      <c r="O46" s="1"/>
      <c r="P46" s="1"/>
      <c r="Q46" s="1"/>
      <c r="R46" s="1"/>
      <c r="S46" s="1"/>
      <c r="T46" s="1"/>
      <c r="U46" s="1"/>
      <c r="V46" s="1"/>
      <c r="W46" s="1"/>
      <c r="Y46">
        <v>1994</v>
      </c>
      <c r="Z46" s="1">
        <v>777.82650000000001</v>
      </c>
      <c r="AA46" s="1"/>
      <c r="AB46" s="1"/>
      <c r="AC46" s="1"/>
      <c r="AD46" s="1"/>
      <c r="AE46" s="1"/>
      <c r="AF46" s="1"/>
      <c r="AG46" s="1"/>
      <c r="AH46" s="1"/>
      <c r="AI46" s="1"/>
      <c r="AJ46">
        <v>1994</v>
      </c>
      <c r="AK46" s="11">
        <v>40.5</v>
      </c>
      <c r="AL46" s="11"/>
      <c r="AM46" s="11"/>
      <c r="AN46" s="11"/>
      <c r="AO46" s="11"/>
      <c r="AP46" s="11"/>
      <c r="AQ46" s="11"/>
      <c r="AR46" s="11"/>
      <c r="AS46" s="11"/>
      <c r="AT46" s="11"/>
      <c r="AV46">
        <v>1994</v>
      </c>
      <c r="AW46" s="12">
        <v>9.5</v>
      </c>
      <c r="AX46" s="12"/>
      <c r="AY46" s="12"/>
      <c r="AZ46" s="12"/>
      <c r="BA46" s="12"/>
      <c r="BB46" s="12"/>
      <c r="BC46" s="12"/>
      <c r="BD46" s="12"/>
      <c r="BE46" s="12"/>
      <c r="BF46" s="12"/>
      <c r="BH46">
        <v>1994</v>
      </c>
    </row>
    <row r="47" spans="1:61" x14ac:dyDescent="0.2">
      <c r="A47">
        <v>1995</v>
      </c>
      <c r="B47" s="3">
        <v>12.1121</v>
      </c>
      <c r="C47" s="3"/>
      <c r="D47" s="3"/>
      <c r="E47" s="3"/>
      <c r="F47" s="3"/>
      <c r="G47" s="3"/>
      <c r="H47" s="3"/>
      <c r="I47" s="3"/>
      <c r="J47" s="3"/>
      <c r="K47" s="3"/>
      <c r="M47">
        <v>1995</v>
      </c>
      <c r="N47" s="1">
        <v>2073.5915199999999</v>
      </c>
      <c r="O47" s="1"/>
      <c r="P47" s="1"/>
      <c r="Q47" s="1"/>
      <c r="R47" s="1"/>
      <c r="S47" s="1"/>
      <c r="T47" s="1"/>
      <c r="U47" s="1"/>
      <c r="V47" s="1"/>
      <c r="W47" s="1"/>
      <c r="Y47">
        <v>1995</v>
      </c>
      <c r="Z47" s="1">
        <v>795.76497000000006</v>
      </c>
      <c r="AA47" s="1"/>
      <c r="AB47" s="1"/>
      <c r="AC47" s="1"/>
      <c r="AD47" s="1"/>
      <c r="AE47" s="1"/>
      <c r="AF47" s="1"/>
      <c r="AG47" s="1"/>
      <c r="AH47" s="1"/>
      <c r="AI47" s="1"/>
      <c r="AJ47">
        <v>1995</v>
      </c>
      <c r="AK47" s="11">
        <v>39.6</v>
      </c>
      <c r="AL47" s="11"/>
      <c r="AM47" s="11"/>
      <c r="AN47" s="11"/>
      <c r="AO47" s="11"/>
      <c r="AP47" s="11"/>
      <c r="AQ47" s="11"/>
      <c r="AR47" s="11"/>
      <c r="AS47" s="11"/>
      <c r="AT47" s="11"/>
      <c r="AV47">
        <v>1995</v>
      </c>
      <c r="AW47" s="12">
        <v>9.1999999999999993</v>
      </c>
      <c r="AX47" s="12"/>
      <c r="AY47" s="12"/>
      <c r="AZ47" s="12"/>
      <c r="BA47" s="12"/>
      <c r="BB47" s="12"/>
      <c r="BC47" s="12"/>
      <c r="BD47" s="12"/>
      <c r="BE47" s="12"/>
      <c r="BF47" s="12"/>
      <c r="BH47">
        <v>1995</v>
      </c>
    </row>
    <row r="48" spans="1:61" x14ac:dyDescent="0.2">
      <c r="A48">
        <v>1996</v>
      </c>
      <c r="B48" s="3">
        <v>12.238899999999999</v>
      </c>
      <c r="C48" s="3"/>
      <c r="D48" s="3"/>
      <c r="E48" s="3"/>
      <c r="F48" s="3"/>
      <c r="G48" s="3"/>
      <c r="H48" s="3"/>
      <c r="I48" s="3"/>
      <c r="J48" s="3"/>
      <c r="K48" s="3"/>
      <c r="M48">
        <v>1996</v>
      </c>
      <c r="N48" s="1">
        <v>2078.1652199999999</v>
      </c>
      <c r="O48" s="1"/>
      <c r="P48" s="1"/>
      <c r="Q48" s="1"/>
      <c r="R48" s="1"/>
      <c r="S48" s="1"/>
      <c r="T48" s="1"/>
      <c r="U48" s="1"/>
      <c r="V48" s="1"/>
      <c r="W48" s="1"/>
      <c r="Y48">
        <v>1996</v>
      </c>
      <c r="Z48" s="1">
        <v>802.87184000000002</v>
      </c>
      <c r="AA48" s="1"/>
      <c r="AB48" s="1"/>
      <c r="AC48" s="1"/>
      <c r="AD48" s="1"/>
      <c r="AE48" s="1"/>
      <c r="AF48" s="1"/>
      <c r="AG48" s="1"/>
      <c r="AH48" s="1"/>
      <c r="AI48" s="1"/>
      <c r="AJ48">
        <v>1996</v>
      </c>
      <c r="AK48" s="11">
        <v>39.299999999999997</v>
      </c>
      <c r="AL48" s="11"/>
      <c r="AM48" s="11"/>
      <c r="AN48" s="11"/>
      <c r="AO48" s="11"/>
      <c r="AP48" s="11"/>
      <c r="AQ48" s="11"/>
      <c r="AR48" s="11"/>
      <c r="AS48" s="11"/>
      <c r="AT48" s="11"/>
      <c r="AV48">
        <v>1996</v>
      </c>
      <c r="AW48" s="12">
        <v>9.5</v>
      </c>
      <c r="AX48" s="12"/>
      <c r="AY48" s="12"/>
      <c r="AZ48" s="12"/>
      <c r="BA48" s="12"/>
      <c r="BB48" s="12"/>
      <c r="BC48" s="12"/>
      <c r="BD48" s="12"/>
      <c r="BE48" s="12"/>
      <c r="BF48" s="12"/>
      <c r="BH48">
        <v>1996</v>
      </c>
    </row>
    <row r="49" spans="1:60" x14ac:dyDescent="0.2">
      <c r="A49">
        <v>1997</v>
      </c>
      <c r="B49" s="3">
        <v>12.3626</v>
      </c>
      <c r="C49" s="3"/>
      <c r="D49" s="3"/>
      <c r="E49" s="3"/>
      <c r="F49" s="3"/>
      <c r="G49" s="3"/>
      <c r="H49" s="3"/>
      <c r="I49" s="3"/>
      <c r="J49" s="3"/>
      <c r="K49" s="3"/>
      <c r="M49">
        <v>1997</v>
      </c>
      <c r="N49" s="1">
        <v>2048.4828200000002</v>
      </c>
      <c r="O49" s="1"/>
      <c r="P49" s="1"/>
      <c r="Q49" s="1"/>
      <c r="R49" s="1"/>
      <c r="S49" s="1"/>
      <c r="T49" s="1"/>
      <c r="U49" s="1"/>
      <c r="V49" s="1"/>
      <c r="W49" s="1"/>
      <c r="Y49">
        <v>1997</v>
      </c>
      <c r="Z49" s="1">
        <v>804.80525999999998</v>
      </c>
      <c r="AA49" s="1"/>
      <c r="AB49" s="1"/>
      <c r="AC49" s="1"/>
      <c r="AD49" s="1"/>
      <c r="AE49" s="1"/>
      <c r="AF49" s="1"/>
      <c r="AG49" s="1"/>
      <c r="AH49" s="1"/>
      <c r="AI49" s="1"/>
      <c r="AJ49">
        <v>1997</v>
      </c>
      <c r="AK49" s="11">
        <v>38.5</v>
      </c>
      <c r="AL49" s="11"/>
      <c r="AM49" s="11"/>
      <c r="AN49" s="11"/>
      <c r="AO49" s="11"/>
      <c r="AP49" s="11"/>
      <c r="AQ49" s="11"/>
      <c r="AR49" s="11"/>
      <c r="AS49" s="11"/>
      <c r="AT49" s="11"/>
      <c r="AV49">
        <v>1997</v>
      </c>
      <c r="AW49" s="12">
        <v>9.6999999999999993</v>
      </c>
      <c r="AX49" s="12"/>
      <c r="AY49" s="12"/>
      <c r="AZ49" s="12"/>
      <c r="BA49" s="12"/>
      <c r="BB49" s="12"/>
      <c r="BC49" s="12"/>
      <c r="BD49" s="12"/>
      <c r="BE49" s="12"/>
      <c r="BF49" s="12"/>
      <c r="BH49">
        <v>1997</v>
      </c>
    </row>
    <row r="50" spans="1:60" x14ac:dyDescent="0.2">
      <c r="A50">
        <v>1998</v>
      </c>
      <c r="B50" s="3">
        <v>12.476100000000001</v>
      </c>
      <c r="C50" s="3"/>
      <c r="D50" s="3"/>
      <c r="E50" s="3"/>
      <c r="F50" s="3"/>
      <c r="G50" s="3"/>
      <c r="H50" s="3"/>
      <c r="I50" s="3"/>
      <c r="J50" s="3"/>
      <c r="K50" s="3"/>
      <c r="M50">
        <v>1998</v>
      </c>
      <c r="N50" s="1">
        <v>1951.2620400000001</v>
      </c>
      <c r="O50" s="1"/>
      <c r="P50" s="1"/>
      <c r="Q50" s="1"/>
      <c r="R50" s="1"/>
      <c r="S50" s="1"/>
      <c r="T50" s="1"/>
      <c r="U50" s="1"/>
      <c r="V50" s="1"/>
      <c r="W50" s="1"/>
      <c r="Y50">
        <v>1998</v>
      </c>
      <c r="Z50" s="1">
        <v>810.94650000000001</v>
      </c>
      <c r="AA50" s="1"/>
      <c r="AB50" s="1"/>
      <c r="AC50" s="1"/>
      <c r="AD50" s="1"/>
      <c r="AE50" s="1"/>
      <c r="AF50" s="1"/>
      <c r="AG50" s="1"/>
      <c r="AH50" s="1"/>
      <c r="AI50" s="1"/>
      <c r="AJ50">
        <v>1998</v>
      </c>
      <c r="AK50" s="11">
        <v>38</v>
      </c>
      <c r="AL50" s="11"/>
      <c r="AM50" s="11"/>
      <c r="AN50" s="11"/>
      <c r="AO50" s="11"/>
      <c r="AP50" s="11"/>
      <c r="AQ50" s="11"/>
      <c r="AR50" s="11"/>
      <c r="AS50" s="11"/>
      <c r="AT50" s="11"/>
      <c r="AV50">
        <v>1998</v>
      </c>
      <c r="AW50" s="12">
        <v>9.9</v>
      </c>
      <c r="AX50" s="12"/>
      <c r="AY50" s="12"/>
      <c r="AZ50" s="12"/>
      <c r="BA50" s="12"/>
      <c r="BB50" s="12"/>
      <c r="BC50" s="12"/>
      <c r="BD50" s="12"/>
      <c r="BE50" s="12"/>
      <c r="BF50" s="12"/>
      <c r="BH50">
        <v>1998</v>
      </c>
    </row>
    <row r="51" spans="1:60" x14ac:dyDescent="0.2">
      <c r="A51">
        <v>1999</v>
      </c>
      <c r="B51" s="3">
        <v>12.5786</v>
      </c>
      <c r="C51" s="3"/>
      <c r="D51" s="3"/>
      <c r="E51" s="3"/>
      <c r="F51" s="3"/>
      <c r="G51" s="3"/>
      <c r="H51" s="3"/>
      <c r="I51" s="3"/>
      <c r="J51" s="3"/>
      <c r="K51" s="3"/>
      <c r="M51">
        <v>1999</v>
      </c>
      <c r="N51" s="1">
        <v>1841.50704</v>
      </c>
      <c r="O51" s="1"/>
      <c r="P51" s="1"/>
      <c r="Q51" s="1"/>
      <c r="R51" s="1"/>
      <c r="S51" s="1"/>
      <c r="T51" s="1"/>
      <c r="U51" s="1"/>
      <c r="V51" s="1"/>
      <c r="W51" s="1"/>
      <c r="Y51">
        <v>1999</v>
      </c>
      <c r="Z51" s="1">
        <v>812.57755999999995</v>
      </c>
      <c r="AA51" s="1"/>
      <c r="AB51" s="1"/>
      <c r="AC51" s="1"/>
      <c r="AD51" s="1"/>
      <c r="AE51" s="1"/>
      <c r="AF51" s="1"/>
      <c r="AG51" s="1"/>
      <c r="AH51" s="1"/>
      <c r="AI51" s="1"/>
      <c r="AJ51">
        <v>1999</v>
      </c>
      <c r="AK51" s="11">
        <v>37.5</v>
      </c>
      <c r="AL51" s="11"/>
      <c r="AM51" s="11"/>
      <c r="AN51" s="11"/>
      <c r="AO51" s="11"/>
      <c r="AP51" s="11"/>
      <c r="AQ51" s="11"/>
      <c r="AR51" s="11"/>
      <c r="AS51" s="11"/>
      <c r="AT51" s="11"/>
      <c r="AV51">
        <v>1999</v>
      </c>
      <c r="AW51" s="12">
        <v>10.199999999999999</v>
      </c>
      <c r="AX51" s="12"/>
      <c r="AY51" s="12"/>
      <c r="AZ51" s="12"/>
      <c r="BA51" s="12"/>
      <c r="BB51" s="12"/>
      <c r="BC51" s="12"/>
      <c r="BD51" s="12"/>
      <c r="BE51" s="12"/>
      <c r="BF51" s="12"/>
      <c r="BH51">
        <v>1999</v>
      </c>
    </row>
    <row r="52" spans="1:60" x14ac:dyDescent="0.2">
      <c r="A52">
        <v>2000</v>
      </c>
      <c r="B52" s="3">
        <v>12.674300000000001</v>
      </c>
      <c r="C52" s="3"/>
      <c r="D52" s="3"/>
      <c r="E52" s="3"/>
      <c r="F52" s="3"/>
      <c r="G52" s="3"/>
      <c r="H52" s="3"/>
      <c r="I52" s="3"/>
      <c r="J52" s="3"/>
      <c r="K52" s="3"/>
      <c r="M52">
        <v>2000</v>
      </c>
      <c r="N52" s="1">
        <v>1778.2042899999999</v>
      </c>
      <c r="O52" s="1"/>
      <c r="P52" s="1"/>
      <c r="Q52" s="1"/>
      <c r="R52" s="1"/>
      <c r="S52" s="1"/>
      <c r="T52" s="1"/>
      <c r="U52" s="1"/>
      <c r="V52" s="1"/>
      <c r="W52" s="1"/>
      <c r="Y52">
        <v>2000</v>
      </c>
      <c r="Z52" s="1">
        <v>817.49234999999999</v>
      </c>
      <c r="AA52" s="1"/>
      <c r="AB52" s="1"/>
      <c r="AC52" s="1"/>
      <c r="AD52" s="1"/>
      <c r="AE52" s="1"/>
      <c r="AF52" s="1"/>
      <c r="AG52" s="1"/>
      <c r="AH52" s="1"/>
      <c r="AI52" s="1"/>
      <c r="AJ52">
        <v>2000</v>
      </c>
      <c r="AK52" s="11">
        <v>32.6</v>
      </c>
      <c r="AL52" s="11"/>
      <c r="AM52" s="11"/>
      <c r="AN52" s="11"/>
      <c r="AO52" s="11"/>
      <c r="AP52" s="11"/>
      <c r="AQ52" s="11"/>
      <c r="AR52" s="11"/>
      <c r="AS52" s="11"/>
      <c r="AT52" s="11"/>
      <c r="AV52">
        <v>2000</v>
      </c>
      <c r="AW52" s="12">
        <v>9.9</v>
      </c>
      <c r="AX52" s="12"/>
      <c r="AY52" s="12"/>
      <c r="AZ52" s="12"/>
      <c r="BA52" s="12"/>
      <c r="BB52" s="12"/>
      <c r="BC52" s="12"/>
      <c r="BD52" s="12"/>
      <c r="BE52" s="12"/>
      <c r="BF52" s="12"/>
      <c r="BH52">
        <v>2000</v>
      </c>
    </row>
    <row r="53" spans="1:60" x14ac:dyDescent="0.2">
      <c r="A53">
        <v>2001</v>
      </c>
      <c r="B53" s="3">
        <v>12.762700000000001</v>
      </c>
      <c r="C53" s="3"/>
      <c r="D53" s="3"/>
      <c r="E53" s="3"/>
      <c r="F53" s="3"/>
      <c r="G53" s="3"/>
      <c r="H53" s="3"/>
      <c r="I53" s="3"/>
      <c r="J53" s="3"/>
      <c r="K53" s="3"/>
      <c r="M53">
        <v>2001</v>
      </c>
      <c r="N53" s="1">
        <v>1707.6492599999999</v>
      </c>
      <c r="O53" s="1"/>
      <c r="P53" s="1"/>
      <c r="Q53" s="1"/>
      <c r="R53" s="1"/>
      <c r="S53" s="1"/>
      <c r="T53" s="1"/>
      <c r="U53" s="1"/>
      <c r="V53" s="1"/>
      <c r="W53" s="1"/>
      <c r="Y53">
        <v>2001</v>
      </c>
      <c r="Z53" s="1">
        <v>820.64161000000001</v>
      </c>
      <c r="AA53" s="1"/>
      <c r="AB53" s="1"/>
      <c r="AC53" s="1"/>
      <c r="AD53" s="1"/>
      <c r="AE53" s="1"/>
      <c r="AF53" s="1"/>
      <c r="AG53" s="1"/>
      <c r="AH53" s="1"/>
      <c r="AI53" s="1"/>
      <c r="AJ53">
        <v>2001</v>
      </c>
      <c r="AK53" s="11">
        <v>32</v>
      </c>
      <c r="AL53" s="11"/>
      <c r="AM53" s="11"/>
      <c r="AN53" s="11"/>
      <c r="AO53" s="11"/>
      <c r="AP53" s="11"/>
      <c r="AQ53" s="11"/>
      <c r="AR53" s="11"/>
      <c r="AS53" s="11"/>
      <c r="AT53" s="11"/>
      <c r="AV53">
        <v>2001</v>
      </c>
      <c r="AW53" s="12">
        <v>10.1</v>
      </c>
      <c r="AX53" s="12"/>
      <c r="AY53" s="12"/>
      <c r="AZ53" s="12"/>
      <c r="BA53" s="12"/>
      <c r="BB53" s="12"/>
      <c r="BC53" s="12"/>
      <c r="BD53" s="12"/>
      <c r="BE53" s="12"/>
      <c r="BF53" s="12"/>
      <c r="BH53">
        <v>2001</v>
      </c>
    </row>
    <row r="54" spans="1:60" x14ac:dyDescent="0.2">
      <c r="A54">
        <v>2002</v>
      </c>
      <c r="B54" s="3">
        <v>12.8453</v>
      </c>
      <c r="C54" s="3"/>
      <c r="D54" s="3"/>
      <c r="E54" s="3"/>
      <c r="F54" s="3"/>
      <c r="G54" s="3"/>
      <c r="H54" s="3"/>
      <c r="I54" s="3"/>
      <c r="J54" s="3"/>
      <c r="K54" s="3"/>
      <c r="M54">
        <v>2002</v>
      </c>
      <c r="N54" s="1">
        <v>1651.9055799999999</v>
      </c>
      <c r="O54" s="1"/>
      <c r="P54" s="1"/>
      <c r="Q54" s="1"/>
      <c r="R54" s="1"/>
      <c r="S54" s="1"/>
      <c r="T54" s="1"/>
      <c r="U54" s="1"/>
      <c r="V54" s="1"/>
      <c r="W54" s="1"/>
      <c r="Y54">
        <v>2002</v>
      </c>
      <c r="Z54" s="1">
        <v>823.38373000000001</v>
      </c>
      <c r="AA54" s="1"/>
      <c r="AB54" s="1"/>
      <c r="AC54" s="1"/>
      <c r="AD54" s="1"/>
      <c r="AE54" s="1"/>
      <c r="AF54" s="1"/>
      <c r="AG54" s="1"/>
      <c r="AH54" s="1"/>
      <c r="AI54" s="1"/>
      <c r="AJ54">
        <v>2002</v>
      </c>
      <c r="AK54" s="11">
        <v>31.9</v>
      </c>
      <c r="AL54" s="11"/>
      <c r="AM54" s="11"/>
      <c r="AN54" s="11"/>
      <c r="AO54" s="11"/>
      <c r="AP54" s="11"/>
      <c r="AQ54" s="11"/>
      <c r="AR54" s="11"/>
      <c r="AS54" s="11"/>
      <c r="AT54" s="11"/>
      <c r="AV54">
        <v>2002</v>
      </c>
      <c r="AW54" s="12">
        <v>10.4</v>
      </c>
      <c r="AX54" s="12"/>
      <c r="AY54" s="12"/>
      <c r="AZ54" s="12"/>
      <c r="BA54" s="12"/>
      <c r="BB54" s="12"/>
      <c r="BC54" s="12"/>
      <c r="BD54" s="12"/>
      <c r="BE54" s="12"/>
      <c r="BF54" s="12"/>
      <c r="BH54">
        <v>2002</v>
      </c>
    </row>
    <row r="55" spans="1:60" x14ac:dyDescent="0.2">
      <c r="A55">
        <v>2003</v>
      </c>
      <c r="B55" s="3">
        <v>12.922700000000001</v>
      </c>
      <c r="C55" s="3"/>
      <c r="D55" s="3"/>
      <c r="E55" s="3"/>
      <c r="F55" s="3"/>
      <c r="G55" s="3"/>
      <c r="H55" s="3"/>
      <c r="I55" s="3"/>
      <c r="J55" s="3"/>
      <c r="K55" s="3"/>
      <c r="M55">
        <v>2003</v>
      </c>
      <c r="N55" s="1">
        <v>1603.7070700000002</v>
      </c>
      <c r="O55" s="1"/>
      <c r="P55" s="1"/>
      <c r="Q55" s="1"/>
      <c r="R55" s="1"/>
      <c r="S55" s="1"/>
      <c r="T55" s="1"/>
      <c r="U55" s="1"/>
      <c r="V55" s="1"/>
      <c r="W55" s="1"/>
      <c r="Y55">
        <v>2003</v>
      </c>
      <c r="Z55" s="1">
        <v>827.05280000000005</v>
      </c>
      <c r="AA55" s="1"/>
      <c r="AB55" s="1"/>
      <c r="AC55" s="1"/>
      <c r="AD55" s="1"/>
      <c r="AE55" s="1"/>
      <c r="AF55" s="1"/>
      <c r="AG55" s="1"/>
      <c r="AH55" s="1"/>
      <c r="AI55" s="1"/>
      <c r="AJ55">
        <v>2003</v>
      </c>
      <c r="AK55" s="11">
        <v>31.4</v>
      </c>
      <c r="AL55" s="11"/>
      <c r="AM55" s="11"/>
      <c r="AN55" s="11"/>
      <c r="AO55" s="11"/>
      <c r="AP55" s="11"/>
      <c r="AQ55" s="11"/>
      <c r="AR55" s="11"/>
      <c r="AS55" s="11"/>
      <c r="AT55" s="11"/>
      <c r="AV55">
        <v>2003</v>
      </c>
      <c r="AW55" s="12">
        <v>10.7</v>
      </c>
      <c r="AX55" s="12"/>
      <c r="AY55" s="12"/>
      <c r="AZ55" s="12"/>
      <c r="BA55" s="12"/>
      <c r="BB55" s="12"/>
      <c r="BC55" s="12"/>
      <c r="BD55" s="12"/>
      <c r="BE55" s="12"/>
      <c r="BF55" s="12"/>
      <c r="BH55">
        <v>2003</v>
      </c>
    </row>
    <row r="56" spans="1:60" x14ac:dyDescent="0.2">
      <c r="A56">
        <v>2004</v>
      </c>
      <c r="B56" s="3">
        <v>12.998799999999999</v>
      </c>
      <c r="C56" s="3"/>
      <c r="D56" s="3"/>
      <c r="E56" s="3"/>
      <c r="F56" s="3"/>
      <c r="G56" s="3"/>
      <c r="H56" s="3"/>
      <c r="I56" s="3"/>
      <c r="J56" s="3"/>
      <c r="K56" s="3"/>
      <c r="M56">
        <v>2004</v>
      </c>
      <c r="N56" s="1">
        <v>1597.5525199999997</v>
      </c>
      <c r="O56" s="1"/>
      <c r="P56" s="1"/>
      <c r="Q56" s="1"/>
      <c r="R56" s="1"/>
      <c r="S56" s="1"/>
      <c r="T56" s="1"/>
      <c r="U56" s="1"/>
      <c r="V56" s="1"/>
      <c r="W56" s="1"/>
      <c r="Y56">
        <v>2004</v>
      </c>
      <c r="Z56" s="1">
        <v>834.52296000000001</v>
      </c>
      <c r="AA56" s="1"/>
      <c r="AB56" s="1"/>
      <c r="AC56" s="1"/>
      <c r="AD56" s="1"/>
      <c r="AE56" s="1"/>
      <c r="AF56" s="1"/>
      <c r="AG56" s="1"/>
      <c r="AH56" s="1"/>
      <c r="AI56" s="1"/>
      <c r="AJ56">
        <v>2004</v>
      </c>
      <c r="AK56" s="11">
        <v>30.3</v>
      </c>
      <c r="AL56" s="11"/>
      <c r="AM56" s="11"/>
      <c r="AN56" s="11"/>
      <c r="AO56" s="11"/>
      <c r="AP56" s="11"/>
      <c r="AQ56" s="11"/>
      <c r="AR56" s="11"/>
      <c r="AS56" s="11"/>
      <c r="AT56" s="11"/>
      <c r="AV56">
        <v>2004</v>
      </c>
      <c r="AW56" s="12">
        <v>10.7</v>
      </c>
      <c r="AX56" s="12"/>
      <c r="AY56" s="12"/>
      <c r="AZ56" s="12"/>
      <c r="BA56" s="12"/>
      <c r="BB56" s="12"/>
      <c r="BC56" s="12"/>
      <c r="BD56" s="12"/>
      <c r="BE56" s="12"/>
      <c r="BF56" s="12"/>
      <c r="BH56">
        <v>2004</v>
      </c>
    </row>
    <row r="57" spans="1:60" x14ac:dyDescent="0.2">
      <c r="A57">
        <v>2005</v>
      </c>
      <c r="B57" s="3">
        <v>13.0756</v>
      </c>
      <c r="C57" s="3"/>
      <c r="D57" s="3"/>
      <c r="E57" s="3"/>
      <c r="F57" s="3"/>
      <c r="G57" s="3"/>
      <c r="H57" s="3"/>
      <c r="I57" s="3"/>
      <c r="J57" s="3"/>
      <c r="K57" s="3"/>
      <c r="M57">
        <v>2005</v>
      </c>
      <c r="N57" s="1">
        <v>1621.3744000000002</v>
      </c>
      <c r="O57" s="1"/>
      <c r="P57" s="1"/>
      <c r="Q57" s="1"/>
      <c r="R57" s="1"/>
      <c r="S57" s="1"/>
      <c r="T57" s="1"/>
      <c r="U57" s="1"/>
      <c r="V57" s="1"/>
      <c r="W57" s="1"/>
      <c r="Y57">
        <v>2005</v>
      </c>
      <c r="Z57" s="1">
        <v>851.22155999999995</v>
      </c>
      <c r="AA57" s="1"/>
      <c r="AB57" s="1"/>
      <c r="AC57" s="1"/>
      <c r="AD57" s="1"/>
      <c r="AE57" s="1"/>
      <c r="AF57" s="1"/>
      <c r="AG57" s="1"/>
      <c r="AH57" s="1"/>
      <c r="AI57" s="1"/>
      <c r="AJ57">
        <v>2005</v>
      </c>
      <c r="AK57" s="11">
        <v>28.1</v>
      </c>
      <c r="AL57" s="11"/>
      <c r="AM57" s="11"/>
      <c r="AN57" s="11"/>
      <c r="AO57" s="11"/>
      <c r="AP57" s="11"/>
      <c r="AQ57" s="11"/>
      <c r="AR57" s="11"/>
      <c r="AS57" s="11"/>
      <c r="AT57" s="11"/>
      <c r="AV57">
        <v>2005</v>
      </c>
      <c r="AW57" s="12">
        <v>10.7</v>
      </c>
      <c r="AX57" s="12"/>
      <c r="AY57" s="12"/>
      <c r="AZ57" s="12"/>
      <c r="BA57" s="12"/>
      <c r="BB57" s="12"/>
      <c r="BC57" s="12"/>
      <c r="BD57" s="12"/>
      <c r="BE57" s="12"/>
      <c r="BF57" s="12"/>
      <c r="BH57">
        <v>2005</v>
      </c>
    </row>
    <row r="58" spans="1:60" x14ac:dyDescent="0.2">
      <c r="A58">
        <v>2006</v>
      </c>
      <c r="B58" s="3">
        <v>13.1448</v>
      </c>
      <c r="C58" s="3"/>
      <c r="D58" s="3"/>
      <c r="E58" s="3"/>
      <c r="F58" s="3"/>
      <c r="G58" s="3"/>
      <c r="H58" s="3"/>
      <c r="I58" s="3"/>
      <c r="J58" s="3"/>
      <c r="K58" s="3"/>
      <c r="M58">
        <v>2006</v>
      </c>
      <c r="N58" s="1">
        <v>1589.20632</v>
      </c>
      <c r="O58" s="1"/>
      <c r="P58" s="1"/>
      <c r="Q58" s="1"/>
      <c r="R58" s="1"/>
      <c r="S58" s="1"/>
      <c r="T58" s="1"/>
      <c r="U58" s="1"/>
      <c r="V58" s="1"/>
      <c r="W58" s="1"/>
      <c r="Y58">
        <v>2006</v>
      </c>
      <c r="Z58" s="1">
        <v>895.16088000000002</v>
      </c>
      <c r="AA58" s="1"/>
      <c r="AB58" s="1"/>
      <c r="AC58" s="1"/>
      <c r="AD58" s="1"/>
      <c r="AE58" s="1"/>
      <c r="AF58" s="1"/>
      <c r="AG58" s="1"/>
      <c r="AH58" s="1"/>
      <c r="AI58" s="1"/>
      <c r="AJ58">
        <v>2006</v>
      </c>
      <c r="AK58" s="11">
        <v>27.3</v>
      </c>
      <c r="AL58" s="11"/>
      <c r="AM58" s="11"/>
      <c r="AN58" s="11"/>
      <c r="AO58" s="11"/>
      <c r="AP58" s="11"/>
      <c r="AQ58" s="11"/>
      <c r="AR58" s="11"/>
      <c r="AS58" s="11"/>
      <c r="AT58" s="11"/>
      <c r="AV58">
        <v>2006</v>
      </c>
      <c r="AW58" s="12">
        <v>11</v>
      </c>
      <c r="AX58" s="12"/>
      <c r="AY58" s="12"/>
      <c r="AZ58" s="12"/>
      <c r="BA58" s="12"/>
      <c r="BB58" s="12"/>
      <c r="BC58" s="12"/>
      <c r="BD58" s="12"/>
      <c r="BE58" s="12"/>
      <c r="BF58" s="12"/>
      <c r="BH58">
        <v>2006</v>
      </c>
    </row>
    <row r="59" spans="1:60" x14ac:dyDescent="0.2">
      <c r="A59">
        <v>2007</v>
      </c>
      <c r="B59" s="3">
        <v>13.212899999999999</v>
      </c>
      <c r="C59" s="3"/>
      <c r="D59" s="3"/>
      <c r="E59" s="3"/>
      <c r="F59" s="3"/>
      <c r="G59" s="3"/>
      <c r="H59" s="3"/>
      <c r="I59" s="3"/>
      <c r="J59" s="3"/>
      <c r="K59" s="3"/>
      <c r="M59">
        <v>2007</v>
      </c>
      <c r="N59" s="1">
        <v>1598.7609</v>
      </c>
      <c r="O59" s="1"/>
      <c r="P59" s="1"/>
      <c r="Q59" s="1"/>
      <c r="R59" s="1"/>
      <c r="S59" s="1"/>
      <c r="T59" s="1"/>
      <c r="U59" s="1"/>
      <c r="V59" s="1"/>
      <c r="W59" s="1"/>
      <c r="Y59">
        <v>2007</v>
      </c>
      <c r="Z59" s="1">
        <v>915.65396999999996</v>
      </c>
      <c r="AA59" s="1"/>
      <c r="AB59" s="1"/>
      <c r="AC59" s="1"/>
      <c r="AD59" s="1"/>
      <c r="AE59" s="1"/>
      <c r="AF59" s="1"/>
      <c r="AG59" s="1"/>
      <c r="AH59" s="1"/>
      <c r="AI59" s="1"/>
      <c r="AJ59">
        <v>2007</v>
      </c>
      <c r="AK59" s="11">
        <v>26.8</v>
      </c>
      <c r="AL59" s="11"/>
      <c r="AM59" s="11"/>
      <c r="AN59" s="11"/>
      <c r="AO59" s="11"/>
      <c r="AP59" s="11"/>
      <c r="AQ59" s="11"/>
      <c r="AR59" s="11"/>
      <c r="AS59" s="11"/>
      <c r="AT59" s="11"/>
      <c r="AV59">
        <v>2007</v>
      </c>
      <c r="AW59" s="12">
        <v>11.1</v>
      </c>
      <c r="AX59" s="12"/>
      <c r="AY59" s="12"/>
      <c r="AZ59" s="12"/>
      <c r="BA59" s="12"/>
      <c r="BB59" s="12"/>
      <c r="BC59" s="12"/>
      <c r="BD59" s="12"/>
      <c r="BE59" s="12"/>
      <c r="BF59" s="12"/>
      <c r="BH59">
        <v>2007</v>
      </c>
    </row>
    <row r="60" spans="1:60" x14ac:dyDescent="0.2">
      <c r="A60">
        <v>2008</v>
      </c>
      <c r="B60" s="3">
        <v>13.280200000000001</v>
      </c>
      <c r="C60" s="3"/>
      <c r="D60" s="3"/>
      <c r="E60" s="3"/>
      <c r="F60" s="3"/>
      <c r="G60" s="3"/>
      <c r="H60" s="3"/>
      <c r="I60" s="3"/>
      <c r="J60" s="3"/>
      <c r="K60" s="3"/>
      <c r="M60">
        <v>2008</v>
      </c>
      <c r="N60" s="1">
        <v>1612.2162800000001</v>
      </c>
      <c r="O60" s="1"/>
      <c r="P60" s="1"/>
      <c r="Q60" s="1"/>
      <c r="R60" s="1"/>
      <c r="S60" s="1"/>
      <c r="T60" s="1"/>
      <c r="U60" s="1"/>
      <c r="V60" s="1"/>
      <c r="W60" s="1"/>
      <c r="Y60">
        <v>2008</v>
      </c>
      <c r="Z60" s="1">
        <v>937.58212000000003</v>
      </c>
      <c r="AA60" s="1"/>
      <c r="AB60" s="1"/>
      <c r="AC60" s="1"/>
      <c r="AD60" s="1"/>
      <c r="AE60" s="1"/>
      <c r="AF60" s="1"/>
      <c r="AG60" s="1"/>
      <c r="AH60" s="1"/>
      <c r="AI60" s="1"/>
      <c r="AJ60">
        <v>2008</v>
      </c>
      <c r="AK60" s="11">
        <v>26</v>
      </c>
      <c r="AL60" s="11"/>
      <c r="AM60" s="11"/>
      <c r="AN60" s="11"/>
      <c r="AO60" s="11"/>
      <c r="AP60" s="11"/>
      <c r="AQ60" s="11"/>
      <c r="AR60" s="11"/>
      <c r="AS60" s="11"/>
      <c r="AT60" s="11"/>
      <c r="AV60">
        <v>2008</v>
      </c>
      <c r="AW60" s="12">
        <v>11.3</v>
      </c>
      <c r="AX60" s="12"/>
      <c r="AY60" s="12"/>
      <c r="AZ60" s="12"/>
      <c r="BA60" s="12"/>
      <c r="BB60" s="12"/>
      <c r="BC60" s="12"/>
      <c r="BD60" s="12"/>
      <c r="BE60" s="12"/>
      <c r="BF60" s="12"/>
      <c r="BH60">
        <v>2008</v>
      </c>
    </row>
    <row r="61" spans="1:60" x14ac:dyDescent="0.2">
      <c r="A61">
        <v>2009</v>
      </c>
      <c r="B61" s="3">
        <v>13.345000000000001</v>
      </c>
      <c r="C61" s="3"/>
      <c r="D61" s="3"/>
      <c r="E61" s="3"/>
      <c r="F61" s="3"/>
      <c r="G61" s="3"/>
      <c r="H61" s="3"/>
      <c r="I61" s="3"/>
      <c r="J61" s="3"/>
      <c r="K61" s="3"/>
      <c r="M61">
        <v>2009</v>
      </c>
      <c r="N61" s="1">
        <v>1594.7275</v>
      </c>
      <c r="O61" s="1"/>
      <c r="P61" s="1"/>
      <c r="Q61" s="1"/>
      <c r="R61" s="1"/>
      <c r="S61" s="1"/>
      <c r="T61" s="1"/>
      <c r="U61" s="1"/>
      <c r="V61" s="1"/>
      <c r="W61" s="1"/>
      <c r="Y61">
        <v>2009</v>
      </c>
      <c r="Z61" s="1">
        <v>944.82600000000002</v>
      </c>
      <c r="AA61" s="1"/>
      <c r="AB61" s="1"/>
      <c r="AC61" s="1"/>
      <c r="AD61" s="1"/>
      <c r="AE61" s="1"/>
      <c r="AF61" s="1"/>
      <c r="AG61" s="1"/>
      <c r="AH61" s="1"/>
      <c r="AI61" s="1"/>
      <c r="AJ61">
        <v>2009</v>
      </c>
      <c r="AK61" s="11">
        <v>25.3</v>
      </c>
      <c r="AL61" s="11"/>
      <c r="AM61" s="11"/>
      <c r="AN61" s="11"/>
      <c r="AO61" s="11"/>
      <c r="AP61" s="11"/>
      <c r="AQ61" s="11"/>
      <c r="AR61" s="11"/>
      <c r="AS61" s="11"/>
      <c r="AT61" s="11"/>
      <c r="AV61">
        <v>2009</v>
      </c>
      <c r="AW61" s="12">
        <v>11.6</v>
      </c>
      <c r="AX61" s="12"/>
      <c r="AY61" s="12"/>
      <c r="AZ61" s="12"/>
      <c r="BA61" s="12"/>
      <c r="BB61" s="12"/>
      <c r="BC61" s="12"/>
      <c r="BD61" s="12"/>
      <c r="BE61" s="12"/>
      <c r="BF61" s="12"/>
      <c r="BH61">
        <v>2009</v>
      </c>
    </row>
    <row r="62" spans="1:60" x14ac:dyDescent="0.2">
      <c r="A62">
        <v>2010</v>
      </c>
      <c r="B62" s="3">
        <v>13.4091</v>
      </c>
      <c r="C62" s="3"/>
      <c r="D62" s="3"/>
      <c r="E62" s="3"/>
      <c r="F62" s="3"/>
      <c r="G62" s="3"/>
      <c r="H62" s="3"/>
      <c r="I62" s="3"/>
      <c r="J62" s="3"/>
      <c r="K62" s="3"/>
      <c r="M62">
        <v>2010</v>
      </c>
      <c r="N62" s="1">
        <v>1595.6829000000002</v>
      </c>
      <c r="O62" s="1"/>
      <c r="P62" s="1"/>
      <c r="Q62" s="1"/>
      <c r="R62" s="1"/>
      <c r="S62" s="1"/>
      <c r="T62" s="1"/>
      <c r="U62" s="1"/>
      <c r="V62" s="1"/>
      <c r="W62" s="1"/>
      <c r="Y62">
        <v>2010</v>
      </c>
      <c r="Z62" s="1">
        <v>953.38701000000003</v>
      </c>
      <c r="AA62" s="1"/>
      <c r="AB62" s="1"/>
      <c r="AC62" s="1"/>
      <c r="AD62" s="1"/>
      <c r="AE62" s="1"/>
      <c r="AF62" s="1"/>
      <c r="AG62" s="1"/>
      <c r="AH62" s="1"/>
      <c r="AI62" s="1"/>
      <c r="AJ62">
        <v>2010</v>
      </c>
      <c r="AK62" s="11">
        <v>22.3</v>
      </c>
      <c r="AL62" s="11"/>
      <c r="AM62" s="11"/>
      <c r="AN62" s="11"/>
      <c r="AO62" s="11"/>
      <c r="AP62" s="11"/>
      <c r="AQ62" s="11"/>
      <c r="AR62" s="11"/>
      <c r="AS62" s="11"/>
      <c r="AT62" s="11"/>
      <c r="AV62">
        <v>2010</v>
      </c>
      <c r="AW62" s="12">
        <v>11.9</v>
      </c>
      <c r="AX62" s="12"/>
      <c r="AY62" s="12"/>
      <c r="AZ62" s="12"/>
      <c r="BA62" s="12"/>
      <c r="BB62" s="12"/>
      <c r="BC62" s="12"/>
      <c r="BD62" s="12"/>
      <c r="BE62" s="12"/>
      <c r="BF62" s="12"/>
      <c r="BH62">
        <v>2010</v>
      </c>
    </row>
    <row r="63" spans="1:60" x14ac:dyDescent="0.2">
      <c r="A63">
        <v>2011</v>
      </c>
      <c r="B63" s="3">
        <v>13.4916</v>
      </c>
      <c r="C63" s="3"/>
      <c r="D63" s="3"/>
      <c r="E63" s="3"/>
      <c r="F63" s="3"/>
      <c r="G63" s="3"/>
      <c r="H63" s="3"/>
      <c r="I63" s="3"/>
      <c r="J63" s="3"/>
      <c r="K63" s="3"/>
      <c r="M63">
        <v>2011</v>
      </c>
      <c r="N63" s="1">
        <v>1790.3353199999999</v>
      </c>
      <c r="O63" s="1"/>
      <c r="P63" s="1"/>
      <c r="Q63" s="1"/>
      <c r="R63" s="1"/>
      <c r="S63" s="1"/>
      <c r="T63" s="1"/>
      <c r="U63" s="1"/>
      <c r="V63" s="1"/>
      <c r="W63" s="1"/>
      <c r="Y63">
        <v>2011</v>
      </c>
      <c r="Z63" s="1">
        <v>963.30024000000003</v>
      </c>
      <c r="AA63" s="1"/>
      <c r="AB63" s="1"/>
      <c r="AC63" s="1"/>
      <c r="AD63" s="1"/>
      <c r="AE63" s="1"/>
      <c r="AF63" s="1"/>
      <c r="AG63" s="1"/>
      <c r="AH63" s="1"/>
      <c r="AI63" s="1"/>
      <c r="AJ63">
        <v>2011</v>
      </c>
      <c r="AK63" s="11">
        <v>22.1</v>
      </c>
      <c r="AL63" s="11"/>
      <c r="AM63" s="11"/>
      <c r="AN63" s="11"/>
      <c r="AO63" s="11"/>
      <c r="AP63" s="11"/>
      <c r="AQ63" s="11"/>
      <c r="AR63" s="11"/>
      <c r="AS63" s="11"/>
      <c r="AT63" s="11"/>
      <c r="AV63">
        <v>2011</v>
      </c>
      <c r="AW63" s="12">
        <v>12.3</v>
      </c>
      <c r="AX63" s="12"/>
      <c r="AY63" s="12"/>
      <c r="AZ63" s="12"/>
      <c r="BA63" s="12"/>
      <c r="BB63" s="12"/>
      <c r="BC63" s="12"/>
      <c r="BD63" s="12"/>
      <c r="BE63" s="12"/>
      <c r="BF63" s="12"/>
      <c r="BH63">
        <v>2011</v>
      </c>
    </row>
    <row r="64" spans="1:60" x14ac:dyDescent="0.2">
      <c r="A64">
        <v>2012</v>
      </c>
      <c r="B64" s="3">
        <v>13.5922</v>
      </c>
      <c r="C64" s="3"/>
      <c r="D64" s="3"/>
      <c r="E64" s="3"/>
      <c r="F64" s="3"/>
      <c r="G64" s="3"/>
      <c r="H64" s="3"/>
      <c r="I64" s="3"/>
      <c r="J64" s="3"/>
      <c r="K64" s="3"/>
      <c r="M64">
        <v>2012</v>
      </c>
      <c r="N64" s="1">
        <v>1980.38354</v>
      </c>
      <c r="O64" s="1"/>
      <c r="P64" s="1"/>
      <c r="Q64" s="1"/>
      <c r="R64" s="1"/>
      <c r="S64" s="1"/>
      <c r="T64" s="1"/>
      <c r="U64" s="1"/>
      <c r="V64" s="1"/>
      <c r="W64" s="1"/>
      <c r="Y64">
        <v>2012</v>
      </c>
      <c r="Z64" s="1">
        <v>969.12386000000004</v>
      </c>
      <c r="AA64" s="1"/>
      <c r="AB64" s="1"/>
      <c r="AC64" s="1"/>
      <c r="AD64" s="1"/>
      <c r="AE64" s="1"/>
      <c r="AF64" s="1"/>
      <c r="AG64" s="1"/>
      <c r="AH64" s="1"/>
      <c r="AI64" s="1"/>
      <c r="AJ64">
        <v>2012</v>
      </c>
      <c r="AK64" s="11">
        <v>22.2</v>
      </c>
      <c r="AL64" s="11"/>
      <c r="AM64" s="11"/>
      <c r="AN64" s="11"/>
      <c r="AO64" s="11"/>
      <c r="AP64" s="11"/>
      <c r="AQ64" s="11"/>
      <c r="AR64" s="11"/>
      <c r="AS64" s="11"/>
      <c r="AT64" s="11"/>
      <c r="AV64">
        <v>2012</v>
      </c>
      <c r="AW64" s="12">
        <v>12.7</v>
      </c>
      <c r="AX64" s="12"/>
      <c r="AY64" s="12"/>
      <c r="AZ64" s="12"/>
      <c r="BA64" s="12"/>
      <c r="BB64" s="12"/>
      <c r="BC64" s="12"/>
      <c r="BD64" s="12"/>
      <c r="BE64" s="12"/>
      <c r="BF64" s="12"/>
      <c r="BH64">
        <v>2012</v>
      </c>
    </row>
    <row r="65" spans="1:71" x14ac:dyDescent="0.2">
      <c r="A65">
        <v>2013</v>
      </c>
      <c r="B65" s="3">
        <v>13.672599999999999</v>
      </c>
      <c r="C65" s="3"/>
      <c r="D65" s="3"/>
      <c r="E65" s="3"/>
      <c r="F65" s="3"/>
      <c r="G65" s="3"/>
      <c r="H65" s="3"/>
      <c r="I65" s="3"/>
      <c r="J65" s="3"/>
      <c r="K65" s="3"/>
      <c r="M65">
        <v>2013</v>
      </c>
      <c r="N65" s="1">
        <v>1781.5397800000001</v>
      </c>
      <c r="O65" s="1"/>
      <c r="P65" s="1"/>
      <c r="Q65" s="1"/>
      <c r="R65" s="1"/>
      <c r="S65" s="1"/>
      <c r="T65" s="1"/>
      <c r="U65" s="1"/>
      <c r="V65" s="1"/>
      <c r="W65" s="1"/>
      <c r="Y65">
        <v>2013</v>
      </c>
      <c r="Z65" s="1">
        <v>974.85638000000006</v>
      </c>
      <c r="AA65" s="1"/>
      <c r="AB65" s="1"/>
      <c r="AC65" s="1"/>
      <c r="AD65" s="1"/>
      <c r="AE65" s="1"/>
      <c r="AF65" s="1"/>
      <c r="AG65" s="1"/>
      <c r="AH65" s="1"/>
      <c r="AI65" s="1"/>
      <c r="AJ65">
        <v>2013</v>
      </c>
      <c r="AK65" s="11">
        <v>22.2</v>
      </c>
      <c r="AL65" s="11"/>
      <c r="AM65" s="11"/>
      <c r="AN65" s="11"/>
      <c r="AO65" s="11"/>
      <c r="AP65" s="11"/>
      <c r="AQ65" s="11"/>
      <c r="AR65" s="11"/>
      <c r="AS65" s="11"/>
      <c r="AT65" s="11"/>
      <c r="AV65">
        <v>2013</v>
      </c>
      <c r="AW65" s="12">
        <v>13.1</v>
      </c>
      <c r="AX65" s="12"/>
      <c r="AY65" s="12"/>
      <c r="AZ65" s="12"/>
      <c r="BA65" s="12"/>
      <c r="BB65" s="12"/>
      <c r="BC65" s="12"/>
      <c r="BD65" s="12"/>
      <c r="BE65" s="12"/>
      <c r="BF65" s="12"/>
      <c r="BH65">
        <v>2013</v>
      </c>
    </row>
    <row r="66" spans="1:71" x14ac:dyDescent="0.2">
      <c r="A66">
        <v>2014</v>
      </c>
      <c r="B66" s="3">
        <v>13.7646</v>
      </c>
      <c r="C66" s="3"/>
      <c r="D66" s="3"/>
      <c r="E66" s="3"/>
      <c r="F66" s="3"/>
      <c r="G66" s="3"/>
      <c r="H66" s="3"/>
      <c r="I66" s="3"/>
      <c r="J66" s="3"/>
      <c r="K66" s="3"/>
      <c r="M66">
        <v>2014</v>
      </c>
      <c r="N66" s="1">
        <v>1903.64418</v>
      </c>
      <c r="O66" s="1"/>
      <c r="P66" s="1"/>
      <c r="Q66" s="1"/>
      <c r="R66" s="1"/>
      <c r="S66" s="1"/>
      <c r="T66" s="1"/>
      <c r="U66" s="1"/>
      <c r="V66" s="1"/>
      <c r="W66" s="1"/>
      <c r="Y66">
        <v>2014</v>
      </c>
      <c r="Z66" s="1">
        <v>980.03952000000004</v>
      </c>
      <c r="AA66" s="1"/>
      <c r="AB66" s="1"/>
      <c r="AC66" s="1"/>
      <c r="AD66" s="1"/>
      <c r="AE66" s="1"/>
      <c r="AF66" s="1"/>
      <c r="AG66" s="1"/>
      <c r="AH66" s="1"/>
      <c r="AI66" s="1"/>
      <c r="AJ66">
        <v>2014</v>
      </c>
      <c r="AK66" s="11">
        <v>22.5</v>
      </c>
      <c r="AL66" s="11"/>
      <c r="AM66" s="11"/>
      <c r="AN66" s="11"/>
      <c r="AO66" s="11"/>
      <c r="AP66" s="11"/>
      <c r="AQ66" s="11"/>
      <c r="AR66" s="11"/>
      <c r="AS66" s="11"/>
      <c r="AT66" s="11"/>
      <c r="AV66">
        <v>2014</v>
      </c>
      <c r="AW66" s="12">
        <v>13.7</v>
      </c>
      <c r="AX66" s="12"/>
      <c r="AY66" s="12"/>
      <c r="AZ66" s="12"/>
      <c r="BA66" s="12"/>
      <c r="BB66" s="12"/>
      <c r="BC66" s="12"/>
      <c r="BD66" s="12"/>
      <c r="BE66" s="12"/>
      <c r="BF66" s="12"/>
      <c r="BH66">
        <v>2014</v>
      </c>
    </row>
    <row r="67" spans="1:71" x14ac:dyDescent="0.2">
      <c r="A67">
        <v>2015</v>
      </c>
      <c r="B67" s="3">
        <v>13.832599999999999</v>
      </c>
      <c r="C67" s="3"/>
      <c r="D67" s="3"/>
      <c r="E67" s="3"/>
      <c r="F67" s="3"/>
      <c r="G67" s="3"/>
      <c r="H67" s="3"/>
      <c r="I67" s="3"/>
      <c r="J67" s="3"/>
      <c r="K67" s="3"/>
      <c r="M67">
        <v>2015</v>
      </c>
      <c r="N67" s="1">
        <v>1658.52874</v>
      </c>
      <c r="O67" s="1"/>
      <c r="P67" s="1"/>
      <c r="Q67" s="1"/>
      <c r="R67" s="1"/>
      <c r="S67" s="1"/>
      <c r="T67" s="1"/>
      <c r="U67" s="1"/>
      <c r="V67" s="1"/>
      <c r="W67" s="1"/>
      <c r="Y67">
        <v>2015</v>
      </c>
      <c r="Z67" s="1">
        <v>977.96482000000003</v>
      </c>
      <c r="AA67" s="1"/>
      <c r="AB67" s="1"/>
      <c r="AC67" s="1"/>
      <c r="AD67" s="1"/>
      <c r="AE67" s="1"/>
      <c r="AF67" s="1"/>
      <c r="AG67" s="1"/>
      <c r="AH67" s="1"/>
      <c r="AI67" s="1"/>
      <c r="AJ67">
        <v>2015</v>
      </c>
      <c r="AK67" s="11">
        <v>22.6</v>
      </c>
      <c r="AL67" s="11"/>
      <c r="AM67" s="11"/>
      <c r="AN67" s="11"/>
      <c r="AO67" s="11"/>
      <c r="AP67" s="11"/>
      <c r="AQ67" s="11"/>
      <c r="AR67" s="11"/>
      <c r="AS67" s="11"/>
      <c r="AT67" s="11"/>
      <c r="AV67">
        <v>2015</v>
      </c>
      <c r="AW67" s="12">
        <v>14.3</v>
      </c>
      <c r="AX67" s="12"/>
      <c r="AY67" s="12"/>
      <c r="AZ67" s="12"/>
      <c r="BA67" s="12"/>
      <c r="BB67" s="12"/>
      <c r="BC67" s="12"/>
      <c r="BD67" s="12"/>
      <c r="BE67" s="12"/>
      <c r="BF67" s="12"/>
      <c r="BH67">
        <v>2015</v>
      </c>
    </row>
    <row r="68" spans="1:71" x14ac:dyDescent="0.2">
      <c r="A68">
        <v>2016</v>
      </c>
      <c r="B68" s="3">
        <v>13.9232</v>
      </c>
      <c r="C68" s="3"/>
      <c r="D68" s="3"/>
      <c r="E68" s="3"/>
      <c r="F68" s="3"/>
      <c r="G68" s="3"/>
      <c r="H68" s="3"/>
      <c r="I68" s="3"/>
      <c r="J68" s="3"/>
      <c r="K68" s="3"/>
      <c r="M68">
        <v>2016</v>
      </c>
      <c r="N68" s="1">
        <v>1889.37824</v>
      </c>
      <c r="O68" s="1"/>
      <c r="P68" s="1"/>
      <c r="Q68" s="1"/>
      <c r="R68" s="1"/>
      <c r="S68" s="1"/>
      <c r="T68" s="1"/>
      <c r="U68" s="1"/>
      <c r="V68" s="1"/>
      <c r="W68" s="1"/>
      <c r="Y68">
        <v>2016</v>
      </c>
      <c r="Z68" s="1">
        <v>980.19328000000007</v>
      </c>
      <c r="AA68" s="1"/>
      <c r="AB68" s="1"/>
      <c r="AC68" s="1"/>
      <c r="AD68" s="1"/>
      <c r="AE68" s="1"/>
      <c r="AF68" s="1"/>
      <c r="AG68" s="1"/>
      <c r="AH68" s="1"/>
      <c r="AI68" s="1"/>
      <c r="AJ68">
        <v>2016</v>
      </c>
      <c r="AK68" s="11">
        <v>22.9</v>
      </c>
      <c r="AL68" s="11"/>
      <c r="AM68" s="11"/>
      <c r="AN68" s="11"/>
      <c r="AO68" s="11"/>
      <c r="AP68" s="11"/>
      <c r="AQ68" s="11"/>
      <c r="AR68" s="11"/>
      <c r="AS68" s="11"/>
      <c r="AT68" s="11"/>
      <c r="AV68">
        <v>2016</v>
      </c>
      <c r="AW68" s="12">
        <v>15</v>
      </c>
      <c r="AX68" s="12"/>
      <c r="AY68" s="12"/>
      <c r="AZ68" s="12"/>
      <c r="BA68" s="12"/>
      <c r="BB68" s="12"/>
      <c r="BC68" s="12"/>
      <c r="BD68" s="12"/>
      <c r="BE68" s="12"/>
      <c r="BF68" s="12"/>
      <c r="BH68">
        <v>2016</v>
      </c>
    </row>
    <row r="69" spans="1:71" x14ac:dyDescent="0.2">
      <c r="A69">
        <v>2017</v>
      </c>
      <c r="B69" s="3">
        <v>14.001099999999999</v>
      </c>
      <c r="C69" s="3"/>
      <c r="D69" s="3"/>
      <c r="E69" s="3"/>
      <c r="F69" s="3"/>
      <c r="G69" s="3"/>
      <c r="H69" s="3"/>
      <c r="I69" s="3"/>
      <c r="J69" s="3"/>
      <c r="K69" s="3"/>
      <c r="M69">
        <v>2017</v>
      </c>
      <c r="N69" s="1">
        <v>1769.7390399999999</v>
      </c>
      <c r="O69" s="1"/>
      <c r="P69" s="1"/>
      <c r="Q69" s="1"/>
      <c r="R69" s="1"/>
      <c r="S69" s="1"/>
      <c r="T69" s="1"/>
      <c r="U69" s="1"/>
      <c r="V69" s="1"/>
      <c r="W69" s="1"/>
      <c r="Y69">
        <v>2017</v>
      </c>
      <c r="Z69" s="1">
        <v>988.4776599999999</v>
      </c>
      <c r="AA69" s="1"/>
      <c r="AB69" s="1"/>
      <c r="AC69" s="1"/>
      <c r="AD69" s="1"/>
      <c r="AE69" s="1"/>
      <c r="AF69" s="1"/>
      <c r="AG69" s="1"/>
      <c r="AH69" s="1"/>
      <c r="AI69" s="1"/>
      <c r="AJ69">
        <v>2017</v>
      </c>
      <c r="AK69" s="11">
        <v>23.4</v>
      </c>
      <c r="AL69" s="11"/>
      <c r="AM69" s="11"/>
      <c r="AN69" s="11"/>
      <c r="AO69" s="11"/>
      <c r="AP69" s="11"/>
      <c r="AQ69" s="11"/>
      <c r="AR69" s="11"/>
      <c r="AS69" s="11"/>
      <c r="AT69" s="11"/>
      <c r="AV69">
        <v>2017</v>
      </c>
      <c r="AW69" s="12">
        <v>15.9</v>
      </c>
      <c r="AX69" s="12"/>
      <c r="AY69" s="12"/>
      <c r="AZ69" s="12"/>
      <c r="BA69" s="12"/>
      <c r="BB69" s="12"/>
      <c r="BC69" s="12"/>
      <c r="BD69" s="12"/>
      <c r="BE69" s="12"/>
      <c r="BF69" s="12"/>
      <c r="BH69">
        <v>2017</v>
      </c>
    </row>
    <row r="70" spans="1:71" x14ac:dyDescent="0.2">
      <c r="A70">
        <v>2018</v>
      </c>
      <c r="B70" s="3">
        <v>14.0541</v>
      </c>
      <c r="C70" s="3"/>
      <c r="D70" s="3"/>
      <c r="E70" s="3"/>
      <c r="F70" s="3"/>
      <c r="G70" s="3"/>
      <c r="H70" s="3"/>
      <c r="I70" s="3"/>
      <c r="J70" s="3"/>
      <c r="K70" s="3"/>
      <c r="M70">
        <v>2018</v>
      </c>
      <c r="N70" s="1">
        <v>1526.2752600000001</v>
      </c>
      <c r="O70" s="1"/>
      <c r="P70" s="1"/>
      <c r="Q70" s="1"/>
      <c r="R70" s="1"/>
      <c r="S70" s="1"/>
      <c r="T70" s="1"/>
      <c r="U70" s="1"/>
      <c r="V70" s="1"/>
      <c r="W70" s="1"/>
      <c r="Y70">
        <v>2018</v>
      </c>
      <c r="Z70" s="1">
        <v>995.03028000000006</v>
      </c>
      <c r="AA70" s="1"/>
      <c r="AB70" s="1"/>
      <c r="AC70" s="1"/>
      <c r="AD70" s="1"/>
      <c r="AE70" s="1"/>
      <c r="AF70" s="1"/>
      <c r="AG70" s="1"/>
      <c r="AH70" s="1"/>
      <c r="AI70" s="1"/>
      <c r="AJ70">
        <v>2018</v>
      </c>
      <c r="AK70" s="11">
        <v>23.7</v>
      </c>
      <c r="AL70" s="11"/>
      <c r="AM70" s="11"/>
      <c r="AN70" s="11"/>
      <c r="AO70" s="11"/>
      <c r="AP70" s="11"/>
      <c r="AQ70" s="11"/>
      <c r="AR70" s="11"/>
      <c r="AS70" s="11"/>
      <c r="AT70" s="11"/>
      <c r="AV70">
        <v>2018</v>
      </c>
      <c r="AW70" s="12">
        <v>16.8</v>
      </c>
      <c r="AX70" s="12"/>
      <c r="AY70" s="12"/>
      <c r="AZ70" s="12"/>
      <c r="BA70" s="12"/>
      <c r="BB70" s="12"/>
      <c r="BC70" s="12"/>
      <c r="BD70" s="12"/>
      <c r="BE70" s="12"/>
      <c r="BF70" s="12"/>
      <c r="BH70">
        <v>2018</v>
      </c>
    </row>
    <row r="71" spans="1:71" x14ac:dyDescent="0.2">
      <c r="A71">
        <v>2019</v>
      </c>
      <c r="B71" s="3">
        <v>14.1008</v>
      </c>
      <c r="C71" s="3"/>
      <c r="D71" s="3"/>
      <c r="E71" s="3"/>
      <c r="F71" s="3"/>
      <c r="G71" s="3"/>
      <c r="H71" s="3"/>
      <c r="I71" s="3"/>
      <c r="J71" s="3"/>
      <c r="K71" s="3"/>
      <c r="M71">
        <v>2019</v>
      </c>
      <c r="N71" s="1">
        <v>1467.89328</v>
      </c>
      <c r="O71" s="1"/>
      <c r="P71" s="1"/>
      <c r="Q71" s="1"/>
      <c r="R71" s="1"/>
      <c r="S71" s="1"/>
      <c r="T71" s="1"/>
      <c r="U71" s="1"/>
      <c r="V71" s="1"/>
      <c r="W71" s="1"/>
      <c r="Y71">
        <v>2019</v>
      </c>
      <c r="Z71" s="1">
        <v>999.74671999999998</v>
      </c>
      <c r="AA71" s="1"/>
      <c r="AB71" s="1"/>
      <c r="AC71" s="1"/>
      <c r="AD71" s="1"/>
      <c r="AE71" s="1"/>
      <c r="AF71" s="1"/>
      <c r="AG71" s="1"/>
      <c r="AH71" s="1"/>
      <c r="AI71" s="1"/>
      <c r="AJ71">
        <v>2019</v>
      </c>
      <c r="AK71" s="11">
        <v>23.8</v>
      </c>
      <c r="AL71" s="11"/>
      <c r="AM71" s="11"/>
      <c r="AN71" s="11"/>
      <c r="AO71" s="11"/>
      <c r="AP71" s="11"/>
      <c r="AQ71" s="11"/>
      <c r="AR71" s="11"/>
      <c r="AS71" s="11"/>
      <c r="AT71" s="11"/>
      <c r="AV71">
        <v>2019</v>
      </c>
      <c r="AW71" s="12">
        <v>17.8</v>
      </c>
      <c r="AX71" s="12"/>
      <c r="AY71" s="12"/>
      <c r="AZ71" s="12"/>
      <c r="BA71" s="12"/>
      <c r="BB71" s="12"/>
      <c r="BC71" s="12"/>
      <c r="BD71" s="12"/>
      <c r="BE71" s="12"/>
      <c r="BF71" s="12"/>
      <c r="BH71">
        <v>2019</v>
      </c>
    </row>
    <row r="72" spans="1:71" x14ac:dyDescent="0.2">
      <c r="A72">
        <v>2020</v>
      </c>
      <c r="B72" s="3">
        <v>14.1212</v>
      </c>
      <c r="C72" s="3" cm="1">
        <f t="array" ref="C72:C80">TRANSPOSE(Low_60!B27:J27)</f>
        <v>14.097787239999999</v>
      </c>
      <c r="D72" s="3" cm="1">
        <f t="array" ref="D72:D80">TRANSPOSE(Median_60!B27:J27)</f>
        <v>14.097787239999999</v>
      </c>
      <c r="E72" s="3" cm="1">
        <f t="array" ref="E72:E80">TRANSPOSE(High_60!B27:J27)</f>
        <v>14.097787239999999</v>
      </c>
      <c r="F72" s="3" cm="1">
        <f t="array" ref="F72:F80">TRANSPOSE(Low_40!B27:J27)</f>
        <v>14.097787239999999</v>
      </c>
      <c r="G72" s="3" cm="1">
        <f t="array" ref="G72:G80">TRANSPOSE(Median_40!B27:J27)</f>
        <v>14.097787239999999</v>
      </c>
      <c r="H72" s="3" cm="1">
        <f t="array" ref="H72:H80">TRANSPOSE(High_40!B27:J27)</f>
        <v>14.097787239999999</v>
      </c>
      <c r="I72" s="3" cm="1">
        <f t="array" ref="I72:I80">TRANSPOSE(Freeze_0!B27:J27)</f>
        <v>14.097787239999999</v>
      </c>
      <c r="J72" s="3" cm="1">
        <f t="array" ref="J72:J80">TRANSPOSE(Freeze_1!B27:J27)</f>
        <v>14.097787239999999</v>
      </c>
      <c r="K72" s="3" cm="1">
        <f t="array" ref="K72:K80">TRANSPOSE(Freeze_2!B27:J27)</f>
        <v>14.097787239999999</v>
      </c>
      <c r="M72">
        <v>2020</v>
      </c>
      <c r="N72" s="1">
        <v>1203.1262400000001</v>
      </c>
      <c r="O72" s="1" cm="1">
        <f t="array" ref="O72:O80">TRANSPOSE(Low_60!B32:J32)</f>
        <v>1200</v>
      </c>
      <c r="P72" s="1" cm="1">
        <f t="array" ref="P72:P80">TRANSPOSE(Median_60!B32:J32)</f>
        <v>1200</v>
      </c>
      <c r="Q72" s="1" cm="1">
        <f t="array" ref="Q72:Q80">TRANSPOSE(High_60!B32:J32)</f>
        <v>1200</v>
      </c>
      <c r="R72" s="1" cm="1">
        <f t="array" ref="R72:R80">TRANSPOSE(Low_40!B32:J32)</f>
        <v>1200</v>
      </c>
      <c r="S72" s="1" cm="1">
        <f t="array" ref="S72:S80">TRANSPOSE(Median_40!B32:J32)</f>
        <v>1200</v>
      </c>
      <c r="T72" s="1" cm="1">
        <f t="array" ref="T72:T80">TRANSPOSE(High_40!B32:J32)</f>
        <v>1200</v>
      </c>
      <c r="U72" s="1" cm="1">
        <f t="array" ref="U72:U80">TRANSPOSE(Freeze_0!B32:J32)</f>
        <v>1200</v>
      </c>
      <c r="V72" s="1" cm="1">
        <f t="array" ref="V72:V80">TRANSPOSE(Freeze_1!B32:J32)</f>
        <v>1200</v>
      </c>
      <c r="W72" s="1" cm="1">
        <f t="array" ref="W72:W80">TRANSPOSE(Freeze_2!B32:J32)</f>
        <v>1200</v>
      </c>
      <c r="Y72">
        <v>2020</v>
      </c>
      <c r="Z72" s="1">
        <v>998.36884000000009</v>
      </c>
      <c r="AA72" s="1" cm="1">
        <f t="array" ref="AA72:AA80">TRANSPOSE(Low_60!B33:J33)</f>
        <v>996</v>
      </c>
      <c r="AB72" s="1" cm="1">
        <f t="array" ref="AB72:AB80">TRANSPOSE(Median_60!B33:J33)</f>
        <v>996</v>
      </c>
      <c r="AC72" s="1" cm="1">
        <f t="array" ref="AC72:AC80">TRANSPOSE(High_60!B33:J33)</f>
        <v>996</v>
      </c>
      <c r="AD72" s="1" cm="1">
        <f t="array" ref="AD72:AD80">TRANSPOSE(Low_40!B33:J33)</f>
        <v>996</v>
      </c>
      <c r="AE72" s="1" cm="1">
        <f t="array" ref="AE72:AE80">TRANSPOSE(Median_40!B33:J33)</f>
        <v>996</v>
      </c>
      <c r="AF72" s="1" cm="1">
        <f t="array" ref="AF72:AF80">TRANSPOSE(High_40!B33:J33)</f>
        <v>996</v>
      </c>
      <c r="AG72" s="1" cm="1">
        <f t="array" ref="AG72:AG80">TRANSPOSE(Freeze_0!B33:J33)</f>
        <v>996</v>
      </c>
      <c r="AH72" s="1" cm="1">
        <f t="array" ref="AH72:AH80">TRANSPOSE(Freeze_1!B33:J33)</f>
        <v>996</v>
      </c>
      <c r="AI72" s="1" cm="1">
        <f t="array" ref="AI72:AI80">TRANSPOSE(Freeze_2!B33:J33)</f>
        <v>996</v>
      </c>
      <c r="AJ72">
        <v>2020</v>
      </c>
      <c r="AK72" s="11">
        <v>26.2</v>
      </c>
      <c r="AL72" s="11" cm="1">
        <f t="array" ref="AL72:AL80">TRANSPOSE(Low_60!B39:J39)</f>
        <v>26.236753190188121</v>
      </c>
      <c r="AM72" s="11" cm="1">
        <f t="array" ref="AM72:AM80">TRANSPOSE(Median_60!B39:J39)</f>
        <v>26.236753190188121</v>
      </c>
      <c r="AN72" s="11" cm="1">
        <f t="array" ref="AN72:AN80">TRANSPOSE(High_60!B39:J39)</f>
        <v>26.236753190188121</v>
      </c>
      <c r="AO72" s="11" cm="1">
        <f t="array" ref="AO72:AO80">TRANSPOSE(Low_40!B39:J39)</f>
        <v>26.236753190188121</v>
      </c>
      <c r="AP72" s="11" cm="1">
        <f t="array" ref="AP72:AP80" xml:space="preserve"> TRANSPOSE(Median_40!B39:J39)</f>
        <v>26.236753190188121</v>
      </c>
      <c r="AQ72" s="11" cm="1">
        <f t="array" ref="AQ72:AQ80">TRANSPOSE(High_40!B39:J39)</f>
        <v>26.236753190188121</v>
      </c>
      <c r="AR72" s="11" cm="1">
        <f t="array" ref="AR72:AR80">TRANSPOSE(Freeze_0!B39:J39)</f>
        <v>26.236753190188121</v>
      </c>
      <c r="AS72" s="11" cm="1">
        <f t="array" ref="AS72:AS80">TRANSPOSE(Freeze_1!B39:J39)</f>
        <v>26.236753190188121</v>
      </c>
      <c r="AT72" s="11" cm="1">
        <f t="array" ref="AT72:AT80">TRANSPOSE(Freeze_2!B39:J39)</f>
        <v>26.236753190188121</v>
      </c>
      <c r="AV72">
        <v>2020</v>
      </c>
      <c r="AW72" s="12">
        <v>19.7</v>
      </c>
      <c r="AX72" s="12" cm="1">
        <f t="array" ref="AX72:AX80">TRANSPOSE(Low_60!B40:J40)</f>
        <v>19.739415332247319</v>
      </c>
      <c r="AY72" s="12" cm="1">
        <f t="array" ref="AY72:AY80">TRANSPOSE(Median_60!B40:J40)</f>
        <v>19.739415332247319</v>
      </c>
      <c r="AZ72" s="12" cm="1">
        <f t="array" ref="AZ72:AZ80">TRANSPOSE(High_60!B40:J40)</f>
        <v>19.739415332247319</v>
      </c>
      <c r="BA72" s="12" cm="1">
        <f t="array" ref="BA72:BA80">TRANSPOSE(Low_40!B40:J40)</f>
        <v>19.739415332247319</v>
      </c>
      <c r="BB72" s="12" cm="1">
        <f t="array" ref="BB72:BB80">TRANSPOSE(Median_40!B40:J40)</f>
        <v>19.739415332247319</v>
      </c>
      <c r="BC72" s="12" cm="1">
        <f t="array" ref="BC72:BC80">TRANSPOSE(High_40!B40:J40)</f>
        <v>19.739415332247319</v>
      </c>
      <c r="BD72" s="12" cm="1">
        <f t="array" ref="BD72:BD80">TRANSPOSE(Freeze_0!B40:J40)</f>
        <v>19.739415332247319</v>
      </c>
      <c r="BE72" s="12" cm="1">
        <f t="array" ref="BE72:BE80">TRANSPOSE(Freeze_1!B40:J40)</f>
        <v>19.739415332247319</v>
      </c>
      <c r="BF72" s="12" cm="1">
        <f t="array" ref="BF72:BF80">TRANSPOSE(Freeze_2!B40:J40)</f>
        <v>19.739415332247319</v>
      </c>
      <c r="BH72">
        <v>2020</v>
      </c>
      <c r="BI72" s="3">
        <v>37.44</v>
      </c>
      <c r="BJ72" s="3" cm="1">
        <f t="array" ref="BJ72:BJ80">TRANSPOSE(Low_60!V23:AD23)</f>
        <v>39.438162027158228</v>
      </c>
      <c r="BK72" s="3" cm="1">
        <f t="array" ref="BK72:BK80">TRANSPOSE(Median_60!V23:AD23)</f>
        <v>39.438162027158228</v>
      </c>
      <c r="BL72" s="3" cm="1">
        <f t="array" ref="BL72:BL80">TRANSPOSE(High_60!V23:AD23)</f>
        <v>39.438162027158228</v>
      </c>
      <c r="BM72" s="3" cm="1">
        <f t="array" ref="BM72:BM80">TRANSPOSE(Low_40!V23:AD23)</f>
        <v>39.438162027158228</v>
      </c>
      <c r="BN72" s="3" cm="1">
        <f t="array" ref="BN72:BN80">TRANSPOSE(Median_40!V23:AD23)</f>
        <v>39.438162027158228</v>
      </c>
      <c r="BO72" s="3" cm="1">
        <f t="array" ref="BO72:BO80">TRANSPOSE(High_40!V23:AD23)</f>
        <v>39.438162027158228</v>
      </c>
      <c r="BP72" s="3" cm="1">
        <f t="array" ref="BP72:BP80">TRANSPOSE(High_40!V23:AD23)</f>
        <v>39.438162027158228</v>
      </c>
      <c r="BQ72" s="3" cm="1">
        <f t="array" ref="BQ72:BQ80">TRANSPOSE(Freeze_0!V23:AD23)</f>
        <v>39.438162027158228</v>
      </c>
      <c r="BR72" s="3" cm="1">
        <f t="array" ref="BR72:BR80">TRANSPOSE(Freeze_1!V23:AD23)</f>
        <v>39.438162027158228</v>
      </c>
      <c r="BS72" s="3" cm="1">
        <f t="array" ref="BS72:BS80">TRANSPOSE(Freeze_2!V23:AD23)</f>
        <v>39.438162027158228</v>
      </c>
    </row>
    <row r="73" spans="1:71" x14ac:dyDescent="0.2">
      <c r="A73">
        <v>2025</v>
      </c>
      <c r="B73" s="3"/>
      <c r="C73" s="3">
        <v>14.227353060274199</v>
      </c>
      <c r="D73" s="3">
        <v>14.227353060274199</v>
      </c>
      <c r="E73" s="3">
        <v>14.227353060274199</v>
      </c>
      <c r="F73" s="3">
        <v>14.227353060274199</v>
      </c>
      <c r="G73" s="3">
        <v>14.227353060274199</v>
      </c>
      <c r="H73" s="3">
        <v>14.227353060274199</v>
      </c>
      <c r="I73" s="3">
        <v>14.227353060274199</v>
      </c>
      <c r="J73" s="3">
        <v>14.227353060274201</v>
      </c>
      <c r="K73" s="3">
        <v>14.227353060274201</v>
      </c>
      <c r="M73">
        <v>2025</v>
      </c>
      <c r="N73" s="1"/>
      <c r="O73" s="1">
        <v>1180.4343156804002</v>
      </c>
      <c r="P73" s="1">
        <v>1180.4343156804002</v>
      </c>
      <c r="Q73" s="1">
        <v>1180.4343156804002</v>
      </c>
      <c r="R73" s="1">
        <v>1180.4343156804002</v>
      </c>
      <c r="S73" s="1">
        <v>1180.4343156804002</v>
      </c>
      <c r="T73" s="1">
        <v>1180.4343156804002</v>
      </c>
      <c r="U73" s="1">
        <v>1180.4343156804002</v>
      </c>
      <c r="V73" s="1">
        <v>1180.4343156804</v>
      </c>
      <c r="W73" s="1">
        <v>1180.4343156804</v>
      </c>
      <c r="Y73">
        <v>2025</v>
      </c>
      <c r="Z73" s="1"/>
      <c r="AA73" s="1">
        <v>921.30267513200045</v>
      </c>
      <c r="AB73" s="1">
        <v>921.30267513200045</v>
      </c>
      <c r="AC73" s="1">
        <v>921.30267513200045</v>
      </c>
      <c r="AD73" s="1">
        <v>921.30267513200045</v>
      </c>
      <c r="AE73" s="1">
        <v>921.30267513200045</v>
      </c>
      <c r="AF73" s="1">
        <v>921.30267513200045</v>
      </c>
      <c r="AG73" s="1">
        <v>921.30267513200045</v>
      </c>
      <c r="AH73" s="1">
        <v>921.30267513200045</v>
      </c>
      <c r="AI73" s="1">
        <v>921.30267513200045</v>
      </c>
      <c r="AJ73">
        <v>2025</v>
      </c>
      <c r="AK73" s="11"/>
      <c r="AL73" s="11">
        <v>23.411200383581047</v>
      </c>
      <c r="AM73" s="11">
        <v>23.411200383581047</v>
      </c>
      <c r="AN73" s="11">
        <v>23.411200383581047</v>
      </c>
      <c r="AO73" s="11">
        <v>23.411200383581047</v>
      </c>
      <c r="AP73" s="11">
        <v>23.411200383581047</v>
      </c>
      <c r="AQ73" s="11">
        <v>23.411200383581047</v>
      </c>
      <c r="AR73" s="11">
        <v>23.411200383581047</v>
      </c>
      <c r="AS73" s="11">
        <v>23.411200383581047</v>
      </c>
      <c r="AT73" s="11">
        <v>23.41120038358105</v>
      </c>
      <c r="AV73">
        <v>2025</v>
      </c>
      <c r="AW73" s="12"/>
      <c r="AX73" s="12">
        <v>23.435200662995186</v>
      </c>
      <c r="AY73" s="12">
        <v>23.435200662995186</v>
      </c>
      <c r="AZ73" s="12">
        <v>23.435200662995186</v>
      </c>
      <c r="BA73" s="12">
        <v>23.435200662995186</v>
      </c>
      <c r="BB73" s="12">
        <v>23.435200662995186</v>
      </c>
      <c r="BC73" s="12">
        <v>23.435200662995186</v>
      </c>
      <c r="BD73" s="12">
        <v>23.435200662995186</v>
      </c>
      <c r="BE73" s="12">
        <v>23.435200662995186</v>
      </c>
      <c r="BF73" s="12">
        <v>23.435200662995186</v>
      </c>
      <c r="BH73">
        <v>2025</v>
      </c>
      <c r="BI73" s="3"/>
      <c r="BJ73" s="3">
        <v>41.860793424246822</v>
      </c>
      <c r="BK73" s="3">
        <v>41.860793424246822</v>
      </c>
      <c r="BL73" s="3">
        <v>41.860793424246822</v>
      </c>
      <c r="BM73" s="3">
        <v>41.860793424246822</v>
      </c>
      <c r="BN73" s="3">
        <v>41.860793424246822</v>
      </c>
      <c r="BO73" s="3">
        <v>41.860793424246822</v>
      </c>
      <c r="BP73" s="3">
        <v>41.860793424246822</v>
      </c>
      <c r="BQ73" s="3">
        <v>41.860793424246822</v>
      </c>
      <c r="BR73" s="3">
        <v>41.860793424246822</v>
      </c>
      <c r="BS73" s="3">
        <v>41.860793424246822</v>
      </c>
    </row>
    <row r="74" spans="1:71" x14ac:dyDescent="0.2">
      <c r="A74">
        <v>2030</v>
      </c>
      <c r="B74" s="3"/>
      <c r="C74" s="3">
        <v>14.092440139552112</v>
      </c>
      <c r="D74" s="3">
        <v>14.194853666086644</v>
      </c>
      <c r="E74" s="3">
        <v>14.29751207154888</v>
      </c>
      <c r="F74" s="3">
        <v>14.121500782423146</v>
      </c>
      <c r="G74" s="3">
        <v>14.223914308957674</v>
      </c>
      <c r="H74" s="3">
        <v>14.326572714419912</v>
      </c>
      <c r="I74" s="3">
        <v>14.182604530158084</v>
      </c>
      <c r="J74" s="3">
        <v>14.182597477743004</v>
      </c>
      <c r="K74" s="3">
        <v>14.182591874336239</v>
      </c>
      <c r="M74">
        <v>2030</v>
      </c>
      <c r="N74" s="1"/>
      <c r="O74" s="1">
        <v>790.05172483063291</v>
      </c>
      <c r="P74" s="1">
        <v>994.87877789969366</v>
      </c>
      <c r="Q74" s="1">
        <v>1200.195588824166</v>
      </c>
      <c r="R74" s="1">
        <v>790.05172483063291</v>
      </c>
      <c r="S74" s="1">
        <v>994.87877789969366</v>
      </c>
      <c r="T74" s="1">
        <v>1200.195588824166</v>
      </c>
      <c r="U74" s="1">
        <v>1031.8866964301465</v>
      </c>
      <c r="V74" s="1">
        <v>1031.8866964301478</v>
      </c>
      <c r="W74" s="1">
        <v>1031.886696430148</v>
      </c>
      <c r="Y74">
        <v>2030</v>
      </c>
      <c r="Z74" s="1"/>
      <c r="AA74" s="1">
        <v>1059.8775662748026</v>
      </c>
      <c r="AB74" s="1">
        <v>1059.8775662748026</v>
      </c>
      <c r="AC74" s="1">
        <v>1059.8775662748026</v>
      </c>
      <c r="AD74" s="1">
        <v>1001.7562805327392</v>
      </c>
      <c r="AE74" s="1">
        <v>1001.7562805327392</v>
      </c>
      <c r="AF74" s="1">
        <v>1001.7562805327392</v>
      </c>
      <c r="AG74" s="1">
        <v>1121.3837566623758</v>
      </c>
      <c r="AH74" s="1">
        <v>1121.3978614925384</v>
      </c>
      <c r="AI74" s="1">
        <v>1121.409068306067</v>
      </c>
      <c r="AJ74">
        <v>2030</v>
      </c>
      <c r="AK74" s="11"/>
      <c r="AL74" s="11">
        <v>18.476255797138823</v>
      </c>
      <c r="AM74" s="11">
        <v>19.551918777892368</v>
      </c>
      <c r="AN74" s="11">
        <v>20.630153754809054</v>
      </c>
      <c r="AO74" s="11">
        <v>18.468853264873836</v>
      </c>
      <c r="AP74" s="11">
        <v>19.544019353976115</v>
      </c>
      <c r="AQ74" s="11">
        <v>20.621756251133867</v>
      </c>
      <c r="AR74" s="11">
        <v>19.754434145327551</v>
      </c>
      <c r="AS74" s="11">
        <v>19.754360038300316</v>
      </c>
      <c r="AT74" s="11">
        <v>19.754301157503722</v>
      </c>
      <c r="AV74">
        <v>2030</v>
      </c>
      <c r="AW74" s="12"/>
      <c r="AX74" s="12">
        <v>29.538529744794261</v>
      </c>
      <c r="AY74" s="12">
        <v>29.538529744794261</v>
      </c>
      <c r="AZ74" s="12">
        <v>29.538529744794261</v>
      </c>
      <c r="BA74" s="12">
        <v>29.782645167547173</v>
      </c>
      <c r="BB74" s="12">
        <v>29.782645167547173</v>
      </c>
      <c r="BC74" s="12">
        <v>29.782645167547173</v>
      </c>
      <c r="BD74" s="12">
        <v>29.276876195408953</v>
      </c>
      <c r="BE74" s="12">
        <v>29.276876195408963</v>
      </c>
      <c r="BF74" s="12">
        <v>29.276876195408963</v>
      </c>
      <c r="BH74">
        <v>2030</v>
      </c>
      <c r="BI74" s="3"/>
      <c r="BJ74" s="3">
        <v>44.678969163126112</v>
      </c>
      <c r="BK74" s="3">
        <v>44.471105413019721</v>
      </c>
      <c r="BL74" s="3">
        <v>44.262744644072583</v>
      </c>
      <c r="BM74" s="3">
        <v>44.734547559487027</v>
      </c>
      <c r="BN74" s="3">
        <v>44.526736873414976</v>
      </c>
      <c r="BO74" s="3">
        <v>44.318429295382522</v>
      </c>
      <c r="BP74" s="3">
        <v>44.318429295382522</v>
      </c>
      <c r="BQ74" s="3">
        <v>44.373701313801099</v>
      </c>
      <c r="BR74" s="3">
        <v>44.37371563070127</v>
      </c>
      <c r="BS74" s="3">
        <v>44.373727006012338</v>
      </c>
    </row>
    <row r="75" spans="1:71" x14ac:dyDescent="0.2">
      <c r="A75">
        <v>2035</v>
      </c>
      <c r="B75" s="3"/>
      <c r="C75" s="3">
        <v>13.812293328156493</v>
      </c>
      <c r="D75" s="3">
        <v>14.064776946720649</v>
      </c>
      <c r="E75" s="3">
        <v>14.319318553431549</v>
      </c>
      <c r="F75" s="3">
        <v>13.897497606093502</v>
      </c>
      <c r="G75" s="3">
        <v>14.150002464180419</v>
      </c>
      <c r="H75" s="3">
        <v>14.404565903724482</v>
      </c>
      <c r="I75" s="3">
        <v>13.993563734865461</v>
      </c>
      <c r="J75" s="3">
        <v>13.993547008592643</v>
      </c>
      <c r="K75" s="3">
        <v>13.993533718945159</v>
      </c>
      <c r="M75">
        <v>2035</v>
      </c>
      <c r="N75" s="1"/>
      <c r="O75" s="1">
        <v>653.62316856342181</v>
      </c>
      <c r="P75" s="1">
        <v>954.3893240799797</v>
      </c>
      <c r="Q75" s="1">
        <v>1258.7831947823991</v>
      </c>
      <c r="R75" s="1">
        <v>653.6709702358653</v>
      </c>
      <c r="S75" s="1">
        <v>954.45912209263827</v>
      </c>
      <c r="T75" s="1">
        <v>1258.87612678029</v>
      </c>
      <c r="U75" s="1">
        <v>962.84743647961955</v>
      </c>
      <c r="V75" s="1">
        <v>962.84743647962</v>
      </c>
      <c r="W75" s="1">
        <v>962.84743647962</v>
      </c>
      <c r="Y75">
        <v>2035</v>
      </c>
      <c r="Z75" s="1"/>
      <c r="AA75" s="1">
        <v>1213.9167913546587</v>
      </c>
      <c r="AB75" s="1">
        <v>1214.5427628119635</v>
      </c>
      <c r="AC75" s="1">
        <v>1215.1702310170579</v>
      </c>
      <c r="AD75" s="1">
        <v>1101.6773228951479</v>
      </c>
      <c r="AE75" s="1">
        <v>1102.282811647148</v>
      </c>
      <c r="AF75" s="1">
        <v>1102.8897481711506</v>
      </c>
      <c r="AG75" s="1">
        <v>1340.9290270648598</v>
      </c>
      <c r="AH75" s="1">
        <v>1340.9483747803426</v>
      </c>
      <c r="AI75" s="1">
        <v>1340.9637472617817</v>
      </c>
      <c r="AJ75">
        <v>2035</v>
      </c>
      <c r="AK75" s="11"/>
      <c r="AL75" s="11">
        <v>14.43541467257616</v>
      </c>
      <c r="AM75" s="11">
        <v>17.220609142011646</v>
      </c>
      <c r="AN75" s="11">
        <v>20.028505667275819</v>
      </c>
      <c r="AO75" s="11">
        <v>14.421046504998319</v>
      </c>
      <c r="AP75" s="11">
        <v>17.203378678503793</v>
      </c>
      <c r="AQ75" s="11">
        <v>20.008394207345031</v>
      </c>
      <c r="AR75" s="11">
        <v>17.489365889035486</v>
      </c>
      <c r="AS75" s="11">
        <v>17.489181155480303</v>
      </c>
      <c r="AT75" s="11">
        <v>17.489034377781966</v>
      </c>
      <c r="AV75">
        <v>2035</v>
      </c>
      <c r="AW75" s="12"/>
      <c r="AX75" s="12">
        <v>37.930601018168169</v>
      </c>
      <c r="AY75" s="12">
        <v>37.930601018168169</v>
      </c>
      <c r="AZ75" s="12">
        <v>37.930601018168169</v>
      </c>
      <c r="BA75" s="12">
        <v>38.7144417133673</v>
      </c>
      <c r="BB75" s="12">
        <v>38.7144417133673</v>
      </c>
      <c r="BC75" s="12">
        <v>38.7144417133673</v>
      </c>
      <c r="BD75" s="12">
        <v>37.062745372722901</v>
      </c>
      <c r="BE75" s="12">
        <v>37.062745372722908</v>
      </c>
      <c r="BF75" s="12">
        <v>37.062745372722908</v>
      </c>
      <c r="BH75">
        <v>2035</v>
      </c>
      <c r="BI75" s="3"/>
      <c r="BJ75" s="3">
        <v>47.857794273984524</v>
      </c>
      <c r="BK75" s="3">
        <v>47.341769142345264</v>
      </c>
      <c r="BL75" s="3">
        <v>46.821537901769624</v>
      </c>
      <c r="BM75" s="3">
        <v>48.022240078223597</v>
      </c>
      <c r="BN75" s="3">
        <v>47.506674567626845</v>
      </c>
      <c r="BO75" s="3">
        <v>46.986905836513465</v>
      </c>
      <c r="BP75" s="3">
        <v>46.986905836513465</v>
      </c>
      <c r="BQ75" s="3">
        <v>47.112665338195562</v>
      </c>
      <c r="BR75" s="3">
        <v>47.112699558431764</v>
      </c>
      <c r="BS75" s="3">
        <v>47.112726747685507</v>
      </c>
    </row>
    <row r="76" spans="1:71" x14ac:dyDescent="0.2">
      <c r="A76">
        <v>2040</v>
      </c>
      <c r="B76" s="3"/>
      <c r="C76" s="3">
        <v>13.421932705052992</v>
      </c>
      <c r="D76" s="3">
        <v>13.859944402763048</v>
      </c>
      <c r="E76" s="3">
        <v>14.300404153048579</v>
      </c>
      <c r="F76" s="3">
        <v>13.588173325379998</v>
      </c>
      <c r="G76" s="3">
        <v>14.026283983578086</v>
      </c>
      <c r="H76" s="3">
        <v>14.466843849148361</v>
      </c>
      <c r="I76" s="3">
        <v>13.698677540959409</v>
      </c>
      <c r="J76" s="3">
        <v>13.698641760829592</v>
      </c>
      <c r="K76" s="3">
        <v>13.698613332182216</v>
      </c>
      <c r="M76">
        <v>2040</v>
      </c>
      <c r="N76" s="1"/>
      <c r="O76" s="1">
        <v>600.56294995606584</v>
      </c>
      <c r="P76" s="1">
        <v>972.66704113329683</v>
      </c>
      <c r="Q76" s="1">
        <v>1345.562513819227</v>
      </c>
      <c r="R76" s="1">
        <v>600.66584144066428</v>
      </c>
      <c r="S76" s="1">
        <v>972.8336840997332</v>
      </c>
      <c r="T76" s="1">
        <v>1345.7932262384591</v>
      </c>
      <c r="U76" s="1">
        <v>980.47598834600581</v>
      </c>
      <c r="V76" s="1">
        <v>980.46251985132608</v>
      </c>
      <c r="W76" s="1">
        <v>980.45181863006394</v>
      </c>
      <c r="Y76">
        <v>2040</v>
      </c>
      <c r="Z76" s="1"/>
      <c r="AA76" s="1">
        <v>1381.2841961630631</v>
      </c>
      <c r="AB76" s="1">
        <v>1382.3321290484976</v>
      </c>
      <c r="AC76" s="1">
        <v>1383.3913145851684</v>
      </c>
      <c r="AD76" s="1">
        <v>1219.3144028676772</v>
      </c>
      <c r="AE76" s="1">
        <v>1220.2706453043961</v>
      </c>
      <c r="AF76" s="1">
        <v>1221.2373353906989</v>
      </c>
      <c r="AG76" s="1">
        <v>1570.2483761581111</v>
      </c>
      <c r="AH76" s="1">
        <v>1570.2730153774262</v>
      </c>
      <c r="AI76" s="1">
        <v>1570.2925921559524</v>
      </c>
      <c r="AJ76">
        <v>2040</v>
      </c>
      <c r="AK76" s="11"/>
      <c r="AL76" s="11">
        <v>11.986360768116112</v>
      </c>
      <c r="AM76" s="11">
        <v>17.13533808859782</v>
      </c>
      <c r="AN76" s="11">
        <v>22.313093104415906</v>
      </c>
      <c r="AO76" s="11">
        <v>11.967139839638481</v>
      </c>
      <c r="AP76" s="11">
        <v>17.107809539883213</v>
      </c>
      <c r="AQ76" s="11">
        <v>22.277217564321173</v>
      </c>
      <c r="AR76" s="11">
        <v>17.481022655516455</v>
      </c>
      <c r="AS76" s="11">
        <v>17.480795762412559</v>
      </c>
      <c r="AT76" s="11">
        <v>17.48061548684484</v>
      </c>
      <c r="AV76">
        <v>2040</v>
      </c>
      <c r="AW76" s="12"/>
      <c r="AX76" s="12">
        <v>45.793048906684291</v>
      </c>
      <c r="AY76" s="12">
        <v>45.793048906684291</v>
      </c>
      <c r="AZ76" s="12">
        <v>45.793048906684291</v>
      </c>
      <c r="BA76" s="12">
        <v>47.47274044711591</v>
      </c>
      <c r="BB76" s="12">
        <v>47.47274044711591</v>
      </c>
      <c r="BC76" s="12">
        <v>47.47274044711591</v>
      </c>
      <c r="BD76" s="12">
        <v>43.888376162592905</v>
      </c>
      <c r="BE76" s="12">
        <v>43.888448859032636</v>
      </c>
      <c r="BF76" s="12">
        <v>43.888506619236566</v>
      </c>
      <c r="BH76">
        <v>2040</v>
      </c>
      <c r="BI76" s="3"/>
      <c r="BJ76" s="3">
        <v>50.914892853802336</v>
      </c>
      <c r="BK76" s="3">
        <v>50.010429664129312</v>
      </c>
      <c r="BL76" s="3">
        <v>48.795043372124944</v>
      </c>
      <c r="BM76" s="3">
        <v>51.238784475598251</v>
      </c>
      <c r="BN76" s="3">
        <v>50.336385540750427</v>
      </c>
      <c r="BO76" s="3">
        <v>49.233976073358676</v>
      </c>
      <c r="BP76" s="3">
        <v>49.233976073358676</v>
      </c>
      <c r="BQ76" s="3">
        <v>49.443581867714819</v>
      </c>
      <c r="BR76" s="3">
        <v>49.443681061877811</v>
      </c>
      <c r="BS76" s="3">
        <v>49.443759875339268</v>
      </c>
    </row>
    <row r="77" spans="1:71" x14ac:dyDescent="0.2">
      <c r="A77">
        <v>2045</v>
      </c>
      <c r="B77" s="3"/>
      <c r="C77" s="3">
        <v>12.974748649494828</v>
      </c>
      <c r="D77" s="3">
        <v>13.604362119296304</v>
      </c>
      <c r="E77" s="3">
        <v>14.229136112100317</v>
      </c>
      <c r="F77" s="3">
        <v>13.240449211187427</v>
      </c>
      <c r="G77" s="3">
        <v>13.870317510301813</v>
      </c>
      <c r="H77" s="3">
        <v>14.495342915690712</v>
      </c>
      <c r="I77" s="3">
        <v>13.30121411720064</v>
      </c>
      <c r="J77" s="3">
        <v>13.300461648643896</v>
      </c>
      <c r="K77" s="3">
        <v>13.299863784430688</v>
      </c>
      <c r="M77">
        <v>2045</v>
      </c>
      <c r="N77" s="1"/>
      <c r="O77" s="1">
        <v>648.99777169614549</v>
      </c>
      <c r="P77" s="1">
        <v>1033.625262121685</v>
      </c>
      <c r="Q77" s="1">
        <v>1403.6825543139405</v>
      </c>
      <c r="R77" s="1">
        <v>649.20341662330907</v>
      </c>
      <c r="S77" s="1">
        <v>1033.9527997727523</v>
      </c>
      <c r="T77" s="1">
        <v>1404.1219751638628</v>
      </c>
      <c r="U77" s="1">
        <v>988.41993260619745</v>
      </c>
      <c r="V77" s="1">
        <v>987.0357463362659</v>
      </c>
      <c r="W77" s="1">
        <v>985.9359587283941</v>
      </c>
      <c r="Y77">
        <v>2045</v>
      </c>
      <c r="Z77" s="1"/>
      <c r="AA77" s="1">
        <v>1543.3658828124762</v>
      </c>
      <c r="AB77" s="1">
        <v>1544.7898290551709</v>
      </c>
      <c r="AC77" s="1">
        <v>1546.218636210463</v>
      </c>
      <c r="AD77" s="1">
        <v>1344.6516450084471</v>
      </c>
      <c r="AE77" s="1">
        <v>1345.8857463253069</v>
      </c>
      <c r="AF77" s="1">
        <v>1347.1238420791626</v>
      </c>
      <c r="AG77" s="1">
        <v>1783.3467801237298</v>
      </c>
      <c r="AH77" s="1">
        <v>1783.3959707076597</v>
      </c>
      <c r="AI77" s="1">
        <v>1783.4350542314482</v>
      </c>
      <c r="AJ77">
        <v>2045</v>
      </c>
      <c r="AK77" s="11"/>
      <c r="AL77" s="11">
        <v>11.925938193319313</v>
      </c>
      <c r="AM77" s="11">
        <v>18.318663435158378</v>
      </c>
      <c r="AN77" s="11">
        <v>24.488768366854778</v>
      </c>
      <c r="AO77" s="11">
        <v>11.89776333071414</v>
      </c>
      <c r="AP77" s="11">
        <v>18.275888050633142</v>
      </c>
      <c r="AQ77" s="11">
        <v>24.432233958208318</v>
      </c>
      <c r="AR77" s="11">
        <v>18.152108365885546</v>
      </c>
      <c r="AS77" s="11">
        <v>18.143342701409555</v>
      </c>
      <c r="AT77" s="11">
        <v>18.136377994733934</v>
      </c>
      <c r="AV77">
        <v>2045</v>
      </c>
      <c r="AW77" s="12"/>
      <c r="AX77" s="12">
        <v>51.035565568195359</v>
      </c>
      <c r="AY77" s="12">
        <v>50.39028203478361</v>
      </c>
      <c r="AZ77" s="12">
        <v>49.759626866471848</v>
      </c>
      <c r="BA77" s="12">
        <v>53.943623098527773</v>
      </c>
      <c r="BB77" s="12">
        <v>53.263084652188951</v>
      </c>
      <c r="BC77" s="12">
        <v>52.59793640352698</v>
      </c>
      <c r="BD77" s="12">
        <v>46.955973322466747</v>
      </c>
      <c r="BE77" s="12">
        <v>46.956201751124361</v>
      </c>
      <c r="BF77" s="12">
        <v>46.956383247795415</v>
      </c>
      <c r="BH77">
        <v>2045</v>
      </c>
      <c r="BI77" s="3"/>
      <c r="BJ77" s="3">
        <v>53.310860636266149</v>
      </c>
      <c r="BK77" s="3">
        <v>51.551321321348318</v>
      </c>
      <c r="BL77" s="3">
        <v>49.763386629855148</v>
      </c>
      <c r="BM77" s="3">
        <v>54.012337293332635</v>
      </c>
      <c r="BN77" s="3">
        <v>52.258184967380934</v>
      </c>
      <c r="BO77" s="3">
        <v>50.517519862971959</v>
      </c>
      <c r="BP77" s="3">
        <v>50.517519862971959</v>
      </c>
      <c r="BQ77" s="3">
        <v>50.717945298765301</v>
      </c>
      <c r="BR77" s="3">
        <v>50.720056939942943</v>
      </c>
      <c r="BS77" s="3">
        <v>50.721734717279865</v>
      </c>
    </row>
    <row r="78" spans="1:71" x14ac:dyDescent="0.2">
      <c r="A78">
        <v>2050</v>
      </c>
      <c r="B78" s="3"/>
      <c r="C78" s="3">
        <v>12.459401967938039</v>
      </c>
      <c r="D78" s="3">
        <v>13.277834002548854</v>
      </c>
      <c r="E78" s="3">
        <v>14.089568981945289</v>
      </c>
      <c r="F78" s="3">
        <v>12.834244732141194</v>
      </c>
      <c r="G78" s="3">
        <v>13.653183968374645</v>
      </c>
      <c r="H78" s="3">
        <v>14.465419713496402</v>
      </c>
      <c r="I78" s="3">
        <v>12.781399056747393</v>
      </c>
      <c r="J78" s="3">
        <v>12.776650765103168</v>
      </c>
      <c r="K78" s="3">
        <v>12.77287808229069</v>
      </c>
      <c r="M78">
        <v>2050</v>
      </c>
      <c r="N78" s="1"/>
      <c r="O78" s="1">
        <v>656.41979992650045</v>
      </c>
      <c r="P78" s="1">
        <v>1035.8221566256705</v>
      </c>
      <c r="Q78" s="1">
        <v>1411.4711702689058</v>
      </c>
      <c r="R78" s="1">
        <v>656.70138174063925</v>
      </c>
      <c r="S78" s="1">
        <v>1036.2662181540172</v>
      </c>
      <c r="T78" s="1">
        <v>1412.0738703191557</v>
      </c>
      <c r="U78" s="1">
        <v>920.1116977289247</v>
      </c>
      <c r="V78" s="1">
        <v>912.19395270963196</v>
      </c>
      <c r="W78" s="1">
        <v>905.90300903850402</v>
      </c>
      <c r="Y78">
        <v>2050</v>
      </c>
      <c r="Z78" s="1"/>
      <c r="AA78" s="1">
        <v>1687.1131630400778</v>
      </c>
      <c r="AB78" s="1">
        <v>1688.8783901205707</v>
      </c>
      <c r="AC78" s="1">
        <v>1690.6054305789614</v>
      </c>
      <c r="AD78" s="1">
        <v>1469.1103398331047</v>
      </c>
      <c r="AE78" s="1">
        <v>1470.5333020083547</v>
      </c>
      <c r="AF78" s="1">
        <v>1471.9202747077752</v>
      </c>
      <c r="AG78" s="1">
        <v>1959.7418186354232</v>
      </c>
      <c r="AH78" s="1">
        <v>1959.8157197910882</v>
      </c>
      <c r="AI78" s="1">
        <v>1959.8744133184982</v>
      </c>
      <c r="AJ78">
        <v>2050</v>
      </c>
      <c r="AK78" s="11"/>
      <c r="AL78" s="11">
        <v>13.031276658537678</v>
      </c>
      <c r="AM78" s="11">
        <v>20.105716354083484</v>
      </c>
      <c r="AN78" s="11">
        <v>26.604773939706416</v>
      </c>
      <c r="AO78" s="11">
        <v>12.989904972427494</v>
      </c>
      <c r="AP78" s="11">
        <v>20.043845084019285</v>
      </c>
      <c r="AQ78" s="11">
        <v>26.525291906024091</v>
      </c>
      <c r="AR78" s="11">
        <v>19.115776927592549</v>
      </c>
      <c r="AS78" s="11">
        <v>19.054019356192693</v>
      </c>
      <c r="AT78" s="11">
        <v>19.004949908306408</v>
      </c>
      <c r="AV78">
        <v>2050</v>
      </c>
      <c r="AW78" s="12"/>
      <c r="AX78" s="12">
        <v>57.694354419837204</v>
      </c>
      <c r="AY78" s="12">
        <v>55.771840748160443</v>
      </c>
      <c r="AZ78" s="12">
        <v>53.959143861411398</v>
      </c>
      <c r="BA78" s="12">
        <v>62.219477500874</v>
      </c>
      <c r="BB78" s="12">
        <v>60.152015839226635</v>
      </c>
      <c r="BC78" s="12">
        <v>58.202280378897278</v>
      </c>
      <c r="BD78" s="12">
        <v>50.445896354489427</v>
      </c>
      <c r="BE78" s="12">
        <v>50.446419494528371</v>
      </c>
      <c r="BF78" s="12">
        <v>50.446835156532607</v>
      </c>
      <c r="BH78">
        <v>2050</v>
      </c>
      <c r="BI78" s="3"/>
      <c r="BJ78" s="3">
        <v>55.158431838933296</v>
      </c>
      <c r="BK78" s="3">
        <v>52.38572650267605</v>
      </c>
      <c r="BL78" s="3">
        <v>49.593880094789107</v>
      </c>
      <c r="BM78" s="3">
        <v>56.161407335497493</v>
      </c>
      <c r="BN78" s="3">
        <v>53.611765920845158</v>
      </c>
      <c r="BO78" s="3">
        <v>50.838672365810517</v>
      </c>
      <c r="BP78" s="3">
        <v>50.838672365810517</v>
      </c>
      <c r="BQ78" s="3">
        <v>51.112485711646059</v>
      </c>
      <c r="BR78" s="3">
        <v>51.128852044969491</v>
      </c>
      <c r="BS78" s="3">
        <v>51.141855665862884</v>
      </c>
    </row>
    <row r="79" spans="1:71" x14ac:dyDescent="0.2">
      <c r="A79">
        <v>2055</v>
      </c>
      <c r="B79" s="3"/>
      <c r="C79" s="3">
        <v>11.852390183949188</v>
      </c>
      <c r="D79" s="3">
        <v>12.842866573621922</v>
      </c>
      <c r="E79" s="3">
        <v>13.84589143819559</v>
      </c>
      <c r="F79" s="3">
        <v>12.335393967287128</v>
      </c>
      <c r="G79" s="3">
        <v>13.326706145897713</v>
      </c>
      <c r="H79" s="3">
        <v>14.330560047592275</v>
      </c>
      <c r="I79" s="3">
        <v>12.14089842715466</v>
      </c>
      <c r="J79" s="3">
        <v>12.127404388142098</v>
      </c>
      <c r="K79" s="3">
        <v>12.116682956396357</v>
      </c>
      <c r="M79">
        <v>2055</v>
      </c>
      <c r="N79" s="1"/>
      <c r="O79" s="1">
        <v>589.73136364557888</v>
      </c>
      <c r="P79" s="1">
        <v>936.03221291432965</v>
      </c>
      <c r="Q79" s="1">
        <v>1320.8112749986342</v>
      </c>
      <c r="R79" s="1">
        <v>590.07715554475715</v>
      </c>
      <c r="S79" s="1">
        <v>936.58232836172442</v>
      </c>
      <c r="T79" s="1">
        <v>1321.5675717380434</v>
      </c>
      <c r="U79" s="1">
        <v>802.34493856117899</v>
      </c>
      <c r="V79" s="1">
        <v>784.94292022545392</v>
      </c>
      <c r="W79" s="1">
        <v>771.11636795428012</v>
      </c>
      <c r="Y79">
        <v>2055</v>
      </c>
      <c r="Z79" s="1"/>
      <c r="AA79" s="1">
        <v>1803.7549316232776</v>
      </c>
      <c r="AB79" s="1">
        <v>1805.9670707681894</v>
      </c>
      <c r="AC79" s="1">
        <v>1808.1663624980331</v>
      </c>
      <c r="AD79" s="1">
        <v>1587.7786852528882</v>
      </c>
      <c r="AE79" s="1">
        <v>1589.5379733155894</v>
      </c>
      <c r="AF79" s="1">
        <v>1591.2869035462975</v>
      </c>
      <c r="AG79" s="1">
        <v>2083.3461977466441</v>
      </c>
      <c r="AH79" s="1">
        <v>2083.435674147594</v>
      </c>
      <c r="AI79" s="1">
        <v>2083.5066197429442</v>
      </c>
      <c r="AJ79">
        <v>2055</v>
      </c>
      <c r="AK79" s="11"/>
      <c r="AL79" s="11">
        <v>14.81186054642766</v>
      </c>
      <c r="AM79" s="11">
        <v>21.986474324768235</v>
      </c>
      <c r="AN79" s="11">
        <v>28.427690501793972</v>
      </c>
      <c r="AO79" s="11">
        <v>14.760095072407331</v>
      </c>
      <c r="AP79" s="11">
        <v>21.914139336449782</v>
      </c>
      <c r="AQ79" s="11">
        <v>28.339075278419951</v>
      </c>
      <c r="AR79" s="11">
        <v>19.85069383255097</v>
      </c>
      <c r="AS79" s="11">
        <v>19.655079217231506</v>
      </c>
      <c r="AT79" s="11">
        <v>19.499651493185571</v>
      </c>
      <c r="AV79">
        <v>2055</v>
      </c>
      <c r="AW79" s="12"/>
      <c r="AX79" s="12">
        <v>70.853823553420767</v>
      </c>
      <c r="AY79" s="12">
        <v>66.319140405458185</v>
      </c>
      <c r="AZ79" s="12">
        <v>62.309027475700063</v>
      </c>
      <c r="BA79" s="12">
        <v>77.658603748134496</v>
      </c>
      <c r="BB79" s="12">
        <v>72.703336736924342</v>
      </c>
      <c r="BC79" s="12">
        <v>68.319590383571864</v>
      </c>
      <c r="BD79" s="12">
        <v>58.413283895192379</v>
      </c>
      <c r="BE79" s="12">
        <v>58.414512882753975</v>
      </c>
      <c r="BF79" s="12">
        <v>58.415489394107247</v>
      </c>
      <c r="BH79">
        <v>2055</v>
      </c>
      <c r="BI79" s="3"/>
      <c r="BJ79" s="3">
        <v>56.242724829487337</v>
      </c>
      <c r="BK79" s="3">
        <v>52.760859239937531</v>
      </c>
      <c r="BL79" s="3">
        <v>49.334656268414989</v>
      </c>
      <c r="BM79" s="3">
        <v>57.823587648748131</v>
      </c>
      <c r="BN79" s="3">
        <v>54.3919835752437</v>
      </c>
      <c r="BO79" s="3">
        <v>50.85873904139774</v>
      </c>
      <c r="BP79" s="3">
        <v>50.85873904139774</v>
      </c>
      <c r="BQ79" s="3">
        <v>51.21000557444934</v>
      </c>
      <c r="BR79" s="3">
        <v>51.2580570240752</v>
      </c>
      <c r="BS79" s="3">
        <v>51.296235388386101</v>
      </c>
    </row>
    <row r="80" spans="1:71" x14ac:dyDescent="0.2">
      <c r="A80">
        <v>2060</v>
      </c>
      <c r="B80" s="3"/>
      <c r="C80" s="3">
        <v>11.144500347656024</v>
      </c>
      <c r="D80" s="3">
        <v>12.298157579882252</v>
      </c>
      <c r="E80" s="3">
        <v>13.502495271178693</v>
      </c>
      <c r="F80" s="3">
        <v>11.724149161471949</v>
      </c>
      <c r="G80" s="3">
        <v>12.879039117507707</v>
      </c>
      <c r="H80" s="3">
        <v>14.084631117348918</v>
      </c>
      <c r="I80" s="3">
        <v>11.423003128812356</v>
      </c>
      <c r="J80" s="3">
        <v>11.397933121259307</v>
      </c>
      <c r="K80" s="3">
        <v>11.378014361119405</v>
      </c>
      <c r="M80">
        <v>2060</v>
      </c>
      <c r="N80" s="1"/>
      <c r="O80" s="1">
        <v>471.21572055799857</v>
      </c>
      <c r="P80" s="1">
        <v>800.26569854635568</v>
      </c>
      <c r="Q80" s="1">
        <v>1205.6849922063086</v>
      </c>
      <c r="R80" s="1">
        <v>471.57019433241209</v>
      </c>
      <c r="S80" s="1">
        <v>800.87638371121977</v>
      </c>
      <c r="T80" s="1">
        <v>1206.5971049500458</v>
      </c>
      <c r="U80" s="1">
        <v>697.74425884826894</v>
      </c>
      <c r="V80" s="1">
        <v>674.69292610629793</v>
      </c>
      <c r="W80" s="1">
        <v>656.37782750226404</v>
      </c>
      <c r="Y80">
        <v>2060</v>
      </c>
      <c r="Z80" s="1"/>
      <c r="AA80" s="1">
        <v>1886.9953931443274</v>
      </c>
      <c r="AB80" s="1">
        <v>1889.6836860256888</v>
      </c>
      <c r="AC80" s="1">
        <v>1892.4773262401009</v>
      </c>
      <c r="AD80" s="1">
        <v>1694.0598059627675</v>
      </c>
      <c r="AE80" s="1">
        <v>1696.2104404912304</v>
      </c>
      <c r="AF80" s="1">
        <v>1698.4549654367613</v>
      </c>
      <c r="AG80" s="1">
        <v>2133.5348555328774</v>
      </c>
      <c r="AH80" s="1">
        <v>2133.6354598718785</v>
      </c>
      <c r="AI80" s="1">
        <v>2133.7150180561684</v>
      </c>
      <c r="AJ80">
        <v>2060</v>
      </c>
      <c r="AK80" s="11"/>
      <c r="AL80" s="11">
        <v>14.765737389896266</v>
      </c>
      <c r="AM80" s="11">
        <v>21.509817423512555</v>
      </c>
      <c r="AN80" s="11">
        <v>27.86028987997582</v>
      </c>
      <c r="AO80" s="11">
        <v>14.707438146170619</v>
      </c>
      <c r="AP80" s="11">
        <v>21.432528157462922</v>
      </c>
      <c r="AQ80" s="11">
        <v>27.767955042406093</v>
      </c>
      <c r="AR80" s="11">
        <v>18.876946477017825</v>
      </c>
      <c r="AS80" s="11">
        <v>18.501814709663755</v>
      </c>
      <c r="AT80" s="11">
        <v>18.203686102304193</v>
      </c>
      <c r="AV80">
        <v>2060</v>
      </c>
      <c r="AW80" s="12"/>
      <c r="AX80" s="12">
        <v>77.293419447761721</v>
      </c>
      <c r="AY80" s="12">
        <v>69.751915339146493</v>
      </c>
      <c r="AZ80" s="12">
        <v>63.594664488806053</v>
      </c>
      <c r="BA80" s="12">
        <v>86.361848114375334</v>
      </c>
      <c r="BB80" s="12">
        <v>77.963275881162716</v>
      </c>
      <c r="BC80" s="12">
        <v>71.101849095325534</v>
      </c>
      <c r="BD80" s="12">
        <v>59.781652995715916</v>
      </c>
      <c r="BE80" s="12">
        <v>59.790214905587682</v>
      </c>
      <c r="BF80" s="12">
        <v>59.797019186832777</v>
      </c>
      <c r="BH80">
        <v>2060</v>
      </c>
      <c r="BI80" s="3"/>
      <c r="BJ80" s="3">
        <v>57.256274882558735</v>
      </c>
      <c r="BK80" s="3">
        <v>53.419274223133272</v>
      </c>
      <c r="BL80" s="3">
        <v>49.801433013827797</v>
      </c>
      <c r="BM80" s="3">
        <v>59.205552424920626</v>
      </c>
      <c r="BN80" s="3">
        <v>55.102590509713032</v>
      </c>
      <c r="BO80" s="3">
        <v>51.471684813488224</v>
      </c>
      <c r="BP80" s="3">
        <v>51.471684813488224</v>
      </c>
      <c r="BQ80" s="3">
        <v>51.900660988021436</v>
      </c>
      <c r="BR80" s="3">
        <v>51.976852843769827</v>
      </c>
      <c r="BS80" s="3">
        <v>52.037389215609977</v>
      </c>
    </row>
  </sheetData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9847-F95A-4352-B417-1ADC5FDB9F39}">
  <dimension ref="A1:AP21"/>
  <sheetViews>
    <sheetView workbookViewId="0">
      <selection activeCell="A22" sqref="A22"/>
    </sheetView>
  </sheetViews>
  <sheetFormatPr defaultRowHeight="14.25" x14ac:dyDescent="0.2"/>
  <cols>
    <col min="1" max="1" width="22.375" bestFit="1" customWidth="1"/>
    <col min="2" max="42" width="11.75" customWidth="1"/>
  </cols>
  <sheetData>
    <row r="1" spans="1:42" x14ac:dyDescent="0.2">
      <c r="A1" t="s">
        <v>103</v>
      </c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  <c r="I1">
        <v>2055</v>
      </c>
      <c r="J1">
        <v>2060</v>
      </c>
    </row>
    <row r="2" spans="1:42" x14ac:dyDescent="0.2">
      <c r="A2" t="s">
        <v>101</v>
      </c>
      <c r="B2" s="13">
        <v>4190907</v>
      </c>
      <c r="C2" s="13">
        <f>(SUM(Median_60!B2:B22)-SUM(Median_60!C3:C22))/5</f>
        <v>3849314.7708000182</v>
      </c>
      <c r="D2" s="13">
        <f>(SUM(Median_60!C2:C22)-SUM(Median_60!D3:D22))/5</f>
        <v>4466064.2993859053</v>
      </c>
      <c r="E2" s="13">
        <f>(SUM(Median_60!D2:D22)-SUM(Median_60!E3:E22))/5</f>
        <v>5188808.7553932909</v>
      </c>
      <c r="F2" s="13">
        <f>(SUM(Median_60!E2:E22)-SUM(Median_60!F3:F22))/5</f>
        <v>6026403.6720952746</v>
      </c>
      <c r="G2" s="13">
        <f>(SUM(Median_60!F2:F22)-SUM(Median_60!G3:G22))/5</f>
        <v>6894337.0071871523</v>
      </c>
      <c r="H2" s="13">
        <f>(SUM(Median_60!G2:G22)-SUM(Median_60!H3:H22))/5</f>
        <v>7709740.0539341215</v>
      </c>
      <c r="I2" s="13">
        <f>(SUM(Median_60!H2:H22)-SUM(Median_60!I3:I22))/5</f>
        <v>8407376.2719162945</v>
      </c>
      <c r="J2" s="13">
        <f>(SUM(Median_60!I2:I22)-SUM(Median_60!J3:J22))/5</f>
        <v>8999091.4876841791</v>
      </c>
    </row>
    <row r="3" spans="1:42" x14ac:dyDescent="0.2">
      <c r="A3" t="s">
        <v>102</v>
      </c>
      <c r="B3" s="13">
        <v>5778356</v>
      </c>
      <c r="C3" s="13">
        <f>(SUM(Median_60!K2:K22)-SUM(Median_60!L3:L22))/5</f>
        <v>5363711.9805199858</v>
      </c>
      <c r="D3" s="13">
        <f>(SUM(Median_60!L2:L22)-SUM(Median_60!M3:M22))/5</f>
        <v>6132711.3633621214</v>
      </c>
      <c r="E3" s="13">
        <f>(SUM(Median_60!M2:M22)-SUM(Median_60!N3:N22))/5</f>
        <v>6956618.8727263454</v>
      </c>
      <c r="F3" s="13">
        <f>(SUM(Median_60!N2:N22)-SUM(Median_60!O3:O22))/5</f>
        <v>7796917.6183897015</v>
      </c>
      <c r="G3" s="13">
        <f>(SUM(Median_60!O2:O22)-SUM(Median_60!P3:P22))/5</f>
        <v>8553561.2833645586</v>
      </c>
      <c r="H3" s="13">
        <f>(SUM(Median_60!P2:P22)-SUM(Median_60!Q3:Q22))/5</f>
        <v>9179043.8472715858</v>
      </c>
      <c r="I3" s="13">
        <f>(SUM(Median_60!Q2:Q22)-SUM(Median_60!R3:R22))/5</f>
        <v>9652294.4357655998</v>
      </c>
      <c r="J3" s="13">
        <f>(SUM(Median_60!R2:R22)-SUM(Median_60!S3:S22))/5</f>
        <v>9897745.3725727089</v>
      </c>
    </row>
    <row r="5" spans="1:42" x14ac:dyDescent="0.2">
      <c r="A5" t="s">
        <v>104</v>
      </c>
      <c r="B5" s="13">
        <f>Median_60!B25*10^8</f>
        <v>688362330</v>
      </c>
      <c r="C5" s="13">
        <f>Median_60!C25*10^8</f>
        <v>697906837.01625347</v>
      </c>
      <c r="D5" s="13">
        <f>Median_60!D25*10^8</f>
        <v>699841851.56565785</v>
      </c>
      <c r="E5" s="13">
        <f>Median_60!E25*10^8</f>
        <v>697175596.18088591</v>
      </c>
      <c r="F5" s="13">
        <f>Median_60!F25*10^8</f>
        <v>690767164.18951428</v>
      </c>
      <c r="G5" s="13">
        <f>Median_60!G25*10^8</f>
        <v>681505851.40044892</v>
      </c>
      <c r="H5" s="13">
        <f>Median_60!H25*10^8</f>
        <v>668221106.17042875</v>
      </c>
      <c r="I5" s="13">
        <f>Median_60!I25*10^8</f>
        <v>649014278.78436732</v>
      </c>
      <c r="J5" s="13">
        <f>Median_60!J25*10^8</f>
        <v>623537496.92024779</v>
      </c>
    </row>
    <row r="6" spans="1:42" x14ac:dyDescent="0.2">
      <c r="A6" t="s">
        <v>105</v>
      </c>
      <c r="B6" s="13">
        <f>Median_60!B26*10^8</f>
        <v>721416394</v>
      </c>
      <c r="C6" s="13">
        <f>Median_60!C26*10^8</f>
        <v>724828469.01116633</v>
      </c>
      <c r="D6" s="13">
        <f>Median_60!D26*10^8</f>
        <v>719643515.04300642</v>
      </c>
      <c r="E6" s="13">
        <f>Median_60!E26*10^8</f>
        <v>709302098.49117899</v>
      </c>
      <c r="F6" s="13">
        <f>Median_60!F26*10^8</f>
        <v>695227276.08679044</v>
      </c>
      <c r="G6" s="13">
        <f>Median_60!G26*10^8</f>
        <v>678930360.52918148</v>
      </c>
      <c r="H6" s="13">
        <f>Median_60!H26*10^8</f>
        <v>659562294.08445668</v>
      </c>
      <c r="I6" s="13">
        <f>Median_60!I26*10^8</f>
        <v>635272378.57782483</v>
      </c>
      <c r="J6" s="13">
        <f>Median_60!J26*10^8</f>
        <v>606278261.06797743</v>
      </c>
    </row>
    <row r="7" spans="1:42" x14ac:dyDescent="0.2">
      <c r="A7" t="s">
        <v>106</v>
      </c>
    </row>
    <row r="8" spans="1:42" x14ac:dyDescent="0.2">
      <c r="B8" s="14">
        <f>B5/(B5+B6)</f>
        <v>0.48827686095793288</v>
      </c>
      <c r="C8" s="14">
        <f t="shared" ref="C8:J8" si="0">C5/(C5+C6)</f>
        <v>0.49053877700199772</v>
      </c>
      <c r="D8" s="14">
        <f t="shared" si="0"/>
        <v>0.49302505543799396</v>
      </c>
      <c r="E8" s="14">
        <f>E5/(E5+E6)</f>
        <v>0.49568905274636427</v>
      </c>
      <c r="F8" s="14">
        <f t="shared" si="0"/>
        <v>0.49839100656984348</v>
      </c>
      <c r="G8" s="14">
        <f t="shared" si="0"/>
        <v>0.50094656803776727</v>
      </c>
      <c r="H8" s="14">
        <f t="shared" si="0"/>
        <v>0.5032606267273374</v>
      </c>
      <c r="I8" s="14">
        <f t="shared" si="0"/>
        <v>0.50535001283699665</v>
      </c>
      <c r="J8" s="14">
        <f t="shared" si="0"/>
        <v>0.50701700061174348</v>
      </c>
    </row>
    <row r="9" spans="1:42" x14ac:dyDescent="0.2">
      <c r="B9" s="14">
        <f>B6/(B6+B5)</f>
        <v>0.51172313904206712</v>
      </c>
      <c r="C9" s="14">
        <f t="shared" ref="C9:J9" si="1">C6/(C6+C5)</f>
        <v>0.50946122299800223</v>
      </c>
      <c r="D9" s="14">
        <f t="shared" si="1"/>
        <v>0.50697494456200609</v>
      </c>
      <c r="E9" s="14">
        <f t="shared" si="1"/>
        <v>0.50431094725363579</v>
      </c>
      <c r="F9" s="14">
        <f t="shared" si="1"/>
        <v>0.50160899343015652</v>
      </c>
      <c r="G9" s="14">
        <f t="shared" si="1"/>
        <v>0.49905343196223279</v>
      </c>
      <c r="H9" s="14">
        <f t="shared" si="1"/>
        <v>0.4967393732726626</v>
      </c>
      <c r="I9" s="14">
        <f t="shared" si="1"/>
        <v>0.49464998716300335</v>
      </c>
      <c r="J9" s="14">
        <f t="shared" si="1"/>
        <v>0.49298299938825652</v>
      </c>
    </row>
    <row r="13" spans="1:42" x14ac:dyDescent="0.2"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  <c r="AG13">
        <v>2051</v>
      </c>
      <c r="AH13">
        <v>2052</v>
      </c>
      <c r="AI13">
        <v>2053</v>
      </c>
      <c r="AJ13">
        <v>2054</v>
      </c>
      <c r="AK13">
        <v>2055</v>
      </c>
      <c r="AL13">
        <v>2056</v>
      </c>
      <c r="AM13">
        <v>2057</v>
      </c>
      <c r="AN13">
        <v>2058</v>
      </c>
      <c r="AO13">
        <v>2059</v>
      </c>
      <c r="AP13">
        <v>2060</v>
      </c>
    </row>
    <row r="14" spans="1:42" x14ac:dyDescent="0.2">
      <c r="A14" t="s">
        <v>110</v>
      </c>
      <c r="B14">
        <f>ROUND(_xlfn.FORECAST.LINEAR(B$13,$B2:$C2,$B$1:$C$1),0)</f>
        <v>4190907</v>
      </c>
      <c r="C14">
        <f t="shared" ref="C14:G14" si="2">ROUND(_xlfn.FORECAST.LINEAR(C$13,$B2:$C2,$B$1:$C$1),0)</f>
        <v>4122589</v>
      </c>
      <c r="D14">
        <f t="shared" si="2"/>
        <v>4054270</v>
      </c>
      <c r="E14">
        <f t="shared" si="2"/>
        <v>3985952</v>
      </c>
      <c r="F14">
        <f t="shared" si="2"/>
        <v>3917633</v>
      </c>
      <c r="G14">
        <f t="shared" si="2"/>
        <v>3849315</v>
      </c>
      <c r="H14">
        <f>ROUND(_xlfn.FORECAST.LINEAR(H$13,$C2:$D2,$C$1:$D$1),0)</f>
        <v>3972665</v>
      </c>
      <c r="I14">
        <f t="shared" ref="I14:L14" si="3">ROUND(_xlfn.FORECAST.LINEAR(I$13,$C2:$D2,$C$1:$D$1),0)</f>
        <v>4096015</v>
      </c>
      <c r="J14">
        <f t="shared" si="3"/>
        <v>4219364</v>
      </c>
      <c r="K14">
        <f t="shared" si="3"/>
        <v>4342714</v>
      </c>
      <c r="L14">
        <f t="shared" si="3"/>
        <v>4466064</v>
      </c>
      <c r="M14">
        <f>ROUND(_xlfn.FORECAST.LINEAR(M$13,$D2:$E2,$D$1:$E$1),0)</f>
        <v>4610613</v>
      </c>
      <c r="N14">
        <f t="shared" ref="N14:Q14" si="4">ROUND(_xlfn.FORECAST.LINEAR(N$13,$D2:$E2,$D$1:$E$1),0)</f>
        <v>4755162</v>
      </c>
      <c r="O14">
        <f t="shared" si="4"/>
        <v>4899711</v>
      </c>
      <c r="P14">
        <f t="shared" si="4"/>
        <v>5044260</v>
      </c>
      <c r="Q14">
        <f t="shared" si="4"/>
        <v>5188809</v>
      </c>
      <c r="R14">
        <f>ROUND(_xlfn.FORECAST.LINEAR(R$13,$E2:$F2,$E$1:$F$1),0)</f>
        <v>5356328</v>
      </c>
      <c r="S14">
        <f t="shared" ref="S14:V14" si="5">ROUND(_xlfn.FORECAST.LINEAR(S$13,$E2:$F2,$E$1:$F$1),0)</f>
        <v>5523847</v>
      </c>
      <c r="T14">
        <f t="shared" si="5"/>
        <v>5691366</v>
      </c>
      <c r="U14">
        <f t="shared" si="5"/>
        <v>5858885</v>
      </c>
      <c r="V14">
        <f t="shared" si="5"/>
        <v>6026404</v>
      </c>
      <c r="W14">
        <f>ROUND(_xlfn.FORECAST.LINEAR(W$13,$F2:$G2,$F$1:$G$1),0)</f>
        <v>6199990</v>
      </c>
      <c r="X14">
        <f t="shared" ref="X14:AA14" si="6">ROUND(_xlfn.FORECAST.LINEAR(X$13,$F2:$G2,$F$1:$G$1),0)</f>
        <v>6373577</v>
      </c>
      <c r="Y14">
        <f t="shared" si="6"/>
        <v>6547164</v>
      </c>
      <c r="Z14">
        <f t="shared" si="6"/>
        <v>6720750</v>
      </c>
      <c r="AA14">
        <f t="shared" si="6"/>
        <v>6894337</v>
      </c>
      <c r="AB14">
        <f>ROUND(_xlfn.FORECAST.LINEAR(AB$13,$G2:$H2,$G$1:$H$1),0)</f>
        <v>7057418</v>
      </c>
      <c r="AC14">
        <f t="shared" ref="AC14:AF14" si="7">ROUND(_xlfn.FORECAST.LINEAR(AC$13,$G2:$H2,$G$1:$H$1),0)</f>
        <v>7220498</v>
      </c>
      <c r="AD14">
        <f t="shared" si="7"/>
        <v>7383579</v>
      </c>
      <c r="AE14">
        <f t="shared" si="7"/>
        <v>7546659</v>
      </c>
      <c r="AF14">
        <f t="shared" si="7"/>
        <v>7709740</v>
      </c>
      <c r="AG14">
        <f>ROUND(_xlfn.FORECAST.LINEAR(AG$13,$H2:$I2,$H$1:$I$1),0)</f>
        <v>7849267</v>
      </c>
      <c r="AH14">
        <f t="shared" ref="AH14:AK14" si="8">ROUND(_xlfn.FORECAST.LINEAR(AH$13,$H2:$I2,$H$1:$I$1),0)</f>
        <v>7988795</v>
      </c>
      <c r="AI14">
        <f t="shared" si="8"/>
        <v>8128322</v>
      </c>
      <c r="AJ14">
        <f t="shared" si="8"/>
        <v>8267849</v>
      </c>
      <c r="AK14">
        <f t="shared" si="8"/>
        <v>8407376</v>
      </c>
      <c r="AL14">
        <f>ROUND(_xlfn.FORECAST.LINEAR(AL$13,$I2:$J2,$I$1:$J$1),0)</f>
        <v>8525719</v>
      </c>
      <c r="AM14">
        <f t="shared" ref="AM14:AP14" si="9">ROUND(_xlfn.FORECAST.LINEAR(AM$13,$I2:$J2,$I$1:$J$1),0)</f>
        <v>8644062</v>
      </c>
      <c r="AN14">
        <f t="shared" si="9"/>
        <v>8762405</v>
      </c>
      <c r="AO14">
        <f t="shared" si="9"/>
        <v>8880748</v>
      </c>
      <c r="AP14">
        <f t="shared" si="9"/>
        <v>8999091</v>
      </c>
    </row>
    <row r="15" spans="1:42" x14ac:dyDescent="0.2">
      <c r="A15" t="s">
        <v>111</v>
      </c>
      <c r="B15">
        <f>ROUND(_xlfn.FORECAST.LINEAR(B$13,$B3:$C3,$B$1:$C$1),0)</f>
        <v>5778356</v>
      </c>
      <c r="C15">
        <f t="shared" ref="C15:G15" si="10">ROUND(_xlfn.FORECAST.LINEAR(C$13,$B3:$C3,$B$1:$C$1),0)</f>
        <v>5695427</v>
      </c>
      <c r="D15">
        <f t="shared" si="10"/>
        <v>5612498</v>
      </c>
      <c r="E15">
        <f t="shared" si="10"/>
        <v>5529570</v>
      </c>
      <c r="F15">
        <f t="shared" si="10"/>
        <v>5446641</v>
      </c>
      <c r="G15">
        <f t="shared" si="10"/>
        <v>5363712</v>
      </c>
      <c r="H15">
        <f>ROUND(_xlfn.FORECAST.LINEAR(H$13,$C3:$D3,$C$1:$D$1),0)</f>
        <v>5517512</v>
      </c>
      <c r="I15">
        <f t="shared" ref="I15:K15" si="11">ROUND(_xlfn.FORECAST.LINEAR(I$13,$C3:$D3,$C$1:$D$1),0)</f>
        <v>5671312</v>
      </c>
      <c r="J15">
        <f t="shared" si="11"/>
        <v>5825112</v>
      </c>
      <c r="K15">
        <f t="shared" si="11"/>
        <v>5978911</v>
      </c>
      <c r="L15">
        <f>ROUND(_xlfn.FORECAST.LINEAR(L$13,$C3:$D3,$C$1:$D$1),0)</f>
        <v>6132711</v>
      </c>
      <c r="M15">
        <f>ROUND(_xlfn.FORECAST.LINEAR(M$13,$D3:$E3,$D$1:$E$1),0)</f>
        <v>6297493</v>
      </c>
      <c r="N15">
        <f t="shared" ref="N15:Q15" si="12">ROUND(_xlfn.FORECAST.LINEAR(N$13,$D3:$E3,$D$1:$E$1),0)</f>
        <v>6462274</v>
      </c>
      <c r="O15">
        <f t="shared" si="12"/>
        <v>6627056</v>
      </c>
      <c r="P15">
        <f t="shared" si="12"/>
        <v>6791837</v>
      </c>
      <c r="Q15">
        <f t="shared" si="12"/>
        <v>6956619</v>
      </c>
      <c r="R15">
        <f>ROUND(_xlfn.FORECAST.LINEAR(R$13,$E3:$F3,$E$1:$F$1),0)</f>
        <v>7124679</v>
      </c>
      <c r="S15">
        <f t="shared" ref="S15:V15" si="13">ROUND(_xlfn.FORECAST.LINEAR(S$13,$E3:$F3,$E$1:$F$1),0)</f>
        <v>7292738</v>
      </c>
      <c r="T15">
        <f t="shared" si="13"/>
        <v>7460798</v>
      </c>
      <c r="U15">
        <f t="shared" si="13"/>
        <v>7628858</v>
      </c>
      <c r="V15">
        <f t="shared" si="13"/>
        <v>7796918</v>
      </c>
      <c r="W15">
        <f>ROUND(_xlfn.FORECAST.LINEAR(W$13,$F3:$G3,$F$1:$G$1),0)</f>
        <v>7948246</v>
      </c>
      <c r="X15">
        <f t="shared" ref="X15:AA15" si="14">ROUND(_xlfn.FORECAST.LINEAR(X$13,$F3:$G3,$F$1:$G$1),0)</f>
        <v>8099575</v>
      </c>
      <c r="Y15">
        <f t="shared" si="14"/>
        <v>8250904</v>
      </c>
      <c r="Z15">
        <f t="shared" si="14"/>
        <v>8402233</v>
      </c>
      <c r="AA15">
        <f t="shared" si="14"/>
        <v>8553561</v>
      </c>
      <c r="AB15">
        <f>ROUND(_xlfn.FORECAST.LINEAR(AB$13,$G3:$H3,$G$1:$H$1),0)</f>
        <v>8678658</v>
      </c>
      <c r="AC15">
        <f t="shared" ref="AC15:AF15" si="15">ROUND(_xlfn.FORECAST.LINEAR(AC$13,$G3:$H3,$G$1:$H$1),0)</f>
        <v>8803754</v>
      </c>
      <c r="AD15">
        <f t="shared" si="15"/>
        <v>8928851</v>
      </c>
      <c r="AE15">
        <f t="shared" si="15"/>
        <v>9053947</v>
      </c>
      <c r="AF15">
        <f t="shared" si="15"/>
        <v>9179044</v>
      </c>
      <c r="AG15">
        <f>ROUND(_xlfn.FORECAST.LINEAR(AG$13,$H3:$I3,$H$1:$I$1),0)</f>
        <v>9273694</v>
      </c>
      <c r="AH15">
        <f t="shared" ref="AH15:AK15" si="16">ROUND(_xlfn.FORECAST.LINEAR(AH$13,$H3:$I3,$H$1:$I$1),0)</f>
        <v>9368344</v>
      </c>
      <c r="AI15">
        <f t="shared" si="16"/>
        <v>9462994</v>
      </c>
      <c r="AJ15">
        <f t="shared" si="16"/>
        <v>9557644</v>
      </c>
      <c r="AK15">
        <f t="shared" si="16"/>
        <v>9652294</v>
      </c>
      <c r="AL15">
        <f>ROUND(_xlfn.FORECAST.LINEAR(AL$13,$I3:$J3,$I$1:$J$1),0)</f>
        <v>9701385</v>
      </c>
      <c r="AM15">
        <f t="shared" ref="AM15:AP15" si="17">ROUND(_xlfn.FORECAST.LINEAR(AM$13,$I3:$J3,$I$1:$J$1),0)</f>
        <v>9750475</v>
      </c>
      <c r="AN15">
        <f t="shared" si="17"/>
        <v>9799565</v>
      </c>
      <c r="AO15">
        <f t="shared" si="17"/>
        <v>9848655</v>
      </c>
      <c r="AP15">
        <f t="shared" si="17"/>
        <v>9897745</v>
      </c>
    </row>
    <row r="17" spans="1:42" x14ac:dyDescent="0.2">
      <c r="A17" t="s">
        <v>108</v>
      </c>
      <c r="B17">
        <f t="shared" ref="B17:G17" si="18">ROUND(_xlfn.FORECAST.LINEAR(B$13,$B5:$C5,$B$1:$C$1),0)</f>
        <v>688362330</v>
      </c>
      <c r="C17">
        <f t="shared" si="18"/>
        <v>690271231</v>
      </c>
      <c r="D17">
        <f t="shared" si="18"/>
        <v>692180133</v>
      </c>
      <c r="E17">
        <f t="shared" si="18"/>
        <v>694089034</v>
      </c>
      <c r="F17">
        <f t="shared" si="18"/>
        <v>695997936</v>
      </c>
      <c r="G17">
        <f t="shared" si="18"/>
        <v>697906837</v>
      </c>
      <c r="H17">
        <f t="shared" ref="H17:L17" si="19">ROUND(_xlfn.FORECAST.LINEAR(H$13,$C5:$D5,$C$1:$D$1),0)</f>
        <v>698293840</v>
      </c>
      <c r="I17">
        <f t="shared" si="19"/>
        <v>698680843</v>
      </c>
      <c r="J17">
        <f t="shared" si="19"/>
        <v>699067846</v>
      </c>
      <c r="K17">
        <f t="shared" si="19"/>
        <v>699454849</v>
      </c>
      <c r="L17">
        <f t="shared" si="19"/>
        <v>699841852</v>
      </c>
      <c r="M17">
        <f t="shared" ref="M17:Q17" si="20">ROUND(_xlfn.FORECAST.LINEAR(M$13,$D5:$E5,$D$1:$E$1),0)</f>
        <v>699308600</v>
      </c>
      <c r="N17">
        <f t="shared" si="20"/>
        <v>698775349</v>
      </c>
      <c r="O17">
        <f t="shared" si="20"/>
        <v>698242098</v>
      </c>
      <c r="P17">
        <f t="shared" si="20"/>
        <v>697708847</v>
      </c>
      <c r="Q17">
        <f t="shared" si="20"/>
        <v>697175596</v>
      </c>
      <c r="R17">
        <f t="shared" ref="R17:V17" si="21">ROUND(_xlfn.FORECAST.LINEAR(R$13,$E5:$F5,$E$1:$F$1),0)</f>
        <v>695893910</v>
      </c>
      <c r="S17">
        <f t="shared" si="21"/>
        <v>694612223</v>
      </c>
      <c r="T17">
        <f t="shared" si="21"/>
        <v>693330537</v>
      </c>
      <c r="U17">
        <f t="shared" si="21"/>
        <v>692048851</v>
      </c>
      <c r="V17">
        <f t="shared" si="21"/>
        <v>690767164</v>
      </c>
      <c r="W17">
        <f t="shared" ref="W17:AA17" si="22">ROUND(_xlfn.FORECAST.LINEAR(W$13,$F5:$G5,$F$1:$G$1),0)</f>
        <v>688914902</v>
      </c>
      <c r="X17">
        <f t="shared" si="22"/>
        <v>687062639</v>
      </c>
      <c r="Y17">
        <f t="shared" si="22"/>
        <v>685210377</v>
      </c>
      <c r="Z17">
        <f t="shared" si="22"/>
        <v>683358114</v>
      </c>
      <c r="AA17">
        <f t="shared" si="22"/>
        <v>681505851</v>
      </c>
      <c r="AB17">
        <f t="shared" ref="AB17:AF17" si="23">ROUND(_xlfn.FORECAST.LINEAR(AB$13,$G5:$H5,$G$1:$H$1),0)</f>
        <v>678848902</v>
      </c>
      <c r="AC17">
        <f t="shared" si="23"/>
        <v>676191953</v>
      </c>
      <c r="AD17">
        <f t="shared" si="23"/>
        <v>673535004</v>
      </c>
      <c r="AE17">
        <f t="shared" si="23"/>
        <v>670878055</v>
      </c>
      <c r="AF17">
        <f t="shared" si="23"/>
        <v>668221106</v>
      </c>
      <c r="AG17">
        <f t="shared" ref="AG17:AK17" si="24">ROUND(_xlfn.FORECAST.LINEAR(AG$13,$H5:$I5,$H$1:$I$1),0)</f>
        <v>664379741</v>
      </c>
      <c r="AH17">
        <f t="shared" si="24"/>
        <v>660538375</v>
      </c>
      <c r="AI17">
        <f t="shared" si="24"/>
        <v>656697010</v>
      </c>
      <c r="AJ17">
        <f t="shared" si="24"/>
        <v>652855644</v>
      </c>
      <c r="AK17">
        <f t="shared" si="24"/>
        <v>649014279</v>
      </c>
      <c r="AL17">
        <f t="shared" ref="AL17:AP17" si="25">ROUND(_xlfn.FORECAST.LINEAR(AL$13,$I5:$J5,$I$1:$J$1),0)</f>
        <v>643918922</v>
      </c>
      <c r="AM17">
        <f t="shared" si="25"/>
        <v>638823566</v>
      </c>
      <c r="AN17">
        <f t="shared" si="25"/>
        <v>633728210</v>
      </c>
      <c r="AO17">
        <f t="shared" si="25"/>
        <v>628632853</v>
      </c>
      <c r="AP17">
        <f t="shared" si="25"/>
        <v>623537497</v>
      </c>
    </row>
    <row r="18" spans="1:42" x14ac:dyDescent="0.2">
      <c r="A18" t="s">
        <v>109</v>
      </c>
      <c r="B18">
        <f t="shared" ref="B18:G18" si="26">ROUND(_xlfn.FORECAST.LINEAR(B$13,$B6:$C6,$B$1:$C$1),0)</f>
        <v>721416394</v>
      </c>
      <c r="C18">
        <f t="shared" si="26"/>
        <v>722098809</v>
      </c>
      <c r="D18">
        <f t="shared" si="26"/>
        <v>722781224</v>
      </c>
      <c r="E18">
        <f t="shared" si="26"/>
        <v>723463639</v>
      </c>
      <c r="F18">
        <f t="shared" si="26"/>
        <v>724146054</v>
      </c>
      <c r="G18">
        <f t="shared" si="26"/>
        <v>724828469</v>
      </c>
      <c r="H18">
        <f t="shared" ref="H18:L18" si="27">ROUND(_xlfn.FORECAST.LINEAR(H$13,$C6:$D6,$C$1:$D$1),0)</f>
        <v>723791478</v>
      </c>
      <c r="I18">
        <f t="shared" si="27"/>
        <v>722754487</v>
      </c>
      <c r="J18">
        <f t="shared" si="27"/>
        <v>721717497</v>
      </c>
      <c r="K18">
        <f t="shared" si="27"/>
        <v>720680506</v>
      </c>
      <c r="L18">
        <f t="shared" si="27"/>
        <v>719643515</v>
      </c>
      <c r="M18">
        <f t="shared" ref="M18:Q18" si="28">ROUND(_xlfn.FORECAST.LINEAR(M$13,$D6:$E6,$D$1:$E$1),0)</f>
        <v>717575232</v>
      </c>
      <c r="N18">
        <f t="shared" si="28"/>
        <v>715506948</v>
      </c>
      <c r="O18">
        <f t="shared" si="28"/>
        <v>713438665</v>
      </c>
      <c r="P18">
        <f t="shared" si="28"/>
        <v>711370382</v>
      </c>
      <c r="Q18">
        <f t="shared" si="28"/>
        <v>709302098</v>
      </c>
      <c r="R18">
        <f t="shared" ref="R18:V18" si="29">ROUND(_xlfn.FORECAST.LINEAR(R$13,$E6:$F6,$E$1:$F$1),0)</f>
        <v>706487134</v>
      </c>
      <c r="S18">
        <f t="shared" si="29"/>
        <v>703672170</v>
      </c>
      <c r="T18">
        <f t="shared" si="29"/>
        <v>700857205</v>
      </c>
      <c r="U18">
        <f t="shared" si="29"/>
        <v>698042241</v>
      </c>
      <c r="V18">
        <f t="shared" si="29"/>
        <v>695227276</v>
      </c>
      <c r="W18">
        <f t="shared" ref="W18:AA18" si="30">ROUND(_xlfn.FORECAST.LINEAR(W$13,$F6:$G6,$F$1:$G$1),0)</f>
        <v>691967893</v>
      </c>
      <c r="X18">
        <f t="shared" si="30"/>
        <v>688708510</v>
      </c>
      <c r="Y18">
        <f t="shared" si="30"/>
        <v>685449127</v>
      </c>
      <c r="Z18">
        <f t="shared" si="30"/>
        <v>682189744</v>
      </c>
      <c r="AA18">
        <f t="shared" si="30"/>
        <v>678930361</v>
      </c>
      <c r="AB18">
        <f t="shared" ref="AB18:AF18" si="31">ROUND(_xlfn.FORECAST.LINEAR(AB$13,$G6:$H6,$G$1:$H$1),0)</f>
        <v>675056747</v>
      </c>
      <c r="AC18">
        <f t="shared" si="31"/>
        <v>671183134</v>
      </c>
      <c r="AD18">
        <f t="shared" si="31"/>
        <v>667309521</v>
      </c>
      <c r="AE18">
        <f t="shared" si="31"/>
        <v>663435907</v>
      </c>
      <c r="AF18">
        <f t="shared" si="31"/>
        <v>659562294</v>
      </c>
      <c r="AG18">
        <f t="shared" ref="AG18:AK18" si="32">ROUND(_xlfn.FORECAST.LINEAR(AG$13,$H6:$I6,$H$1:$I$1),0)</f>
        <v>654704311</v>
      </c>
      <c r="AH18">
        <f t="shared" si="32"/>
        <v>649846328</v>
      </c>
      <c r="AI18">
        <f t="shared" si="32"/>
        <v>644988345</v>
      </c>
      <c r="AJ18">
        <f t="shared" si="32"/>
        <v>640130362</v>
      </c>
      <c r="AK18">
        <f t="shared" si="32"/>
        <v>635272379</v>
      </c>
      <c r="AL18">
        <f t="shared" ref="AL18:AP18" si="33">ROUND(_xlfn.FORECAST.LINEAR(AL$13,$I6:$J6,$I$1:$J$1),0)</f>
        <v>629473555</v>
      </c>
      <c r="AM18">
        <f t="shared" si="33"/>
        <v>623674732</v>
      </c>
      <c r="AN18">
        <f t="shared" si="33"/>
        <v>617875908</v>
      </c>
      <c r="AO18">
        <f t="shared" si="33"/>
        <v>612077085</v>
      </c>
      <c r="AP18">
        <f t="shared" si="33"/>
        <v>606278261</v>
      </c>
    </row>
    <row r="20" spans="1:42" x14ac:dyDescent="0.2">
      <c r="A20" t="s">
        <v>107</v>
      </c>
      <c r="C20">
        <f>C17-B17+C14</f>
        <v>6031490</v>
      </c>
      <c r="D20">
        <f t="shared" ref="D20:AP20" si="34">D17-C17+D14</f>
        <v>5963172</v>
      </c>
      <c r="E20">
        <f t="shared" si="34"/>
        <v>5894853</v>
      </c>
      <c r="F20">
        <f t="shared" si="34"/>
        <v>5826535</v>
      </c>
      <c r="G20">
        <f t="shared" si="34"/>
        <v>5758216</v>
      </c>
      <c r="H20">
        <f t="shared" si="34"/>
        <v>4359668</v>
      </c>
      <c r="I20">
        <f t="shared" si="34"/>
        <v>4483018</v>
      </c>
      <c r="J20">
        <f t="shared" si="34"/>
        <v>4606367</v>
      </c>
      <c r="K20">
        <f t="shared" si="34"/>
        <v>4729717</v>
      </c>
      <c r="L20">
        <f t="shared" si="34"/>
        <v>4853067</v>
      </c>
      <c r="M20">
        <f t="shared" si="34"/>
        <v>4077361</v>
      </c>
      <c r="N20">
        <f t="shared" si="34"/>
        <v>4221911</v>
      </c>
      <c r="O20">
        <f t="shared" si="34"/>
        <v>4366460</v>
      </c>
      <c r="P20">
        <f t="shared" si="34"/>
        <v>4511009</v>
      </c>
      <c r="Q20">
        <f t="shared" si="34"/>
        <v>4655558</v>
      </c>
      <c r="R20">
        <f t="shared" si="34"/>
        <v>4074642</v>
      </c>
      <c r="S20">
        <f t="shared" si="34"/>
        <v>4242160</v>
      </c>
      <c r="T20">
        <f t="shared" si="34"/>
        <v>4409680</v>
      </c>
      <c r="U20">
        <f t="shared" si="34"/>
        <v>4577199</v>
      </c>
      <c r="V20">
        <f t="shared" si="34"/>
        <v>4744717</v>
      </c>
      <c r="W20">
        <f t="shared" si="34"/>
        <v>4347728</v>
      </c>
      <c r="X20">
        <f t="shared" si="34"/>
        <v>4521314</v>
      </c>
      <c r="Y20">
        <f t="shared" si="34"/>
        <v>4694902</v>
      </c>
      <c r="Z20">
        <f t="shared" si="34"/>
        <v>4868487</v>
      </c>
      <c r="AA20">
        <f t="shared" si="34"/>
        <v>5042074</v>
      </c>
      <c r="AB20">
        <f t="shared" si="34"/>
        <v>4400469</v>
      </c>
      <c r="AC20">
        <f t="shared" si="34"/>
        <v>4563549</v>
      </c>
      <c r="AD20">
        <f t="shared" si="34"/>
        <v>4726630</v>
      </c>
      <c r="AE20">
        <f t="shared" si="34"/>
        <v>4889710</v>
      </c>
      <c r="AF20">
        <f t="shared" si="34"/>
        <v>5052791</v>
      </c>
      <c r="AG20">
        <f t="shared" si="34"/>
        <v>4007902</v>
      </c>
      <c r="AH20">
        <f t="shared" si="34"/>
        <v>4147429</v>
      </c>
      <c r="AI20">
        <f t="shared" si="34"/>
        <v>4286957</v>
      </c>
      <c r="AJ20">
        <f t="shared" si="34"/>
        <v>4426483</v>
      </c>
      <c r="AK20">
        <f t="shared" si="34"/>
        <v>4566011</v>
      </c>
      <c r="AL20">
        <f t="shared" si="34"/>
        <v>3430362</v>
      </c>
      <c r="AM20">
        <f t="shared" si="34"/>
        <v>3548706</v>
      </c>
      <c r="AN20">
        <f t="shared" si="34"/>
        <v>3667049</v>
      </c>
      <c r="AO20">
        <f t="shared" si="34"/>
        <v>3785391</v>
      </c>
      <c r="AP20">
        <f t="shared" si="34"/>
        <v>3903735</v>
      </c>
    </row>
    <row r="21" spans="1:42" x14ac:dyDescent="0.2">
      <c r="A21" t="s">
        <v>112</v>
      </c>
      <c r="C21">
        <f>C18-B18+C15</f>
        <v>6377842</v>
      </c>
      <c r="D21">
        <f t="shared" ref="D21:AP21" si="35">D18-C18+D15</f>
        <v>6294913</v>
      </c>
      <c r="E21">
        <f t="shared" si="35"/>
        <v>6211985</v>
      </c>
      <c r="F21">
        <f t="shared" si="35"/>
        <v>6129056</v>
      </c>
      <c r="G21">
        <f t="shared" si="35"/>
        <v>6046127</v>
      </c>
      <c r="H21">
        <f t="shared" si="35"/>
        <v>4480521</v>
      </c>
      <c r="I21">
        <f t="shared" si="35"/>
        <v>4634321</v>
      </c>
      <c r="J21">
        <f t="shared" si="35"/>
        <v>4788122</v>
      </c>
      <c r="K21">
        <f t="shared" si="35"/>
        <v>4941920</v>
      </c>
      <c r="L21">
        <f t="shared" si="35"/>
        <v>5095720</v>
      </c>
      <c r="M21">
        <f t="shared" si="35"/>
        <v>4229210</v>
      </c>
      <c r="N21">
        <f t="shared" si="35"/>
        <v>4393990</v>
      </c>
      <c r="O21">
        <f t="shared" si="35"/>
        <v>4558773</v>
      </c>
      <c r="P21">
        <f t="shared" si="35"/>
        <v>4723554</v>
      </c>
      <c r="Q21">
        <f t="shared" si="35"/>
        <v>4888335</v>
      </c>
      <c r="R21">
        <f t="shared" si="35"/>
        <v>4309715</v>
      </c>
      <c r="S21">
        <f t="shared" si="35"/>
        <v>4477774</v>
      </c>
      <c r="T21">
        <f t="shared" si="35"/>
        <v>4645833</v>
      </c>
      <c r="U21">
        <f t="shared" si="35"/>
        <v>4813894</v>
      </c>
      <c r="V21">
        <f t="shared" si="35"/>
        <v>4981953</v>
      </c>
      <c r="W21">
        <f t="shared" si="35"/>
        <v>4688863</v>
      </c>
      <c r="X21">
        <f t="shared" si="35"/>
        <v>4840192</v>
      </c>
      <c r="Y21">
        <f t="shared" si="35"/>
        <v>4991521</v>
      </c>
      <c r="Z21">
        <f t="shared" si="35"/>
        <v>5142850</v>
      </c>
      <c r="AA21">
        <f t="shared" si="35"/>
        <v>5294178</v>
      </c>
      <c r="AB21">
        <f t="shared" si="35"/>
        <v>4805044</v>
      </c>
      <c r="AC21">
        <f t="shared" si="35"/>
        <v>4930141</v>
      </c>
      <c r="AD21">
        <f t="shared" si="35"/>
        <v>5055238</v>
      </c>
      <c r="AE21">
        <f t="shared" si="35"/>
        <v>5180333</v>
      </c>
      <c r="AF21">
        <f t="shared" si="35"/>
        <v>5305431</v>
      </c>
      <c r="AG21">
        <f t="shared" si="35"/>
        <v>4415711</v>
      </c>
      <c r="AH21">
        <f t="shared" si="35"/>
        <v>4510361</v>
      </c>
      <c r="AI21">
        <f t="shared" si="35"/>
        <v>4605011</v>
      </c>
      <c r="AJ21">
        <f t="shared" si="35"/>
        <v>4699661</v>
      </c>
      <c r="AK21">
        <f t="shared" si="35"/>
        <v>4794311</v>
      </c>
      <c r="AL21">
        <f t="shared" si="35"/>
        <v>3902561</v>
      </c>
      <c r="AM21">
        <f t="shared" si="35"/>
        <v>3951652</v>
      </c>
      <c r="AN21">
        <f t="shared" si="35"/>
        <v>4000741</v>
      </c>
      <c r="AO21">
        <f t="shared" si="35"/>
        <v>4049832</v>
      </c>
      <c r="AP21">
        <f t="shared" si="35"/>
        <v>4098921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931B-9EC4-4461-B1B1-EB6178A28FFF}">
  <dimension ref="A1:AP9"/>
  <sheetViews>
    <sheetView workbookViewId="0">
      <selection activeCell="B2" sqref="B2:AP9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113</v>
      </c>
      <c r="B2">
        <f>'Population yty'!B14</f>
        <v>4190907</v>
      </c>
      <c r="C2">
        <f>'Population yty'!C14</f>
        <v>4122589</v>
      </c>
      <c r="D2">
        <f>'Population yty'!D14</f>
        <v>4054270</v>
      </c>
      <c r="E2">
        <f>'Population yty'!E14</f>
        <v>3985952</v>
      </c>
      <c r="F2">
        <f>'Population yty'!F14</f>
        <v>3917633</v>
      </c>
      <c r="G2">
        <f>'Population yty'!G14</f>
        <v>3849315</v>
      </c>
      <c r="H2">
        <f>'Population yty'!H14</f>
        <v>3972665</v>
      </c>
      <c r="I2">
        <f>'Population yty'!I14</f>
        <v>4096015</v>
      </c>
      <c r="J2">
        <f>'Population yty'!J14</f>
        <v>4219364</v>
      </c>
      <c r="K2">
        <f>'Population yty'!K14</f>
        <v>4342714</v>
      </c>
      <c r="L2">
        <f>'Population yty'!L14</f>
        <v>4466064</v>
      </c>
      <c r="M2">
        <f>'Population yty'!M14</f>
        <v>4610613</v>
      </c>
      <c r="N2">
        <f>'Population yty'!N14</f>
        <v>4755162</v>
      </c>
      <c r="O2">
        <f>'Population yty'!O14</f>
        <v>4899711</v>
      </c>
      <c r="P2">
        <f>'Population yty'!P14</f>
        <v>5044260</v>
      </c>
      <c r="Q2">
        <f>'Population yty'!Q14</f>
        <v>5188809</v>
      </c>
      <c r="R2">
        <f>'Population yty'!R14</f>
        <v>5356328</v>
      </c>
      <c r="S2">
        <f>'Population yty'!S14</f>
        <v>5523847</v>
      </c>
      <c r="T2">
        <f>'Population yty'!T14</f>
        <v>5691366</v>
      </c>
      <c r="U2">
        <f>'Population yty'!U14</f>
        <v>5858885</v>
      </c>
      <c r="V2">
        <f>'Population yty'!V14</f>
        <v>6026404</v>
      </c>
      <c r="W2">
        <f>'Population yty'!W14</f>
        <v>6199990</v>
      </c>
      <c r="X2">
        <f>'Population yty'!X14</f>
        <v>6373577</v>
      </c>
      <c r="Y2">
        <f>'Population yty'!Y14</f>
        <v>6547164</v>
      </c>
      <c r="Z2">
        <f>'Population yty'!Z14</f>
        <v>6720750</v>
      </c>
      <c r="AA2">
        <f>'Population yty'!AA14</f>
        <v>6894337</v>
      </c>
      <c r="AB2">
        <f>'Population yty'!AB14</f>
        <v>7057418</v>
      </c>
      <c r="AC2">
        <f>'Population yty'!AC14</f>
        <v>7220498</v>
      </c>
      <c r="AD2">
        <f>'Population yty'!AD14</f>
        <v>7383579</v>
      </c>
      <c r="AE2">
        <f>'Population yty'!AE14</f>
        <v>7546659</v>
      </c>
      <c r="AF2">
        <f>'Population yty'!AF14</f>
        <v>7709740</v>
      </c>
      <c r="AG2">
        <f>'Population yty'!AG14</f>
        <v>7849267</v>
      </c>
      <c r="AH2">
        <f>'Population yty'!AH14</f>
        <v>7988795</v>
      </c>
      <c r="AI2">
        <f>'Population yty'!AI14</f>
        <v>8128322</v>
      </c>
      <c r="AJ2">
        <f>'Population yty'!AJ14</f>
        <v>8267849</v>
      </c>
      <c r="AK2">
        <f>'Population yty'!AK14</f>
        <v>8407376</v>
      </c>
      <c r="AL2">
        <f>'Population yty'!AL14</f>
        <v>8525719</v>
      </c>
      <c r="AM2">
        <f>'Population yty'!AM14</f>
        <v>8644062</v>
      </c>
      <c r="AN2">
        <f>'Population yty'!AN14</f>
        <v>8762405</v>
      </c>
      <c r="AO2">
        <f>'Population yty'!AO14</f>
        <v>8880748</v>
      </c>
      <c r="AP2">
        <f>'Population yty'!AP14</f>
        <v>8999091</v>
      </c>
    </row>
    <row r="3" spans="1:42" x14ac:dyDescent="0.2">
      <c r="A3" t="s">
        <v>114</v>
      </c>
      <c r="B3">
        <f>'Population yty'!B15</f>
        <v>5778356</v>
      </c>
      <c r="C3">
        <f>'Population yty'!C15</f>
        <v>5695427</v>
      </c>
      <c r="D3">
        <f>'Population yty'!D15</f>
        <v>5612498</v>
      </c>
      <c r="E3">
        <f>'Population yty'!E15</f>
        <v>5529570</v>
      </c>
      <c r="F3">
        <f>'Population yty'!F15</f>
        <v>5446641</v>
      </c>
      <c r="G3">
        <f>'Population yty'!G15</f>
        <v>5363712</v>
      </c>
      <c r="H3">
        <f>'Population yty'!H15</f>
        <v>5517512</v>
      </c>
      <c r="I3">
        <f>'Population yty'!I15</f>
        <v>5671312</v>
      </c>
      <c r="J3">
        <f>'Population yty'!J15</f>
        <v>5825112</v>
      </c>
      <c r="K3">
        <f>'Population yty'!K15</f>
        <v>5978911</v>
      </c>
      <c r="L3">
        <f>'Population yty'!L15</f>
        <v>6132711</v>
      </c>
      <c r="M3">
        <f>'Population yty'!M15</f>
        <v>6297493</v>
      </c>
      <c r="N3">
        <f>'Population yty'!N15</f>
        <v>6462274</v>
      </c>
      <c r="O3">
        <f>'Population yty'!O15</f>
        <v>6627056</v>
      </c>
      <c r="P3">
        <f>'Population yty'!P15</f>
        <v>6791837</v>
      </c>
      <c r="Q3">
        <f>'Population yty'!Q15</f>
        <v>6956619</v>
      </c>
      <c r="R3">
        <f>'Population yty'!R15</f>
        <v>7124679</v>
      </c>
      <c r="S3">
        <f>'Population yty'!S15</f>
        <v>7292738</v>
      </c>
      <c r="T3">
        <f>'Population yty'!T15</f>
        <v>7460798</v>
      </c>
      <c r="U3">
        <f>'Population yty'!U15</f>
        <v>7628858</v>
      </c>
      <c r="V3">
        <f>'Population yty'!V15</f>
        <v>7796918</v>
      </c>
      <c r="W3">
        <f>'Population yty'!W15</f>
        <v>7948246</v>
      </c>
      <c r="X3">
        <f>'Population yty'!X15</f>
        <v>8099575</v>
      </c>
      <c r="Y3">
        <f>'Population yty'!Y15</f>
        <v>8250904</v>
      </c>
      <c r="Z3">
        <f>'Population yty'!Z15</f>
        <v>8402233</v>
      </c>
      <c r="AA3">
        <f>'Population yty'!AA15</f>
        <v>8553561</v>
      </c>
      <c r="AB3">
        <f>'Population yty'!AB15</f>
        <v>8678658</v>
      </c>
      <c r="AC3">
        <f>'Population yty'!AC15</f>
        <v>8803754</v>
      </c>
      <c r="AD3">
        <f>'Population yty'!AD15</f>
        <v>8928851</v>
      </c>
      <c r="AE3">
        <f>'Population yty'!AE15</f>
        <v>9053947</v>
      </c>
      <c r="AF3">
        <f>'Population yty'!AF15</f>
        <v>9179044</v>
      </c>
      <c r="AG3">
        <f>'Population yty'!AG15</f>
        <v>9273694</v>
      </c>
      <c r="AH3">
        <f>'Population yty'!AH15</f>
        <v>9368344</v>
      </c>
      <c r="AI3">
        <f>'Population yty'!AI15</f>
        <v>9462994</v>
      </c>
      <c r="AJ3">
        <f>'Population yty'!AJ15</f>
        <v>9557644</v>
      </c>
      <c r="AK3">
        <f>'Population yty'!AK15</f>
        <v>9652294</v>
      </c>
      <c r="AL3">
        <f>'Population yty'!AL15</f>
        <v>9701385</v>
      </c>
      <c r="AM3">
        <f>'Population yty'!AM15</f>
        <v>9750475</v>
      </c>
      <c r="AN3">
        <f>'Population yty'!AN15</f>
        <v>9799565</v>
      </c>
      <c r="AO3">
        <f>'Population yty'!AO15</f>
        <v>9848655</v>
      </c>
      <c r="AP3">
        <f>'Population yty'!AP15</f>
        <v>9897745</v>
      </c>
    </row>
    <row r="4" spans="1:42" x14ac:dyDescent="0.2">
      <c r="A4" t="s">
        <v>115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117</v>
      </c>
      <c r="B6">
        <f>'Population yty'!B14+'Population yty'!B15</f>
        <v>9969263</v>
      </c>
      <c r="C6">
        <f>'Population yty'!C14+'Population yty'!C15</f>
        <v>9818016</v>
      </c>
      <c r="D6">
        <f>'Population yty'!D14+'Population yty'!D15</f>
        <v>9666768</v>
      </c>
      <c r="E6">
        <f>'Population yty'!E14+'Population yty'!E15</f>
        <v>9515522</v>
      </c>
      <c r="F6">
        <f>'Population yty'!F14+'Population yty'!F15</f>
        <v>9364274</v>
      </c>
      <c r="G6">
        <f>'Population yty'!G14+'Population yty'!G15</f>
        <v>9213027</v>
      </c>
      <c r="H6">
        <f>'Population yty'!H14+'Population yty'!H15</f>
        <v>9490177</v>
      </c>
      <c r="I6">
        <f>'Population yty'!I14+'Population yty'!I15</f>
        <v>9767327</v>
      </c>
      <c r="J6">
        <f>'Population yty'!J14+'Population yty'!J15</f>
        <v>10044476</v>
      </c>
      <c r="K6">
        <f>'Population yty'!K14+'Population yty'!K15</f>
        <v>10321625</v>
      </c>
      <c r="L6">
        <f>'Population yty'!L14+'Population yty'!L15</f>
        <v>10598775</v>
      </c>
      <c r="M6">
        <f>'Population yty'!M14+'Population yty'!M15</f>
        <v>10908106</v>
      </c>
      <c r="N6">
        <f>'Population yty'!N14+'Population yty'!N15</f>
        <v>11217436</v>
      </c>
      <c r="O6">
        <f>'Population yty'!O14+'Population yty'!O15</f>
        <v>11526767</v>
      </c>
      <c r="P6">
        <f>'Population yty'!P14+'Population yty'!P15</f>
        <v>11836097</v>
      </c>
      <c r="Q6">
        <f>'Population yty'!Q14+'Population yty'!Q15</f>
        <v>12145428</v>
      </c>
      <c r="R6">
        <f>'Population yty'!R14+'Population yty'!R15</f>
        <v>12481007</v>
      </c>
      <c r="S6">
        <f>'Population yty'!S14+'Population yty'!S15</f>
        <v>12816585</v>
      </c>
      <c r="T6">
        <f>'Population yty'!T14+'Population yty'!T15</f>
        <v>13152164</v>
      </c>
      <c r="U6">
        <f>'Population yty'!U14+'Population yty'!U15</f>
        <v>13487743</v>
      </c>
      <c r="V6">
        <f>'Population yty'!V14+'Population yty'!V15</f>
        <v>13823322</v>
      </c>
      <c r="W6">
        <f>'Population yty'!W14+'Population yty'!W15</f>
        <v>14148236</v>
      </c>
      <c r="X6">
        <f>'Population yty'!X14+'Population yty'!X15</f>
        <v>14473152</v>
      </c>
      <c r="Y6">
        <f>'Population yty'!Y14+'Population yty'!Y15</f>
        <v>14798068</v>
      </c>
      <c r="Z6">
        <f>'Population yty'!Z14+'Population yty'!Z15</f>
        <v>15122983</v>
      </c>
      <c r="AA6">
        <f>'Population yty'!AA14+'Population yty'!AA15</f>
        <v>15447898</v>
      </c>
      <c r="AB6">
        <f>'Population yty'!AB14+'Population yty'!AB15</f>
        <v>15736076</v>
      </c>
      <c r="AC6">
        <f>'Population yty'!AC14+'Population yty'!AC15</f>
        <v>16024252</v>
      </c>
      <c r="AD6">
        <f>'Population yty'!AD14+'Population yty'!AD15</f>
        <v>16312430</v>
      </c>
      <c r="AE6">
        <f>'Population yty'!AE14+'Population yty'!AE15</f>
        <v>16600606</v>
      </c>
      <c r="AF6">
        <f>'Population yty'!AF14+'Population yty'!AF15</f>
        <v>16888784</v>
      </c>
      <c r="AG6">
        <f>'Population yty'!AG14+'Population yty'!AG15</f>
        <v>17122961</v>
      </c>
      <c r="AH6">
        <f>'Population yty'!AH14+'Population yty'!AH15</f>
        <v>17357139</v>
      </c>
      <c r="AI6">
        <f>'Population yty'!AI14+'Population yty'!AI15</f>
        <v>17591316</v>
      </c>
      <c r="AJ6">
        <f>'Population yty'!AJ14+'Population yty'!AJ15</f>
        <v>17825493</v>
      </c>
      <c r="AK6">
        <f>'Population yty'!AK14+'Population yty'!AK15</f>
        <v>18059670</v>
      </c>
      <c r="AL6">
        <f>'Population yty'!AL14+'Population yty'!AL15</f>
        <v>18227104</v>
      </c>
      <c r="AM6">
        <f>'Population yty'!AM14+'Population yty'!AM15</f>
        <v>18394537</v>
      </c>
      <c r="AN6">
        <f>'Population yty'!AN14+'Population yty'!AN15</f>
        <v>18561970</v>
      </c>
      <c r="AO6">
        <f>'Population yty'!AO14+'Population yty'!AO15</f>
        <v>18729403</v>
      </c>
      <c r="AP6">
        <f>'Population yty'!AP14+'Population yty'!AP15</f>
        <v>18896836</v>
      </c>
    </row>
    <row r="7" spans="1:42" x14ac:dyDescent="0.2">
      <c r="A7" t="s">
        <v>118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119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2AA6-64DF-4CB4-8333-680559AFB96F}">
  <dimension ref="A1:AP9"/>
  <sheetViews>
    <sheetView workbookViewId="0">
      <selection activeCell="B2" sqref="B2:AP9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121</v>
      </c>
      <c r="B2">
        <f>'Population yty'!B$18/SUM('Population yty'!B$17:B$18)</f>
        <v>0.51172313904206712</v>
      </c>
      <c r="C2">
        <f>'Population yty'!C$18/SUM('Population yty'!C$17:C$18)</f>
        <v>0.51126743597591462</v>
      </c>
      <c r="D2">
        <f>'Population yty'!D$18/SUM('Population yty'!D$17:D$18)</f>
        <v>0.51081340166945632</v>
      </c>
      <c r="E2">
        <f>'Population yty'!E$18/SUM('Population yty'!E$17:E$18)</f>
        <v>0.51036102769212588</v>
      </c>
      <c r="F2">
        <f>'Population yty'!F$18/SUM('Population yty'!F$17:F$18)</f>
        <v>0.50991030423612183</v>
      </c>
      <c r="G2">
        <f>'Population yty'!G$18/SUM('Population yty'!G$17:G$18)</f>
        <v>0.50946122299997243</v>
      </c>
      <c r="H2">
        <f>'Population yty'!H$18/SUM('Population yty'!H$17:H$18)</f>
        <v>0.5089648763253739</v>
      </c>
      <c r="I2">
        <f>'Population yty'!I$18/SUM('Population yty'!I$17:I$18)</f>
        <v>0.50846807571611441</v>
      </c>
      <c r="J2">
        <f>'Population yty'!J$18/SUM('Population yty'!J$17:J$18)</f>
        <v>0.50797082089549683</v>
      </c>
      <c r="K2">
        <f>'Population yty'!K$18/SUM('Population yty'!K$17:K$18)</f>
        <v>0.50747311054726896</v>
      </c>
      <c r="L2">
        <f>'Population yty'!L$18/SUM('Population yty'!L$17:L$18)</f>
        <v>0.50697494439194168</v>
      </c>
      <c r="M2">
        <f>'Population yty'!M$18/SUM('Population yty'!M$17:M$18)</f>
        <v>0.50644605845145951</v>
      </c>
      <c r="N2">
        <f>'Population yty'!N$18/SUM('Population yty'!N$17:N$18)</f>
        <v>0.50591522606041639</v>
      </c>
      <c r="O2">
        <f>'Population yty'!O$18/SUM('Population yty'!O$17:O$18)</f>
        <v>0.50538243751643441</v>
      </c>
      <c r="P2">
        <f>'Population yty'!P$18/SUM('Population yty'!P$17:P$18)</f>
        <v>0.5048476816345151</v>
      </c>
      <c r="Q2">
        <f>'Population yty'!Q$18/SUM('Population yty'!Q$17:Q$18)</f>
        <v>0.50431094714538716</v>
      </c>
      <c r="R2">
        <f>'Population yty'!R$18/SUM('Population yty'!R$17:R$18)</f>
        <v>0.50377687078890665</v>
      </c>
      <c r="S2">
        <f>'Population yty'!S$18/SUM('Population yty'!S$17:S$18)</f>
        <v>0.50323966535182518</v>
      </c>
      <c r="T2">
        <f>'Population yty'!T$18/SUM('Population yty'!T$17:T$18)</f>
        <v>0.50269930217188785</v>
      </c>
      <c r="U2">
        <f>'Population yty'!U$18/SUM('Population yty'!U$17:U$18)</f>
        <v>0.50215575440864701</v>
      </c>
      <c r="V2">
        <f>'Population yty'!V$18/SUM('Population yty'!V$17:V$18)</f>
        <v>0.50160899346753507</v>
      </c>
      <c r="W2">
        <f>'Population yty'!W$18/SUM('Population yty'!W$17:W$18)</f>
        <v>0.50110544899648779</v>
      </c>
      <c r="X2">
        <f>'Population yty'!X$18/SUM('Population yty'!X$17:X$18)</f>
        <v>0.50059816307428617</v>
      </c>
      <c r="Y2">
        <f>'Population yty'!Y$18/SUM('Population yty'!Y$17:Y$18)</f>
        <v>0.50008709311076283</v>
      </c>
      <c r="Z2">
        <f>'Population yty'!Z$18/SUM('Population yty'!Z$17:Z$18)</f>
        <v>0.49957219734440095</v>
      </c>
      <c r="AA2">
        <f>'Population yty'!AA$18/SUM('Population yty'!AA$17:AA$18)</f>
        <v>0.49905343228249793</v>
      </c>
      <c r="AB2">
        <f>'Population yty'!AB$18/SUM('Population yty'!AB$17:AB$18)</f>
        <v>0.4985995497534112</v>
      </c>
      <c r="AC2">
        <f>'Population yty'!AC$18/SUM('Population yty'!AC$17:AC$18)</f>
        <v>0.49814126777007861</v>
      </c>
      <c r="AD2">
        <f>'Population yty'!AD$18/SUM('Population yty'!AD$17:AD$18)</f>
        <v>0.49767852167647847</v>
      </c>
      <c r="AE2">
        <f>'Population yty'!AE$18/SUM('Population yty'!AE$17:AE$18)</f>
        <v>0.49721124554941892</v>
      </c>
      <c r="AF2">
        <f>'Population yty'!AF$18/SUM('Population yty'!AF$17:AF$18)</f>
        <v>0.49673937330441092</v>
      </c>
      <c r="AG2">
        <f>'Population yty'!AG$18/SUM('Population yty'!AG$17:AG$18)</f>
        <v>0.49633251952924073</v>
      </c>
      <c r="AH2">
        <f>'Population yty'!AH$18/SUM('Population yty'!AH$17:AH$18)</f>
        <v>0.4959202641119354</v>
      </c>
      <c r="AI2">
        <f>'Population yty'!AI$18/SUM('Population yty'!AI$17:AI$18)</f>
        <v>0.49550249799038415</v>
      </c>
      <c r="AJ2">
        <f>'Population yty'!AJ$18/SUM('Population yty'!AJ$17:AJ$18)</f>
        <v>0.4950791107015276</v>
      </c>
      <c r="AK2">
        <f>'Population yty'!AK$18/SUM('Population yty'!AK$17:AK$18)</f>
        <v>0.49464998724607168</v>
      </c>
      <c r="AL2">
        <f>'Population yty'!AL$18/SUM('Population yty'!AL$17:AL$18)</f>
        <v>0.49432799892377566</v>
      </c>
      <c r="AM2">
        <f>'Population yty'!AM$18/SUM('Population yty'!AM$17:AM$18)</f>
        <v>0.49400045369407697</v>
      </c>
      <c r="AN2">
        <f>'Population yty'!AN$18/SUM('Population yty'!AN$17:AN$18)</f>
        <v>0.49366720603902647</v>
      </c>
      <c r="AO2">
        <f>'Population yty'!AO$18/SUM('Population yty'!AO$17:AO$18)</f>
        <v>0.49332810696000085</v>
      </c>
      <c r="AP2">
        <f>'Population yty'!AP$18/SUM('Population yty'!AP$17:AP$18)</f>
        <v>0.49298299932826201</v>
      </c>
    </row>
    <row r="3" spans="1:42" x14ac:dyDescent="0.2">
      <c r="A3" t="s">
        <v>122</v>
      </c>
      <c r="B3">
        <f>'Population yty'!B$18/SUM('Population yty'!B$17:B$18)</f>
        <v>0.51172313904206712</v>
      </c>
      <c r="C3">
        <f>'Population yty'!C$18/SUM('Population yty'!C$17:C$18)</f>
        <v>0.51126743597591462</v>
      </c>
      <c r="D3">
        <f>'Population yty'!D$18/SUM('Population yty'!D$17:D$18)</f>
        <v>0.51081340166945632</v>
      </c>
      <c r="E3">
        <f>'Population yty'!E$18/SUM('Population yty'!E$17:E$18)</f>
        <v>0.51036102769212588</v>
      </c>
      <c r="F3">
        <f>'Population yty'!F$18/SUM('Population yty'!F$17:F$18)</f>
        <v>0.50991030423612183</v>
      </c>
      <c r="G3">
        <f>'Population yty'!G$18/SUM('Population yty'!G$17:G$18)</f>
        <v>0.50946122299997243</v>
      </c>
      <c r="H3">
        <f>'Population yty'!H$18/SUM('Population yty'!H$17:H$18)</f>
        <v>0.5089648763253739</v>
      </c>
      <c r="I3">
        <f>'Population yty'!I$18/SUM('Population yty'!I$17:I$18)</f>
        <v>0.50846807571611441</v>
      </c>
      <c r="J3">
        <f>'Population yty'!J$18/SUM('Population yty'!J$17:J$18)</f>
        <v>0.50797082089549683</v>
      </c>
      <c r="K3">
        <f>'Population yty'!K$18/SUM('Population yty'!K$17:K$18)</f>
        <v>0.50747311054726896</v>
      </c>
      <c r="L3">
        <f>'Population yty'!L$18/SUM('Population yty'!L$17:L$18)</f>
        <v>0.50697494439194168</v>
      </c>
      <c r="M3">
        <f>'Population yty'!M$18/SUM('Population yty'!M$17:M$18)</f>
        <v>0.50644605845145951</v>
      </c>
      <c r="N3">
        <f>'Population yty'!N$18/SUM('Population yty'!N$17:N$18)</f>
        <v>0.50591522606041639</v>
      </c>
      <c r="O3">
        <f>'Population yty'!O$18/SUM('Population yty'!O$17:O$18)</f>
        <v>0.50538243751643441</v>
      </c>
      <c r="P3">
        <f>'Population yty'!P$18/SUM('Population yty'!P$17:P$18)</f>
        <v>0.5048476816345151</v>
      </c>
      <c r="Q3">
        <f>'Population yty'!Q$18/SUM('Population yty'!Q$17:Q$18)</f>
        <v>0.50431094714538716</v>
      </c>
      <c r="R3">
        <f>'Population yty'!R$18/SUM('Population yty'!R$17:R$18)</f>
        <v>0.50377687078890665</v>
      </c>
      <c r="S3">
        <f>'Population yty'!S$18/SUM('Population yty'!S$17:S$18)</f>
        <v>0.50323966535182518</v>
      </c>
      <c r="T3">
        <f>'Population yty'!T$18/SUM('Population yty'!T$17:T$18)</f>
        <v>0.50269930217188785</v>
      </c>
      <c r="U3">
        <f>'Population yty'!U$18/SUM('Population yty'!U$17:U$18)</f>
        <v>0.50215575440864701</v>
      </c>
      <c r="V3">
        <f>'Population yty'!V$18/SUM('Population yty'!V$17:V$18)</f>
        <v>0.50160899346753507</v>
      </c>
      <c r="W3">
        <f>'Population yty'!W$18/SUM('Population yty'!W$17:W$18)</f>
        <v>0.50110544899648779</v>
      </c>
      <c r="X3">
        <f>'Population yty'!X$18/SUM('Population yty'!X$17:X$18)</f>
        <v>0.50059816307428617</v>
      </c>
      <c r="Y3">
        <f>'Population yty'!Y$18/SUM('Population yty'!Y$17:Y$18)</f>
        <v>0.50008709311076283</v>
      </c>
      <c r="Z3">
        <f>'Population yty'!Z$18/SUM('Population yty'!Z$17:Z$18)</f>
        <v>0.49957219734440095</v>
      </c>
      <c r="AA3">
        <f>'Population yty'!AA$18/SUM('Population yty'!AA$17:AA$18)</f>
        <v>0.49905343228249793</v>
      </c>
      <c r="AB3">
        <f>'Population yty'!AB$18/SUM('Population yty'!AB$17:AB$18)</f>
        <v>0.4985995497534112</v>
      </c>
      <c r="AC3">
        <f>'Population yty'!AC$18/SUM('Population yty'!AC$17:AC$18)</f>
        <v>0.49814126777007861</v>
      </c>
      <c r="AD3">
        <f>'Population yty'!AD$18/SUM('Population yty'!AD$17:AD$18)</f>
        <v>0.49767852167647847</v>
      </c>
      <c r="AE3">
        <f>'Population yty'!AE$18/SUM('Population yty'!AE$17:AE$18)</f>
        <v>0.49721124554941892</v>
      </c>
      <c r="AF3">
        <f>'Population yty'!AF$18/SUM('Population yty'!AF$17:AF$18)</f>
        <v>0.49673937330441092</v>
      </c>
      <c r="AG3">
        <f>'Population yty'!AG$18/SUM('Population yty'!AG$17:AG$18)</f>
        <v>0.49633251952924073</v>
      </c>
      <c r="AH3">
        <f>'Population yty'!AH$18/SUM('Population yty'!AH$17:AH$18)</f>
        <v>0.4959202641119354</v>
      </c>
      <c r="AI3">
        <f>'Population yty'!AI$18/SUM('Population yty'!AI$17:AI$18)</f>
        <v>0.49550249799038415</v>
      </c>
      <c r="AJ3">
        <f>'Population yty'!AJ$18/SUM('Population yty'!AJ$17:AJ$18)</f>
        <v>0.4950791107015276</v>
      </c>
      <c r="AK3">
        <f>'Population yty'!AK$18/SUM('Population yty'!AK$17:AK$18)</f>
        <v>0.49464998724607168</v>
      </c>
      <c r="AL3">
        <f>'Population yty'!AL$18/SUM('Population yty'!AL$17:AL$18)</f>
        <v>0.49432799892377566</v>
      </c>
      <c r="AM3">
        <f>'Population yty'!AM$18/SUM('Population yty'!AM$17:AM$18)</f>
        <v>0.49400045369407697</v>
      </c>
      <c r="AN3">
        <f>'Population yty'!AN$18/SUM('Population yty'!AN$17:AN$18)</f>
        <v>0.49366720603902647</v>
      </c>
      <c r="AO3">
        <f>'Population yty'!AO$18/SUM('Population yty'!AO$17:AO$18)</f>
        <v>0.49332810696000085</v>
      </c>
      <c r="AP3">
        <f>'Population yty'!AP$18/SUM('Population yty'!AP$17:AP$18)</f>
        <v>0.49298299932826201</v>
      </c>
    </row>
    <row r="4" spans="1:42" x14ac:dyDescent="0.2">
      <c r="A4" t="s">
        <v>123</v>
      </c>
      <c r="B4">
        <f>'Population yty'!B$18/SUM('Population yty'!B$17:B$18)</f>
        <v>0.51172313904206712</v>
      </c>
      <c r="C4">
        <f>'Population yty'!C$18/SUM('Population yty'!C$17:C$18)</f>
        <v>0.51126743597591462</v>
      </c>
      <c r="D4">
        <f>'Population yty'!D$18/SUM('Population yty'!D$17:D$18)</f>
        <v>0.51081340166945632</v>
      </c>
      <c r="E4">
        <f>'Population yty'!E$18/SUM('Population yty'!E$17:E$18)</f>
        <v>0.51036102769212588</v>
      </c>
      <c r="F4">
        <f>'Population yty'!F$18/SUM('Population yty'!F$17:F$18)</f>
        <v>0.50991030423612183</v>
      </c>
      <c r="G4">
        <f>'Population yty'!G$18/SUM('Population yty'!G$17:G$18)</f>
        <v>0.50946122299997243</v>
      </c>
      <c r="H4">
        <f>'Population yty'!H$18/SUM('Population yty'!H$17:H$18)</f>
        <v>0.5089648763253739</v>
      </c>
      <c r="I4">
        <f>'Population yty'!I$18/SUM('Population yty'!I$17:I$18)</f>
        <v>0.50846807571611441</v>
      </c>
      <c r="J4">
        <f>'Population yty'!J$18/SUM('Population yty'!J$17:J$18)</f>
        <v>0.50797082089549683</v>
      </c>
      <c r="K4">
        <f>'Population yty'!K$18/SUM('Population yty'!K$17:K$18)</f>
        <v>0.50747311054726896</v>
      </c>
      <c r="L4">
        <f>'Population yty'!L$18/SUM('Population yty'!L$17:L$18)</f>
        <v>0.50697494439194168</v>
      </c>
      <c r="M4">
        <f>'Population yty'!M$18/SUM('Population yty'!M$17:M$18)</f>
        <v>0.50644605845145951</v>
      </c>
      <c r="N4">
        <f>'Population yty'!N$18/SUM('Population yty'!N$17:N$18)</f>
        <v>0.50591522606041639</v>
      </c>
      <c r="O4">
        <f>'Population yty'!O$18/SUM('Population yty'!O$17:O$18)</f>
        <v>0.50538243751643441</v>
      </c>
      <c r="P4">
        <f>'Population yty'!P$18/SUM('Population yty'!P$17:P$18)</f>
        <v>0.5048476816345151</v>
      </c>
      <c r="Q4">
        <f>'Population yty'!Q$18/SUM('Population yty'!Q$17:Q$18)</f>
        <v>0.50431094714538716</v>
      </c>
      <c r="R4">
        <f>'Population yty'!R$18/SUM('Population yty'!R$17:R$18)</f>
        <v>0.50377687078890665</v>
      </c>
      <c r="S4">
        <f>'Population yty'!S$18/SUM('Population yty'!S$17:S$18)</f>
        <v>0.50323966535182518</v>
      </c>
      <c r="T4">
        <f>'Population yty'!T$18/SUM('Population yty'!T$17:T$18)</f>
        <v>0.50269930217188785</v>
      </c>
      <c r="U4">
        <f>'Population yty'!U$18/SUM('Population yty'!U$17:U$18)</f>
        <v>0.50215575440864701</v>
      </c>
      <c r="V4">
        <f>'Population yty'!V$18/SUM('Population yty'!V$17:V$18)</f>
        <v>0.50160899346753507</v>
      </c>
      <c r="W4">
        <f>'Population yty'!W$18/SUM('Population yty'!W$17:W$18)</f>
        <v>0.50110544899648779</v>
      </c>
      <c r="X4">
        <f>'Population yty'!X$18/SUM('Population yty'!X$17:X$18)</f>
        <v>0.50059816307428617</v>
      </c>
      <c r="Y4">
        <f>'Population yty'!Y$18/SUM('Population yty'!Y$17:Y$18)</f>
        <v>0.50008709311076283</v>
      </c>
      <c r="Z4">
        <f>'Population yty'!Z$18/SUM('Population yty'!Z$17:Z$18)</f>
        <v>0.49957219734440095</v>
      </c>
      <c r="AA4">
        <f>'Population yty'!AA$18/SUM('Population yty'!AA$17:AA$18)</f>
        <v>0.49905343228249793</v>
      </c>
      <c r="AB4">
        <f>'Population yty'!AB$18/SUM('Population yty'!AB$17:AB$18)</f>
        <v>0.4985995497534112</v>
      </c>
      <c r="AC4">
        <f>'Population yty'!AC$18/SUM('Population yty'!AC$17:AC$18)</f>
        <v>0.49814126777007861</v>
      </c>
      <c r="AD4">
        <f>'Population yty'!AD$18/SUM('Population yty'!AD$17:AD$18)</f>
        <v>0.49767852167647847</v>
      </c>
      <c r="AE4">
        <f>'Population yty'!AE$18/SUM('Population yty'!AE$17:AE$18)</f>
        <v>0.49721124554941892</v>
      </c>
      <c r="AF4">
        <f>'Population yty'!AF$18/SUM('Population yty'!AF$17:AF$18)</f>
        <v>0.49673937330441092</v>
      </c>
      <c r="AG4">
        <f>'Population yty'!AG$18/SUM('Population yty'!AG$17:AG$18)</f>
        <v>0.49633251952924073</v>
      </c>
      <c r="AH4">
        <f>'Population yty'!AH$18/SUM('Population yty'!AH$17:AH$18)</f>
        <v>0.4959202641119354</v>
      </c>
      <c r="AI4">
        <f>'Population yty'!AI$18/SUM('Population yty'!AI$17:AI$18)</f>
        <v>0.49550249799038415</v>
      </c>
      <c r="AJ4">
        <f>'Population yty'!AJ$18/SUM('Population yty'!AJ$17:AJ$18)</f>
        <v>0.4950791107015276</v>
      </c>
      <c r="AK4">
        <f>'Population yty'!AK$18/SUM('Population yty'!AK$17:AK$18)</f>
        <v>0.49464998724607168</v>
      </c>
      <c r="AL4">
        <f>'Population yty'!AL$18/SUM('Population yty'!AL$17:AL$18)</f>
        <v>0.49432799892377566</v>
      </c>
      <c r="AM4">
        <f>'Population yty'!AM$18/SUM('Population yty'!AM$17:AM$18)</f>
        <v>0.49400045369407697</v>
      </c>
      <c r="AN4">
        <f>'Population yty'!AN$18/SUM('Population yty'!AN$17:AN$18)</f>
        <v>0.49366720603902647</v>
      </c>
      <c r="AO4">
        <f>'Population yty'!AO$18/SUM('Population yty'!AO$17:AO$18)</f>
        <v>0.49332810696000085</v>
      </c>
      <c r="AP4">
        <f>'Population yty'!AP$18/SUM('Population yty'!AP$17:AP$18)</f>
        <v>0.49298299932826201</v>
      </c>
    </row>
    <row r="5" spans="1:42" x14ac:dyDescent="0.2">
      <c r="A5" t="s">
        <v>124</v>
      </c>
      <c r="B5">
        <f>'Population yty'!B$18/SUM('Population yty'!B$17:B$18)</f>
        <v>0.51172313904206712</v>
      </c>
      <c r="C5">
        <f>'Population yty'!C$18/SUM('Population yty'!C$17:C$18)</f>
        <v>0.51126743597591462</v>
      </c>
      <c r="D5">
        <f>'Population yty'!D$18/SUM('Population yty'!D$17:D$18)</f>
        <v>0.51081340166945632</v>
      </c>
      <c r="E5">
        <f>'Population yty'!E$18/SUM('Population yty'!E$17:E$18)</f>
        <v>0.51036102769212588</v>
      </c>
      <c r="F5">
        <f>'Population yty'!F$18/SUM('Population yty'!F$17:F$18)</f>
        <v>0.50991030423612183</v>
      </c>
      <c r="G5">
        <f>'Population yty'!G$18/SUM('Population yty'!G$17:G$18)</f>
        <v>0.50946122299997243</v>
      </c>
      <c r="H5">
        <f>'Population yty'!H$18/SUM('Population yty'!H$17:H$18)</f>
        <v>0.5089648763253739</v>
      </c>
      <c r="I5">
        <f>'Population yty'!I$18/SUM('Population yty'!I$17:I$18)</f>
        <v>0.50846807571611441</v>
      </c>
      <c r="J5">
        <f>'Population yty'!J$18/SUM('Population yty'!J$17:J$18)</f>
        <v>0.50797082089549683</v>
      </c>
      <c r="K5">
        <f>'Population yty'!K$18/SUM('Population yty'!K$17:K$18)</f>
        <v>0.50747311054726896</v>
      </c>
      <c r="L5">
        <f>'Population yty'!L$18/SUM('Population yty'!L$17:L$18)</f>
        <v>0.50697494439194168</v>
      </c>
      <c r="M5">
        <f>'Population yty'!M$18/SUM('Population yty'!M$17:M$18)</f>
        <v>0.50644605845145951</v>
      </c>
      <c r="N5">
        <f>'Population yty'!N$18/SUM('Population yty'!N$17:N$18)</f>
        <v>0.50591522606041639</v>
      </c>
      <c r="O5">
        <f>'Population yty'!O$18/SUM('Population yty'!O$17:O$18)</f>
        <v>0.50538243751643441</v>
      </c>
      <c r="P5">
        <f>'Population yty'!P$18/SUM('Population yty'!P$17:P$18)</f>
        <v>0.5048476816345151</v>
      </c>
      <c r="Q5">
        <f>'Population yty'!Q$18/SUM('Population yty'!Q$17:Q$18)</f>
        <v>0.50431094714538716</v>
      </c>
      <c r="R5">
        <f>'Population yty'!R$18/SUM('Population yty'!R$17:R$18)</f>
        <v>0.50377687078890665</v>
      </c>
      <c r="S5">
        <f>'Population yty'!S$18/SUM('Population yty'!S$17:S$18)</f>
        <v>0.50323966535182518</v>
      </c>
      <c r="T5">
        <f>'Population yty'!T$18/SUM('Population yty'!T$17:T$18)</f>
        <v>0.50269930217188785</v>
      </c>
      <c r="U5">
        <f>'Population yty'!U$18/SUM('Population yty'!U$17:U$18)</f>
        <v>0.50215575440864701</v>
      </c>
      <c r="V5">
        <f>'Population yty'!V$18/SUM('Population yty'!V$17:V$18)</f>
        <v>0.50160899346753507</v>
      </c>
      <c r="W5">
        <f>'Population yty'!W$18/SUM('Population yty'!W$17:W$18)</f>
        <v>0.50110544899648779</v>
      </c>
      <c r="X5">
        <f>'Population yty'!X$18/SUM('Population yty'!X$17:X$18)</f>
        <v>0.50059816307428617</v>
      </c>
      <c r="Y5">
        <f>'Population yty'!Y$18/SUM('Population yty'!Y$17:Y$18)</f>
        <v>0.50008709311076283</v>
      </c>
      <c r="Z5">
        <f>'Population yty'!Z$18/SUM('Population yty'!Z$17:Z$18)</f>
        <v>0.49957219734440095</v>
      </c>
      <c r="AA5">
        <f>'Population yty'!AA$18/SUM('Population yty'!AA$17:AA$18)</f>
        <v>0.49905343228249793</v>
      </c>
      <c r="AB5">
        <f>'Population yty'!AB$18/SUM('Population yty'!AB$17:AB$18)</f>
        <v>0.4985995497534112</v>
      </c>
      <c r="AC5">
        <f>'Population yty'!AC$18/SUM('Population yty'!AC$17:AC$18)</f>
        <v>0.49814126777007861</v>
      </c>
      <c r="AD5">
        <f>'Population yty'!AD$18/SUM('Population yty'!AD$17:AD$18)</f>
        <v>0.49767852167647847</v>
      </c>
      <c r="AE5">
        <f>'Population yty'!AE$18/SUM('Population yty'!AE$17:AE$18)</f>
        <v>0.49721124554941892</v>
      </c>
      <c r="AF5">
        <f>'Population yty'!AF$18/SUM('Population yty'!AF$17:AF$18)</f>
        <v>0.49673937330441092</v>
      </c>
      <c r="AG5">
        <f>'Population yty'!AG$18/SUM('Population yty'!AG$17:AG$18)</f>
        <v>0.49633251952924073</v>
      </c>
      <c r="AH5">
        <f>'Population yty'!AH$18/SUM('Population yty'!AH$17:AH$18)</f>
        <v>0.4959202641119354</v>
      </c>
      <c r="AI5">
        <f>'Population yty'!AI$18/SUM('Population yty'!AI$17:AI$18)</f>
        <v>0.49550249799038415</v>
      </c>
      <c r="AJ5">
        <f>'Population yty'!AJ$18/SUM('Population yty'!AJ$17:AJ$18)</f>
        <v>0.4950791107015276</v>
      </c>
      <c r="AK5">
        <f>'Population yty'!AK$18/SUM('Population yty'!AK$17:AK$18)</f>
        <v>0.49464998724607168</v>
      </c>
      <c r="AL5">
        <f>'Population yty'!AL$18/SUM('Population yty'!AL$17:AL$18)</f>
        <v>0.49432799892377566</v>
      </c>
      <c r="AM5">
        <f>'Population yty'!AM$18/SUM('Population yty'!AM$17:AM$18)</f>
        <v>0.49400045369407697</v>
      </c>
      <c r="AN5">
        <f>'Population yty'!AN$18/SUM('Population yty'!AN$17:AN$18)</f>
        <v>0.49366720603902647</v>
      </c>
      <c r="AO5">
        <f>'Population yty'!AO$18/SUM('Population yty'!AO$17:AO$18)</f>
        <v>0.49332810696000085</v>
      </c>
      <c r="AP5">
        <f>'Population yty'!AP$18/SUM('Population yty'!AP$17:AP$18)</f>
        <v>0.49298299932826201</v>
      </c>
    </row>
    <row r="6" spans="1:42" x14ac:dyDescent="0.2">
      <c r="A6" t="s">
        <v>125</v>
      </c>
      <c r="B6">
        <f>'Population yty'!B$18/SUM('Population yty'!B$17:B$18)</f>
        <v>0.51172313904206712</v>
      </c>
      <c r="C6">
        <f>'Population yty'!C$18/SUM('Population yty'!C$17:C$18)</f>
        <v>0.51126743597591462</v>
      </c>
      <c r="D6">
        <f>'Population yty'!D$18/SUM('Population yty'!D$17:D$18)</f>
        <v>0.51081340166945632</v>
      </c>
      <c r="E6">
        <f>'Population yty'!E$18/SUM('Population yty'!E$17:E$18)</f>
        <v>0.51036102769212588</v>
      </c>
      <c r="F6">
        <f>'Population yty'!F$18/SUM('Population yty'!F$17:F$18)</f>
        <v>0.50991030423612183</v>
      </c>
      <c r="G6">
        <f>'Population yty'!G$18/SUM('Population yty'!G$17:G$18)</f>
        <v>0.50946122299997243</v>
      </c>
      <c r="H6">
        <f>'Population yty'!H$18/SUM('Population yty'!H$17:H$18)</f>
        <v>0.5089648763253739</v>
      </c>
      <c r="I6">
        <f>'Population yty'!I$18/SUM('Population yty'!I$17:I$18)</f>
        <v>0.50846807571611441</v>
      </c>
      <c r="J6">
        <f>'Population yty'!J$18/SUM('Population yty'!J$17:J$18)</f>
        <v>0.50797082089549683</v>
      </c>
      <c r="K6">
        <f>'Population yty'!K$18/SUM('Population yty'!K$17:K$18)</f>
        <v>0.50747311054726896</v>
      </c>
      <c r="L6">
        <f>'Population yty'!L$18/SUM('Population yty'!L$17:L$18)</f>
        <v>0.50697494439194168</v>
      </c>
      <c r="M6">
        <f>'Population yty'!M$18/SUM('Population yty'!M$17:M$18)</f>
        <v>0.50644605845145951</v>
      </c>
      <c r="N6">
        <f>'Population yty'!N$18/SUM('Population yty'!N$17:N$18)</f>
        <v>0.50591522606041639</v>
      </c>
      <c r="O6">
        <f>'Population yty'!O$18/SUM('Population yty'!O$17:O$18)</f>
        <v>0.50538243751643441</v>
      </c>
      <c r="P6">
        <f>'Population yty'!P$18/SUM('Population yty'!P$17:P$18)</f>
        <v>0.5048476816345151</v>
      </c>
      <c r="Q6">
        <f>'Population yty'!Q$18/SUM('Population yty'!Q$17:Q$18)</f>
        <v>0.50431094714538716</v>
      </c>
      <c r="R6">
        <f>'Population yty'!R$18/SUM('Population yty'!R$17:R$18)</f>
        <v>0.50377687078890665</v>
      </c>
      <c r="S6">
        <f>'Population yty'!S$18/SUM('Population yty'!S$17:S$18)</f>
        <v>0.50323966535182518</v>
      </c>
      <c r="T6">
        <f>'Population yty'!T$18/SUM('Population yty'!T$17:T$18)</f>
        <v>0.50269930217188785</v>
      </c>
      <c r="U6">
        <f>'Population yty'!U$18/SUM('Population yty'!U$17:U$18)</f>
        <v>0.50215575440864701</v>
      </c>
      <c r="V6">
        <f>'Population yty'!V$18/SUM('Population yty'!V$17:V$18)</f>
        <v>0.50160899346753507</v>
      </c>
      <c r="W6">
        <f>'Population yty'!W$18/SUM('Population yty'!W$17:W$18)</f>
        <v>0.50110544899648779</v>
      </c>
      <c r="X6">
        <f>'Population yty'!X$18/SUM('Population yty'!X$17:X$18)</f>
        <v>0.50059816307428617</v>
      </c>
      <c r="Y6">
        <f>'Population yty'!Y$18/SUM('Population yty'!Y$17:Y$18)</f>
        <v>0.50008709311076283</v>
      </c>
      <c r="Z6">
        <f>'Population yty'!Z$18/SUM('Population yty'!Z$17:Z$18)</f>
        <v>0.49957219734440095</v>
      </c>
      <c r="AA6">
        <f>'Population yty'!AA$18/SUM('Population yty'!AA$17:AA$18)</f>
        <v>0.49905343228249793</v>
      </c>
      <c r="AB6">
        <f>'Population yty'!AB$18/SUM('Population yty'!AB$17:AB$18)</f>
        <v>0.4985995497534112</v>
      </c>
      <c r="AC6">
        <f>'Population yty'!AC$18/SUM('Population yty'!AC$17:AC$18)</f>
        <v>0.49814126777007861</v>
      </c>
      <c r="AD6">
        <f>'Population yty'!AD$18/SUM('Population yty'!AD$17:AD$18)</f>
        <v>0.49767852167647847</v>
      </c>
      <c r="AE6">
        <f>'Population yty'!AE$18/SUM('Population yty'!AE$17:AE$18)</f>
        <v>0.49721124554941892</v>
      </c>
      <c r="AF6">
        <f>'Population yty'!AF$18/SUM('Population yty'!AF$17:AF$18)</f>
        <v>0.49673937330441092</v>
      </c>
      <c r="AG6">
        <f>'Population yty'!AG$18/SUM('Population yty'!AG$17:AG$18)</f>
        <v>0.49633251952924073</v>
      </c>
      <c r="AH6">
        <f>'Population yty'!AH$18/SUM('Population yty'!AH$17:AH$18)</f>
        <v>0.4959202641119354</v>
      </c>
      <c r="AI6">
        <f>'Population yty'!AI$18/SUM('Population yty'!AI$17:AI$18)</f>
        <v>0.49550249799038415</v>
      </c>
      <c r="AJ6">
        <f>'Population yty'!AJ$18/SUM('Population yty'!AJ$17:AJ$18)</f>
        <v>0.4950791107015276</v>
      </c>
      <c r="AK6">
        <f>'Population yty'!AK$18/SUM('Population yty'!AK$17:AK$18)</f>
        <v>0.49464998724607168</v>
      </c>
      <c r="AL6">
        <f>'Population yty'!AL$18/SUM('Population yty'!AL$17:AL$18)</f>
        <v>0.49432799892377566</v>
      </c>
      <c r="AM6">
        <f>'Population yty'!AM$18/SUM('Population yty'!AM$17:AM$18)</f>
        <v>0.49400045369407697</v>
      </c>
      <c r="AN6">
        <f>'Population yty'!AN$18/SUM('Population yty'!AN$17:AN$18)</f>
        <v>0.49366720603902647</v>
      </c>
      <c r="AO6">
        <f>'Population yty'!AO$18/SUM('Population yty'!AO$17:AO$18)</f>
        <v>0.49332810696000085</v>
      </c>
      <c r="AP6">
        <f>'Population yty'!AP$18/SUM('Population yty'!AP$17:AP$18)</f>
        <v>0.49298299932826201</v>
      </c>
    </row>
    <row r="7" spans="1:42" x14ac:dyDescent="0.2">
      <c r="A7" t="s">
        <v>126</v>
      </c>
      <c r="B7">
        <f>'Population yty'!B$18/SUM('Population yty'!B$17:B$18)</f>
        <v>0.51172313904206712</v>
      </c>
      <c r="C7">
        <f>'Population yty'!C$18/SUM('Population yty'!C$17:C$18)</f>
        <v>0.51126743597591462</v>
      </c>
      <c r="D7">
        <f>'Population yty'!D$18/SUM('Population yty'!D$17:D$18)</f>
        <v>0.51081340166945632</v>
      </c>
      <c r="E7">
        <f>'Population yty'!E$18/SUM('Population yty'!E$17:E$18)</f>
        <v>0.51036102769212588</v>
      </c>
      <c r="F7">
        <f>'Population yty'!F$18/SUM('Population yty'!F$17:F$18)</f>
        <v>0.50991030423612183</v>
      </c>
      <c r="G7">
        <f>'Population yty'!G$18/SUM('Population yty'!G$17:G$18)</f>
        <v>0.50946122299997243</v>
      </c>
      <c r="H7">
        <f>'Population yty'!H$18/SUM('Population yty'!H$17:H$18)</f>
        <v>0.5089648763253739</v>
      </c>
      <c r="I7">
        <f>'Population yty'!I$18/SUM('Population yty'!I$17:I$18)</f>
        <v>0.50846807571611441</v>
      </c>
      <c r="J7">
        <f>'Population yty'!J$18/SUM('Population yty'!J$17:J$18)</f>
        <v>0.50797082089549683</v>
      </c>
      <c r="K7">
        <f>'Population yty'!K$18/SUM('Population yty'!K$17:K$18)</f>
        <v>0.50747311054726896</v>
      </c>
      <c r="L7">
        <f>'Population yty'!L$18/SUM('Population yty'!L$17:L$18)</f>
        <v>0.50697494439194168</v>
      </c>
      <c r="M7">
        <f>'Population yty'!M$18/SUM('Population yty'!M$17:M$18)</f>
        <v>0.50644605845145951</v>
      </c>
      <c r="N7">
        <f>'Population yty'!N$18/SUM('Population yty'!N$17:N$18)</f>
        <v>0.50591522606041639</v>
      </c>
      <c r="O7">
        <f>'Population yty'!O$18/SUM('Population yty'!O$17:O$18)</f>
        <v>0.50538243751643441</v>
      </c>
      <c r="P7">
        <f>'Population yty'!P$18/SUM('Population yty'!P$17:P$18)</f>
        <v>0.5048476816345151</v>
      </c>
      <c r="Q7">
        <f>'Population yty'!Q$18/SUM('Population yty'!Q$17:Q$18)</f>
        <v>0.50431094714538716</v>
      </c>
      <c r="R7">
        <f>'Population yty'!R$18/SUM('Population yty'!R$17:R$18)</f>
        <v>0.50377687078890665</v>
      </c>
      <c r="S7">
        <f>'Population yty'!S$18/SUM('Population yty'!S$17:S$18)</f>
        <v>0.50323966535182518</v>
      </c>
      <c r="T7">
        <f>'Population yty'!T$18/SUM('Population yty'!T$17:T$18)</f>
        <v>0.50269930217188785</v>
      </c>
      <c r="U7">
        <f>'Population yty'!U$18/SUM('Population yty'!U$17:U$18)</f>
        <v>0.50215575440864701</v>
      </c>
      <c r="V7">
        <f>'Population yty'!V$18/SUM('Population yty'!V$17:V$18)</f>
        <v>0.50160899346753507</v>
      </c>
      <c r="W7">
        <f>'Population yty'!W$18/SUM('Population yty'!W$17:W$18)</f>
        <v>0.50110544899648779</v>
      </c>
      <c r="X7">
        <f>'Population yty'!X$18/SUM('Population yty'!X$17:X$18)</f>
        <v>0.50059816307428617</v>
      </c>
      <c r="Y7">
        <f>'Population yty'!Y$18/SUM('Population yty'!Y$17:Y$18)</f>
        <v>0.50008709311076283</v>
      </c>
      <c r="Z7">
        <f>'Population yty'!Z$18/SUM('Population yty'!Z$17:Z$18)</f>
        <v>0.49957219734440095</v>
      </c>
      <c r="AA7">
        <f>'Population yty'!AA$18/SUM('Population yty'!AA$17:AA$18)</f>
        <v>0.49905343228249793</v>
      </c>
      <c r="AB7">
        <f>'Population yty'!AB$18/SUM('Population yty'!AB$17:AB$18)</f>
        <v>0.4985995497534112</v>
      </c>
      <c r="AC7">
        <f>'Population yty'!AC$18/SUM('Population yty'!AC$17:AC$18)</f>
        <v>0.49814126777007861</v>
      </c>
      <c r="AD7">
        <f>'Population yty'!AD$18/SUM('Population yty'!AD$17:AD$18)</f>
        <v>0.49767852167647847</v>
      </c>
      <c r="AE7">
        <f>'Population yty'!AE$18/SUM('Population yty'!AE$17:AE$18)</f>
        <v>0.49721124554941892</v>
      </c>
      <c r="AF7">
        <f>'Population yty'!AF$18/SUM('Population yty'!AF$17:AF$18)</f>
        <v>0.49673937330441092</v>
      </c>
      <c r="AG7">
        <f>'Population yty'!AG$18/SUM('Population yty'!AG$17:AG$18)</f>
        <v>0.49633251952924073</v>
      </c>
      <c r="AH7">
        <f>'Population yty'!AH$18/SUM('Population yty'!AH$17:AH$18)</f>
        <v>0.4959202641119354</v>
      </c>
      <c r="AI7">
        <f>'Population yty'!AI$18/SUM('Population yty'!AI$17:AI$18)</f>
        <v>0.49550249799038415</v>
      </c>
      <c r="AJ7">
        <f>'Population yty'!AJ$18/SUM('Population yty'!AJ$17:AJ$18)</f>
        <v>0.4950791107015276</v>
      </c>
      <c r="AK7">
        <f>'Population yty'!AK$18/SUM('Population yty'!AK$17:AK$18)</f>
        <v>0.49464998724607168</v>
      </c>
      <c r="AL7">
        <f>'Population yty'!AL$18/SUM('Population yty'!AL$17:AL$18)</f>
        <v>0.49432799892377566</v>
      </c>
      <c r="AM7">
        <f>'Population yty'!AM$18/SUM('Population yty'!AM$17:AM$18)</f>
        <v>0.49400045369407697</v>
      </c>
      <c r="AN7">
        <f>'Population yty'!AN$18/SUM('Population yty'!AN$17:AN$18)</f>
        <v>0.49366720603902647</v>
      </c>
      <c r="AO7">
        <f>'Population yty'!AO$18/SUM('Population yty'!AO$17:AO$18)</f>
        <v>0.49332810696000085</v>
      </c>
      <c r="AP7">
        <f>'Population yty'!AP$18/SUM('Population yty'!AP$17:AP$18)</f>
        <v>0.49298299932826201</v>
      </c>
    </row>
    <row r="8" spans="1:42" x14ac:dyDescent="0.2">
      <c r="A8" t="s">
        <v>127</v>
      </c>
      <c r="B8">
        <f>'Population yty'!B$18/SUM('Population yty'!B$17:B$18)</f>
        <v>0.51172313904206712</v>
      </c>
      <c r="C8">
        <f>'Population yty'!C$18/SUM('Population yty'!C$17:C$18)</f>
        <v>0.51126743597591462</v>
      </c>
      <c r="D8">
        <f>'Population yty'!D$18/SUM('Population yty'!D$17:D$18)</f>
        <v>0.51081340166945632</v>
      </c>
      <c r="E8">
        <f>'Population yty'!E$18/SUM('Population yty'!E$17:E$18)</f>
        <v>0.51036102769212588</v>
      </c>
      <c r="F8">
        <f>'Population yty'!F$18/SUM('Population yty'!F$17:F$18)</f>
        <v>0.50991030423612183</v>
      </c>
      <c r="G8">
        <f>'Population yty'!G$18/SUM('Population yty'!G$17:G$18)</f>
        <v>0.50946122299997243</v>
      </c>
      <c r="H8">
        <f>'Population yty'!H$18/SUM('Population yty'!H$17:H$18)</f>
        <v>0.5089648763253739</v>
      </c>
      <c r="I8">
        <f>'Population yty'!I$18/SUM('Population yty'!I$17:I$18)</f>
        <v>0.50846807571611441</v>
      </c>
      <c r="J8">
        <f>'Population yty'!J$18/SUM('Population yty'!J$17:J$18)</f>
        <v>0.50797082089549683</v>
      </c>
      <c r="K8">
        <f>'Population yty'!K$18/SUM('Population yty'!K$17:K$18)</f>
        <v>0.50747311054726896</v>
      </c>
      <c r="L8">
        <f>'Population yty'!L$18/SUM('Population yty'!L$17:L$18)</f>
        <v>0.50697494439194168</v>
      </c>
      <c r="M8">
        <f>'Population yty'!M$18/SUM('Population yty'!M$17:M$18)</f>
        <v>0.50644605845145951</v>
      </c>
      <c r="N8">
        <f>'Population yty'!N$18/SUM('Population yty'!N$17:N$18)</f>
        <v>0.50591522606041639</v>
      </c>
      <c r="O8">
        <f>'Population yty'!O$18/SUM('Population yty'!O$17:O$18)</f>
        <v>0.50538243751643441</v>
      </c>
      <c r="P8">
        <f>'Population yty'!P$18/SUM('Population yty'!P$17:P$18)</f>
        <v>0.5048476816345151</v>
      </c>
      <c r="Q8">
        <f>'Population yty'!Q$18/SUM('Population yty'!Q$17:Q$18)</f>
        <v>0.50431094714538716</v>
      </c>
      <c r="R8">
        <f>'Population yty'!R$18/SUM('Population yty'!R$17:R$18)</f>
        <v>0.50377687078890665</v>
      </c>
      <c r="S8">
        <f>'Population yty'!S$18/SUM('Population yty'!S$17:S$18)</f>
        <v>0.50323966535182518</v>
      </c>
      <c r="T8">
        <f>'Population yty'!T$18/SUM('Population yty'!T$17:T$18)</f>
        <v>0.50269930217188785</v>
      </c>
      <c r="U8">
        <f>'Population yty'!U$18/SUM('Population yty'!U$17:U$18)</f>
        <v>0.50215575440864701</v>
      </c>
      <c r="V8">
        <f>'Population yty'!V$18/SUM('Population yty'!V$17:V$18)</f>
        <v>0.50160899346753507</v>
      </c>
      <c r="W8">
        <f>'Population yty'!W$18/SUM('Population yty'!W$17:W$18)</f>
        <v>0.50110544899648779</v>
      </c>
      <c r="X8">
        <f>'Population yty'!X$18/SUM('Population yty'!X$17:X$18)</f>
        <v>0.50059816307428617</v>
      </c>
      <c r="Y8">
        <f>'Population yty'!Y$18/SUM('Population yty'!Y$17:Y$18)</f>
        <v>0.50008709311076283</v>
      </c>
      <c r="Z8">
        <f>'Population yty'!Z$18/SUM('Population yty'!Z$17:Z$18)</f>
        <v>0.49957219734440095</v>
      </c>
      <c r="AA8">
        <f>'Population yty'!AA$18/SUM('Population yty'!AA$17:AA$18)</f>
        <v>0.49905343228249793</v>
      </c>
      <c r="AB8">
        <f>'Population yty'!AB$18/SUM('Population yty'!AB$17:AB$18)</f>
        <v>0.4985995497534112</v>
      </c>
      <c r="AC8">
        <f>'Population yty'!AC$18/SUM('Population yty'!AC$17:AC$18)</f>
        <v>0.49814126777007861</v>
      </c>
      <c r="AD8">
        <f>'Population yty'!AD$18/SUM('Population yty'!AD$17:AD$18)</f>
        <v>0.49767852167647847</v>
      </c>
      <c r="AE8">
        <f>'Population yty'!AE$18/SUM('Population yty'!AE$17:AE$18)</f>
        <v>0.49721124554941892</v>
      </c>
      <c r="AF8">
        <f>'Population yty'!AF$18/SUM('Population yty'!AF$17:AF$18)</f>
        <v>0.49673937330441092</v>
      </c>
      <c r="AG8">
        <f>'Population yty'!AG$18/SUM('Population yty'!AG$17:AG$18)</f>
        <v>0.49633251952924073</v>
      </c>
      <c r="AH8">
        <f>'Population yty'!AH$18/SUM('Population yty'!AH$17:AH$18)</f>
        <v>0.4959202641119354</v>
      </c>
      <c r="AI8">
        <f>'Population yty'!AI$18/SUM('Population yty'!AI$17:AI$18)</f>
        <v>0.49550249799038415</v>
      </c>
      <c r="AJ8">
        <f>'Population yty'!AJ$18/SUM('Population yty'!AJ$17:AJ$18)</f>
        <v>0.4950791107015276</v>
      </c>
      <c r="AK8">
        <f>'Population yty'!AK$18/SUM('Population yty'!AK$17:AK$18)</f>
        <v>0.49464998724607168</v>
      </c>
      <c r="AL8">
        <f>'Population yty'!AL$18/SUM('Population yty'!AL$17:AL$18)</f>
        <v>0.49432799892377566</v>
      </c>
      <c r="AM8">
        <f>'Population yty'!AM$18/SUM('Population yty'!AM$17:AM$18)</f>
        <v>0.49400045369407697</v>
      </c>
      <c r="AN8">
        <f>'Population yty'!AN$18/SUM('Population yty'!AN$17:AN$18)</f>
        <v>0.49366720603902647</v>
      </c>
      <c r="AO8">
        <f>'Population yty'!AO$18/SUM('Population yty'!AO$17:AO$18)</f>
        <v>0.49332810696000085</v>
      </c>
      <c r="AP8">
        <f>'Population yty'!AP$18/SUM('Population yty'!AP$17:AP$18)</f>
        <v>0.49298299932826201</v>
      </c>
    </row>
    <row r="9" spans="1:42" x14ac:dyDescent="0.2">
      <c r="A9" t="s">
        <v>128</v>
      </c>
      <c r="B9">
        <f>'Population yty'!B$18/SUM('Population yty'!B$17:B$18)</f>
        <v>0.51172313904206712</v>
      </c>
      <c r="C9">
        <f>'Population yty'!C$18/SUM('Population yty'!C$17:C$18)</f>
        <v>0.51126743597591462</v>
      </c>
      <c r="D9">
        <f>'Population yty'!D$18/SUM('Population yty'!D$17:D$18)</f>
        <v>0.51081340166945632</v>
      </c>
      <c r="E9">
        <f>'Population yty'!E$18/SUM('Population yty'!E$17:E$18)</f>
        <v>0.51036102769212588</v>
      </c>
      <c r="F9">
        <f>'Population yty'!F$18/SUM('Population yty'!F$17:F$18)</f>
        <v>0.50991030423612183</v>
      </c>
      <c r="G9">
        <f>'Population yty'!G$18/SUM('Population yty'!G$17:G$18)</f>
        <v>0.50946122299997243</v>
      </c>
      <c r="H9">
        <f>'Population yty'!H$18/SUM('Population yty'!H$17:H$18)</f>
        <v>0.5089648763253739</v>
      </c>
      <c r="I9">
        <f>'Population yty'!I$18/SUM('Population yty'!I$17:I$18)</f>
        <v>0.50846807571611441</v>
      </c>
      <c r="J9">
        <f>'Population yty'!J$18/SUM('Population yty'!J$17:J$18)</f>
        <v>0.50797082089549683</v>
      </c>
      <c r="K9">
        <f>'Population yty'!K$18/SUM('Population yty'!K$17:K$18)</f>
        <v>0.50747311054726896</v>
      </c>
      <c r="L9">
        <f>'Population yty'!L$18/SUM('Population yty'!L$17:L$18)</f>
        <v>0.50697494439194168</v>
      </c>
      <c r="M9">
        <f>'Population yty'!M$18/SUM('Population yty'!M$17:M$18)</f>
        <v>0.50644605845145951</v>
      </c>
      <c r="N9">
        <f>'Population yty'!N$18/SUM('Population yty'!N$17:N$18)</f>
        <v>0.50591522606041639</v>
      </c>
      <c r="O9">
        <f>'Population yty'!O$18/SUM('Population yty'!O$17:O$18)</f>
        <v>0.50538243751643441</v>
      </c>
      <c r="P9">
        <f>'Population yty'!P$18/SUM('Population yty'!P$17:P$18)</f>
        <v>0.5048476816345151</v>
      </c>
      <c r="Q9">
        <f>'Population yty'!Q$18/SUM('Population yty'!Q$17:Q$18)</f>
        <v>0.50431094714538716</v>
      </c>
      <c r="R9">
        <f>'Population yty'!R$18/SUM('Population yty'!R$17:R$18)</f>
        <v>0.50377687078890665</v>
      </c>
      <c r="S9">
        <f>'Population yty'!S$18/SUM('Population yty'!S$17:S$18)</f>
        <v>0.50323966535182518</v>
      </c>
      <c r="T9">
        <f>'Population yty'!T$18/SUM('Population yty'!T$17:T$18)</f>
        <v>0.50269930217188785</v>
      </c>
      <c r="U9">
        <f>'Population yty'!U$18/SUM('Population yty'!U$17:U$18)</f>
        <v>0.50215575440864701</v>
      </c>
      <c r="V9">
        <f>'Population yty'!V$18/SUM('Population yty'!V$17:V$18)</f>
        <v>0.50160899346753507</v>
      </c>
      <c r="W9">
        <f>'Population yty'!W$18/SUM('Population yty'!W$17:W$18)</f>
        <v>0.50110544899648779</v>
      </c>
      <c r="X9">
        <f>'Population yty'!X$18/SUM('Population yty'!X$17:X$18)</f>
        <v>0.50059816307428617</v>
      </c>
      <c r="Y9">
        <f>'Population yty'!Y$18/SUM('Population yty'!Y$17:Y$18)</f>
        <v>0.50008709311076283</v>
      </c>
      <c r="Z9">
        <f>'Population yty'!Z$18/SUM('Population yty'!Z$17:Z$18)</f>
        <v>0.49957219734440095</v>
      </c>
      <c r="AA9">
        <f>'Population yty'!AA$18/SUM('Population yty'!AA$17:AA$18)</f>
        <v>0.49905343228249793</v>
      </c>
      <c r="AB9">
        <f>'Population yty'!AB$18/SUM('Population yty'!AB$17:AB$18)</f>
        <v>0.4985995497534112</v>
      </c>
      <c r="AC9">
        <f>'Population yty'!AC$18/SUM('Population yty'!AC$17:AC$18)</f>
        <v>0.49814126777007861</v>
      </c>
      <c r="AD9">
        <f>'Population yty'!AD$18/SUM('Population yty'!AD$17:AD$18)</f>
        <v>0.49767852167647847</v>
      </c>
      <c r="AE9">
        <f>'Population yty'!AE$18/SUM('Population yty'!AE$17:AE$18)</f>
        <v>0.49721124554941892</v>
      </c>
      <c r="AF9">
        <f>'Population yty'!AF$18/SUM('Population yty'!AF$17:AF$18)</f>
        <v>0.49673937330441092</v>
      </c>
      <c r="AG9">
        <f>'Population yty'!AG$18/SUM('Population yty'!AG$17:AG$18)</f>
        <v>0.49633251952924073</v>
      </c>
      <c r="AH9">
        <f>'Population yty'!AH$18/SUM('Population yty'!AH$17:AH$18)</f>
        <v>0.4959202641119354</v>
      </c>
      <c r="AI9">
        <f>'Population yty'!AI$18/SUM('Population yty'!AI$17:AI$18)</f>
        <v>0.49550249799038415</v>
      </c>
      <c r="AJ9">
        <f>'Population yty'!AJ$18/SUM('Population yty'!AJ$17:AJ$18)</f>
        <v>0.4950791107015276</v>
      </c>
      <c r="AK9">
        <f>'Population yty'!AK$18/SUM('Population yty'!AK$17:AK$18)</f>
        <v>0.49464998724607168</v>
      </c>
      <c r="AL9">
        <f>'Population yty'!AL$18/SUM('Population yty'!AL$17:AL$18)</f>
        <v>0.49432799892377566</v>
      </c>
      <c r="AM9">
        <f>'Population yty'!AM$18/SUM('Population yty'!AM$17:AM$18)</f>
        <v>0.49400045369407697</v>
      </c>
      <c r="AN9">
        <f>'Population yty'!AN$18/SUM('Population yty'!AN$17:AN$18)</f>
        <v>0.49366720603902647</v>
      </c>
      <c r="AO9">
        <f>'Population yty'!AO$18/SUM('Population yty'!AO$17:AO$18)</f>
        <v>0.49332810696000085</v>
      </c>
      <c r="AP9">
        <f>'Population yty'!AP$18/SUM('Population yty'!AP$17:AP$18)</f>
        <v>0.49298299932826201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4C95-58C1-4673-BFBF-984250496155}">
  <dimension ref="A1:AP9"/>
  <sheetViews>
    <sheetView workbookViewId="0">
      <selection sqref="A1:XFD1048576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121</v>
      </c>
      <c r="B2">
        <f>'Population yty'!B$17/SUM('Population yty'!B$17:B$18)</f>
        <v>0.48827686095793288</v>
      </c>
      <c r="C2">
        <f>'Population yty'!C$17/SUM('Population yty'!C$17:C$18)</f>
        <v>0.48873256402408538</v>
      </c>
      <c r="D2">
        <f>'Population yty'!D$17/SUM('Population yty'!D$17:D$18)</f>
        <v>0.48918659833054368</v>
      </c>
      <c r="E2">
        <f>'Population yty'!E$17/SUM('Population yty'!E$17:E$18)</f>
        <v>0.48963897230787418</v>
      </c>
      <c r="F2">
        <f>'Population yty'!F$17/SUM('Population yty'!F$17:F$18)</f>
        <v>0.49008969576387812</v>
      </c>
      <c r="G2">
        <f>'Population yty'!G$17/SUM('Population yty'!G$17:G$18)</f>
        <v>0.49053877700002757</v>
      </c>
      <c r="H2">
        <f>'Population yty'!H$17/SUM('Population yty'!H$17:H$18)</f>
        <v>0.4910351236746261</v>
      </c>
      <c r="I2">
        <f>'Population yty'!I$17/SUM('Population yty'!I$17:I$18)</f>
        <v>0.49153192428388565</v>
      </c>
      <c r="J2">
        <f>'Population yty'!J$17/SUM('Population yty'!J$17:J$18)</f>
        <v>0.49202917910450317</v>
      </c>
      <c r="K2">
        <f>'Population yty'!K$17/SUM('Population yty'!K$17:K$18)</f>
        <v>0.4925268894527311</v>
      </c>
      <c r="L2">
        <f>'Population yty'!L$17/SUM('Population yty'!L$17:L$18)</f>
        <v>0.49302505560805826</v>
      </c>
      <c r="M2">
        <f>'Population yty'!M$17/SUM('Population yty'!M$17:M$18)</f>
        <v>0.49355394154854043</v>
      </c>
      <c r="N2">
        <f>'Population yty'!N$17/SUM('Population yty'!N$17:N$18)</f>
        <v>0.49408477393958355</v>
      </c>
      <c r="O2">
        <f>'Population yty'!O$17/SUM('Population yty'!O$17:O$18)</f>
        <v>0.49461756248356553</v>
      </c>
      <c r="P2">
        <f>'Population yty'!P$17/SUM('Population yty'!P$17:P$18)</f>
        <v>0.4951523183654849</v>
      </c>
      <c r="Q2">
        <f>'Population yty'!Q$17/SUM('Population yty'!Q$17:Q$18)</f>
        <v>0.49568905285461284</v>
      </c>
      <c r="R2">
        <f>'Population yty'!R$17/SUM('Population yty'!R$17:R$18)</f>
        <v>0.49622312921109335</v>
      </c>
      <c r="S2">
        <f>'Population yty'!S$17/SUM('Population yty'!S$17:S$18)</f>
        <v>0.49676033464817482</v>
      </c>
      <c r="T2">
        <f>'Population yty'!T$17/SUM('Population yty'!T$17:T$18)</f>
        <v>0.49730069782811215</v>
      </c>
      <c r="U2">
        <f>'Population yty'!U$17/SUM('Population yty'!U$17:U$18)</f>
        <v>0.49784424559135293</v>
      </c>
      <c r="V2">
        <f>'Population yty'!V$17/SUM('Population yty'!V$17:V$18)</f>
        <v>0.49839100653246488</v>
      </c>
      <c r="W2">
        <f>'Population yty'!W$17/SUM('Population yty'!W$17:W$18)</f>
        <v>0.49889455100351221</v>
      </c>
      <c r="X2">
        <f>'Population yty'!X$17/SUM('Population yty'!X$17:X$18)</f>
        <v>0.49940183692571388</v>
      </c>
      <c r="Y2">
        <f>'Population yty'!Y$17/SUM('Population yty'!Y$17:Y$18)</f>
        <v>0.49991290688923717</v>
      </c>
      <c r="Z2">
        <f>'Population yty'!Z$17/SUM('Population yty'!Z$17:Z$18)</f>
        <v>0.50042780265559905</v>
      </c>
      <c r="AA2">
        <f>'Population yty'!AA$17/SUM('Population yty'!AA$17:AA$18)</f>
        <v>0.50094656771750212</v>
      </c>
      <c r="AB2">
        <f>'Population yty'!AB$17/SUM('Population yty'!AB$17:AB$18)</f>
        <v>0.50140045024658875</v>
      </c>
      <c r="AC2">
        <f>'Population yty'!AC$17/SUM('Population yty'!AC$17:AC$18)</f>
        <v>0.50185873222992139</v>
      </c>
      <c r="AD2">
        <f>'Population yty'!AD$17/SUM('Population yty'!AD$17:AD$18)</f>
        <v>0.50232147832352148</v>
      </c>
      <c r="AE2">
        <f>'Population yty'!AE$17/SUM('Population yty'!AE$17:AE$18)</f>
        <v>0.50278875445058113</v>
      </c>
      <c r="AF2">
        <f>'Population yty'!AF$17/SUM('Population yty'!AF$17:AF$18)</f>
        <v>0.50326062669558902</v>
      </c>
      <c r="AG2">
        <f>'Population yty'!AG$17/SUM('Population yty'!AG$17:AG$18)</f>
        <v>0.50366748047075927</v>
      </c>
      <c r="AH2">
        <f>'Population yty'!AH$17/SUM('Population yty'!AH$17:AH$18)</f>
        <v>0.50407973588806465</v>
      </c>
      <c r="AI2">
        <f>'Population yty'!AI$17/SUM('Population yty'!AI$17:AI$18)</f>
        <v>0.50449750200961585</v>
      </c>
      <c r="AJ2">
        <f>'Population yty'!AJ$17/SUM('Population yty'!AJ$17:AJ$18)</f>
        <v>0.50492088929847245</v>
      </c>
      <c r="AK2">
        <f>'Population yty'!AK$17/SUM('Population yty'!AK$17:AK$18)</f>
        <v>0.50535001275392832</v>
      </c>
      <c r="AL2">
        <f>'Population yty'!AL$17/SUM('Population yty'!AL$17:AL$18)</f>
        <v>0.50567200107622434</v>
      </c>
      <c r="AM2">
        <f>'Population yty'!AM$17/SUM('Population yty'!AM$17:AM$18)</f>
        <v>0.50599954630592303</v>
      </c>
      <c r="AN2">
        <f>'Population yty'!AN$17/SUM('Population yty'!AN$17:AN$18)</f>
        <v>0.50633279396097353</v>
      </c>
      <c r="AO2">
        <f>'Population yty'!AO$17/SUM('Population yty'!AO$17:AO$18)</f>
        <v>0.50667189303999915</v>
      </c>
      <c r="AP2">
        <f>'Population yty'!AP$17/SUM('Population yty'!AP$17:AP$18)</f>
        <v>0.50701700067173805</v>
      </c>
    </row>
    <row r="3" spans="1:42" x14ac:dyDescent="0.2">
      <c r="A3" t="s">
        <v>122</v>
      </c>
      <c r="B3">
        <f>'Population yty'!B$17/SUM('Population yty'!B$17:B$18)</f>
        <v>0.48827686095793288</v>
      </c>
      <c r="C3">
        <f>'Population yty'!C$17/SUM('Population yty'!C$17:C$18)</f>
        <v>0.48873256402408538</v>
      </c>
      <c r="D3">
        <f>'Population yty'!D$17/SUM('Population yty'!D$17:D$18)</f>
        <v>0.48918659833054368</v>
      </c>
      <c r="E3">
        <f>'Population yty'!E$17/SUM('Population yty'!E$17:E$18)</f>
        <v>0.48963897230787418</v>
      </c>
      <c r="F3">
        <f>'Population yty'!F$17/SUM('Population yty'!F$17:F$18)</f>
        <v>0.49008969576387812</v>
      </c>
      <c r="G3">
        <f>'Population yty'!G$17/SUM('Population yty'!G$17:G$18)</f>
        <v>0.49053877700002757</v>
      </c>
      <c r="H3">
        <f>'Population yty'!H$17/SUM('Population yty'!H$17:H$18)</f>
        <v>0.4910351236746261</v>
      </c>
      <c r="I3">
        <f>'Population yty'!I$17/SUM('Population yty'!I$17:I$18)</f>
        <v>0.49153192428388565</v>
      </c>
      <c r="J3">
        <f>'Population yty'!J$17/SUM('Population yty'!J$17:J$18)</f>
        <v>0.49202917910450317</v>
      </c>
      <c r="K3">
        <f>'Population yty'!K$17/SUM('Population yty'!K$17:K$18)</f>
        <v>0.4925268894527311</v>
      </c>
      <c r="L3">
        <f>'Population yty'!L$17/SUM('Population yty'!L$17:L$18)</f>
        <v>0.49302505560805826</v>
      </c>
      <c r="M3">
        <f>'Population yty'!M$17/SUM('Population yty'!M$17:M$18)</f>
        <v>0.49355394154854043</v>
      </c>
      <c r="N3">
        <f>'Population yty'!N$17/SUM('Population yty'!N$17:N$18)</f>
        <v>0.49408477393958355</v>
      </c>
      <c r="O3">
        <f>'Population yty'!O$17/SUM('Population yty'!O$17:O$18)</f>
        <v>0.49461756248356553</v>
      </c>
      <c r="P3">
        <f>'Population yty'!P$17/SUM('Population yty'!P$17:P$18)</f>
        <v>0.4951523183654849</v>
      </c>
      <c r="Q3">
        <f>'Population yty'!Q$17/SUM('Population yty'!Q$17:Q$18)</f>
        <v>0.49568905285461284</v>
      </c>
      <c r="R3">
        <f>'Population yty'!R$17/SUM('Population yty'!R$17:R$18)</f>
        <v>0.49622312921109335</v>
      </c>
      <c r="S3">
        <f>'Population yty'!S$17/SUM('Population yty'!S$17:S$18)</f>
        <v>0.49676033464817482</v>
      </c>
      <c r="T3">
        <f>'Population yty'!T$17/SUM('Population yty'!T$17:T$18)</f>
        <v>0.49730069782811215</v>
      </c>
      <c r="U3">
        <f>'Population yty'!U$17/SUM('Population yty'!U$17:U$18)</f>
        <v>0.49784424559135293</v>
      </c>
      <c r="V3">
        <f>'Population yty'!V$17/SUM('Population yty'!V$17:V$18)</f>
        <v>0.49839100653246488</v>
      </c>
      <c r="W3">
        <f>'Population yty'!W$17/SUM('Population yty'!W$17:W$18)</f>
        <v>0.49889455100351221</v>
      </c>
      <c r="X3">
        <f>'Population yty'!X$17/SUM('Population yty'!X$17:X$18)</f>
        <v>0.49940183692571388</v>
      </c>
      <c r="Y3">
        <f>'Population yty'!Y$17/SUM('Population yty'!Y$17:Y$18)</f>
        <v>0.49991290688923717</v>
      </c>
      <c r="Z3">
        <f>'Population yty'!Z$17/SUM('Population yty'!Z$17:Z$18)</f>
        <v>0.50042780265559905</v>
      </c>
      <c r="AA3">
        <f>'Population yty'!AA$17/SUM('Population yty'!AA$17:AA$18)</f>
        <v>0.50094656771750212</v>
      </c>
      <c r="AB3">
        <f>'Population yty'!AB$17/SUM('Population yty'!AB$17:AB$18)</f>
        <v>0.50140045024658875</v>
      </c>
      <c r="AC3">
        <f>'Population yty'!AC$17/SUM('Population yty'!AC$17:AC$18)</f>
        <v>0.50185873222992139</v>
      </c>
      <c r="AD3">
        <f>'Population yty'!AD$17/SUM('Population yty'!AD$17:AD$18)</f>
        <v>0.50232147832352148</v>
      </c>
      <c r="AE3">
        <f>'Population yty'!AE$17/SUM('Population yty'!AE$17:AE$18)</f>
        <v>0.50278875445058113</v>
      </c>
      <c r="AF3">
        <f>'Population yty'!AF$17/SUM('Population yty'!AF$17:AF$18)</f>
        <v>0.50326062669558902</v>
      </c>
      <c r="AG3">
        <f>'Population yty'!AG$17/SUM('Population yty'!AG$17:AG$18)</f>
        <v>0.50366748047075927</v>
      </c>
      <c r="AH3">
        <f>'Population yty'!AH$17/SUM('Population yty'!AH$17:AH$18)</f>
        <v>0.50407973588806465</v>
      </c>
      <c r="AI3">
        <f>'Population yty'!AI$17/SUM('Population yty'!AI$17:AI$18)</f>
        <v>0.50449750200961585</v>
      </c>
      <c r="AJ3">
        <f>'Population yty'!AJ$17/SUM('Population yty'!AJ$17:AJ$18)</f>
        <v>0.50492088929847245</v>
      </c>
      <c r="AK3">
        <f>'Population yty'!AK$17/SUM('Population yty'!AK$17:AK$18)</f>
        <v>0.50535001275392832</v>
      </c>
      <c r="AL3">
        <f>'Population yty'!AL$17/SUM('Population yty'!AL$17:AL$18)</f>
        <v>0.50567200107622434</v>
      </c>
      <c r="AM3">
        <f>'Population yty'!AM$17/SUM('Population yty'!AM$17:AM$18)</f>
        <v>0.50599954630592303</v>
      </c>
      <c r="AN3">
        <f>'Population yty'!AN$17/SUM('Population yty'!AN$17:AN$18)</f>
        <v>0.50633279396097353</v>
      </c>
      <c r="AO3">
        <f>'Population yty'!AO$17/SUM('Population yty'!AO$17:AO$18)</f>
        <v>0.50667189303999915</v>
      </c>
      <c r="AP3">
        <f>'Population yty'!AP$17/SUM('Population yty'!AP$17:AP$18)</f>
        <v>0.50701700067173805</v>
      </c>
    </row>
    <row r="4" spans="1:42" x14ac:dyDescent="0.2">
      <c r="A4" t="s">
        <v>123</v>
      </c>
      <c r="B4">
        <f>'Population yty'!B$17/SUM('Population yty'!B$17:B$18)</f>
        <v>0.48827686095793288</v>
      </c>
      <c r="C4">
        <f>'Population yty'!C$17/SUM('Population yty'!C$17:C$18)</f>
        <v>0.48873256402408538</v>
      </c>
      <c r="D4">
        <f>'Population yty'!D$17/SUM('Population yty'!D$17:D$18)</f>
        <v>0.48918659833054368</v>
      </c>
      <c r="E4">
        <f>'Population yty'!E$17/SUM('Population yty'!E$17:E$18)</f>
        <v>0.48963897230787418</v>
      </c>
      <c r="F4">
        <f>'Population yty'!F$17/SUM('Population yty'!F$17:F$18)</f>
        <v>0.49008969576387812</v>
      </c>
      <c r="G4">
        <f>'Population yty'!G$17/SUM('Population yty'!G$17:G$18)</f>
        <v>0.49053877700002757</v>
      </c>
      <c r="H4">
        <f>'Population yty'!H$17/SUM('Population yty'!H$17:H$18)</f>
        <v>0.4910351236746261</v>
      </c>
      <c r="I4">
        <f>'Population yty'!I$17/SUM('Population yty'!I$17:I$18)</f>
        <v>0.49153192428388565</v>
      </c>
      <c r="J4">
        <f>'Population yty'!J$17/SUM('Population yty'!J$17:J$18)</f>
        <v>0.49202917910450317</v>
      </c>
      <c r="K4">
        <f>'Population yty'!K$17/SUM('Population yty'!K$17:K$18)</f>
        <v>0.4925268894527311</v>
      </c>
      <c r="L4">
        <f>'Population yty'!L$17/SUM('Population yty'!L$17:L$18)</f>
        <v>0.49302505560805826</v>
      </c>
      <c r="M4">
        <f>'Population yty'!M$17/SUM('Population yty'!M$17:M$18)</f>
        <v>0.49355394154854043</v>
      </c>
      <c r="N4">
        <f>'Population yty'!N$17/SUM('Population yty'!N$17:N$18)</f>
        <v>0.49408477393958355</v>
      </c>
      <c r="O4">
        <f>'Population yty'!O$17/SUM('Population yty'!O$17:O$18)</f>
        <v>0.49461756248356553</v>
      </c>
      <c r="P4">
        <f>'Population yty'!P$17/SUM('Population yty'!P$17:P$18)</f>
        <v>0.4951523183654849</v>
      </c>
      <c r="Q4">
        <f>'Population yty'!Q$17/SUM('Population yty'!Q$17:Q$18)</f>
        <v>0.49568905285461284</v>
      </c>
      <c r="R4">
        <f>'Population yty'!R$17/SUM('Population yty'!R$17:R$18)</f>
        <v>0.49622312921109335</v>
      </c>
      <c r="S4">
        <f>'Population yty'!S$17/SUM('Population yty'!S$17:S$18)</f>
        <v>0.49676033464817482</v>
      </c>
      <c r="T4">
        <f>'Population yty'!T$17/SUM('Population yty'!T$17:T$18)</f>
        <v>0.49730069782811215</v>
      </c>
      <c r="U4">
        <f>'Population yty'!U$17/SUM('Population yty'!U$17:U$18)</f>
        <v>0.49784424559135293</v>
      </c>
      <c r="V4">
        <f>'Population yty'!V$17/SUM('Population yty'!V$17:V$18)</f>
        <v>0.49839100653246488</v>
      </c>
      <c r="W4">
        <f>'Population yty'!W$17/SUM('Population yty'!W$17:W$18)</f>
        <v>0.49889455100351221</v>
      </c>
      <c r="X4">
        <f>'Population yty'!X$17/SUM('Population yty'!X$17:X$18)</f>
        <v>0.49940183692571388</v>
      </c>
      <c r="Y4">
        <f>'Population yty'!Y$17/SUM('Population yty'!Y$17:Y$18)</f>
        <v>0.49991290688923717</v>
      </c>
      <c r="Z4">
        <f>'Population yty'!Z$17/SUM('Population yty'!Z$17:Z$18)</f>
        <v>0.50042780265559905</v>
      </c>
      <c r="AA4">
        <f>'Population yty'!AA$17/SUM('Population yty'!AA$17:AA$18)</f>
        <v>0.50094656771750212</v>
      </c>
      <c r="AB4">
        <f>'Population yty'!AB$17/SUM('Population yty'!AB$17:AB$18)</f>
        <v>0.50140045024658875</v>
      </c>
      <c r="AC4">
        <f>'Population yty'!AC$17/SUM('Population yty'!AC$17:AC$18)</f>
        <v>0.50185873222992139</v>
      </c>
      <c r="AD4">
        <f>'Population yty'!AD$17/SUM('Population yty'!AD$17:AD$18)</f>
        <v>0.50232147832352148</v>
      </c>
      <c r="AE4">
        <f>'Population yty'!AE$17/SUM('Population yty'!AE$17:AE$18)</f>
        <v>0.50278875445058113</v>
      </c>
      <c r="AF4">
        <f>'Population yty'!AF$17/SUM('Population yty'!AF$17:AF$18)</f>
        <v>0.50326062669558902</v>
      </c>
      <c r="AG4">
        <f>'Population yty'!AG$17/SUM('Population yty'!AG$17:AG$18)</f>
        <v>0.50366748047075927</v>
      </c>
      <c r="AH4">
        <f>'Population yty'!AH$17/SUM('Population yty'!AH$17:AH$18)</f>
        <v>0.50407973588806465</v>
      </c>
      <c r="AI4">
        <f>'Population yty'!AI$17/SUM('Population yty'!AI$17:AI$18)</f>
        <v>0.50449750200961585</v>
      </c>
      <c r="AJ4">
        <f>'Population yty'!AJ$17/SUM('Population yty'!AJ$17:AJ$18)</f>
        <v>0.50492088929847245</v>
      </c>
      <c r="AK4">
        <f>'Population yty'!AK$17/SUM('Population yty'!AK$17:AK$18)</f>
        <v>0.50535001275392832</v>
      </c>
      <c r="AL4">
        <f>'Population yty'!AL$17/SUM('Population yty'!AL$17:AL$18)</f>
        <v>0.50567200107622434</v>
      </c>
      <c r="AM4">
        <f>'Population yty'!AM$17/SUM('Population yty'!AM$17:AM$18)</f>
        <v>0.50599954630592303</v>
      </c>
      <c r="AN4">
        <f>'Population yty'!AN$17/SUM('Population yty'!AN$17:AN$18)</f>
        <v>0.50633279396097353</v>
      </c>
      <c r="AO4">
        <f>'Population yty'!AO$17/SUM('Population yty'!AO$17:AO$18)</f>
        <v>0.50667189303999915</v>
      </c>
      <c r="AP4">
        <f>'Population yty'!AP$17/SUM('Population yty'!AP$17:AP$18)</f>
        <v>0.50701700067173805</v>
      </c>
    </row>
    <row r="5" spans="1:42" x14ac:dyDescent="0.2">
      <c r="A5" t="s">
        <v>124</v>
      </c>
      <c r="B5">
        <f>'Population yty'!B$17/SUM('Population yty'!B$17:B$18)</f>
        <v>0.48827686095793288</v>
      </c>
      <c r="C5">
        <f>'Population yty'!C$17/SUM('Population yty'!C$17:C$18)</f>
        <v>0.48873256402408538</v>
      </c>
      <c r="D5">
        <f>'Population yty'!D$17/SUM('Population yty'!D$17:D$18)</f>
        <v>0.48918659833054368</v>
      </c>
      <c r="E5">
        <f>'Population yty'!E$17/SUM('Population yty'!E$17:E$18)</f>
        <v>0.48963897230787418</v>
      </c>
      <c r="F5">
        <f>'Population yty'!F$17/SUM('Population yty'!F$17:F$18)</f>
        <v>0.49008969576387812</v>
      </c>
      <c r="G5">
        <f>'Population yty'!G$17/SUM('Population yty'!G$17:G$18)</f>
        <v>0.49053877700002757</v>
      </c>
      <c r="H5">
        <f>'Population yty'!H$17/SUM('Population yty'!H$17:H$18)</f>
        <v>0.4910351236746261</v>
      </c>
      <c r="I5">
        <f>'Population yty'!I$17/SUM('Population yty'!I$17:I$18)</f>
        <v>0.49153192428388565</v>
      </c>
      <c r="J5">
        <f>'Population yty'!J$17/SUM('Population yty'!J$17:J$18)</f>
        <v>0.49202917910450317</v>
      </c>
      <c r="K5">
        <f>'Population yty'!K$17/SUM('Population yty'!K$17:K$18)</f>
        <v>0.4925268894527311</v>
      </c>
      <c r="L5">
        <f>'Population yty'!L$17/SUM('Population yty'!L$17:L$18)</f>
        <v>0.49302505560805826</v>
      </c>
      <c r="M5">
        <f>'Population yty'!M$17/SUM('Population yty'!M$17:M$18)</f>
        <v>0.49355394154854043</v>
      </c>
      <c r="N5">
        <f>'Population yty'!N$17/SUM('Population yty'!N$17:N$18)</f>
        <v>0.49408477393958355</v>
      </c>
      <c r="O5">
        <f>'Population yty'!O$17/SUM('Population yty'!O$17:O$18)</f>
        <v>0.49461756248356553</v>
      </c>
      <c r="P5">
        <f>'Population yty'!P$17/SUM('Population yty'!P$17:P$18)</f>
        <v>0.4951523183654849</v>
      </c>
      <c r="Q5">
        <f>'Population yty'!Q$17/SUM('Population yty'!Q$17:Q$18)</f>
        <v>0.49568905285461284</v>
      </c>
      <c r="R5">
        <f>'Population yty'!R$17/SUM('Population yty'!R$17:R$18)</f>
        <v>0.49622312921109335</v>
      </c>
      <c r="S5">
        <f>'Population yty'!S$17/SUM('Population yty'!S$17:S$18)</f>
        <v>0.49676033464817482</v>
      </c>
      <c r="T5">
        <f>'Population yty'!T$17/SUM('Population yty'!T$17:T$18)</f>
        <v>0.49730069782811215</v>
      </c>
      <c r="U5">
        <f>'Population yty'!U$17/SUM('Population yty'!U$17:U$18)</f>
        <v>0.49784424559135293</v>
      </c>
      <c r="V5">
        <f>'Population yty'!V$17/SUM('Population yty'!V$17:V$18)</f>
        <v>0.49839100653246488</v>
      </c>
      <c r="W5">
        <f>'Population yty'!W$17/SUM('Population yty'!W$17:W$18)</f>
        <v>0.49889455100351221</v>
      </c>
      <c r="X5">
        <f>'Population yty'!X$17/SUM('Population yty'!X$17:X$18)</f>
        <v>0.49940183692571388</v>
      </c>
      <c r="Y5">
        <f>'Population yty'!Y$17/SUM('Population yty'!Y$17:Y$18)</f>
        <v>0.49991290688923717</v>
      </c>
      <c r="Z5">
        <f>'Population yty'!Z$17/SUM('Population yty'!Z$17:Z$18)</f>
        <v>0.50042780265559905</v>
      </c>
      <c r="AA5">
        <f>'Population yty'!AA$17/SUM('Population yty'!AA$17:AA$18)</f>
        <v>0.50094656771750212</v>
      </c>
      <c r="AB5">
        <f>'Population yty'!AB$17/SUM('Population yty'!AB$17:AB$18)</f>
        <v>0.50140045024658875</v>
      </c>
      <c r="AC5">
        <f>'Population yty'!AC$17/SUM('Population yty'!AC$17:AC$18)</f>
        <v>0.50185873222992139</v>
      </c>
      <c r="AD5">
        <f>'Population yty'!AD$17/SUM('Population yty'!AD$17:AD$18)</f>
        <v>0.50232147832352148</v>
      </c>
      <c r="AE5">
        <f>'Population yty'!AE$17/SUM('Population yty'!AE$17:AE$18)</f>
        <v>0.50278875445058113</v>
      </c>
      <c r="AF5">
        <f>'Population yty'!AF$17/SUM('Population yty'!AF$17:AF$18)</f>
        <v>0.50326062669558902</v>
      </c>
      <c r="AG5">
        <f>'Population yty'!AG$17/SUM('Population yty'!AG$17:AG$18)</f>
        <v>0.50366748047075927</v>
      </c>
      <c r="AH5">
        <f>'Population yty'!AH$17/SUM('Population yty'!AH$17:AH$18)</f>
        <v>0.50407973588806465</v>
      </c>
      <c r="AI5">
        <f>'Population yty'!AI$17/SUM('Population yty'!AI$17:AI$18)</f>
        <v>0.50449750200961585</v>
      </c>
      <c r="AJ5">
        <f>'Population yty'!AJ$17/SUM('Population yty'!AJ$17:AJ$18)</f>
        <v>0.50492088929847245</v>
      </c>
      <c r="AK5">
        <f>'Population yty'!AK$17/SUM('Population yty'!AK$17:AK$18)</f>
        <v>0.50535001275392832</v>
      </c>
      <c r="AL5">
        <f>'Population yty'!AL$17/SUM('Population yty'!AL$17:AL$18)</f>
        <v>0.50567200107622434</v>
      </c>
      <c r="AM5">
        <f>'Population yty'!AM$17/SUM('Population yty'!AM$17:AM$18)</f>
        <v>0.50599954630592303</v>
      </c>
      <c r="AN5">
        <f>'Population yty'!AN$17/SUM('Population yty'!AN$17:AN$18)</f>
        <v>0.50633279396097353</v>
      </c>
      <c r="AO5">
        <f>'Population yty'!AO$17/SUM('Population yty'!AO$17:AO$18)</f>
        <v>0.50667189303999915</v>
      </c>
      <c r="AP5">
        <f>'Population yty'!AP$17/SUM('Population yty'!AP$17:AP$18)</f>
        <v>0.50701700067173805</v>
      </c>
    </row>
    <row r="6" spans="1:42" x14ac:dyDescent="0.2">
      <c r="A6" t="s">
        <v>125</v>
      </c>
      <c r="B6">
        <f>'Population yty'!B$17/SUM('Population yty'!B$17:B$18)</f>
        <v>0.48827686095793288</v>
      </c>
      <c r="C6">
        <f>'Population yty'!C$17/SUM('Population yty'!C$17:C$18)</f>
        <v>0.48873256402408538</v>
      </c>
      <c r="D6">
        <f>'Population yty'!D$17/SUM('Population yty'!D$17:D$18)</f>
        <v>0.48918659833054368</v>
      </c>
      <c r="E6">
        <f>'Population yty'!E$17/SUM('Population yty'!E$17:E$18)</f>
        <v>0.48963897230787418</v>
      </c>
      <c r="F6">
        <f>'Population yty'!F$17/SUM('Population yty'!F$17:F$18)</f>
        <v>0.49008969576387812</v>
      </c>
      <c r="G6">
        <f>'Population yty'!G$17/SUM('Population yty'!G$17:G$18)</f>
        <v>0.49053877700002757</v>
      </c>
      <c r="H6">
        <f>'Population yty'!H$17/SUM('Population yty'!H$17:H$18)</f>
        <v>0.4910351236746261</v>
      </c>
      <c r="I6">
        <f>'Population yty'!I$17/SUM('Population yty'!I$17:I$18)</f>
        <v>0.49153192428388565</v>
      </c>
      <c r="J6">
        <f>'Population yty'!J$17/SUM('Population yty'!J$17:J$18)</f>
        <v>0.49202917910450317</v>
      </c>
      <c r="K6">
        <f>'Population yty'!K$17/SUM('Population yty'!K$17:K$18)</f>
        <v>0.4925268894527311</v>
      </c>
      <c r="L6">
        <f>'Population yty'!L$17/SUM('Population yty'!L$17:L$18)</f>
        <v>0.49302505560805826</v>
      </c>
      <c r="M6">
        <f>'Population yty'!M$17/SUM('Population yty'!M$17:M$18)</f>
        <v>0.49355394154854043</v>
      </c>
      <c r="N6">
        <f>'Population yty'!N$17/SUM('Population yty'!N$17:N$18)</f>
        <v>0.49408477393958355</v>
      </c>
      <c r="O6">
        <f>'Population yty'!O$17/SUM('Population yty'!O$17:O$18)</f>
        <v>0.49461756248356553</v>
      </c>
      <c r="P6">
        <f>'Population yty'!P$17/SUM('Population yty'!P$17:P$18)</f>
        <v>0.4951523183654849</v>
      </c>
      <c r="Q6">
        <f>'Population yty'!Q$17/SUM('Population yty'!Q$17:Q$18)</f>
        <v>0.49568905285461284</v>
      </c>
      <c r="R6">
        <f>'Population yty'!R$17/SUM('Population yty'!R$17:R$18)</f>
        <v>0.49622312921109335</v>
      </c>
      <c r="S6">
        <f>'Population yty'!S$17/SUM('Population yty'!S$17:S$18)</f>
        <v>0.49676033464817482</v>
      </c>
      <c r="T6">
        <f>'Population yty'!T$17/SUM('Population yty'!T$17:T$18)</f>
        <v>0.49730069782811215</v>
      </c>
      <c r="U6">
        <f>'Population yty'!U$17/SUM('Population yty'!U$17:U$18)</f>
        <v>0.49784424559135293</v>
      </c>
      <c r="V6">
        <f>'Population yty'!V$17/SUM('Population yty'!V$17:V$18)</f>
        <v>0.49839100653246488</v>
      </c>
      <c r="W6">
        <f>'Population yty'!W$17/SUM('Population yty'!W$17:W$18)</f>
        <v>0.49889455100351221</v>
      </c>
      <c r="X6">
        <f>'Population yty'!X$17/SUM('Population yty'!X$17:X$18)</f>
        <v>0.49940183692571388</v>
      </c>
      <c r="Y6">
        <f>'Population yty'!Y$17/SUM('Population yty'!Y$17:Y$18)</f>
        <v>0.49991290688923717</v>
      </c>
      <c r="Z6">
        <f>'Population yty'!Z$17/SUM('Population yty'!Z$17:Z$18)</f>
        <v>0.50042780265559905</v>
      </c>
      <c r="AA6">
        <f>'Population yty'!AA$17/SUM('Population yty'!AA$17:AA$18)</f>
        <v>0.50094656771750212</v>
      </c>
      <c r="AB6">
        <f>'Population yty'!AB$17/SUM('Population yty'!AB$17:AB$18)</f>
        <v>0.50140045024658875</v>
      </c>
      <c r="AC6">
        <f>'Population yty'!AC$17/SUM('Population yty'!AC$17:AC$18)</f>
        <v>0.50185873222992139</v>
      </c>
      <c r="AD6">
        <f>'Population yty'!AD$17/SUM('Population yty'!AD$17:AD$18)</f>
        <v>0.50232147832352148</v>
      </c>
      <c r="AE6">
        <f>'Population yty'!AE$17/SUM('Population yty'!AE$17:AE$18)</f>
        <v>0.50278875445058113</v>
      </c>
      <c r="AF6">
        <f>'Population yty'!AF$17/SUM('Population yty'!AF$17:AF$18)</f>
        <v>0.50326062669558902</v>
      </c>
      <c r="AG6">
        <f>'Population yty'!AG$17/SUM('Population yty'!AG$17:AG$18)</f>
        <v>0.50366748047075927</v>
      </c>
      <c r="AH6">
        <f>'Population yty'!AH$17/SUM('Population yty'!AH$17:AH$18)</f>
        <v>0.50407973588806465</v>
      </c>
      <c r="AI6">
        <f>'Population yty'!AI$17/SUM('Population yty'!AI$17:AI$18)</f>
        <v>0.50449750200961585</v>
      </c>
      <c r="AJ6">
        <f>'Population yty'!AJ$17/SUM('Population yty'!AJ$17:AJ$18)</f>
        <v>0.50492088929847245</v>
      </c>
      <c r="AK6">
        <f>'Population yty'!AK$17/SUM('Population yty'!AK$17:AK$18)</f>
        <v>0.50535001275392832</v>
      </c>
      <c r="AL6">
        <f>'Population yty'!AL$17/SUM('Population yty'!AL$17:AL$18)</f>
        <v>0.50567200107622434</v>
      </c>
      <c r="AM6">
        <f>'Population yty'!AM$17/SUM('Population yty'!AM$17:AM$18)</f>
        <v>0.50599954630592303</v>
      </c>
      <c r="AN6">
        <f>'Population yty'!AN$17/SUM('Population yty'!AN$17:AN$18)</f>
        <v>0.50633279396097353</v>
      </c>
      <c r="AO6">
        <f>'Population yty'!AO$17/SUM('Population yty'!AO$17:AO$18)</f>
        <v>0.50667189303999915</v>
      </c>
      <c r="AP6">
        <f>'Population yty'!AP$17/SUM('Population yty'!AP$17:AP$18)</f>
        <v>0.50701700067173805</v>
      </c>
    </row>
    <row r="7" spans="1:42" x14ac:dyDescent="0.2">
      <c r="A7" t="s">
        <v>126</v>
      </c>
      <c r="B7">
        <f>'Population yty'!B$17/SUM('Population yty'!B$17:B$18)</f>
        <v>0.48827686095793288</v>
      </c>
      <c r="C7">
        <f>'Population yty'!C$17/SUM('Population yty'!C$17:C$18)</f>
        <v>0.48873256402408538</v>
      </c>
      <c r="D7">
        <f>'Population yty'!D$17/SUM('Population yty'!D$17:D$18)</f>
        <v>0.48918659833054368</v>
      </c>
      <c r="E7">
        <f>'Population yty'!E$17/SUM('Population yty'!E$17:E$18)</f>
        <v>0.48963897230787418</v>
      </c>
      <c r="F7">
        <f>'Population yty'!F$17/SUM('Population yty'!F$17:F$18)</f>
        <v>0.49008969576387812</v>
      </c>
      <c r="G7">
        <f>'Population yty'!G$17/SUM('Population yty'!G$17:G$18)</f>
        <v>0.49053877700002757</v>
      </c>
      <c r="H7">
        <f>'Population yty'!H$17/SUM('Population yty'!H$17:H$18)</f>
        <v>0.4910351236746261</v>
      </c>
      <c r="I7">
        <f>'Population yty'!I$17/SUM('Population yty'!I$17:I$18)</f>
        <v>0.49153192428388565</v>
      </c>
      <c r="J7">
        <f>'Population yty'!J$17/SUM('Population yty'!J$17:J$18)</f>
        <v>0.49202917910450317</v>
      </c>
      <c r="K7">
        <f>'Population yty'!K$17/SUM('Population yty'!K$17:K$18)</f>
        <v>0.4925268894527311</v>
      </c>
      <c r="L7">
        <f>'Population yty'!L$17/SUM('Population yty'!L$17:L$18)</f>
        <v>0.49302505560805826</v>
      </c>
      <c r="M7">
        <f>'Population yty'!M$17/SUM('Population yty'!M$17:M$18)</f>
        <v>0.49355394154854043</v>
      </c>
      <c r="N7">
        <f>'Population yty'!N$17/SUM('Population yty'!N$17:N$18)</f>
        <v>0.49408477393958355</v>
      </c>
      <c r="O7">
        <f>'Population yty'!O$17/SUM('Population yty'!O$17:O$18)</f>
        <v>0.49461756248356553</v>
      </c>
      <c r="P7">
        <f>'Population yty'!P$17/SUM('Population yty'!P$17:P$18)</f>
        <v>0.4951523183654849</v>
      </c>
      <c r="Q7">
        <f>'Population yty'!Q$17/SUM('Population yty'!Q$17:Q$18)</f>
        <v>0.49568905285461284</v>
      </c>
      <c r="R7">
        <f>'Population yty'!R$17/SUM('Population yty'!R$17:R$18)</f>
        <v>0.49622312921109335</v>
      </c>
      <c r="S7">
        <f>'Population yty'!S$17/SUM('Population yty'!S$17:S$18)</f>
        <v>0.49676033464817482</v>
      </c>
      <c r="T7">
        <f>'Population yty'!T$17/SUM('Population yty'!T$17:T$18)</f>
        <v>0.49730069782811215</v>
      </c>
      <c r="U7">
        <f>'Population yty'!U$17/SUM('Population yty'!U$17:U$18)</f>
        <v>0.49784424559135293</v>
      </c>
      <c r="V7">
        <f>'Population yty'!V$17/SUM('Population yty'!V$17:V$18)</f>
        <v>0.49839100653246488</v>
      </c>
      <c r="W7">
        <f>'Population yty'!W$17/SUM('Population yty'!W$17:W$18)</f>
        <v>0.49889455100351221</v>
      </c>
      <c r="X7">
        <f>'Population yty'!X$17/SUM('Population yty'!X$17:X$18)</f>
        <v>0.49940183692571388</v>
      </c>
      <c r="Y7">
        <f>'Population yty'!Y$17/SUM('Population yty'!Y$17:Y$18)</f>
        <v>0.49991290688923717</v>
      </c>
      <c r="Z7">
        <f>'Population yty'!Z$17/SUM('Population yty'!Z$17:Z$18)</f>
        <v>0.50042780265559905</v>
      </c>
      <c r="AA7">
        <f>'Population yty'!AA$17/SUM('Population yty'!AA$17:AA$18)</f>
        <v>0.50094656771750212</v>
      </c>
      <c r="AB7">
        <f>'Population yty'!AB$17/SUM('Population yty'!AB$17:AB$18)</f>
        <v>0.50140045024658875</v>
      </c>
      <c r="AC7">
        <f>'Population yty'!AC$17/SUM('Population yty'!AC$17:AC$18)</f>
        <v>0.50185873222992139</v>
      </c>
      <c r="AD7">
        <f>'Population yty'!AD$17/SUM('Population yty'!AD$17:AD$18)</f>
        <v>0.50232147832352148</v>
      </c>
      <c r="AE7">
        <f>'Population yty'!AE$17/SUM('Population yty'!AE$17:AE$18)</f>
        <v>0.50278875445058113</v>
      </c>
      <c r="AF7">
        <f>'Population yty'!AF$17/SUM('Population yty'!AF$17:AF$18)</f>
        <v>0.50326062669558902</v>
      </c>
      <c r="AG7">
        <f>'Population yty'!AG$17/SUM('Population yty'!AG$17:AG$18)</f>
        <v>0.50366748047075927</v>
      </c>
      <c r="AH7">
        <f>'Population yty'!AH$17/SUM('Population yty'!AH$17:AH$18)</f>
        <v>0.50407973588806465</v>
      </c>
      <c r="AI7">
        <f>'Population yty'!AI$17/SUM('Population yty'!AI$17:AI$18)</f>
        <v>0.50449750200961585</v>
      </c>
      <c r="AJ7">
        <f>'Population yty'!AJ$17/SUM('Population yty'!AJ$17:AJ$18)</f>
        <v>0.50492088929847245</v>
      </c>
      <c r="AK7">
        <f>'Population yty'!AK$17/SUM('Population yty'!AK$17:AK$18)</f>
        <v>0.50535001275392832</v>
      </c>
      <c r="AL7">
        <f>'Population yty'!AL$17/SUM('Population yty'!AL$17:AL$18)</f>
        <v>0.50567200107622434</v>
      </c>
      <c r="AM7">
        <f>'Population yty'!AM$17/SUM('Population yty'!AM$17:AM$18)</f>
        <v>0.50599954630592303</v>
      </c>
      <c r="AN7">
        <f>'Population yty'!AN$17/SUM('Population yty'!AN$17:AN$18)</f>
        <v>0.50633279396097353</v>
      </c>
      <c r="AO7">
        <f>'Population yty'!AO$17/SUM('Population yty'!AO$17:AO$18)</f>
        <v>0.50667189303999915</v>
      </c>
      <c r="AP7">
        <f>'Population yty'!AP$17/SUM('Population yty'!AP$17:AP$18)</f>
        <v>0.50701700067173805</v>
      </c>
    </row>
    <row r="8" spans="1:42" x14ac:dyDescent="0.2">
      <c r="A8" t="s">
        <v>127</v>
      </c>
      <c r="B8">
        <f>'Population yty'!B$17/SUM('Population yty'!B$17:B$18)</f>
        <v>0.48827686095793288</v>
      </c>
      <c r="C8">
        <f>'Population yty'!C$17/SUM('Population yty'!C$17:C$18)</f>
        <v>0.48873256402408538</v>
      </c>
      <c r="D8">
        <f>'Population yty'!D$17/SUM('Population yty'!D$17:D$18)</f>
        <v>0.48918659833054368</v>
      </c>
      <c r="E8">
        <f>'Population yty'!E$17/SUM('Population yty'!E$17:E$18)</f>
        <v>0.48963897230787418</v>
      </c>
      <c r="F8">
        <f>'Population yty'!F$17/SUM('Population yty'!F$17:F$18)</f>
        <v>0.49008969576387812</v>
      </c>
      <c r="G8">
        <f>'Population yty'!G$17/SUM('Population yty'!G$17:G$18)</f>
        <v>0.49053877700002757</v>
      </c>
      <c r="H8">
        <f>'Population yty'!H$17/SUM('Population yty'!H$17:H$18)</f>
        <v>0.4910351236746261</v>
      </c>
      <c r="I8">
        <f>'Population yty'!I$17/SUM('Population yty'!I$17:I$18)</f>
        <v>0.49153192428388565</v>
      </c>
      <c r="J8">
        <f>'Population yty'!J$17/SUM('Population yty'!J$17:J$18)</f>
        <v>0.49202917910450317</v>
      </c>
      <c r="K8">
        <f>'Population yty'!K$17/SUM('Population yty'!K$17:K$18)</f>
        <v>0.4925268894527311</v>
      </c>
      <c r="L8">
        <f>'Population yty'!L$17/SUM('Population yty'!L$17:L$18)</f>
        <v>0.49302505560805826</v>
      </c>
      <c r="M8">
        <f>'Population yty'!M$17/SUM('Population yty'!M$17:M$18)</f>
        <v>0.49355394154854043</v>
      </c>
      <c r="N8">
        <f>'Population yty'!N$17/SUM('Population yty'!N$17:N$18)</f>
        <v>0.49408477393958355</v>
      </c>
      <c r="O8">
        <f>'Population yty'!O$17/SUM('Population yty'!O$17:O$18)</f>
        <v>0.49461756248356553</v>
      </c>
      <c r="P8">
        <f>'Population yty'!P$17/SUM('Population yty'!P$17:P$18)</f>
        <v>0.4951523183654849</v>
      </c>
      <c r="Q8">
        <f>'Population yty'!Q$17/SUM('Population yty'!Q$17:Q$18)</f>
        <v>0.49568905285461284</v>
      </c>
      <c r="R8">
        <f>'Population yty'!R$17/SUM('Population yty'!R$17:R$18)</f>
        <v>0.49622312921109335</v>
      </c>
      <c r="S8">
        <f>'Population yty'!S$17/SUM('Population yty'!S$17:S$18)</f>
        <v>0.49676033464817482</v>
      </c>
      <c r="T8">
        <f>'Population yty'!T$17/SUM('Population yty'!T$17:T$18)</f>
        <v>0.49730069782811215</v>
      </c>
      <c r="U8">
        <f>'Population yty'!U$17/SUM('Population yty'!U$17:U$18)</f>
        <v>0.49784424559135293</v>
      </c>
      <c r="V8">
        <f>'Population yty'!V$17/SUM('Population yty'!V$17:V$18)</f>
        <v>0.49839100653246488</v>
      </c>
      <c r="W8">
        <f>'Population yty'!W$17/SUM('Population yty'!W$17:W$18)</f>
        <v>0.49889455100351221</v>
      </c>
      <c r="X8">
        <f>'Population yty'!X$17/SUM('Population yty'!X$17:X$18)</f>
        <v>0.49940183692571388</v>
      </c>
      <c r="Y8">
        <f>'Population yty'!Y$17/SUM('Population yty'!Y$17:Y$18)</f>
        <v>0.49991290688923717</v>
      </c>
      <c r="Z8">
        <f>'Population yty'!Z$17/SUM('Population yty'!Z$17:Z$18)</f>
        <v>0.50042780265559905</v>
      </c>
      <c r="AA8">
        <f>'Population yty'!AA$17/SUM('Population yty'!AA$17:AA$18)</f>
        <v>0.50094656771750212</v>
      </c>
      <c r="AB8">
        <f>'Population yty'!AB$17/SUM('Population yty'!AB$17:AB$18)</f>
        <v>0.50140045024658875</v>
      </c>
      <c r="AC8">
        <f>'Population yty'!AC$17/SUM('Population yty'!AC$17:AC$18)</f>
        <v>0.50185873222992139</v>
      </c>
      <c r="AD8">
        <f>'Population yty'!AD$17/SUM('Population yty'!AD$17:AD$18)</f>
        <v>0.50232147832352148</v>
      </c>
      <c r="AE8">
        <f>'Population yty'!AE$17/SUM('Population yty'!AE$17:AE$18)</f>
        <v>0.50278875445058113</v>
      </c>
      <c r="AF8">
        <f>'Population yty'!AF$17/SUM('Population yty'!AF$17:AF$18)</f>
        <v>0.50326062669558902</v>
      </c>
      <c r="AG8">
        <f>'Population yty'!AG$17/SUM('Population yty'!AG$17:AG$18)</f>
        <v>0.50366748047075927</v>
      </c>
      <c r="AH8">
        <f>'Population yty'!AH$17/SUM('Population yty'!AH$17:AH$18)</f>
        <v>0.50407973588806465</v>
      </c>
      <c r="AI8">
        <f>'Population yty'!AI$17/SUM('Population yty'!AI$17:AI$18)</f>
        <v>0.50449750200961585</v>
      </c>
      <c r="AJ8">
        <f>'Population yty'!AJ$17/SUM('Population yty'!AJ$17:AJ$18)</f>
        <v>0.50492088929847245</v>
      </c>
      <c r="AK8">
        <f>'Population yty'!AK$17/SUM('Population yty'!AK$17:AK$18)</f>
        <v>0.50535001275392832</v>
      </c>
      <c r="AL8">
        <f>'Population yty'!AL$17/SUM('Population yty'!AL$17:AL$18)</f>
        <v>0.50567200107622434</v>
      </c>
      <c r="AM8">
        <f>'Population yty'!AM$17/SUM('Population yty'!AM$17:AM$18)</f>
        <v>0.50599954630592303</v>
      </c>
      <c r="AN8">
        <f>'Population yty'!AN$17/SUM('Population yty'!AN$17:AN$18)</f>
        <v>0.50633279396097353</v>
      </c>
      <c r="AO8">
        <f>'Population yty'!AO$17/SUM('Population yty'!AO$17:AO$18)</f>
        <v>0.50667189303999915</v>
      </c>
      <c r="AP8">
        <f>'Population yty'!AP$17/SUM('Population yty'!AP$17:AP$18)</f>
        <v>0.50701700067173805</v>
      </c>
    </row>
    <row r="9" spans="1:42" x14ac:dyDescent="0.2">
      <c r="A9" t="s">
        <v>128</v>
      </c>
      <c r="B9">
        <f>'Population yty'!B$17/SUM('Population yty'!B$17:B$18)</f>
        <v>0.48827686095793288</v>
      </c>
      <c r="C9">
        <f>'Population yty'!C$17/SUM('Population yty'!C$17:C$18)</f>
        <v>0.48873256402408538</v>
      </c>
      <c r="D9">
        <f>'Population yty'!D$17/SUM('Population yty'!D$17:D$18)</f>
        <v>0.48918659833054368</v>
      </c>
      <c r="E9">
        <f>'Population yty'!E$17/SUM('Population yty'!E$17:E$18)</f>
        <v>0.48963897230787418</v>
      </c>
      <c r="F9">
        <f>'Population yty'!F$17/SUM('Population yty'!F$17:F$18)</f>
        <v>0.49008969576387812</v>
      </c>
      <c r="G9">
        <f>'Population yty'!G$17/SUM('Population yty'!G$17:G$18)</f>
        <v>0.49053877700002757</v>
      </c>
      <c r="H9">
        <f>'Population yty'!H$17/SUM('Population yty'!H$17:H$18)</f>
        <v>0.4910351236746261</v>
      </c>
      <c r="I9">
        <f>'Population yty'!I$17/SUM('Population yty'!I$17:I$18)</f>
        <v>0.49153192428388565</v>
      </c>
      <c r="J9">
        <f>'Population yty'!J$17/SUM('Population yty'!J$17:J$18)</f>
        <v>0.49202917910450317</v>
      </c>
      <c r="K9">
        <f>'Population yty'!K$17/SUM('Population yty'!K$17:K$18)</f>
        <v>0.4925268894527311</v>
      </c>
      <c r="L9">
        <f>'Population yty'!L$17/SUM('Population yty'!L$17:L$18)</f>
        <v>0.49302505560805826</v>
      </c>
      <c r="M9">
        <f>'Population yty'!M$17/SUM('Population yty'!M$17:M$18)</f>
        <v>0.49355394154854043</v>
      </c>
      <c r="N9">
        <f>'Population yty'!N$17/SUM('Population yty'!N$17:N$18)</f>
        <v>0.49408477393958355</v>
      </c>
      <c r="O9">
        <f>'Population yty'!O$17/SUM('Population yty'!O$17:O$18)</f>
        <v>0.49461756248356553</v>
      </c>
      <c r="P9">
        <f>'Population yty'!P$17/SUM('Population yty'!P$17:P$18)</f>
        <v>0.4951523183654849</v>
      </c>
      <c r="Q9">
        <f>'Population yty'!Q$17/SUM('Population yty'!Q$17:Q$18)</f>
        <v>0.49568905285461284</v>
      </c>
      <c r="R9">
        <f>'Population yty'!R$17/SUM('Population yty'!R$17:R$18)</f>
        <v>0.49622312921109335</v>
      </c>
      <c r="S9">
        <f>'Population yty'!S$17/SUM('Population yty'!S$17:S$18)</f>
        <v>0.49676033464817482</v>
      </c>
      <c r="T9">
        <f>'Population yty'!T$17/SUM('Population yty'!T$17:T$18)</f>
        <v>0.49730069782811215</v>
      </c>
      <c r="U9">
        <f>'Population yty'!U$17/SUM('Population yty'!U$17:U$18)</f>
        <v>0.49784424559135293</v>
      </c>
      <c r="V9">
        <f>'Population yty'!V$17/SUM('Population yty'!V$17:V$18)</f>
        <v>0.49839100653246488</v>
      </c>
      <c r="W9">
        <f>'Population yty'!W$17/SUM('Population yty'!W$17:W$18)</f>
        <v>0.49889455100351221</v>
      </c>
      <c r="X9">
        <f>'Population yty'!X$17/SUM('Population yty'!X$17:X$18)</f>
        <v>0.49940183692571388</v>
      </c>
      <c r="Y9">
        <f>'Population yty'!Y$17/SUM('Population yty'!Y$17:Y$18)</f>
        <v>0.49991290688923717</v>
      </c>
      <c r="Z9">
        <f>'Population yty'!Z$17/SUM('Population yty'!Z$17:Z$18)</f>
        <v>0.50042780265559905</v>
      </c>
      <c r="AA9">
        <f>'Population yty'!AA$17/SUM('Population yty'!AA$17:AA$18)</f>
        <v>0.50094656771750212</v>
      </c>
      <c r="AB9">
        <f>'Population yty'!AB$17/SUM('Population yty'!AB$17:AB$18)</f>
        <v>0.50140045024658875</v>
      </c>
      <c r="AC9">
        <f>'Population yty'!AC$17/SUM('Population yty'!AC$17:AC$18)</f>
        <v>0.50185873222992139</v>
      </c>
      <c r="AD9">
        <f>'Population yty'!AD$17/SUM('Population yty'!AD$17:AD$18)</f>
        <v>0.50232147832352148</v>
      </c>
      <c r="AE9">
        <f>'Population yty'!AE$17/SUM('Population yty'!AE$17:AE$18)</f>
        <v>0.50278875445058113</v>
      </c>
      <c r="AF9">
        <f>'Population yty'!AF$17/SUM('Population yty'!AF$17:AF$18)</f>
        <v>0.50326062669558902</v>
      </c>
      <c r="AG9">
        <f>'Population yty'!AG$17/SUM('Population yty'!AG$17:AG$18)</f>
        <v>0.50366748047075927</v>
      </c>
      <c r="AH9">
        <f>'Population yty'!AH$17/SUM('Population yty'!AH$17:AH$18)</f>
        <v>0.50407973588806465</v>
      </c>
      <c r="AI9">
        <f>'Population yty'!AI$17/SUM('Population yty'!AI$17:AI$18)</f>
        <v>0.50449750200961585</v>
      </c>
      <c r="AJ9">
        <f>'Population yty'!AJ$17/SUM('Population yty'!AJ$17:AJ$18)</f>
        <v>0.50492088929847245</v>
      </c>
      <c r="AK9">
        <f>'Population yty'!AK$17/SUM('Population yty'!AK$17:AK$18)</f>
        <v>0.50535001275392832</v>
      </c>
      <c r="AL9">
        <f>'Population yty'!AL$17/SUM('Population yty'!AL$17:AL$18)</f>
        <v>0.50567200107622434</v>
      </c>
      <c r="AM9">
        <f>'Population yty'!AM$17/SUM('Population yty'!AM$17:AM$18)</f>
        <v>0.50599954630592303</v>
      </c>
      <c r="AN9">
        <f>'Population yty'!AN$17/SUM('Population yty'!AN$17:AN$18)</f>
        <v>0.50633279396097353</v>
      </c>
      <c r="AO9">
        <f>'Population yty'!AO$17/SUM('Population yty'!AO$17:AO$18)</f>
        <v>0.50667189303999915</v>
      </c>
      <c r="AP9">
        <f>'Population yty'!AP$17/SUM('Population yty'!AP$17:AP$18)</f>
        <v>0.50701700067173805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2EBC-378D-4E81-A833-1023A92AD84F}">
  <dimension ref="A1:AP9"/>
  <sheetViews>
    <sheetView workbookViewId="0">
      <selection sqref="A1:XFD1048576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121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x14ac:dyDescent="0.2">
      <c r="A3" t="s">
        <v>122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 x14ac:dyDescent="0.2">
      <c r="A4" t="s">
        <v>123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</row>
    <row r="5" spans="1:42" x14ac:dyDescent="0.2">
      <c r="A5" t="s">
        <v>124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2">
      <c r="A6" t="s">
        <v>125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 x14ac:dyDescent="0.2">
      <c r="A7" t="s">
        <v>126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</row>
    <row r="8" spans="1:42" x14ac:dyDescent="0.2">
      <c r="A8" t="s">
        <v>127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</row>
    <row r="9" spans="1:42" x14ac:dyDescent="0.2">
      <c r="A9" t="s">
        <v>128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539C-6974-4D2C-A024-DC2DD839F2C2}">
  <dimension ref="A1:AP9"/>
  <sheetViews>
    <sheetView tabSelected="1" topLeftCell="S1" workbookViewId="0">
      <selection activeCell="AF21" sqref="AF21"/>
    </sheetView>
  </sheetViews>
  <sheetFormatPr defaultRowHeight="14.25" x14ac:dyDescent="0.2"/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">
      <c r="A3" t="s">
        <v>122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123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124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125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126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127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">
      <c r="A9" t="s">
        <v>128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A04B68-B30A-4776-BD73-23DB44790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Freeze</vt:lpstr>
      <vt:lpstr>Low_2040</vt:lpstr>
      <vt:lpstr>Medium_2040</vt:lpstr>
      <vt:lpstr>High_2040</vt:lpstr>
      <vt:lpstr>Low_2060</vt:lpstr>
      <vt:lpstr>Medium_2060</vt:lpstr>
      <vt:lpstr>High_2060</vt:lpstr>
      <vt:lpstr>Freeze_0</vt:lpstr>
      <vt:lpstr>Freeze_1</vt:lpstr>
      <vt:lpstr>Freeze_2</vt:lpstr>
      <vt:lpstr>Low_60</vt:lpstr>
      <vt:lpstr>Median_60</vt:lpstr>
      <vt:lpstr>High_60</vt:lpstr>
      <vt:lpstr>Low_40</vt:lpstr>
      <vt:lpstr>Median_40</vt:lpstr>
      <vt:lpstr>High_40</vt:lpstr>
      <vt:lpstr>Past</vt:lpstr>
      <vt:lpstr>Viz</vt:lpstr>
      <vt:lpstr>Population yty</vt:lpstr>
      <vt:lpstr>BDbDT</vt:lpstr>
      <vt:lpstr>FoHObDT-male</vt:lpstr>
      <vt:lpstr>FoHObDT-female</vt:lpstr>
      <vt:lpstr>FoHObDT-asian</vt:lpstr>
      <vt:lpstr>FoHObDT-other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2023-02-03T06:41:02Z</dcterms:created>
  <dcterms:modified xsi:type="dcterms:W3CDTF">2023-02-23T08:39:29Z</dcterms:modified>
</cp:coreProperties>
</file>