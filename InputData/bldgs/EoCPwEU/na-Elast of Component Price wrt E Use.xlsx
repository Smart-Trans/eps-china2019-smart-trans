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bldgs\EoCPwEU\"/>
    </mc:Choice>
  </mc:AlternateContent>
  <xr:revisionPtr revIDLastSave="0" documentId="13_ncr:1_{D0DC2350-09F9-418B-9C1D-6731EDBC2812}" xr6:coauthVersionLast="47" xr6:coauthVersionMax="47" xr10:uidLastSave="{00000000-0000-0000-0000-000000000000}"/>
  <bookViews>
    <workbookView xWindow="2340" yWindow="2340" windowWidth="24960" windowHeight="12645" activeTab="7" xr2:uid="{00000000-000D-0000-FFFF-FFFF00000000}"/>
  </bookViews>
  <sheets>
    <sheet name="数据来源" sheetId="4" r:id="rId1"/>
    <sheet name="Heating" sheetId="3" r:id="rId2"/>
    <sheet name="Cooling" sheetId="5" r:id="rId3"/>
    <sheet name="Appliances" sheetId="8" r:id="rId4"/>
    <sheet name="Lighting" sheetId="11" r:id="rId5"/>
    <sheet name="Other Equipment" sheetId="7" r:id="rId6"/>
    <sheet name="Calculations" sheetId="9" r:id="rId7"/>
    <sheet name="EoCPwEU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C6" i="9"/>
  <c r="B5" i="9"/>
  <c r="C3" i="9"/>
  <c r="C4" i="9"/>
  <c r="C2" i="9"/>
  <c r="C5" i="9"/>
  <c r="B6" i="9" a="1"/>
  <c r="B6" i="9" s="1"/>
  <c r="B3" i="9" a="1"/>
  <c r="B3" i="9" s="1"/>
  <c r="B2" i="9" a="1"/>
  <c r="B2" i="9" s="1"/>
  <c r="E4" i="11"/>
  <c r="E3" i="11"/>
  <c r="G3" i="11"/>
  <c r="G4" i="11"/>
  <c r="F4" i="11"/>
  <c r="F3" i="11"/>
  <c r="F10" i="8" l="1"/>
  <c r="F9" i="8"/>
  <c r="G10" i="8"/>
  <c r="G9" i="8"/>
  <c r="H10" i="8"/>
  <c r="H9" i="8"/>
  <c r="F6" i="8"/>
  <c r="F5" i="8"/>
  <c r="H6" i="8"/>
  <c r="H5" i="8"/>
  <c r="G6" i="8"/>
  <c r="G5" i="8"/>
  <c r="F2" i="8"/>
  <c r="H2" i="8"/>
  <c r="G2" i="8"/>
  <c r="F11" i="5"/>
  <c r="F12" i="5"/>
  <c r="F13" i="5"/>
  <c r="F14" i="5"/>
  <c r="F15" i="5"/>
  <c r="F16" i="5"/>
  <c r="F10" i="5"/>
  <c r="H10" i="5"/>
  <c r="H11" i="5"/>
  <c r="H14" i="5"/>
  <c r="H12" i="5"/>
  <c r="H13" i="5"/>
  <c r="H15" i="5"/>
  <c r="H16" i="5"/>
  <c r="G10" i="5"/>
  <c r="G11" i="5"/>
  <c r="G12" i="5"/>
  <c r="G13" i="5"/>
  <c r="G14" i="5"/>
  <c r="G15" i="5"/>
  <c r="G16" i="5"/>
  <c r="F3" i="5"/>
  <c r="F4" i="5"/>
  <c r="F2" i="5"/>
  <c r="H2" i="5"/>
  <c r="H3" i="5"/>
  <c r="H4" i="5"/>
  <c r="G3" i="5"/>
  <c r="G4" i="5"/>
  <c r="G2" i="5"/>
  <c r="F5" i="3"/>
  <c r="F3" i="3"/>
  <c r="H5" i="3"/>
  <c r="H3" i="3"/>
  <c r="G5" i="3"/>
  <c r="G3" i="3"/>
  <c r="D5" i="3"/>
  <c r="D4" i="3"/>
  <c r="D3" i="3"/>
  <c r="D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<sst xmlns="http://schemas.openxmlformats.org/spreadsheetml/2006/main" count="156" uniqueCount="54">
  <si>
    <t>冰箱 空调 洗衣机 热水器 电视广播收音机数据来源于</t>
    <phoneticPr fontId="8" type="noConversion"/>
  </si>
  <si>
    <t>《北京城镇居民节能电器消费及节能效果分析》</t>
    <phoneticPr fontId="8" type="noConversion"/>
  </si>
  <si>
    <t>目前未找到山东数据，只能做到气候区精度</t>
    <phoneticPr fontId="8" type="noConversion"/>
  </si>
  <si>
    <t>其他气候区暂不可做</t>
    <phoneticPr fontId="8" type="noConversion"/>
  </si>
  <si>
    <t>住宅</t>
    <phoneticPr fontId="8" type="noConversion"/>
  </si>
  <si>
    <t>构件名</t>
    <phoneticPr fontId="8" type="noConversion"/>
  </si>
  <si>
    <t>能效等级</t>
    <phoneticPr fontId="8" type="noConversion"/>
  </si>
  <si>
    <t>价格</t>
    <phoneticPr fontId="8" type="noConversion"/>
  </si>
  <si>
    <t>弹性</t>
    <phoneticPr fontId="8" type="noConversion"/>
  </si>
  <si>
    <t>%能效提升率</t>
    <phoneticPr fontId="8" type="noConversion"/>
  </si>
  <si>
    <t>% 价格变化率</t>
    <phoneticPr fontId="8" type="noConversion"/>
  </si>
  <si>
    <t>2级</t>
  </si>
  <si>
    <t>2级</t>
    <phoneticPr fontId="8" type="noConversion"/>
  </si>
  <si>
    <t>1级</t>
    <phoneticPr fontId="8" type="noConversion"/>
  </si>
  <si>
    <t>储水热水器不同能效节能率来源于</t>
    <phoneticPr fontId="8" type="noConversion"/>
  </si>
  <si>
    <t>《储水式电热水器能效限定值》GB-21519-2008</t>
    <phoneticPr fontId="8" type="noConversion"/>
  </si>
  <si>
    <t>储水式热水器 50L</t>
    <phoneticPr fontId="8" type="noConversion"/>
  </si>
  <si>
    <t>燃气热水器 10L</t>
    <phoneticPr fontId="8" type="noConversion"/>
  </si>
  <si>
    <t>节能率</t>
    <phoneticPr fontId="8" type="noConversion"/>
  </si>
  <si>
    <t>统计设备数</t>
    <phoneticPr fontId="8" type="noConversion"/>
  </si>
  <si>
    <t>2p空调 柜式</t>
    <phoneticPr fontId="8" type="noConversion"/>
  </si>
  <si>
    <t>大2p空调 柜式</t>
    <phoneticPr fontId="8" type="noConversion"/>
  </si>
  <si>
    <t>3p空调 柜式</t>
    <phoneticPr fontId="8" type="noConversion"/>
  </si>
  <si>
    <t>适用建筑类型</t>
    <phoneticPr fontId="8" type="noConversion"/>
  </si>
  <si>
    <t>3级</t>
  </si>
  <si>
    <t>大3p空调 柜式</t>
    <phoneticPr fontId="8" type="noConversion"/>
  </si>
  <si>
    <t>3级</t>
    <phoneticPr fontId="8" type="noConversion"/>
  </si>
  <si>
    <t>能效比</t>
    <phoneticPr fontId="8" type="noConversion"/>
  </si>
  <si>
    <t>1p空调 挂式</t>
    <phoneticPr fontId="8" type="noConversion"/>
  </si>
  <si>
    <t>大1p空调 挂式</t>
    <phoneticPr fontId="8" type="noConversion"/>
  </si>
  <si>
    <t>小1.5p空调 挂式</t>
    <phoneticPr fontId="8" type="noConversion"/>
  </si>
  <si>
    <t>1.5p空调 挂式</t>
    <phoneticPr fontId="8" type="noConversion"/>
  </si>
  <si>
    <t>大1.5p空调 挂式</t>
    <phoneticPr fontId="8" type="noConversion"/>
  </si>
  <si>
    <t>200L冰箱</t>
    <phoneticPr fontId="8" type="noConversion"/>
  </si>
  <si>
    <t>对开门冰箱</t>
    <phoneticPr fontId="8" type="noConversion"/>
  </si>
  <si>
    <t>波轮洗衣机</t>
    <phoneticPr fontId="8" type="noConversion"/>
  </si>
  <si>
    <t>照明设备数据来源于</t>
    <phoneticPr fontId="8" type="noConversion"/>
  </si>
  <si>
    <t>公共建筑照明灯具节能经济分析_赵家敏</t>
  </si>
  <si>
    <t>T8-36w日光灯</t>
    <phoneticPr fontId="8" type="noConversion"/>
  </si>
  <si>
    <t>T5-28w节能灯</t>
    <phoneticPr fontId="8" type="noConversion"/>
  </si>
  <si>
    <t>T8-18w LED灯</t>
    <phoneticPr fontId="8" type="noConversion"/>
  </si>
  <si>
    <t>commercial</t>
  </si>
  <si>
    <t>commercial</t>
    <phoneticPr fontId="8" type="noConversion"/>
  </si>
  <si>
    <t>光效率</t>
    <phoneticPr fontId="8" type="noConversion"/>
  </si>
  <si>
    <t>residential</t>
  </si>
  <si>
    <t>heating</t>
  </si>
  <si>
    <t>cooling and ventilation</t>
  </si>
  <si>
    <t>envelope</t>
  </si>
  <si>
    <t>lighting</t>
  </si>
  <si>
    <t>appliances</t>
  </si>
  <si>
    <t>other component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</si>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</sst>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0.0"/>
    <numFmt numFmtId="179" formatCode="0.0%"/>
    <numFmt numFmtId="180" formatCode="0.00000"/>
    <numFmt numFmtId="181" formatCode="\$#,##0;\$#,##0"/>
    <numFmt numFmtId="182" formatCode="0.000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等线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9" fontId="0" fillId="0" borderId="0" xfId="2" applyFont="1"/>
    <xf numFmtId="9" fontId="0" fillId="0" borderId="0" xfId="0" applyNumberFormat="1"/>
    <xf numFmtId="177" fontId="0" fillId="0" borderId="0" xfId="1" applyNumberFormat="1" applyFont="1"/>
    <xf numFmtId="9" fontId="0" fillId="0" borderId="0" xfId="0" applyNumberFormat="1" applyAlignment="1">
      <alignment horizontal="left"/>
    </xf>
    <xf numFmtId="178" fontId="0" fillId="0" borderId="0" xfId="0" applyNumberFormat="1"/>
    <xf numFmtId="1" fontId="0" fillId="0" borderId="0" xfId="0" applyNumberFormat="1"/>
    <xf numFmtId="179" fontId="0" fillId="0" borderId="0" xfId="0" applyNumberFormat="1"/>
    <xf numFmtId="179" fontId="0" fillId="0" borderId="0" xfId="2" applyNumberFormat="1" applyFont="1"/>
    <xf numFmtId="178" fontId="0" fillId="0" borderId="0" xfId="2" applyNumberFormat="1" applyFont="1"/>
    <xf numFmtId="180" fontId="0" fillId="0" borderId="0" xfId="2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10" applyAlignment="1">
      <alignment wrapText="1"/>
    </xf>
    <xf numFmtId="181" fontId="6" fillId="0" borderId="0" xfId="11" applyNumberFormat="1" applyFont="1" applyAlignment="1">
      <alignment horizontal="center" vertical="top" wrapText="1"/>
    </xf>
    <xf numFmtId="9" fontId="6" fillId="0" borderId="0" xfId="2" applyFont="1" applyFill="1" applyBorder="1" applyAlignment="1">
      <alignment horizontal="center" vertical="top" wrapText="1"/>
    </xf>
    <xf numFmtId="0" fontId="7" fillId="0" borderId="0" xfId="11" applyFont="1" applyAlignment="1">
      <alignment horizontal="left" vertical="top" wrapText="1"/>
    </xf>
    <xf numFmtId="9" fontId="1" fillId="0" borderId="0" xfId="2" applyFont="1"/>
    <xf numFmtId="9" fontId="6" fillId="0" borderId="0" xfId="12" applyFont="1" applyFill="1" applyBorder="1" applyAlignment="1">
      <alignment horizontal="left" vertical="top"/>
    </xf>
    <xf numFmtId="177" fontId="6" fillId="0" borderId="0" xfId="1" applyNumberFormat="1" applyFont="1" applyFill="1" applyBorder="1" applyAlignment="1">
      <alignment horizontal="center" vertical="top" wrapText="1"/>
    </xf>
    <xf numFmtId="1" fontId="0" fillId="0" borderId="0" xfId="1" applyNumberFormat="1" applyFont="1"/>
    <xf numFmtId="176" fontId="0" fillId="0" borderId="0" xfId="1" applyFont="1"/>
    <xf numFmtId="180" fontId="0" fillId="0" borderId="0" xfId="1" applyNumberFormat="1" applyFont="1"/>
    <xf numFmtId="0" fontId="7" fillId="0" borderId="0" xfId="0" applyFont="1"/>
    <xf numFmtId="182" fontId="0" fillId="0" borderId="0" xfId="0" applyNumberFormat="1"/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1" applyNumberFormat="1" applyFont="1"/>
    <xf numFmtId="0" fontId="0" fillId="0" borderId="0" xfId="2" applyNumberFormat="1" applyFont="1"/>
    <xf numFmtId="1" fontId="0" fillId="0" borderId="0" xfId="2" applyNumberFormat="1" applyFont="1"/>
    <xf numFmtId="10" fontId="0" fillId="0" borderId="0" xfId="2" applyNumberFormat="1" applyFont="1"/>
    <xf numFmtId="2" fontId="0" fillId="0" borderId="0" xfId="0" applyNumberFormat="1"/>
    <xf numFmtId="0" fontId="6" fillId="0" borderId="0" xfId="2" applyNumberFormat="1" applyFont="1" applyFill="1" applyBorder="1" applyAlignment="1">
      <alignment vertical="top" wrapText="1"/>
    </xf>
    <xf numFmtId="2" fontId="6" fillId="0" borderId="0" xfId="11" applyNumberFormat="1" applyFont="1" applyAlignment="1">
      <alignment vertical="top" wrapText="1"/>
    </xf>
    <xf numFmtId="182" fontId="7" fillId="0" borderId="0" xfId="0" applyNumberFormat="1" applyFont="1"/>
    <xf numFmtId="0" fontId="2" fillId="0" borderId="0" xfId="0" applyFont="1" applyAlignment="1">
      <alignment horizontal="right"/>
    </xf>
    <xf numFmtId="182" fontId="0" fillId="0" borderId="0" xfId="0" applyNumberFormat="1"/>
  </cellXfs>
  <cellStyles count="20">
    <cellStyle name="Currency 2" xfId="6" xr:uid="{00000000-0005-0000-0000-000001000000}"/>
    <cellStyle name="Currency 3" xfId="8" xr:uid="{00000000-0005-0000-0000-000002000000}"/>
    <cellStyle name="Normal 2" xfId="3" xr:uid="{00000000-0005-0000-0000-000005000000}"/>
    <cellStyle name="Normal 2 2" xfId="14" xr:uid="{00000000-0005-0000-0000-000006000000}"/>
    <cellStyle name="Normal 2 2 2" xfId="18" xr:uid="{A9D7C8CF-A008-4591-A4F7-51B4DA3DA7E4}"/>
    <cellStyle name="Normal 3" xfId="5" xr:uid="{00000000-0005-0000-0000-000007000000}"/>
    <cellStyle name="Normal 4" xfId="4" xr:uid="{00000000-0005-0000-0000-000008000000}"/>
    <cellStyle name="Normal 5" xfId="11" xr:uid="{00000000-0005-0000-0000-000009000000}"/>
    <cellStyle name="Normal 5 2" xfId="16" xr:uid="{4C0B50EF-2363-486F-BAE1-6BE72B7445DC}"/>
    <cellStyle name="Percent 2" xfId="7" xr:uid="{00000000-0005-0000-0000-00000B000000}"/>
    <cellStyle name="Percent 3" xfId="9" xr:uid="{00000000-0005-0000-0000-00000C000000}"/>
    <cellStyle name="Percent 4" xfId="12" xr:uid="{00000000-0005-0000-0000-00000D000000}"/>
    <cellStyle name="Percent 4 2" xfId="17" xr:uid="{FB8B9529-7589-4477-A483-4F3B1E701EE6}"/>
    <cellStyle name="Percent 5" xfId="13" xr:uid="{00000000-0005-0000-0000-00000E000000}"/>
    <cellStyle name="Percent 5 2" xfId="15" xr:uid="{00000000-0005-0000-0000-00000F000000}"/>
    <cellStyle name="Percent 5 2 2" xfId="19" xr:uid="{B50B19F3-5E9F-41A3-9190-A4993399480B}"/>
    <cellStyle name="百分比" xfId="2" builtinId="5"/>
    <cellStyle name="常规" xfId="0" builtinId="0"/>
    <cellStyle name="超链接" xfId="10" builtinId="8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zoomScale="85" zoomScaleNormal="85" workbookViewId="0">
      <selection activeCell="A6" sqref="A6"/>
    </sheetView>
  </sheetViews>
  <sheetFormatPr defaultRowHeight="14.25" x14ac:dyDescent="0.2"/>
  <cols>
    <col min="1" max="1" width="50.25" customWidth="1"/>
    <col min="2" max="2" width="64.5" customWidth="1"/>
    <col min="3" max="3" width="5" customWidth="1"/>
    <col min="4" max="4" width="58.75" customWidth="1"/>
    <col min="5" max="5" width="5.125" customWidth="1"/>
    <col min="6" max="6" width="59.375" customWidth="1"/>
    <col min="7" max="7" width="5.625" customWidth="1"/>
    <col min="8" max="8" width="60.375" customWidth="1"/>
    <col min="9" max="9" width="57.875" customWidth="1"/>
  </cols>
  <sheetData>
    <row r="1" spans="1:8" x14ac:dyDescent="0.2">
      <c r="A1" t="s">
        <v>2</v>
      </c>
      <c r="B1" t="s">
        <v>3</v>
      </c>
    </row>
    <row r="3" spans="1:8" x14ac:dyDescent="0.2">
      <c r="A3" s="28" t="s">
        <v>0</v>
      </c>
      <c r="B3" s="28" t="s">
        <v>1</v>
      </c>
    </row>
    <row r="4" spans="1:8" x14ac:dyDescent="0.2">
      <c r="A4" s="28" t="s">
        <v>14</v>
      </c>
      <c r="B4" s="28" t="s">
        <v>15</v>
      </c>
    </row>
    <row r="5" spans="1:8" x14ac:dyDescent="0.2">
      <c r="A5" s="29" t="s">
        <v>36</v>
      </c>
      <c r="B5" s="29" t="s">
        <v>37</v>
      </c>
      <c r="C5" s="12"/>
      <c r="D5" s="12"/>
      <c r="E5" s="12"/>
      <c r="F5" s="12"/>
      <c r="G5" s="12"/>
      <c r="H5" s="12"/>
    </row>
    <row r="6" spans="1:8" x14ac:dyDescent="0.2">
      <c r="A6" s="29"/>
      <c r="B6" s="29"/>
      <c r="C6" s="12"/>
      <c r="D6" s="12"/>
      <c r="E6" s="12"/>
      <c r="F6" s="12"/>
      <c r="G6" s="12"/>
      <c r="H6" s="12"/>
    </row>
    <row r="7" spans="1:8" x14ac:dyDescent="0.2">
      <c r="A7" s="29"/>
      <c r="B7" s="29"/>
      <c r="C7" s="12"/>
      <c r="D7" s="12"/>
      <c r="E7" s="12"/>
      <c r="F7" s="12"/>
      <c r="G7" s="12"/>
      <c r="H7" s="12"/>
    </row>
    <row r="8" spans="1:8" x14ac:dyDescent="0.2">
      <c r="A8" s="29"/>
      <c r="B8" s="29"/>
      <c r="C8" s="12"/>
      <c r="D8" s="12"/>
      <c r="E8" s="12"/>
      <c r="F8" s="12"/>
      <c r="G8" s="12"/>
      <c r="H8" s="12"/>
    </row>
    <row r="9" spans="1:8" x14ac:dyDescent="0.2">
      <c r="A9" s="29"/>
      <c r="B9" s="29"/>
      <c r="C9" s="12"/>
      <c r="D9" s="12"/>
      <c r="E9" s="12"/>
      <c r="F9" s="12"/>
      <c r="G9" s="12"/>
      <c r="H9" s="12"/>
    </row>
    <row r="10" spans="1:8" x14ac:dyDescent="0.2">
      <c r="A10" s="29"/>
      <c r="B10" s="29"/>
      <c r="C10" s="12"/>
      <c r="D10" s="12"/>
      <c r="E10" s="12"/>
      <c r="F10" s="12"/>
      <c r="G10" s="12"/>
      <c r="H10" s="12"/>
    </row>
    <row r="11" spans="1:8" x14ac:dyDescent="0.2">
      <c r="A11" s="29"/>
      <c r="B11" s="29"/>
      <c r="C11" s="12"/>
      <c r="D11" s="12"/>
      <c r="E11" s="12"/>
      <c r="F11" s="12"/>
      <c r="G11" s="12"/>
      <c r="H11" s="12"/>
    </row>
    <row r="12" spans="1:8" x14ac:dyDescent="0.2">
      <c r="A12" s="29"/>
      <c r="B12" s="29"/>
      <c r="C12" s="12"/>
      <c r="D12" s="12"/>
      <c r="E12" s="12"/>
      <c r="F12" s="12"/>
      <c r="G12" s="12"/>
      <c r="H12" s="12"/>
    </row>
    <row r="13" spans="1:8" x14ac:dyDescent="0.2">
      <c r="A13" s="29"/>
      <c r="B13" s="29"/>
      <c r="C13" s="12"/>
      <c r="D13" s="12"/>
      <c r="E13" s="12"/>
      <c r="F13" s="12"/>
      <c r="G13" s="12"/>
      <c r="H13" s="12"/>
    </row>
    <row r="14" spans="1:8" x14ac:dyDescent="0.2">
      <c r="A14" s="29"/>
      <c r="B14" s="29"/>
      <c r="C14" s="12"/>
      <c r="D14" s="12"/>
      <c r="E14" s="12"/>
      <c r="F14" s="12"/>
      <c r="G14" s="12"/>
      <c r="H14" s="12"/>
    </row>
    <row r="15" spans="1:8" x14ac:dyDescent="0.2">
      <c r="A15" s="29"/>
      <c r="B15" s="29"/>
      <c r="C15" s="12"/>
      <c r="D15" s="12"/>
      <c r="E15" s="12"/>
      <c r="F15" s="12"/>
      <c r="G15" s="12"/>
      <c r="H15" s="12"/>
    </row>
    <row r="16" spans="1:8" x14ac:dyDescent="0.2">
      <c r="A16" s="29"/>
      <c r="B16" s="29"/>
      <c r="C16" s="12"/>
      <c r="D16" s="12"/>
      <c r="E16" s="12"/>
      <c r="F16" s="12"/>
      <c r="G16" s="12"/>
      <c r="H16" s="12"/>
    </row>
    <row r="17" spans="1:8" x14ac:dyDescent="0.2">
      <c r="A17" s="29"/>
      <c r="B17" s="29"/>
      <c r="C17" s="12"/>
      <c r="D17" s="12"/>
      <c r="E17" s="12"/>
      <c r="F17" s="12"/>
      <c r="G17" s="12"/>
      <c r="H17" s="12"/>
    </row>
    <row r="18" spans="1:8" x14ac:dyDescent="0.2">
      <c r="A18" s="29"/>
      <c r="B18" s="29"/>
      <c r="C18" s="12"/>
      <c r="D18" s="12"/>
      <c r="E18" s="12"/>
      <c r="F18" s="12"/>
      <c r="G18" s="12"/>
      <c r="H18" s="12"/>
    </row>
    <row r="19" spans="1:8" x14ac:dyDescent="0.2">
      <c r="A19" s="29"/>
      <c r="B19" s="29"/>
      <c r="C19" s="12"/>
      <c r="D19" s="12"/>
      <c r="E19" s="12"/>
      <c r="F19" s="12"/>
      <c r="G19" s="12"/>
      <c r="H19" s="12"/>
    </row>
    <row r="20" spans="1:8" x14ac:dyDescent="0.2">
      <c r="A20" s="29"/>
      <c r="B20" s="29"/>
      <c r="C20" s="12"/>
      <c r="D20" s="12"/>
      <c r="E20" s="12"/>
      <c r="F20" s="12"/>
      <c r="G20" s="12"/>
      <c r="H20" s="12"/>
    </row>
    <row r="21" spans="1:8" x14ac:dyDescent="0.2">
      <c r="A21" s="29"/>
      <c r="B21" s="29"/>
      <c r="C21" s="12"/>
      <c r="D21" s="12"/>
      <c r="E21" s="12"/>
      <c r="F21" s="12"/>
      <c r="G21" s="12"/>
      <c r="H21" s="12"/>
    </row>
    <row r="22" spans="1:8" x14ac:dyDescent="0.2">
      <c r="A22" s="29"/>
      <c r="B22" s="29"/>
      <c r="C22" s="12"/>
      <c r="D22" s="12"/>
      <c r="E22" s="12"/>
      <c r="F22" s="12"/>
      <c r="G22" s="12"/>
      <c r="H22" s="12"/>
    </row>
    <row r="23" spans="1:8" x14ac:dyDescent="0.2">
      <c r="A23" s="29"/>
      <c r="B23" s="29"/>
      <c r="C23" s="12"/>
      <c r="D23" s="12"/>
      <c r="E23" s="12"/>
      <c r="F23" s="12"/>
      <c r="G23" s="12"/>
      <c r="H23" s="12"/>
    </row>
    <row r="24" spans="1:8" x14ac:dyDescent="0.2">
      <c r="A24" s="29"/>
      <c r="B24" s="29"/>
      <c r="C24" s="12"/>
      <c r="D24" s="12"/>
      <c r="E24" s="12"/>
      <c r="F24" s="12"/>
      <c r="G24" s="12"/>
      <c r="H24" s="12"/>
    </row>
    <row r="25" spans="1:8" x14ac:dyDescent="0.2">
      <c r="A25" s="29"/>
      <c r="B25" s="29"/>
      <c r="C25" s="12"/>
      <c r="D25" s="12"/>
      <c r="E25" s="12"/>
      <c r="F25" s="12"/>
      <c r="G25" s="12"/>
      <c r="H25" s="12"/>
    </row>
    <row r="26" spans="1:8" x14ac:dyDescent="0.2">
      <c r="A26" s="29"/>
      <c r="B26" s="29"/>
      <c r="C26" s="12"/>
      <c r="D26" s="12"/>
      <c r="E26" s="12"/>
      <c r="F26" s="12"/>
      <c r="G26" s="12"/>
      <c r="H26" s="12"/>
    </row>
    <row r="27" spans="1:8" x14ac:dyDescent="0.2">
      <c r="A27" s="29"/>
      <c r="B27" s="29"/>
      <c r="C27" s="12"/>
      <c r="D27" s="12"/>
      <c r="E27" s="12"/>
      <c r="F27" s="12"/>
      <c r="G27" s="12"/>
      <c r="H27" s="12"/>
    </row>
    <row r="28" spans="1:8" x14ac:dyDescent="0.2">
      <c r="A28" s="29"/>
      <c r="B28" s="29"/>
      <c r="C28" s="12"/>
      <c r="D28" s="12"/>
      <c r="E28" s="12"/>
      <c r="F28" s="12"/>
      <c r="G28" s="12"/>
      <c r="H28" s="12"/>
    </row>
    <row r="29" spans="1:8" x14ac:dyDescent="0.2">
      <c r="A29" s="29"/>
      <c r="B29" s="29"/>
      <c r="C29" s="12"/>
      <c r="D29" s="12"/>
      <c r="E29" s="12"/>
      <c r="F29" s="12"/>
      <c r="G29" s="12"/>
      <c r="H29" s="12"/>
    </row>
    <row r="30" spans="1:8" x14ac:dyDescent="0.2">
      <c r="A30" s="29"/>
      <c r="B30" s="29"/>
      <c r="C30" s="12"/>
      <c r="D30" s="12"/>
      <c r="E30" s="12"/>
      <c r="F30" s="12"/>
      <c r="G30" s="12"/>
    </row>
    <row r="31" spans="1:8" x14ac:dyDescent="0.2">
      <c r="A31" s="29"/>
      <c r="B31" s="29"/>
      <c r="C31" s="12"/>
      <c r="D31" s="12"/>
      <c r="E31" s="12"/>
      <c r="F31" s="12"/>
      <c r="G31" s="12"/>
      <c r="H31" s="15"/>
    </row>
    <row r="32" spans="1:8" x14ac:dyDescent="0.2">
      <c r="A32" s="29"/>
      <c r="B32" s="29"/>
      <c r="C32" s="12"/>
      <c r="D32" s="12"/>
      <c r="E32" s="12"/>
      <c r="F32" s="12"/>
      <c r="G32" s="12"/>
    </row>
    <row r="33" spans="1:8" x14ac:dyDescent="0.2">
      <c r="A33" s="29"/>
      <c r="B33" s="29"/>
      <c r="C33" s="12"/>
      <c r="D33" s="12"/>
      <c r="E33" s="12"/>
      <c r="F33" s="12"/>
      <c r="G33" s="12"/>
    </row>
    <row r="34" spans="1:8" x14ac:dyDescent="0.2">
      <c r="A34" s="12"/>
      <c r="B34" s="12"/>
      <c r="C34" s="12"/>
      <c r="D34" s="12"/>
      <c r="E34" s="12"/>
      <c r="F34" s="12"/>
      <c r="G34" s="12"/>
    </row>
    <row r="35" spans="1:8" x14ac:dyDescent="0.2">
      <c r="A35" s="12"/>
      <c r="B35" s="12"/>
      <c r="C35" s="12"/>
      <c r="D35" s="12"/>
      <c r="E35" s="12"/>
      <c r="F35" s="12"/>
      <c r="G35" s="12"/>
    </row>
    <row r="36" spans="1:8" x14ac:dyDescent="0.2">
      <c r="B36" s="13"/>
    </row>
    <row r="37" spans="1:8" x14ac:dyDescent="0.2">
      <c r="A37" s="12"/>
      <c r="B37" s="12"/>
      <c r="C37" s="12"/>
      <c r="D37" s="12"/>
      <c r="E37" s="12"/>
      <c r="F37" s="12"/>
      <c r="G37" s="12"/>
      <c r="H37" s="12"/>
    </row>
    <row r="38" spans="1:8" x14ac:dyDescent="0.2">
      <c r="A38" s="12"/>
      <c r="B38" s="12"/>
      <c r="C38" s="12"/>
      <c r="D38" s="12"/>
      <c r="E38" s="12"/>
      <c r="F38" s="12"/>
      <c r="G38" s="12"/>
      <c r="H38" s="12"/>
    </row>
    <row r="39" spans="1:8" x14ac:dyDescent="0.2">
      <c r="A39" s="12"/>
      <c r="B39" s="12"/>
      <c r="C39" s="12"/>
      <c r="D39" s="12"/>
      <c r="E39" s="12"/>
      <c r="F39" s="12"/>
      <c r="G39" s="12"/>
      <c r="H39" s="12"/>
    </row>
    <row r="40" spans="1:8" x14ac:dyDescent="0.2">
      <c r="A40" s="12"/>
      <c r="B40" s="12"/>
      <c r="C40" s="12"/>
      <c r="D40" s="12"/>
      <c r="E40" s="12"/>
      <c r="F40" s="12"/>
      <c r="G40" s="12"/>
      <c r="H40" s="12"/>
    </row>
    <row r="41" spans="1:8" x14ac:dyDescent="0.2">
      <c r="A41" s="12"/>
      <c r="B41" s="12"/>
      <c r="C41" s="12"/>
      <c r="D41" s="12"/>
      <c r="E41" s="12"/>
      <c r="F41" s="12"/>
      <c r="G41" s="12"/>
      <c r="H41" s="12"/>
    </row>
    <row r="42" spans="1:8" x14ac:dyDescent="0.2">
      <c r="A42" s="12"/>
      <c r="B42" s="12"/>
      <c r="C42" s="12"/>
      <c r="D42" s="12"/>
      <c r="E42" s="12"/>
      <c r="F42" s="12"/>
      <c r="G42" s="12"/>
      <c r="H42" s="12"/>
    </row>
    <row r="43" spans="1:8" x14ac:dyDescent="0.2">
      <c r="A43" s="12"/>
      <c r="B43" s="12"/>
      <c r="C43" s="12"/>
      <c r="D43" s="12"/>
      <c r="E43" s="12"/>
      <c r="F43" s="12"/>
      <c r="G43" s="12"/>
      <c r="H43" s="12"/>
    </row>
    <row r="44" spans="1:8" x14ac:dyDescent="0.2">
      <c r="A44" s="12"/>
      <c r="B44" s="12"/>
      <c r="C44" s="12"/>
      <c r="D44" s="12"/>
      <c r="E44" s="12"/>
      <c r="F44" s="12"/>
      <c r="G44" s="12"/>
      <c r="H44" s="12"/>
    </row>
    <row r="45" spans="1:8" x14ac:dyDescent="0.2">
      <c r="A45" s="12"/>
      <c r="B45" s="12"/>
      <c r="C45" s="12"/>
      <c r="D45" s="12"/>
      <c r="E45" s="12"/>
      <c r="F45" s="12"/>
      <c r="G45" s="12"/>
      <c r="H45" s="12"/>
    </row>
    <row r="46" spans="1:8" x14ac:dyDescent="0.2">
      <c r="A46" s="12"/>
      <c r="B46" s="12"/>
      <c r="C46" s="12"/>
      <c r="D46" s="12"/>
      <c r="E46" s="12"/>
      <c r="F46" s="12"/>
      <c r="G46" s="12"/>
      <c r="H46" s="12"/>
    </row>
    <row r="47" spans="1:8" x14ac:dyDescent="0.2">
      <c r="A47" s="12"/>
      <c r="B47" s="12"/>
      <c r="C47" s="12"/>
      <c r="D47" s="12"/>
      <c r="E47" s="12"/>
      <c r="F47" s="12"/>
      <c r="G47" s="12"/>
      <c r="H47" s="12"/>
    </row>
    <row r="48" spans="1:8" x14ac:dyDescent="0.2">
      <c r="A48" s="12"/>
      <c r="B48" s="12"/>
      <c r="C48" s="12"/>
      <c r="D48" s="12"/>
      <c r="E48" s="12"/>
      <c r="F48" s="12"/>
      <c r="G48" s="12"/>
      <c r="H48" s="12"/>
    </row>
    <row r="49" spans="1:8" x14ac:dyDescent="0.2">
      <c r="A49" s="12"/>
      <c r="B49" s="12"/>
      <c r="C49" s="12"/>
      <c r="D49" s="12"/>
      <c r="E49" s="12"/>
      <c r="F49" s="12"/>
      <c r="G49" s="12"/>
      <c r="H49" s="12"/>
    </row>
    <row r="50" spans="1:8" x14ac:dyDescent="0.2">
      <c r="A50" s="12"/>
      <c r="B50" s="12"/>
      <c r="C50" s="12"/>
      <c r="D50" s="12"/>
      <c r="E50" s="12"/>
      <c r="F50" s="12"/>
      <c r="G50" s="12"/>
      <c r="H50" s="12"/>
    </row>
    <row r="51" spans="1:8" x14ac:dyDescent="0.2">
      <c r="A51" s="12"/>
      <c r="B51" s="12"/>
      <c r="C51" s="12"/>
      <c r="D51" s="12"/>
      <c r="E51" s="12"/>
      <c r="F51" s="12"/>
      <c r="G51" s="12"/>
      <c r="H51" s="12"/>
    </row>
    <row r="52" spans="1:8" s="14" customFormat="1" x14ac:dyDescent="0.2">
      <c r="A52" s="12"/>
      <c r="B52" s="12"/>
      <c r="C52" s="12"/>
      <c r="D52" s="12"/>
      <c r="E52" s="12"/>
      <c r="F52" s="12"/>
      <c r="G52" s="12"/>
      <c r="H52" s="12"/>
    </row>
    <row r="53" spans="1:8" s="14" customFormat="1" x14ac:dyDescent="0.2">
      <c r="A53" s="12"/>
      <c r="B53" s="12"/>
      <c r="C53" s="12"/>
      <c r="D53" s="12"/>
      <c r="E53" s="12"/>
      <c r="F53" s="12"/>
      <c r="G53" s="12"/>
      <c r="H53" s="12"/>
    </row>
    <row r="54" spans="1:8" x14ac:dyDescent="0.2">
      <c r="A54" s="12"/>
      <c r="B54" s="12"/>
      <c r="C54" s="12"/>
      <c r="D54" s="12"/>
      <c r="E54" s="12"/>
      <c r="F54" s="12"/>
      <c r="G54" s="12"/>
      <c r="H54" s="12"/>
    </row>
    <row r="55" spans="1:8" x14ac:dyDescent="0.2">
      <c r="A55" s="12"/>
      <c r="B55" s="12"/>
      <c r="C55" s="12"/>
      <c r="D55" s="12"/>
      <c r="E55" s="12"/>
      <c r="F55" s="12"/>
      <c r="G55" s="12"/>
      <c r="H55" s="12"/>
    </row>
    <row r="56" spans="1:8" x14ac:dyDescent="0.2">
      <c r="A56" s="12"/>
      <c r="B56" s="12"/>
      <c r="C56" s="12"/>
      <c r="D56" s="12"/>
      <c r="E56" s="12"/>
      <c r="F56" s="12"/>
      <c r="G56" s="12"/>
      <c r="H56" s="12"/>
    </row>
    <row r="57" spans="1:8" x14ac:dyDescent="0.2">
      <c r="A57" s="12"/>
      <c r="B57" s="12"/>
      <c r="C57" s="12"/>
      <c r="D57" s="12"/>
      <c r="E57" s="12"/>
      <c r="F57" s="12"/>
      <c r="G57" s="12"/>
      <c r="H57" s="12"/>
    </row>
    <row r="58" spans="1:8" x14ac:dyDescent="0.2">
      <c r="A58" s="12"/>
      <c r="B58" s="12"/>
      <c r="C58" s="12"/>
      <c r="D58" s="12"/>
      <c r="E58" s="12"/>
      <c r="F58" s="12"/>
      <c r="G58" s="12"/>
      <c r="H58" s="12"/>
    </row>
    <row r="59" spans="1:8" x14ac:dyDescent="0.2">
      <c r="A59" s="12"/>
      <c r="B59" s="12"/>
      <c r="C59" s="12"/>
      <c r="D59" s="12"/>
      <c r="E59" s="12"/>
      <c r="F59" s="12"/>
      <c r="G59" s="12"/>
      <c r="H59" s="12"/>
    </row>
    <row r="60" spans="1:8" x14ac:dyDescent="0.2">
      <c r="A60" s="12"/>
      <c r="B60" s="12"/>
      <c r="C60" s="12"/>
      <c r="D60" s="12"/>
      <c r="E60" s="12"/>
      <c r="F60" s="12"/>
      <c r="G60" s="12"/>
      <c r="H60" s="12"/>
    </row>
    <row r="61" spans="1:8" x14ac:dyDescent="0.2">
      <c r="A61" s="12"/>
      <c r="B61" s="12"/>
      <c r="C61" s="12"/>
      <c r="D61" s="12"/>
      <c r="E61" s="12"/>
      <c r="F61" s="12"/>
      <c r="G61" s="12"/>
      <c r="H61" s="12"/>
    </row>
  </sheetData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zoomScaleNormal="100" workbookViewId="0">
      <selection sqref="A1:I5"/>
    </sheetView>
  </sheetViews>
  <sheetFormatPr defaultRowHeight="14.25" x14ac:dyDescent="0.2"/>
  <cols>
    <col min="1" max="1" width="21.875" customWidth="1"/>
    <col min="2" max="2" width="13.125" bestFit="1" customWidth="1"/>
    <col min="3" max="3" width="16.875" customWidth="1"/>
    <col min="4" max="4" width="18.125" customWidth="1"/>
    <col min="5" max="5" width="11.125" bestFit="1" customWidth="1"/>
    <col min="6" max="6" width="20.125" bestFit="1" customWidth="1"/>
    <col min="7" max="7" width="17.875" customWidth="1"/>
    <col min="8" max="8" width="24.75" customWidth="1"/>
    <col min="9" max="9" width="12.125" customWidth="1"/>
    <col min="11" max="11" width="13.125" customWidth="1"/>
    <col min="12" max="12" width="25.25" customWidth="1"/>
    <col min="13" max="13" width="24.75" customWidth="1"/>
    <col min="14" max="14" width="28.75" bestFit="1" customWidth="1"/>
    <col min="15" max="15" width="11.25" bestFit="1" customWidth="1"/>
  </cols>
  <sheetData>
    <row r="1" spans="1:14" x14ac:dyDescent="0.2">
      <c r="A1" t="s">
        <v>5</v>
      </c>
      <c r="B1" t="s">
        <v>23</v>
      </c>
      <c r="C1" t="s">
        <v>6</v>
      </c>
      <c r="D1" t="s">
        <v>18</v>
      </c>
      <c r="E1" t="s">
        <v>7</v>
      </c>
      <c r="F1" t="s">
        <v>8</v>
      </c>
      <c r="G1" t="s">
        <v>9</v>
      </c>
      <c r="H1" t="s">
        <v>10</v>
      </c>
      <c r="I1" t="s">
        <v>19</v>
      </c>
    </row>
    <row r="2" spans="1:14" x14ac:dyDescent="0.2">
      <c r="A2" t="s">
        <v>16</v>
      </c>
      <c r="B2" t="s">
        <v>4</v>
      </c>
      <c r="C2" t="s">
        <v>12</v>
      </c>
      <c r="D2" s="1">
        <f>1/70%</f>
        <v>1.4285714285714286</v>
      </c>
      <c r="E2" s="30">
        <v>1362</v>
      </c>
      <c r="G2" s="7">
        <v>0</v>
      </c>
      <c r="H2" s="8"/>
    </row>
    <row r="3" spans="1:14" x14ac:dyDescent="0.2">
      <c r="A3" t="s">
        <v>16</v>
      </c>
      <c r="B3" t="s">
        <v>4</v>
      </c>
      <c r="C3" t="s">
        <v>13</v>
      </c>
      <c r="D3" s="1">
        <f>1/60%</f>
        <v>1.6666666666666667</v>
      </c>
      <c r="E3" s="30">
        <v>1520</v>
      </c>
      <c r="F3" s="26">
        <f>H3/G3</f>
        <v>0.69603524229074865</v>
      </c>
      <c r="G3" s="7">
        <f>D3/D2-1</f>
        <v>0.16666666666666674</v>
      </c>
      <c r="H3" s="8">
        <f>E3/E2-1</f>
        <v>0.11600587371512483</v>
      </c>
      <c r="I3">
        <v>59</v>
      </c>
      <c r="J3" s="2"/>
      <c r="K3" s="4"/>
      <c r="M3" s="6"/>
      <c r="N3" s="6"/>
    </row>
    <row r="4" spans="1:14" x14ac:dyDescent="0.2">
      <c r="A4" t="s">
        <v>17</v>
      </c>
      <c r="B4" t="s">
        <v>4</v>
      </c>
      <c r="C4" t="s">
        <v>12</v>
      </c>
      <c r="D4" s="1">
        <f>0.88</f>
        <v>0.88</v>
      </c>
      <c r="E4" s="30">
        <v>3003</v>
      </c>
      <c r="F4" s="26"/>
      <c r="G4" s="7">
        <v>0</v>
      </c>
      <c r="H4" s="8"/>
      <c r="K4" s="4"/>
      <c r="M4" s="6"/>
      <c r="N4" s="6"/>
    </row>
    <row r="5" spans="1:14" x14ac:dyDescent="0.2">
      <c r="A5" t="s">
        <v>17</v>
      </c>
      <c r="B5" t="s">
        <v>4</v>
      </c>
      <c r="C5" t="s">
        <v>13</v>
      </c>
      <c r="D5" s="1">
        <f>0.96</f>
        <v>0.96</v>
      </c>
      <c r="E5" s="30">
        <v>3717</v>
      </c>
      <c r="F5" s="26">
        <f t="shared" ref="F5" si="0">H5/G5</f>
        <v>2.6153846153846172</v>
      </c>
      <c r="G5" s="7">
        <f>D5/D4-1</f>
        <v>9.0909090909090828E-2</v>
      </c>
      <c r="H5" s="8">
        <f>E5/E4-1</f>
        <v>0.2377622377622377</v>
      </c>
      <c r="I5">
        <v>19</v>
      </c>
      <c r="K5" s="4"/>
      <c r="M5" s="6"/>
      <c r="N5" s="6"/>
    </row>
    <row r="6" spans="1:14" x14ac:dyDescent="0.2">
      <c r="D6" s="1"/>
      <c r="E6" s="3"/>
      <c r="G6" s="7"/>
      <c r="H6" s="8"/>
      <c r="K6" s="4"/>
      <c r="M6" s="6"/>
      <c r="N6" s="6"/>
    </row>
    <row r="7" spans="1:14" x14ac:dyDescent="0.2">
      <c r="D7" s="1"/>
      <c r="E7" s="30"/>
      <c r="G7" s="7"/>
      <c r="H7" s="8"/>
      <c r="K7" s="4"/>
      <c r="M7" s="6"/>
      <c r="N7" s="6"/>
    </row>
    <row r="8" spans="1:14" x14ac:dyDescent="0.2">
      <c r="D8" s="1"/>
      <c r="E8" s="3"/>
      <c r="G8" s="7"/>
      <c r="H8" s="8"/>
      <c r="K8" s="4"/>
      <c r="M8" s="6"/>
      <c r="N8" s="6"/>
    </row>
    <row r="9" spans="1:14" x14ac:dyDescent="0.2">
      <c r="D9" s="1"/>
      <c r="E9" s="3"/>
      <c r="G9" s="7"/>
      <c r="H9" s="8"/>
      <c r="K9" s="4"/>
      <c r="M9" s="6"/>
      <c r="N9" s="6"/>
    </row>
    <row r="10" spans="1:14" x14ac:dyDescent="0.2">
      <c r="D10" s="1"/>
      <c r="E10" s="3"/>
      <c r="G10" s="7"/>
      <c r="H10" s="8"/>
      <c r="K10" s="4"/>
      <c r="M10" s="6"/>
      <c r="N10" s="6"/>
    </row>
    <row r="11" spans="1:14" x14ac:dyDescent="0.2">
      <c r="D11" s="1"/>
      <c r="E11" s="3"/>
      <c r="G11" s="7"/>
      <c r="H11" s="8"/>
      <c r="K11" s="4"/>
      <c r="M11" s="6"/>
      <c r="N11" s="6"/>
    </row>
    <row r="12" spans="1:14" x14ac:dyDescent="0.2">
      <c r="D12" s="1"/>
      <c r="E12" s="3"/>
      <c r="G12" s="7"/>
      <c r="H12" s="8"/>
      <c r="K12" s="4"/>
      <c r="M12" s="6"/>
      <c r="N12" s="6"/>
    </row>
    <row r="13" spans="1:14" x14ac:dyDescent="0.2">
      <c r="D13" s="1"/>
      <c r="E13" s="3"/>
      <c r="G13" s="7"/>
      <c r="H13" s="8"/>
      <c r="K13" s="4"/>
      <c r="M13" s="6"/>
      <c r="N13" s="6"/>
    </row>
    <row r="14" spans="1:14" x14ac:dyDescent="0.2">
      <c r="D14" s="1"/>
      <c r="E14" s="3"/>
      <c r="G14" s="7"/>
      <c r="H14" s="8"/>
    </row>
    <row r="15" spans="1:14" x14ac:dyDescent="0.2">
      <c r="D15" s="1"/>
      <c r="E15" s="3"/>
      <c r="G15" s="7"/>
      <c r="H15" s="8"/>
    </row>
    <row r="16" spans="1:14" x14ac:dyDescent="0.2">
      <c r="D16" s="1"/>
      <c r="E16" s="3"/>
      <c r="G16" s="7"/>
      <c r="H16" s="8"/>
    </row>
    <row r="17" spans="4:8" x14ac:dyDescent="0.2">
      <c r="D17" s="1"/>
      <c r="E17" s="3"/>
      <c r="G17" s="7"/>
      <c r="H17" s="8"/>
    </row>
    <row r="18" spans="4:8" x14ac:dyDescent="0.2">
      <c r="D18" s="1"/>
      <c r="E18" s="3"/>
      <c r="G18" s="7"/>
      <c r="H18" s="8"/>
    </row>
    <row r="19" spans="4:8" x14ac:dyDescent="0.2">
      <c r="D19" s="1"/>
      <c r="E19" s="3"/>
      <c r="G19" s="7"/>
      <c r="H19" s="8"/>
    </row>
    <row r="20" spans="4:8" x14ac:dyDescent="0.2">
      <c r="D20" s="1"/>
      <c r="E20" s="3"/>
      <c r="G20" s="7"/>
      <c r="H20" s="8"/>
    </row>
    <row r="21" spans="4:8" x14ac:dyDescent="0.2">
      <c r="D21" s="1"/>
      <c r="E21" s="3"/>
      <c r="G21" s="7"/>
      <c r="H21" s="8"/>
    </row>
    <row r="22" spans="4:8" x14ac:dyDescent="0.2">
      <c r="D22" s="1"/>
      <c r="E22" s="3"/>
      <c r="G22" s="7"/>
      <c r="H22" s="8"/>
    </row>
    <row r="23" spans="4:8" x14ac:dyDescent="0.2">
      <c r="D23" s="1"/>
      <c r="E23" s="3"/>
      <c r="G23" s="7"/>
      <c r="H23" s="8"/>
    </row>
    <row r="24" spans="4:8" x14ac:dyDescent="0.2">
      <c r="D24" s="1"/>
      <c r="E24" s="3"/>
      <c r="G24" s="7"/>
      <c r="H24" s="8"/>
    </row>
    <row r="25" spans="4:8" x14ac:dyDescent="0.2">
      <c r="D25" s="1"/>
      <c r="E25" s="3"/>
      <c r="G25" s="7"/>
      <c r="H25" s="8"/>
    </row>
    <row r="26" spans="4:8" x14ac:dyDescent="0.2">
      <c r="D26" s="1"/>
      <c r="E26" s="3"/>
      <c r="G26" s="7"/>
      <c r="H26" s="8"/>
    </row>
    <row r="27" spans="4:8" x14ac:dyDescent="0.2">
      <c r="D27" s="1"/>
      <c r="E27" s="3"/>
      <c r="G27" s="7"/>
      <c r="H27" s="8"/>
    </row>
    <row r="28" spans="4:8" x14ac:dyDescent="0.2">
      <c r="D28" s="1"/>
      <c r="E28" s="3"/>
      <c r="G28" s="7"/>
      <c r="H28" s="8"/>
    </row>
    <row r="29" spans="4:8" x14ac:dyDescent="0.2">
      <c r="D29" s="1"/>
      <c r="E29" s="3"/>
      <c r="G29" s="7"/>
      <c r="H29" s="8"/>
    </row>
    <row r="30" spans="4:8" x14ac:dyDescent="0.2">
      <c r="D30" s="1"/>
      <c r="E30" s="3"/>
      <c r="G30" s="7"/>
      <c r="H30" s="8"/>
    </row>
    <row r="31" spans="4:8" x14ac:dyDescent="0.2">
      <c r="D31" s="1"/>
      <c r="E31" s="3"/>
      <c r="G31" s="7"/>
      <c r="H31" s="8"/>
    </row>
    <row r="32" spans="4:8" x14ac:dyDescent="0.2">
      <c r="D32" s="1"/>
      <c r="E32" s="3"/>
      <c r="G32" s="7"/>
      <c r="H32" s="8"/>
    </row>
    <row r="33" spans="4:8" x14ac:dyDescent="0.2">
      <c r="D33" s="1"/>
      <c r="E33" s="3"/>
      <c r="G33" s="7"/>
      <c r="H33" s="8"/>
    </row>
    <row r="34" spans="4:8" x14ac:dyDescent="0.2">
      <c r="D34" s="1"/>
      <c r="E34" s="3"/>
      <c r="G34" s="7"/>
      <c r="H34" s="8"/>
    </row>
    <row r="35" spans="4:8" x14ac:dyDescent="0.2">
      <c r="D35" s="1"/>
      <c r="E35" s="3"/>
      <c r="G35" s="7"/>
      <c r="H35" s="8"/>
    </row>
    <row r="36" spans="4:8" x14ac:dyDescent="0.2">
      <c r="D36" s="1"/>
      <c r="E36" s="3"/>
      <c r="G36" s="7"/>
      <c r="H36" s="8"/>
    </row>
    <row r="37" spans="4:8" x14ac:dyDescent="0.2">
      <c r="D37" s="1"/>
      <c r="E37" s="3"/>
      <c r="G37" s="7"/>
      <c r="H37" s="8"/>
    </row>
    <row r="38" spans="4:8" x14ac:dyDescent="0.2">
      <c r="D38" s="1"/>
      <c r="E38" s="3"/>
      <c r="G38" s="7"/>
      <c r="H38" s="8"/>
    </row>
    <row r="39" spans="4:8" x14ac:dyDescent="0.2">
      <c r="D39" s="1"/>
      <c r="E39" s="3"/>
      <c r="G39" s="7"/>
      <c r="H39" s="8"/>
    </row>
    <row r="40" spans="4:8" x14ac:dyDescent="0.2">
      <c r="D40" s="1"/>
      <c r="E40" s="3"/>
      <c r="G40" s="7"/>
      <c r="H40" s="8"/>
    </row>
    <row r="41" spans="4:8" x14ac:dyDescent="0.2">
      <c r="D41" s="1"/>
      <c r="E41" s="3"/>
      <c r="G41" s="7"/>
      <c r="H41" s="8"/>
    </row>
    <row r="42" spans="4:8" x14ac:dyDescent="0.2">
      <c r="D42" s="1"/>
      <c r="E42" s="3"/>
      <c r="G42" s="7"/>
      <c r="H42" s="8"/>
    </row>
    <row r="43" spans="4:8" x14ac:dyDescent="0.2">
      <c r="D43" s="1"/>
      <c r="E43" s="3"/>
      <c r="G43" s="7"/>
      <c r="H43" s="8"/>
    </row>
    <row r="44" spans="4:8" x14ac:dyDescent="0.2">
      <c r="D44" s="1"/>
      <c r="E44" s="3"/>
      <c r="G44" s="7"/>
      <c r="H44" s="8"/>
    </row>
    <row r="45" spans="4:8" x14ac:dyDescent="0.2">
      <c r="D45" s="1"/>
      <c r="E45" s="3"/>
      <c r="G45" s="7"/>
      <c r="H45" s="8"/>
    </row>
    <row r="46" spans="4:8" x14ac:dyDescent="0.2">
      <c r="D46" s="1"/>
      <c r="E46" s="3"/>
      <c r="G46" s="7"/>
      <c r="H46" s="8"/>
    </row>
    <row r="47" spans="4:8" x14ac:dyDescent="0.2">
      <c r="D47" s="1"/>
      <c r="E47" s="3"/>
      <c r="G47" s="7"/>
      <c r="H47" s="8"/>
    </row>
    <row r="48" spans="4:8" x14ac:dyDescent="0.2">
      <c r="D48" s="1"/>
      <c r="E48" s="3"/>
      <c r="G48" s="7"/>
      <c r="H48" s="8"/>
    </row>
    <row r="49" spans="4:8" x14ac:dyDescent="0.2">
      <c r="D49" s="1"/>
      <c r="E49" s="3"/>
      <c r="G49" s="7"/>
      <c r="H49" s="8"/>
    </row>
    <row r="50" spans="4:8" x14ac:dyDescent="0.2">
      <c r="D50" s="1"/>
      <c r="E50" s="3"/>
      <c r="G50" s="7"/>
      <c r="H50" s="8"/>
    </row>
    <row r="51" spans="4:8" x14ac:dyDescent="0.2">
      <c r="D51" s="1"/>
      <c r="E51" s="3"/>
      <c r="G51" s="7"/>
      <c r="H51" s="8"/>
    </row>
    <row r="52" spans="4:8" x14ac:dyDescent="0.2">
      <c r="D52" s="1"/>
      <c r="E52" s="3"/>
      <c r="G52" s="7"/>
      <c r="H52" s="8"/>
    </row>
    <row r="53" spans="4:8" x14ac:dyDescent="0.2">
      <c r="D53" s="1"/>
      <c r="E53" s="3"/>
      <c r="G53" s="7"/>
      <c r="H53" s="8"/>
    </row>
    <row r="54" spans="4:8" x14ac:dyDescent="0.2">
      <c r="D54" s="1"/>
      <c r="E54" s="3"/>
      <c r="G54" s="7"/>
      <c r="H54" s="8"/>
    </row>
    <row r="55" spans="4:8" x14ac:dyDescent="0.2">
      <c r="D55" s="1"/>
      <c r="E55" s="3"/>
      <c r="G55" s="7"/>
      <c r="H55" s="8"/>
    </row>
    <row r="56" spans="4:8" x14ac:dyDescent="0.2">
      <c r="D56" s="1"/>
      <c r="E56" s="3"/>
      <c r="G56" s="7"/>
      <c r="H56" s="8"/>
    </row>
    <row r="57" spans="4:8" x14ac:dyDescent="0.2">
      <c r="D57" s="1"/>
      <c r="E57" s="3"/>
      <c r="G57" s="7"/>
      <c r="H57" s="8"/>
    </row>
    <row r="58" spans="4:8" x14ac:dyDescent="0.2">
      <c r="D58" s="1"/>
      <c r="E58" s="3"/>
      <c r="G58" s="7"/>
      <c r="H58" s="8"/>
    </row>
    <row r="59" spans="4:8" x14ac:dyDescent="0.2">
      <c r="D59" s="1"/>
      <c r="E59" s="3"/>
      <c r="G59" s="7"/>
      <c r="H59" s="8"/>
    </row>
    <row r="60" spans="4:8" x14ac:dyDescent="0.2">
      <c r="D60" s="1"/>
      <c r="E60" s="3"/>
      <c r="G60" s="7"/>
      <c r="H60" s="8"/>
    </row>
    <row r="61" spans="4:8" x14ac:dyDescent="0.2">
      <c r="D61" s="1"/>
      <c r="E61" s="3"/>
      <c r="G61" s="7"/>
      <c r="H61" s="8"/>
    </row>
    <row r="62" spans="4:8" x14ac:dyDescent="0.2">
      <c r="D62" s="1"/>
      <c r="E62" s="3"/>
      <c r="G62" s="7"/>
      <c r="H62" s="8"/>
    </row>
    <row r="63" spans="4:8" x14ac:dyDescent="0.2">
      <c r="D63" s="1"/>
      <c r="E63" s="3"/>
      <c r="G63" s="7"/>
      <c r="H63" s="8"/>
    </row>
    <row r="64" spans="4:8" x14ac:dyDescent="0.2">
      <c r="D64" s="1"/>
      <c r="E64" s="3"/>
      <c r="G64" s="7"/>
      <c r="H64" s="8"/>
    </row>
    <row r="65" spans="4:8" x14ac:dyDescent="0.2">
      <c r="D65" s="1"/>
      <c r="E65" s="3"/>
      <c r="G65" s="7"/>
      <c r="H65" s="8"/>
    </row>
    <row r="66" spans="4:8" x14ac:dyDescent="0.2">
      <c r="D66" s="1"/>
      <c r="E66" s="3"/>
      <c r="G66" s="7"/>
      <c r="H66" s="8"/>
    </row>
    <row r="67" spans="4:8" x14ac:dyDescent="0.2">
      <c r="D67" s="1"/>
      <c r="E67" s="3"/>
      <c r="G67" s="7"/>
      <c r="H67" s="8"/>
    </row>
    <row r="68" spans="4:8" x14ac:dyDescent="0.2">
      <c r="D68" s="1"/>
      <c r="E68" s="3"/>
      <c r="G68" s="7"/>
      <c r="H68" s="8"/>
    </row>
    <row r="69" spans="4:8" x14ac:dyDescent="0.2">
      <c r="D69" s="1"/>
      <c r="E69" s="3"/>
      <c r="G69" s="7"/>
      <c r="H69" s="8"/>
    </row>
    <row r="70" spans="4:8" x14ac:dyDescent="0.2">
      <c r="D70" s="1"/>
      <c r="E70" s="3"/>
      <c r="G70" s="7"/>
      <c r="H70" s="8"/>
    </row>
    <row r="71" spans="4:8" x14ac:dyDescent="0.2">
      <c r="D71" s="1"/>
      <c r="E71" s="3"/>
      <c r="G71" s="7"/>
      <c r="H71" s="8"/>
    </row>
    <row r="72" spans="4:8" x14ac:dyDescent="0.2">
      <c r="D72" s="1"/>
      <c r="E72" s="3"/>
      <c r="G72" s="7"/>
      <c r="H72" s="8"/>
    </row>
    <row r="73" spans="4:8" x14ac:dyDescent="0.2">
      <c r="D73" s="1"/>
      <c r="E73" s="3"/>
      <c r="G73" s="7"/>
      <c r="H73" s="8"/>
    </row>
    <row r="74" spans="4:8" x14ac:dyDescent="0.2">
      <c r="D74" s="1"/>
      <c r="E74" s="3"/>
      <c r="G74" s="7"/>
      <c r="H74" s="8"/>
    </row>
    <row r="75" spans="4:8" x14ac:dyDescent="0.2">
      <c r="D75" s="1"/>
      <c r="E75" s="3"/>
      <c r="G75" s="7"/>
      <c r="H75" s="8"/>
    </row>
    <row r="76" spans="4:8" x14ac:dyDescent="0.2">
      <c r="D76" s="1"/>
      <c r="E76" s="3"/>
      <c r="G76" s="7"/>
      <c r="H76" s="8"/>
    </row>
    <row r="77" spans="4:8" x14ac:dyDescent="0.2">
      <c r="D77" s="1"/>
      <c r="E77" s="3"/>
      <c r="G77" s="7"/>
      <c r="H77" s="8"/>
    </row>
    <row r="78" spans="4:8" x14ac:dyDescent="0.2">
      <c r="D78" s="1"/>
      <c r="E78" s="3"/>
      <c r="G78" s="7"/>
      <c r="H78" s="8"/>
    </row>
    <row r="79" spans="4:8" x14ac:dyDescent="0.2">
      <c r="D79" s="1"/>
      <c r="E79" s="3"/>
      <c r="G79" s="7"/>
      <c r="H79" s="8"/>
    </row>
    <row r="80" spans="4:8" x14ac:dyDescent="0.2">
      <c r="D80" s="1"/>
      <c r="E80" s="3"/>
      <c r="G80" s="7"/>
      <c r="H80" s="8"/>
    </row>
    <row r="81" spans="4:8" x14ac:dyDescent="0.2">
      <c r="D81" s="1"/>
      <c r="E81" s="3"/>
      <c r="G81" s="7"/>
      <c r="H81" s="8"/>
    </row>
    <row r="82" spans="4:8" x14ac:dyDescent="0.2">
      <c r="D82" s="1"/>
      <c r="E82" s="3"/>
      <c r="G82" s="7"/>
      <c r="H82" s="8"/>
    </row>
    <row r="83" spans="4:8" x14ac:dyDescent="0.2">
      <c r="D83" s="1"/>
      <c r="E83" s="3"/>
      <c r="G83" s="7"/>
      <c r="H83" s="8"/>
    </row>
    <row r="84" spans="4:8" x14ac:dyDescent="0.2">
      <c r="D84" s="1"/>
      <c r="E84" s="3"/>
      <c r="G84" s="7"/>
      <c r="H84" s="8"/>
    </row>
    <row r="85" spans="4:8" x14ac:dyDescent="0.2">
      <c r="D85" s="1"/>
      <c r="E85" s="3"/>
      <c r="G85" s="7"/>
      <c r="H85" s="8"/>
    </row>
    <row r="86" spans="4:8" x14ac:dyDescent="0.2">
      <c r="D86" s="1"/>
      <c r="E86" s="3"/>
      <c r="G86" s="7"/>
      <c r="H86" s="8"/>
    </row>
    <row r="87" spans="4:8" x14ac:dyDescent="0.2">
      <c r="D87" s="1"/>
      <c r="E87" s="3"/>
      <c r="G87" s="7"/>
      <c r="H87" s="8"/>
    </row>
    <row r="88" spans="4:8" x14ac:dyDescent="0.2">
      <c r="D88" s="1"/>
      <c r="E88" s="3"/>
      <c r="G88" s="7"/>
      <c r="H88" s="8"/>
    </row>
    <row r="89" spans="4:8" x14ac:dyDescent="0.2">
      <c r="D89" s="1"/>
      <c r="E89" s="3"/>
      <c r="G89" s="7"/>
      <c r="H89" s="8"/>
    </row>
    <row r="90" spans="4:8" x14ac:dyDescent="0.2">
      <c r="D90" s="1"/>
      <c r="E90" s="3"/>
      <c r="G90" s="7"/>
      <c r="H90" s="8"/>
    </row>
    <row r="91" spans="4:8" x14ac:dyDescent="0.2">
      <c r="D91" s="1"/>
      <c r="E91" s="3"/>
      <c r="G91" s="7"/>
      <c r="H91" s="8"/>
    </row>
    <row r="92" spans="4:8" x14ac:dyDescent="0.2">
      <c r="D92" s="1"/>
      <c r="E92" s="3"/>
      <c r="G92" s="7"/>
      <c r="H92" s="8"/>
    </row>
    <row r="93" spans="4:8" x14ac:dyDescent="0.2">
      <c r="D93" s="1"/>
      <c r="E93" s="3"/>
      <c r="G93" s="7"/>
      <c r="H93" s="8"/>
    </row>
    <row r="94" spans="4:8" x14ac:dyDescent="0.2">
      <c r="D94" s="1"/>
      <c r="E94" s="3"/>
      <c r="G94" s="7"/>
      <c r="H94" s="8"/>
    </row>
    <row r="95" spans="4:8" x14ac:dyDescent="0.2">
      <c r="D95" s="1"/>
      <c r="E95" s="3"/>
      <c r="G95" s="7"/>
      <c r="H95" s="8"/>
    </row>
    <row r="96" spans="4:8" x14ac:dyDescent="0.2">
      <c r="D96" s="1"/>
      <c r="E96" s="3"/>
      <c r="G96" s="7"/>
      <c r="H96" s="8"/>
    </row>
    <row r="97" spans="4:8" x14ac:dyDescent="0.2">
      <c r="D97" s="1"/>
      <c r="E97" s="3"/>
      <c r="G97" s="7"/>
      <c r="H97" s="8"/>
    </row>
    <row r="98" spans="4:8" x14ac:dyDescent="0.2">
      <c r="D98" s="1"/>
      <c r="E98" s="3"/>
      <c r="G98" s="7"/>
      <c r="H98" s="8"/>
    </row>
  </sheetData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3"/>
  <sheetViews>
    <sheetView workbookViewId="0">
      <selection sqref="A1:I20"/>
    </sheetView>
  </sheetViews>
  <sheetFormatPr defaultRowHeight="14.25" x14ac:dyDescent="0.2"/>
  <cols>
    <col min="1" max="1" width="16.25" bestFit="1" customWidth="1"/>
    <col min="2" max="2" width="13.125" bestFit="1" customWidth="1"/>
    <col min="3" max="3" width="17.75" customWidth="1"/>
    <col min="4" max="4" width="21" bestFit="1" customWidth="1"/>
    <col min="5" max="5" width="13.25" customWidth="1"/>
    <col min="6" max="6" width="16.25" customWidth="1"/>
    <col min="7" max="7" width="8.875" bestFit="1" customWidth="1"/>
    <col min="8" max="8" width="16.125" customWidth="1"/>
    <col min="9" max="9" width="16.75" bestFit="1" customWidth="1"/>
  </cols>
  <sheetData>
    <row r="1" spans="1:16" x14ac:dyDescent="0.2">
      <c r="A1" t="s">
        <v>5</v>
      </c>
      <c r="B1" t="s">
        <v>23</v>
      </c>
      <c r="C1" t="s">
        <v>6</v>
      </c>
      <c r="D1" t="s">
        <v>27</v>
      </c>
      <c r="E1" t="s">
        <v>7</v>
      </c>
      <c r="F1" t="s">
        <v>8</v>
      </c>
      <c r="G1" t="s">
        <v>9</v>
      </c>
      <c r="H1" t="s">
        <v>10</v>
      </c>
      <c r="I1" t="s">
        <v>19</v>
      </c>
      <c r="P1" s="5"/>
    </row>
    <row r="2" spans="1:16" x14ac:dyDescent="0.2">
      <c r="A2" t="s">
        <v>20</v>
      </c>
      <c r="B2" t="s">
        <v>4</v>
      </c>
      <c r="C2" t="s">
        <v>12</v>
      </c>
      <c r="D2" s="9">
        <v>3.2</v>
      </c>
      <c r="E2">
        <v>6864</v>
      </c>
      <c r="F2" s="26">
        <f>H2/G2</f>
        <v>-1.9703872437357643</v>
      </c>
      <c r="G2" s="33">
        <f>3.2/3-1</f>
        <v>6.6666666666666652E-2</v>
      </c>
      <c r="H2" s="7">
        <f t="shared" ref="H2:H3" si="0">E2/E5-1</f>
        <v>-0.13135914958238426</v>
      </c>
      <c r="I2" s="31">
        <v>6</v>
      </c>
      <c r="P2" s="5"/>
    </row>
    <row r="3" spans="1:16" x14ac:dyDescent="0.2">
      <c r="A3" t="s">
        <v>21</v>
      </c>
      <c r="B3" t="s">
        <v>4</v>
      </c>
      <c r="C3" t="s">
        <v>12</v>
      </c>
      <c r="D3" s="9">
        <v>3.2</v>
      </c>
      <c r="E3">
        <v>7018</v>
      </c>
      <c r="F3" s="26">
        <f t="shared" ref="F3:F4" si="1">H3/G3</f>
        <v>-0.69701086956521785</v>
      </c>
      <c r="G3" s="33">
        <f t="shared" ref="G3:G4" si="2">3.2/3-1</f>
        <v>6.6666666666666652E-2</v>
      </c>
      <c r="H3" s="7">
        <f t="shared" si="0"/>
        <v>-4.6467391304347849E-2</v>
      </c>
      <c r="I3" s="31">
        <v>16</v>
      </c>
      <c r="P3" s="5"/>
    </row>
    <row r="4" spans="1:16" x14ac:dyDescent="0.2">
      <c r="A4" t="s">
        <v>22</v>
      </c>
      <c r="B4" t="s">
        <v>4</v>
      </c>
      <c r="C4" t="s">
        <v>12</v>
      </c>
      <c r="D4" s="9">
        <v>3.2</v>
      </c>
      <c r="E4">
        <v>8645</v>
      </c>
      <c r="F4" s="26">
        <f t="shared" si="1"/>
        <v>-2.8808411214953273</v>
      </c>
      <c r="G4" s="33">
        <f t="shared" si="2"/>
        <v>6.6666666666666652E-2</v>
      </c>
      <c r="H4" s="7">
        <f>E4/E7-1</f>
        <v>-0.19205607476635511</v>
      </c>
      <c r="I4" s="31">
        <v>4</v>
      </c>
      <c r="P4" s="5"/>
    </row>
    <row r="5" spans="1:16" x14ac:dyDescent="0.2">
      <c r="A5" t="s">
        <v>20</v>
      </c>
      <c r="B5" t="s">
        <v>4</v>
      </c>
      <c r="C5" t="s">
        <v>26</v>
      </c>
      <c r="D5" s="9">
        <v>3</v>
      </c>
      <c r="E5">
        <v>7902</v>
      </c>
      <c r="F5" s="34"/>
      <c r="G5" s="33">
        <v>0</v>
      </c>
      <c r="H5" s="7">
        <v>0</v>
      </c>
      <c r="I5" s="32">
        <v>9</v>
      </c>
      <c r="P5" s="5"/>
    </row>
    <row r="6" spans="1:16" x14ac:dyDescent="0.2">
      <c r="A6" t="s">
        <v>21</v>
      </c>
      <c r="B6" t="s">
        <v>4</v>
      </c>
      <c r="C6" t="s">
        <v>26</v>
      </c>
      <c r="D6" s="9">
        <v>3</v>
      </c>
      <c r="E6">
        <v>7360</v>
      </c>
      <c r="F6" s="34"/>
      <c r="G6" s="33">
        <v>0</v>
      </c>
      <c r="H6" s="7">
        <v>0</v>
      </c>
      <c r="I6" s="31">
        <v>2</v>
      </c>
      <c r="P6" s="5"/>
    </row>
    <row r="7" spans="1:16" x14ac:dyDescent="0.2">
      <c r="A7" t="s">
        <v>22</v>
      </c>
      <c r="B7" t="s">
        <v>4</v>
      </c>
      <c r="C7" t="s">
        <v>26</v>
      </c>
      <c r="D7" s="9">
        <v>3</v>
      </c>
      <c r="E7">
        <v>10700</v>
      </c>
      <c r="F7" s="34"/>
      <c r="G7" s="33">
        <v>0</v>
      </c>
      <c r="H7" s="7">
        <v>0</v>
      </c>
      <c r="I7" s="31">
        <v>2</v>
      </c>
      <c r="P7" s="5"/>
    </row>
    <row r="8" spans="1:16" x14ac:dyDescent="0.2">
      <c r="A8" t="s">
        <v>25</v>
      </c>
      <c r="B8" t="s">
        <v>4</v>
      </c>
      <c r="C8" t="s">
        <v>26</v>
      </c>
      <c r="D8" s="9">
        <v>3</v>
      </c>
      <c r="E8">
        <v>8347</v>
      </c>
      <c r="F8" s="34"/>
      <c r="G8" s="33">
        <v>0</v>
      </c>
      <c r="H8" s="7">
        <v>0</v>
      </c>
      <c r="I8" s="31">
        <v>3</v>
      </c>
      <c r="P8" s="5"/>
    </row>
    <row r="9" spans="1:16" x14ac:dyDescent="0.2">
      <c r="E9" s="10"/>
      <c r="H9" s="7"/>
      <c r="I9" s="8"/>
      <c r="P9" s="5"/>
    </row>
    <row r="10" spans="1:16" x14ac:dyDescent="0.2">
      <c r="A10" t="s">
        <v>28</v>
      </c>
      <c r="B10" t="s">
        <v>4</v>
      </c>
      <c r="C10" t="s">
        <v>13</v>
      </c>
      <c r="D10" s="9">
        <v>3.4</v>
      </c>
      <c r="E10" s="32">
        <v>3990</v>
      </c>
      <c r="F10" s="26">
        <f>H10/G10</f>
        <v>1.7733188720173541</v>
      </c>
      <c r="G10" s="33">
        <f>3.4/3-1</f>
        <v>0.1333333333333333</v>
      </c>
      <c r="H10" s="7">
        <f>E10/E17-1</f>
        <v>0.2364425162689805</v>
      </c>
      <c r="I10" s="31">
        <v>1</v>
      </c>
      <c r="P10" s="5"/>
    </row>
    <row r="11" spans="1:16" x14ac:dyDescent="0.2">
      <c r="A11" t="s">
        <v>29</v>
      </c>
      <c r="B11" t="s">
        <v>4</v>
      </c>
      <c r="C11" t="s">
        <v>13</v>
      </c>
      <c r="D11" s="9">
        <v>3.4</v>
      </c>
      <c r="E11" s="32">
        <v>3145</v>
      </c>
      <c r="F11" s="26">
        <f t="shared" ref="F11:F16" si="3">H11/G11</f>
        <v>0.93012866333095046</v>
      </c>
      <c r="G11" s="33">
        <f>3.4/3-1</f>
        <v>0.1333333333333333</v>
      </c>
      <c r="H11" s="7">
        <f>E11/E18-1</f>
        <v>0.12401715511079336</v>
      </c>
      <c r="I11" s="31">
        <v>2</v>
      </c>
      <c r="P11" s="5"/>
    </row>
    <row r="12" spans="1:16" x14ac:dyDescent="0.2">
      <c r="A12" t="s">
        <v>28</v>
      </c>
      <c r="B12" t="s">
        <v>4</v>
      </c>
      <c r="C12" t="s">
        <v>12</v>
      </c>
      <c r="D12" s="9">
        <v>3.2</v>
      </c>
      <c r="E12" s="32">
        <v>2891</v>
      </c>
      <c r="F12" s="26">
        <f t="shared" si="3"/>
        <v>-1.5618221258134499</v>
      </c>
      <c r="G12" s="33">
        <f t="shared" ref="G12:G15" si="4">3.2/3-1</f>
        <v>6.6666666666666652E-2</v>
      </c>
      <c r="H12" s="7">
        <f>E12/E17-1</f>
        <v>-0.10412147505422997</v>
      </c>
      <c r="I12" s="31">
        <v>27</v>
      </c>
      <c r="P12" s="5"/>
    </row>
    <row r="13" spans="1:16" x14ac:dyDescent="0.2">
      <c r="A13" t="s">
        <v>29</v>
      </c>
      <c r="B13" t="s">
        <v>4</v>
      </c>
      <c r="C13" t="s">
        <v>12</v>
      </c>
      <c r="D13" s="9">
        <v>3.2</v>
      </c>
      <c r="E13" s="32">
        <v>3300</v>
      </c>
      <c r="F13" s="26">
        <f t="shared" si="3"/>
        <v>2.6912080057183703</v>
      </c>
      <c r="G13" s="33">
        <f t="shared" si="4"/>
        <v>6.6666666666666652E-2</v>
      </c>
      <c r="H13" s="7">
        <f>E13/E18-1</f>
        <v>0.17941386704789131</v>
      </c>
      <c r="I13" s="31">
        <v>2</v>
      </c>
      <c r="P13" s="5"/>
    </row>
    <row r="14" spans="1:16" x14ac:dyDescent="0.2">
      <c r="A14" t="s">
        <v>30</v>
      </c>
      <c r="B14" t="s">
        <v>4</v>
      </c>
      <c r="C14" t="s">
        <v>12</v>
      </c>
      <c r="D14" s="9">
        <v>3.2</v>
      </c>
      <c r="E14" s="32">
        <v>2480</v>
      </c>
      <c r="F14" s="26">
        <f t="shared" si="3"/>
        <v>-4.780219780219781</v>
      </c>
      <c r="G14" s="33">
        <f t="shared" si="4"/>
        <v>6.6666666666666652E-2</v>
      </c>
      <c r="H14" s="7">
        <f>E14/E19-1</f>
        <v>-0.31868131868131866</v>
      </c>
      <c r="I14" s="31">
        <v>2</v>
      </c>
      <c r="P14" s="5"/>
    </row>
    <row r="15" spans="1:16" x14ac:dyDescent="0.2">
      <c r="A15" t="s">
        <v>31</v>
      </c>
      <c r="B15" t="s">
        <v>4</v>
      </c>
      <c r="C15" t="s">
        <v>12</v>
      </c>
      <c r="D15" s="9">
        <v>3.2</v>
      </c>
      <c r="E15" s="32">
        <v>3572</v>
      </c>
      <c r="F15" s="26">
        <f t="shared" si="3"/>
        <v>-0.28021978021978095</v>
      </c>
      <c r="G15" s="33">
        <f t="shared" si="4"/>
        <v>6.6666666666666652E-2</v>
      </c>
      <c r="H15" s="7">
        <f>E15/E19-1</f>
        <v>-1.8681318681318726E-2</v>
      </c>
      <c r="I15" s="31">
        <v>22</v>
      </c>
      <c r="P15" s="5"/>
    </row>
    <row r="16" spans="1:16" x14ac:dyDescent="0.2">
      <c r="A16" t="s">
        <v>32</v>
      </c>
      <c r="B16" t="s">
        <v>4</v>
      </c>
      <c r="C16" t="s">
        <v>12</v>
      </c>
      <c r="D16" s="9">
        <v>3.2</v>
      </c>
      <c r="E16" s="32">
        <v>3690</v>
      </c>
      <c r="F16" s="26">
        <f t="shared" si="3"/>
        <v>-4.536862003780719</v>
      </c>
      <c r="G16" s="33">
        <f t="shared" ref="G16" si="5">3.2/3-1</f>
        <v>6.6666666666666652E-2</v>
      </c>
      <c r="H16" s="7">
        <f>E16/E20-1</f>
        <v>-0.30245746691871456</v>
      </c>
      <c r="I16" s="31">
        <v>1</v>
      </c>
      <c r="P16" s="5"/>
    </row>
    <row r="17" spans="1:16" x14ac:dyDescent="0.2">
      <c r="A17" t="s">
        <v>28</v>
      </c>
      <c r="B17" t="s">
        <v>4</v>
      </c>
      <c r="C17" t="s">
        <v>26</v>
      </c>
      <c r="D17" s="9">
        <v>3</v>
      </c>
      <c r="E17" s="32">
        <v>3227</v>
      </c>
      <c r="G17">
        <v>0</v>
      </c>
      <c r="H17" s="7"/>
      <c r="I17" s="31">
        <v>6</v>
      </c>
      <c r="P17" s="5"/>
    </row>
    <row r="18" spans="1:16" x14ac:dyDescent="0.2">
      <c r="A18" t="s">
        <v>29</v>
      </c>
      <c r="B18" t="s">
        <v>4</v>
      </c>
      <c r="C18" t="s">
        <v>26</v>
      </c>
      <c r="D18" s="9">
        <v>3</v>
      </c>
      <c r="E18" s="32">
        <v>2798</v>
      </c>
      <c r="G18">
        <v>0</v>
      </c>
      <c r="H18" s="7"/>
      <c r="I18" s="31">
        <v>2</v>
      </c>
      <c r="P18" s="5"/>
    </row>
    <row r="19" spans="1:16" x14ac:dyDescent="0.2">
      <c r="A19" t="s">
        <v>31</v>
      </c>
      <c r="B19" t="s">
        <v>4</v>
      </c>
      <c r="C19" t="s">
        <v>26</v>
      </c>
      <c r="D19" s="9">
        <v>3</v>
      </c>
      <c r="E19" s="32">
        <v>3640</v>
      </c>
      <c r="G19">
        <v>0</v>
      </c>
      <c r="H19" s="7"/>
      <c r="I19" s="31">
        <v>2</v>
      </c>
      <c r="P19" s="5"/>
    </row>
    <row r="20" spans="1:16" x14ac:dyDescent="0.2">
      <c r="A20" t="s">
        <v>32</v>
      </c>
      <c r="B20" t="s">
        <v>4</v>
      </c>
      <c r="C20" t="s">
        <v>26</v>
      </c>
      <c r="D20" s="9">
        <v>3</v>
      </c>
      <c r="E20" s="32">
        <v>5290</v>
      </c>
      <c r="G20">
        <v>0</v>
      </c>
      <c r="H20" s="7"/>
      <c r="I20" s="31">
        <v>1</v>
      </c>
      <c r="P20" s="5"/>
    </row>
    <row r="21" spans="1:16" x14ac:dyDescent="0.2">
      <c r="E21" s="10"/>
      <c r="H21" s="7"/>
      <c r="I21" s="8"/>
      <c r="P21" s="5"/>
    </row>
    <row r="22" spans="1:16" x14ac:dyDescent="0.2">
      <c r="E22" s="10"/>
      <c r="H22" s="7"/>
      <c r="I22" s="8"/>
      <c r="P22" s="5"/>
    </row>
    <row r="23" spans="1:16" x14ac:dyDescent="0.2">
      <c r="E23" s="10"/>
      <c r="H23" s="7"/>
      <c r="I23" s="8"/>
      <c r="P23" s="5"/>
    </row>
    <row r="24" spans="1:16" x14ac:dyDescent="0.2">
      <c r="E24" s="10"/>
      <c r="H24" s="7"/>
      <c r="I24" s="8"/>
      <c r="P24" s="5"/>
    </row>
    <row r="25" spans="1:16" x14ac:dyDescent="0.2">
      <c r="E25" s="10"/>
      <c r="H25" s="7"/>
      <c r="I25" s="8"/>
      <c r="P25" s="5"/>
    </row>
    <row r="26" spans="1:16" x14ac:dyDescent="0.2">
      <c r="E26" s="10"/>
      <c r="H26" s="7"/>
      <c r="I26" s="8"/>
      <c r="P26" s="5"/>
    </row>
    <row r="27" spans="1:16" x14ac:dyDescent="0.2">
      <c r="E27" s="10"/>
      <c r="H27" s="7"/>
      <c r="I27" s="8"/>
      <c r="P27" s="5"/>
    </row>
    <row r="28" spans="1:16" x14ac:dyDescent="0.2">
      <c r="E28" s="10"/>
      <c r="H28" s="7"/>
      <c r="I28" s="8"/>
      <c r="P28" s="5"/>
    </row>
    <row r="29" spans="1:16" x14ac:dyDescent="0.2">
      <c r="E29" s="10"/>
      <c r="H29" s="7"/>
      <c r="I29" s="8"/>
      <c r="P29" s="5"/>
    </row>
    <row r="30" spans="1:16" x14ac:dyDescent="0.2">
      <c r="E30" s="10"/>
      <c r="H30" s="7"/>
      <c r="I30" s="8"/>
      <c r="P30" s="5"/>
    </row>
    <row r="31" spans="1:16" x14ac:dyDescent="0.2">
      <c r="E31" s="10"/>
      <c r="H31" s="7"/>
      <c r="I31" s="8"/>
      <c r="P31" s="5"/>
    </row>
    <row r="32" spans="1:16" x14ac:dyDescent="0.2">
      <c r="E32" s="10"/>
      <c r="H32" s="7"/>
      <c r="I32" s="8"/>
      <c r="P32" s="5"/>
    </row>
    <row r="33" spans="5:16" x14ac:dyDescent="0.2">
      <c r="E33" s="10"/>
      <c r="H33" s="7"/>
      <c r="I33" s="8"/>
      <c r="P33" s="5"/>
    </row>
    <row r="34" spans="5:16" x14ac:dyDescent="0.2">
      <c r="E34" s="10"/>
      <c r="H34" s="7"/>
      <c r="I34" s="8"/>
      <c r="P34" s="5"/>
    </row>
    <row r="35" spans="5:16" x14ac:dyDescent="0.2">
      <c r="E35" s="10"/>
      <c r="H35" s="7"/>
      <c r="I35" s="8"/>
      <c r="P35" s="5"/>
    </row>
    <row r="36" spans="5:16" x14ac:dyDescent="0.2">
      <c r="E36" s="10"/>
      <c r="H36" s="7"/>
      <c r="I36" s="8"/>
      <c r="P36" s="5"/>
    </row>
    <row r="37" spans="5:16" x14ac:dyDescent="0.2">
      <c r="E37" s="10"/>
      <c r="H37" s="7"/>
      <c r="I37" s="8"/>
      <c r="P37" s="5"/>
    </row>
    <row r="38" spans="5:16" x14ac:dyDescent="0.2">
      <c r="E38" s="10"/>
      <c r="H38" s="7"/>
      <c r="I38" s="8"/>
      <c r="P38" s="5"/>
    </row>
    <row r="39" spans="5:16" x14ac:dyDescent="0.2">
      <c r="E39" s="10"/>
      <c r="H39" s="7"/>
      <c r="I39" s="8"/>
      <c r="P39" s="5"/>
    </row>
    <row r="40" spans="5:16" x14ac:dyDescent="0.2">
      <c r="E40" s="10"/>
      <c r="H40" s="7"/>
      <c r="I40" s="8"/>
      <c r="P40" s="5"/>
    </row>
    <row r="41" spans="5:16" x14ac:dyDescent="0.2">
      <c r="E41" s="10"/>
      <c r="H41" s="7"/>
      <c r="I41" s="8"/>
      <c r="P41" s="5"/>
    </row>
    <row r="42" spans="5:16" x14ac:dyDescent="0.2">
      <c r="E42" s="10"/>
      <c r="H42" s="7"/>
      <c r="I42" s="8"/>
      <c r="P42" s="5"/>
    </row>
    <row r="43" spans="5:16" x14ac:dyDescent="0.2">
      <c r="E43" s="10"/>
      <c r="H43" s="7"/>
      <c r="I43" s="8"/>
      <c r="P43" s="5"/>
    </row>
    <row r="44" spans="5:16" x14ac:dyDescent="0.2">
      <c r="E44" s="10"/>
      <c r="H44" s="7"/>
      <c r="I44" s="8"/>
      <c r="P44" s="5"/>
    </row>
    <row r="45" spans="5:16" x14ac:dyDescent="0.2">
      <c r="E45" s="10"/>
      <c r="H45" s="7"/>
      <c r="I45" s="8"/>
      <c r="P45" s="5"/>
    </row>
    <row r="46" spans="5:16" x14ac:dyDescent="0.2">
      <c r="E46" s="10"/>
      <c r="H46" s="7"/>
      <c r="I46" s="8"/>
      <c r="P46" s="5"/>
    </row>
    <row r="47" spans="5:16" x14ac:dyDescent="0.2">
      <c r="E47" s="10"/>
      <c r="H47" s="7"/>
      <c r="I47" s="8"/>
      <c r="P47" s="5"/>
    </row>
    <row r="48" spans="5:16" x14ac:dyDescent="0.2">
      <c r="E48" s="10"/>
      <c r="H48" s="7"/>
      <c r="I48" s="8"/>
      <c r="P48" s="5"/>
    </row>
    <row r="49" spans="5:16" x14ac:dyDescent="0.2">
      <c r="E49" s="10"/>
      <c r="H49" s="7"/>
      <c r="I49" s="8"/>
      <c r="P49" s="5"/>
    </row>
    <row r="50" spans="5:16" x14ac:dyDescent="0.2">
      <c r="E50" s="10"/>
      <c r="H50" s="7"/>
      <c r="I50" s="8"/>
      <c r="P50" s="5"/>
    </row>
    <row r="51" spans="5:16" x14ac:dyDescent="0.2">
      <c r="E51" s="10"/>
      <c r="H51" s="7"/>
      <c r="I51" s="8"/>
      <c r="P51" s="5"/>
    </row>
    <row r="52" spans="5:16" x14ac:dyDescent="0.2">
      <c r="E52" s="10"/>
      <c r="H52" s="7"/>
      <c r="I52" s="8"/>
      <c r="P52" s="5"/>
    </row>
    <row r="53" spans="5:16" x14ac:dyDescent="0.2">
      <c r="E53" s="10"/>
      <c r="H53" s="7"/>
      <c r="I53" s="8"/>
      <c r="P53" s="5"/>
    </row>
    <row r="54" spans="5:16" x14ac:dyDescent="0.2">
      <c r="E54" s="10"/>
      <c r="H54" s="7"/>
      <c r="I54" s="8"/>
      <c r="P54" s="5"/>
    </row>
    <row r="55" spans="5:16" x14ac:dyDescent="0.2">
      <c r="E55" s="10"/>
      <c r="H55" s="7"/>
      <c r="I55" s="8"/>
      <c r="P55" s="5"/>
    </row>
    <row r="56" spans="5:16" x14ac:dyDescent="0.2">
      <c r="E56" s="10"/>
      <c r="H56" s="7"/>
      <c r="I56" s="8"/>
      <c r="P56" s="5"/>
    </row>
    <row r="57" spans="5:16" x14ac:dyDescent="0.2">
      <c r="E57" s="10"/>
      <c r="H57" s="7"/>
      <c r="I57" s="8"/>
      <c r="P57" s="5"/>
    </row>
    <row r="58" spans="5:16" x14ac:dyDescent="0.2">
      <c r="E58" s="10"/>
      <c r="H58" s="7"/>
      <c r="I58" s="8"/>
      <c r="P58" s="5"/>
    </row>
    <row r="59" spans="5:16" x14ac:dyDescent="0.2">
      <c r="E59" s="10"/>
      <c r="H59" s="7"/>
      <c r="I59" s="8"/>
      <c r="P59" s="5"/>
    </row>
    <row r="60" spans="5:16" x14ac:dyDescent="0.2">
      <c r="E60" s="10"/>
      <c r="H60" s="7"/>
      <c r="I60" s="8"/>
      <c r="P60" s="5"/>
    </row>
    <row r="61" spans="5:16" x14ac:dyDescent="0.2">
      <c r="E61" s="10"/>
      <c r="H61" s="7"/>
      <c r="I61" s="8"/>
      <c r="P61" s="5"/>
    </row>
    <row r="62" spans="5:16" x14ac:dyDescent="0.2">
      <c r="E62" s="10"/>
      <c r="H62" s="7"/>
      <c r="I62" s="8"/>
      <c r="P62" s="5"/>
    </row>
    <row r="63" spans="5:16" x14ac:dyDescent="0.2">
      <c r="E63" s="10"/>
      <c r="H63" s="7"/>
      <c r="I63" s="8"/>
      <c r="P63" s="5"/>
    </row>
    <row r="64" spans="5:16" x14ac:dyDescent="0.2">
      <c r="E64" s="10"/>
      <c r="H64" s="7"/>
      <c r="I64" s="8"/>
      <c r="P64" s="5"/>
    </row>
    <row r="65" spans="5:16" x14ac:dyDescent="0.2">
      <c r="E65" s="10"/>
      <c r="H65" s="7"/>
      <c r="I65" s="8"/>
      <c r="P65" s="5"/>
    </row>
    <row r="66" spans="5:16" x14ac:dyDescent="0.2">
      <c r="E66" s="10"/>
      <c r="H66" s="7"/>
      <c r="I66" s="8"/>
      <c r="P66" s="5"/>
    </row>
    <row r="67" spans="5:16" x14ac:dyDescent="0.2">
      <c r="E67" s="10"/>
      <c r="H67" s="7"/>
      <c r="I67" s="8"/>
      <c r="P67" s="5"/>
    </row>
    <row r="68" spans="5:16" x14ac:dyDescent="0.2">
      <c r="E68" s="10"/>
      <c r="H68" s="7"/>
      <c r="I68" s="8"/>
      <c r="P68" s="5"/>
    </row>
    <row r="69" spans="5:16" x14ac:dyDescent="0.2">
      <c r="E69" s="10"/>
      <c r="H69" s="7"/>
      <c r="I69" s="8"/>
      <c r="P69" s="5"/>
    </row>
    <row r="70" spans="5:16" x14ac:dyDescent="0.2">
      <c r="E70" s="10"/>
      <c r="H70" s="7"/>
      <c r="I70" s="8"/>
      <c r="P70" s="5"/>
    </row>
    <row r="71" spans="5:16" x14ac:dyDescent="0.2">
      <c r="E71" s="10"/>
      <c r="H71" s="7"/>
      <c r="I71" s="8"/>
      <c r="P71" s="5"/>
    </row>
    <row r="72" spans="5:16" x14ac:dyDescent="0.2">
      <c r="E72" s="10"/>
      <c r="H72" s="7"/>
      <c r="I72" s="8"/>
      <c r="P72" s="5"/>
    </row>
    <row r="73" spans="5:16" x14ac:dyDescent="0.2">
      <c r="E73" s="10"/>
      <c r="H73" s="7"/>
      <c r="I73" s="8"/>
      <c r="P73" s="5"/>
    </row>
    <row r="74" spans="5:16" x14ac:dyDescent="0.2">
      <c r="E74" s="10"/>
      <c r="H74" s="7"/>
      <c r="I74" s="8"/>
      <c r="P74" s="5"/>
    </row>
    <row r="75" spans="5:16" x14ac:dyDescent="0.2">
      <c r="E75" s="10"/>
      <c r="H75" s="7"/>
      <c r="I75" s="8"/>
      <c r="P75" s="5"/>
    </row>
    <row r="76" spans="5:16" x14ac:dyDescent="0.2">
      <c r="E76" s="10"/>
      <c r="H76" s="7"/>
      <c r="I76" s="8"/>
      <c r="P76" s="5"/>
    </row>
    <row r="77" spans="5:16" x14ac:dyDescent="0.2">
      <c r="E77" s="10"/>
      <c r="H77" s="7"/>
      <c r="I77" s="8"/>
      <c r="P77" s="5"/>
    </row>
    <row r="78" spans="5:16" x14ac:dyDescent="0.2">
      <c r="E78" s="10"/>
      <c r="H78" s="7"/>
      <c r="I78" s="8"/>
      <c r="P78" s="5"/>
    </row>
    <row r="79" spans="5:16" x14ac:dyDescent="0.2">
      <c r="E79" s="10"/>
      <c r="H79" s="7"/>
      <c r="I79" s="8"/>
      <c r="P79" s="5"/>
    </row>
    <row r="80" spans="5:16" x14ac:dyDescent="0.2">
      <c r="E80" s="10"/>
      <c r="H80" s="7"/>
      <c r="I80" s="8"/>
      <c r="P80" s="5"/>
    </row>
    <row r="81" spans="5:16" x14ac:dyDescent="0.2">
      <c r="E81" s="10"/>
      <c r="H81" s="7"/>
      <c r="I81" s="8"/>
      <c r="P81" s="5"/>
    </row>
    <row r="82" spans="5:16" x14ac:dyDescent="0.2">
      <c r="E82" s="10"/>
      <c r="H82" s="7"/>
      <c r="I82" s="8"/>
      <c r="P82" s="5"/>
    </row>
    <row r="83" spans="5:16" x14ac:dyDescent="0.2">
      <c r="E83" s="10"/>
      <c r="H83" s="7"/>
      <c r="I83" s="8"/>
      <c r="P83" s="5"/>
    </row>
    <row r="84" spans="5:16" x14ac:dyDescent="0.2">
      <c r="E84" s="10"/>
      <c r="H84" s="7"/>
      <c r="I84" s="8"/>
      <c r="P84" s="5"/>
    </row>
    <row r="85" spans="5:16" x14ac:dyDescent="0.2">
      <c r="E85" s="10"/>
      <c r="H85" s="7"/>
      <c r="I85" s="8"/>
      <c r="P85" s="5"/>
    </row>
    <row r="86" spans="5:16" x14ac:dyDescent="0.2">
      <c r="E86" s="10"/>
      <c r="H86" s="7"/>
      <c r="I86" s="8"/>
      <c r="P86" s="5"/>
    </row>
    <row r="87" spans="5:16" x14ac:dyDescent="0.2">
      <c r="E87" s="10"/>
      <c r="H87" s="7"/>
      <c r="I87" s="8"/>
      <c r="P87" s="5"/>
    </row>
    <row r="88" spans="5:16" x14ac:dyDescent="0.2">
      <c r="E88" s="10"/>
      <c r="H88" s="7"/>
      <c r="I88" s="8"/>
      <c r="P88" s="5"/>
    </row>
    <row r="89" spans="5:16" x14ac:dyDescent="0.2">
      <c r="E89" s="10"/>
      <c r="H89" s="7"/>
      <c r="I89" s="8"/>
      <c r="P89" s="5"/>
    </row>
    <row r="90" spans="5:16" x14ac:dyDescent="0.2">
      <c r="E90" s="10"/>
      <c r="H90" s="7"/>
      <c r="I90" s="8"/>
      <c r="P90" s="5"/>
    </row>
    <row r="91" spans="5:16" x14ac:dyDescent="0.2">
      <c r="E91" s="10"/>
      <c r="H91" s="7"/>
      <c r="I91" s="8"/>
      <c r="P91" s="5"/>
    </row>
    <row r="92" spans="5:16" x14ac:dyDescent="0.2">
      <c r="E92" s="10"/>
      <c r="H92" s="7"/>
      <c r="I92" s="8"/>
      <c r="P92" s="5"/>
    </row>
    <row r="93" spans="5:16" x14ac:dyDescent="0.2">
      <c r="E93" s="10"/>
      <c r="H93" s="7"/>
      <c r="I93" s="8"/>
      <c r="P93" s="5"/>
    </row>
    <row r="94" spans="5:16" x14ac:dyDescent="0.2">
      <c r="E94" s="10"/>
      <c r="H94" s="7"/>
      <c r="I94" s="8"/>
      <c r="P94" s="5"/>
    </row>
    <row r="95" spans="5:16" x14ac:dyDescent="0.2">
      <c r="E95" s="10"/>
      <c r="H95" s="7"/>
      <c r="I95" s="8"/>
      <c r="P95" s="5"/>
    </row>
    <row r="96" spans="5:16" x14ac:dyDescent="0.2">
      <c r="E96" s="10"/>
      <c r="H96" s="7"/>
      <c r="I96" s="8"/>
      <c r="P96" s="5"/>
    </row>
    <row r="97" spans="5:16" x14ac:dyDescent="0.2">
      <c r="E97" s="10"/>
      <c r="H97" s="7"/>
      <c r="I97" s="8"/>
      <c r="P97" s="5"/>
    </row>
    <row r="98" spans="5:16" x14ac:dyDescent="0.2">
      <c r="E98" s="10"/>
      <c r="H98" s="7"/>
      <c r="I98" s="8"/>
      <c r="P98" s="5"/>
    </row>
    <row r="99" spans="5:16" x14ac:dyDescent="0.2">
      <c r="E99" s="10"/>
      <c r="H99" s="7"/>
      <c r="I99" s="8"/>
      <c r="P99" s="5"/>
    </row>
    <row r="100" spans="5:16" x14ac:dyDescent="0.2">
      <c r="E100" s="10"/>
      <c r="H100" s="7"/>
      <c r="I100" s="8"/>
      <c r="P100" s="5"/>
    </row>
    <row r="101" spans="5:16" x14ac:dyDescent="0.2">
      <c r="E101" s="10"/>
      <c r="H101" s="7"/>
      <c r="I101" s="8"/>
      <c r="P101" s="5"/>
    </row>
    <row r="102" spans="5:16" x14ac:dyDescent="0.2">
      <c r="E102" s="10"/>
      <c r="H102" s="7"/>
      <c r="I102" s="8"/>
      <c r="P102" s="5"/>
    </row>
    <row r="103" spans="5:16" x14ac:dyDescent="0.2">
      <c r="E103" s="10"/>
      <c r="H103" s="7"/>
      <c r="I103" s="8"/>
      <c r="P103" s="5"/>
    </row>
    <row r="104" spans="5:16" x14ac:dyDescent="0.2">
      <c r="E104" s="10"/>
      <c r="H104" s="7"/>
      <c r="I104" s="8"/>
      <c r="P104" s="5"/>
    </row>
    <row r="105" spans="5:16" x14ac:dyDescent="0.2">
      <c r="E105" s="10"/>
      <c r="H105" s="7"/>
      <c r="I105" s="8"/>
      <c r="P105" s="5"/>
    </row>
    <row r="106" spans="5:16" x14ac:dyDescent="0.2">
      <c r="E106" s="10"/>
      <c r="H106" s="7"/>
      <c r="I106" s="8"/>
      <c r="P106" s="5"/>
    </row>
    <row r="107" spans="5:16" x14ac:dyDescent="0.2">
      <c r="E107" s="10"/>
      <c r="H107" s="7"/>
      <c r="I107" s="8"/>
      <c r="P107" s="5"/>
    </row>
    <row r="108" spans="5:16" x14ac:dyDescent="0.2">
      <c r="E108" s="10"/>
      <c r="H108" s="7"/>
      <c r="I108" s="8"/>
      <c r="P108" s="5"/>
    </row>
    <row r="109" spans="5:16" x14ac:dyDescent="0.2">
      <c r="E109" s="10"/>
      <c r="H109" s="7"/>
      <c r="I109" s="8"/>
      <c r="P109" s="5"/>
    </row>
    <row r="110" spans="5:16" x14ac:dyDescent="0.2">
      <c r="E110" s="10"/>
      <c r="H110" s="7"/>
      <c r="I110" s="8"/>
      <c r="P110" s="5"/>
    </row>
    <row r="111" spans="5:16" x14ac:dyDescent="0.2">
      <c r="E111" s="10"/>
      <c r="H111" s="7"/>
      <c r="I111" s="8"/>
      <c r="P111" s="5"/>
    </row>
    <row r="112" spans="5:16" x14ac:dyDescent="0.2">
      <c r="E112" s="10"/>
      <c r="H112" s="7"/>
      <c r="I112" s="8"/>
      <c r="P112" s="5"/>
    </row>
    <row r="113" spans="5:16" x14ac:dyDescent="0.2">
      <c r="E113" s="10"/>
      <c r="H113" s="7"/>
      <c r="I113" s="8"/>
      <c r="P113" s="5"/>
    </row>
    <row r="114" spans="5:16" x14ac:dyDescent="0.2">
      <c r="E114" s="10"/>
      <c r="H114" s="7"/>
      <c r="I114" s="8"/>
      <c r="P114" s="5"/>
    </row>
    <row r="115" spans="5:16" x14ac:dyDescent="0.2">
      <c r="E115" s="10"/>
      <c r="H115" s="7"/>
      <c r="I115" s="8"/>
      <c r="P115" s="5"/>
    </row>
    <row r="116" spans="5:16" x14ac:dyDescent="0.2">
      <c r="E116" s="10"/>
      <c r="H116" s="7"/>
      <c r="I116" s="8"/>
      <c r="P116" s="5"/>
    </row>
    <row r="117" spans="5:16" x14ac:dyDescent="0.2">
      <c r="E117" s="10"/>
      <c r="H117" s="7"/>
      <c r="I117" s="8"/>
      <c r="P117" s="5"/>
    </row>
    <row r="118" spans="5:16" x14ac:dyDescent="0.2">
      <c r="E118" s="10"/>
      <c r="H118" s="7"/>
      <c r="I118" s="8"/>
      <c r="P118" s="5"/>
    </row>
    <row r="119" spans="5:16" x14ac:dyDescent="0.2">
      <c r="E119" s="10"/>
      <c r="H119" s="7"/>
      <c r="I119" s="8"/>
      <c r="P119" s="5"/>
    </row>
    <row r="120" spans="5:16" x14ac:dyDescent="0.2">
      <c r="E120" s="10"/>
      <c r="H120" s="7"/>
      <c r="I120" s="8"/>
      <c r="P120" s="5"/>
    </row>
    <row r="121" spans="5:16" x14ac:dyDescent="0.2">
      <c r="E121" s="10"/>
      <c r="H121" s="7"/>
      <c r="I121" s="8"/>
      <c r="P121" s="5"/>
    </row>
    <row r="122" spans="5:16" x14ac:dyDescent="0.2">
      <c r="E122" s="10"/>
      <c r="H122" s="7"/>
      <c r="I122" s="8"/>
      <c r="P122" s="5"/>
    </row>
    <row r="123" spans="5:16" x14ac:dyDescent="0.2">
      <c r="E123" s="10"/>
      <c r="H123" s="7"/>
      <c r="I123" s="8"/>
      <c r="P123" s="5"/>
    </row>
    <row r="124" spans="5:16" x14ac:dyDescent="0.2">
      <c r="E124" s="10"/>
      <c r="H124" s="7"/>
      <c r="I124" s="8"/>
      <c r="P124" s="5"/>
    </row>
    <row r="125" spans="5:16" x14ac:dyDescent="0.2">
      <c r="E125" s="10"/>
      <c r="H125" s="7"/>
      <c r="I125" s="8"/>
      <c r="P125" s="5"/>
    </row>
    <row r="126" spans="5:16" x14ac:dyDescent="0.2">
      <c r="E126" s="10"/>
      <c r="H126" s="7"/>
      <c r="I126" s="8"/>
      <c r="P126" s="5"/>
    </row>
    <row r="127" spans="5:16" x14ac:dyDescent="0.2">
      <c r="E127" s="10"/>
      <c r="H127" s="7"/>
      <c r="I127" s="8"/>
      <c r="P127" s="5"/>
    </row>
    <row r="128" spans="5:16" x14ac:dyDescent="0.2">
      <c r="E128" s="10"/>
      <c r="H128" s="7"/>
      <c r="I128" s="8"/>
      <c r="P128" s="5"/>
    </row>
    <row r="129" spans="5:16" x14ac:dyDescent="0.2">
      <c r="E129" s="10"/>
      <c r="H129" s="7"/>
      <c r="I129" s="8"/>
      <c r="P129" s="5"/>
    </row>
    <row r="130" spans="5:16" x14ac:dyDescent="0.2">
      <c r="E130" s="10"/>
      <c r="H130" s="7"/>
      <c r="I130" s="8"/>
      <c r="P130" s="5"/>
    </row>
    <row r="131" spans="5:16" x14ac:dyDescent="0.2">
      <c r="E131" s="10"/>
      <c r="H131" s="7"/>
      <c r="I131" s="8"/>
      <c r="P131" s="5"/>
    </row>
    <row r="132" spans="5:16" x14ac:dyDescent="0.2">
      <c r="E132" s="10"/>
      <c r="H132" s="7"/>
      <c r="I132" s="8"/>
      <c r="P132" s="5"/>
    </row>
    <row r="133" spans="5:16" x14ac:dyDescent="0.2">
      <c r="E133" s="10"/>
      <c r="H133" s="7"/>
      <c r="I133" s="8"/>
      <c r="P133" s="5"/>
    </row>
    <row r="134" spans="5:16" x14ac:dyDescent="0.2">
      <c r="E134" s="10"/>
      <c r="H134" s="7"/>
      <c r="I134" s="8"/>
      <c r="P134" s="5"/>
    </row>
    <row r="135" spans="5:16" x14ac:dyDescent="0.2">
      <c r="E135" s="10"/>
      <c r="H135" s="7"/>
      <c r="I135" s="8"/>
      <c r="P135" s="5"/>
    </row>
    <row r="136" spans="5:16" x14ac:dyDescent="0.2">
      <c r="E136" s="10"/>
      <c r="H136" s="7"/>
      <c r="I136" s="8"/>
      <c r="P136" s="5"/>
    </row>
    <row r="137" spans="5:16" x14ac:dyDescent="0.2">
      <c r="E137" s="10"/>
      <c r="H137" s="7"/>
      <c r="I137" s="8"/>
      <c r="P137" s="5"/>
    </row>
    <row r="138" spans="5:16" x14ac:dyDescent="0.2">
      <c r="E138" s="10"/>
      <c r="H138" s="7"/>
      <c r="I138" s="8"/>
      <c r="P138" s="5"/>
    </row>
    <row r="139" spans="5:16" x14ac:dyDescent="0.2">
      <c r="E139" s="10"/>
      <c r="H139" s="7"/>
      <c r="I139" s="8"/>
      <c r="P139" s="5"/>
    </row>
    <row r="140" spans="5:16" x14ac:dyDescent="0.2">
      <c r="E140" s="10"/>
      <c r="H140" s="7"/>
      <c r="I140" s="8"/>
      <c r="P140" s="5"/>
    </row>
    <row r="141" spans="5:16" x14ac:dyDescent="0.2">
      <c r="E141" s="10"/>
      <c r="H141" s="7"/>
      <c r="I141" s="8"/>
      <c r="P141" s="5"/>
    </row>
    <row r="142" spans="5:16" x14ac:dyDescent="0.2">
      <c r="E142" s="10"/>
      <c r="H142" s="7"/>
      <c r="I142" s="8"/>
      <c r="P142" s="5"/>
    </row>
    <row r="143" spans="5:16" x14ac:dyDescent="0.2">
      <c r="E143" s="10"/>
      <c r="H143" s="7"/>
      <c r="I143" s="8"/>
      <c r="P143" s="5"/>
    </row>
    <row r="144" spans="5:16" x14ac:dyDescent="0.2">
      <c r="E144" s="10"/>
      <c r="H144" s="7"/>
      <c r="I144" s="8"/>
      <c r="P144" s="5"/>
    </row>
    <row r="145" spans="5:16" x14ac:dyDescent="0.2">
      <c r="E145" s="10"/>
      <c r="H145" s="7"/>
      <c r="I145" s="8"/>
      <c r="P145" s="5"/>
    </row>
    <row r="146" spans="5:16" x14ac:dyDescent="0.2">
      <c r="E146" s="10"/>
      <c r="H146" s="7"/>
      <c r="I146" s="8"/>
    </row>
    <row r="147" spans="5:16" x14ac:dyDescent="0.2">
      <c r="E147" s="10"/>
      <c r="H147" s="7"/>
      <c r="I147" s="8"/>
    </row>
    <row r="148" spans="5:16" x14ac:dyDescent="0.2">
      <c r="E148" s="10"/>
      <c r="H148" s="7"/>
      <c r="I148" s="8"/>
    </row>
    <row r="149" spans="5:16" x14ac:dyDescent="0.2">
      <c r="E149" s="10"/>
      <c r="H149" s="7"/>
      <c r="I149" s="8"/>
    </row>
    <row r="150" spans="5:16" x14ac:dyDescent="0.2">
      <c r="E150" s="10"/>
      <c r="H150" s="7"/>
      <c r="I150" s="8"/>
    </row>
    <row r="151" spans="5:16" x14ac:dyDescent="0.2">
      <c r="E151" s="10"/>
      <c r="H151" s="7"/>
      <c r="I151" s="8"/>
    </row>
    <row r="152" spans="5:16" x14ac:dyDescent="0.2">
      <c r="E152" s="10"/>
      <c r="H152" s="7"/>
      <c r="I152" s="8"/>
    </row>
    <row r="153" spans="5:16" x14ac:dyDescent="0.2">
      <c r="E153" s="10"/>
      <c r="H153" s="7"/>
      <c r="I153" s="8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3"/>
  <sheetViews>
    <sheetView workbookViewId="0">
      <selection sqref="A1:I11"/>
    </sheetView>
  </sheetViews>
  <sheetFormatPr defaultRowHeight="14.25" x14ac:dyDescent="0.2"/>
  <cols>
    <col min="1" max="1" width="16.25" bestFit="1" customWidth="1"/>
    <col min="2" max="2" width="13.125" bestFit="1" customWidth="1"/>
    <col min="3" max="3" width="17.25" customWidth="1"/>
    <col min="4" max="4" width="13.25" customWidth="1"/>
    <col min="5" max="5" width="12.25" customWidth="1"/>
    <col min="6" max="6" width="11.625" bestFit="1" customWidth="1"/>
    <col min="7" max="7" width="12.75" customWidth="1"/>
    <col min="8" max="8" width="14.375" customWidth="1"/>
    <col min="9" max="9" width="16.75" bestFit="1" customWidth="1"/>
  </cols>
  <sheetData>
    <row r="1" spans="1:9" x14ac:dyDescent="0.2">
      <c r="A1" t="s">
        <v>5</v>
      </c>
      <c r="B1" t="s">
        <v>23</v>
      </c>
      <c r="C1" t="s">
        <v>6</v>
      </c>
      <c r="D1" t="s">
        <v>27</v>
      </c>
      <c r="E1" t="s">
        <v>7</v>
      </c>
      <c r="F1" t="s">
        <v>8</v>
      </c>
      <c r="G1" t="s">
        <v>9</v>
      </c>
      <c r="H1" t="s">
        <v>10</v>
      </c>
      <c r="I1" t="s">
        <v>19</v>
      </c>
    </row>
    <row r="2" spans="1:9" x14ac:dyDescent="0.2">
      <c r="A2" t="s">
        <v>33</v>
      </c>
      <c r="B2" t="s">
        <v>4</v>
      </c>
      <c r="C2" t="s">
        <v>13</v>
      </c>
      <c r="D2">
        <v>3.4</v>
      </c>
      <c r="E2" s="35">
        <v>3392</v>
      </c>
      <c r="F2" s="36">
        <f>H2/G2</f>
        <v>1.4004488618146844</v>
      </c>
      <c r="G2" s="33">
        <f>D2/D3-1</f>
        <v>6.25E-2</v>
      </c>
      <c r="H2" s="7">
        <f>E2/E3-1</f>
        <v>8.7528053863417776E-2</v>
      </c>
      <c r="I2" s="31">
        <v>47</v>
      </c>
    </row>
    <row r="3" spans="1:9" x14ac:dyDescent="0.2">
      <c r="A3" t="s">
        <v>33</v>
      </c>
      <c r="B3" t="s">
        <v>4</v>
      </c>
      <c r="C3" t="s">
        <v>11</v>
      </c>
      <c r="D3">
        <v>3.2</v>
      </c>
      <c r="E3" s="35">
        <v>3119</v>
      </c>
      <c r="F3" s="36"/>
      <c r="H3" s="7"/>
      <c r="I3" s="31">
        <v>5</v>
      </c>
    </row>
    <row r="4" spans="1:9" x14ac:dyDescent="0.2">
      <c r="E4" s="35"/>
      <c r="F4" s="36"/>
      <c r="H4" s="7"/>
      <c r="I4" s="31"/>
    </row>
    <row r="5" spans="1:9" x14ac:dyDescent="0.2">
      <c r="A5" t="s">
        <v>34</v>
      </c>
      <c r="B5" t="s">
        <v>4</v>
      </c>
      <c r="C5" t="s">
        <v>13</v>
      </c>
      <c r="D5">
        <v>3.4</v>
      </c>
      <c r="E5" s="35">
        <v>14982</v>
      </c>
      <c r="F5" s="36">
        <f>H5/G5</f>
        <v>6.5473809226153286</v>
      </c>
      <c r="G5" s="33">
        <f>D5/$D$7-1</f>
        <v>0.1333333333333333</v>
      </c>
      <c r="H5" s="7">
        <f>E5/$E$7-1</f>
        <v>0.87298412301537698</v>
      </c>
      <c r="I5" s="31">
        <v>18</v>
      </c>
    </row>
    <row r="6" spans="1:9" x14ac:dyDescent="0.2">
      <c r="A6" t="s">
        <v>34</v>
      </c>
      <c r="B6" t="s">
        <v>4</v>
      </c>
      <c r="C6" t="s">
        <v>11</v>
      </c>
      <c r="D6">
        <v>3.2</v>
      </c>
      <c r="E6" s="35">
        <v>11006</v>
      </c>
      <c r="F6" s="36">
        <f>H6/G6</f>
        <v>5.6388298537317185</v>
      </c>
      <c r="G6" s="33">
        <f>D6/$D$7-1</f>
        <v>6.6666666666666652E-2</v>
      </c>
      <c r="H6" s="7">
        <f>E6/$E$7-1</f>
        <v>0.37592199024878115</v>
      </c>
      <c r="I6" s="31">
        <v>10</v>
      </c>
    </row>
    <row r="7" spans="1:9" x14ac:dyDescent="0.2">
      <c r="A7" t="s">
        <v>34</v>
      </c>
      <c r="B7" t="s">
        <v>4</v>
      </c>
      <c r="C7" t="s">
        <v>24</v>
      </c>
      <c r="D7">
        <v>3</v>
      </c>
      <c r="E7" s="35">
        <v>7999</v>
      </c>
      <c r="F7" s="36"/>
      <c r="H7" s="7"/>
      <c r="I7" s="31">
        <v>1</v>
      </c>
    </row>
    <row r="8" spans="1:9" x14ac:dyDescent="0.2">
      <c r="E8" s="35"/>
      <c r="F8" s="36"/>
      <c r="H8" s="7"/>
      <c r="I8" s="31"/>
    </row>
    <row r="9" spans="1:9" x14ac:dyDescent="0.2">
      <c r="A9" t="s">
        <v>35</v>
      </c>
      <c r="B9" t="s">
        <v>4</v>
      </c>
      <c r="C9" t="s">
        <v>13</v>
      </c>
      <c r="D9">
        <v>3.4</v>
      </c>
      <c r="E9" s="35">
        <v>3622.6</v>
      </c>
      <c r="F9" s="36">
        <f>H9/G9</f>
        <v>7.1997240707677337</v>
      </c>
      <c r="G9" s="33">
        <f>D9/$D$11-1</f>
        <v>0.1333333333333333</v>
      </c>
      <c r="H9" s="7">
        <f>E9/$E$11-1</f>
        <v>0.95996320943569757</v>
      </c>
      <c r="I9" s="31">
        <v>30</v>
      </c>
    </row>
    <row r="10" spans="1:9" x14ac:dyDescent="0.2">
      <c r="A10" t="s">
        <v>35</v>
      </c>
      <c r="B10" t="s">
        <v>4</v>
      </c>
      <c r="C10" t="s">
        <v>11</v>
      </c>
      <c r="D10">
        <v>3.2</v>
      </c>
      <c r="E10" s="35">
        <v>2343.1999999999998</v>
      </c>
      <c r="F10" s="36">
        <f>H10/G10</f>
        <v>4.0163934426229497</v>
      </c>
      <c r="G10" s="33">
        <f>D10/$D$11-1</f>
        <v>6.6666666666666652E-2</v>
      </c>
      <c r="H10" s="7">
        <f>E10/$E$11-1</f>
        <v>0.26775956284152991</v>
      </c>
      <c r="I10" s="31">
        <v>85</v>
      </c>
    </row>
    <row r="11" spans="1:9" x14ac:dyDescent="0.2">
      <c r="A11" t="s">
        <v>35</v>
      </c>
      <c r="B11" t="s">
        <v>4</v>
      </c>
      <c r="C11" t="s">
        <v>24</v>
      </c>
      <c r="D11">
        <v>3</v>
      </c>
      <c r="E11" s="35">
        <v>1848.3</v>
      </c>
      <c r="F11" s="36"/>
      <c r="H11" s="7"/>
      <c r="I11" s="31">
        <v>15</v>
      </c>
    </row>
    <row r="12" spans="1:9" x14ac:dyDescent="0.2">
      <c r="E12" s="35"/>
      <c r="F12" s="36"/>
      <c r="H12" s="7"/>
      <c r="I12" s="31"/>
    </row>
    <row r="13" spans="1:9" x14ac:dyDescent="0.2">
      <c r="E13" s="35"/>
      <c r="F13" s="36"/>
      <c r="H13" s="7"/>
      <c r="I13" s="31"/>
    </row>
    <row r="14" spans="1:9" x14ac:dyDescent="0.2">
      <c r="E14" s="35"/>
      <c r="F14" s="36"/>
      <c r="H14" s="7"/>
      <c r="I14" s="31"/>
    </row>
    <row r="15" spans="1:9" x14ac:dyDescent="0.2">
      <c r="E15" s="35"/>
      <c r="F15" s="36"/>
      <c r="H15" s="7"/>
      <c r="I15" s="31"/>
    </row>
    <row r="16" spans="1:9" x14ac:dyDescent="0.2">
      <c r="E16" s="35"/>
      <c r="F16" s="36"/>
      <c r="H16" s="7"/>
      <c r="I16" s="31"/>
    </row>
    <row r="17" spans="5:9" x14ac:dyDescent="0.2">
      <c r="E17" s="35"/>
      <c r="F17" s="36"/>
      <c r="H17" s="7"/>
      <c r="I17" s="31"/>
    </row>
    <row r="18" spans="5:9" x14ac:dyDescent="0.2">
      <c r="E18" s="35"/>
      <c r="F18" s="36"/>
      <c r="H18" s="7"/>
      <c r="I18" s="31"/>
    </row>
    <row r="19" spans="5:9" x14ac:dyDescent="0.2">
      <c r="E19" s="35"/>
      <c r="F19" s="36"/>
      <c r="H19" s="7"/>
      <c r="I19" s="31"/>
    </row>
    <row r="20" spans="5:9" x14ac:dyDescent="0.2">
      <c r="E20" s="35"/>
      <c r="F20" s="36"/>
      <c r="H20" s="7"/>
      <c r="I20" s="31"/>
    </row>
    <row r="21" spans="5:9" x14ac:dyDescent="0.2">
      <c r="E21" s="35"/>
      <c r="F21" s="36"/>
      <c r="H21" s="7"/>
      <c r="I21" s="31"/>
    </row>
    <row r="22" spans="5:9" x14ac:dyDescent="0.2">
      <c r="E22" s="35"/>
      <c r="F22" s="36"/>
      <c r="H22" s="7"/>
      <c r="I22" s="31"/>
    </row>
    <row r="23" spans="5:9" x14ac:dyDescent="0.2">
      <c r="E23" s="35"/>
      <c r="F23" s="36"/>
      <c r="H23" s="7"/>
      <c r="I23" s="31"/>
    </row>
    <row r="24" spans="5:9" x14ac:dyDescent="0.2">
      <c r="E24" s="35"/>
      <c r="F24" s="36"/>
      <c r="H24" s="7"/>
      <c r="I24" s="31"/>
    </row>
    <row r="25" spans="5:9" x14ac:dyDescent="0.2">
      <c r="E25" s="35"/>
      <c r="F25" s="36"/>
      <c r="H25" s="7"/>
      <c r="I25" s="31"/>
    </row>
    <row r="26" spans="5:9" x14ac:dyDescent="0.2">
      <c r="E26" s="35"/>
      <c r="F26" s="36"/>
      <c r="H26" s="7"/>
      <c r="I26" s="31"/>
    </row>
    <row r="27" spans="5:9" x14ac:dyDescent="0.2">
      <c r="E27" s="35"/>
      <c r="F27" s="36"/>
      <c r="H27" s="7"/>
      <c r="I27" s="31"/>
    </row>
    <row r="28" spans="5:9" x14ac:dyDescent="0.2">
      <c r="E28" s="35"/>
      <c r="F28" s="16"/>
      <c r="H28" s="7"/>
      <c r="I28" s="31"/>
    </row>
    <row r="29" spans="5:9" x14ac:dyDescent="0.2">
      <c r="E29" s="35"/>
      <c r="F29" s="16"/>
      <c r="H29" s="7"/>
      <c r="I29" s="31"/>
    </row>
    <row r="30" spans="5:9" x14ac:dyDescent="0.2">
      <c r="E30" s="35"/>
      <c r="F30" s="16"/>
      <c r="H30" s="7"/>
      <c r="I30" s="31"/>
    </row>
    <row r="31" spans="5:9" x14ac:dyDescent="0.2">
      <c r="E31" s="35"/>
      <c r="F31" s="16"/>
      <c r="H31" s="7"/>
      <c r="I31" s="31"/>
    </row>
    <row r="32" spans="5:9" x14ac:dyDescent="0.2">
      <c r="E32" s="35"/>
      <c r="F32" s="16"/>
      <c r="H32" s="7"/>
      <c r="I32" s="31"/>
    </row>
    <row r="33" spans="5:9" x14ac:dyDescent="0.2">
      <c r="E33" s="35"/>
      <c r="F33" s="16"/>
      <c r="H33" s="7"/>
      <c r="I33" s="31"/>
    </row>
    <row r="34" spans="5:9" x14ac:dyDescent="0.2">
      <c r="E34" s="35"/>
      <c r="F34" s="16"/>
      <c r="H34" s="7"/>
      <c r="I34" s="31"/>
    </row>
    <row r="35" spans="5:9" x14ac:dyDescent="0.2">
      <c r="E35" s="17"/>
      <c r="F35" s="16"/>
      <c r="H35" s="7"/>
      <c r="I35" s="31"/>
    </row>
    <row r="36" spans="5:9" x14ac:dyDescent="0.2">
      <c r="E36" s="17"/>
      <c r="F36" s="16"/>
      <c r="H36" s="7"/>
      <c r="I36" s="31"/>
    </row>
    <row r="37" spans="5:9" x14ac:dyDescent="0.2">
      <c r="E37" s="17"/>
      <c r="F37" s="16"/>
      <c r="H37" s="7"/>
      <c r="I37" s="31"/>
    </row>
    <row r="38" spans="5:9" x14ac:dyDescent="0.2">
      <c r="E38" s="17"/>
      <c r="F38" s="16"/>
      <c r="H38" s="7"/>
      <c r="I38" s="31"/>
    </row>
    <row r="39" spans="5:9" x14ac:dyDescent="0.2">
      <c r="E39" s="17"/>
      <c r="F39" s="16"/>
      <c r="H39" s="7"/>
      <c r="I39" s="31"/>
    </row>
    <row r="40" spans="5:9" x14ac:dyDescent="0.2">
      <c r="E40" s="17"/>
      <c r="F40" s="16"/>
      <c r="H40" s="7"/>
      <c r="I40" s="31"/>
    </row>
    <row r="41" spans="5:9" x14ac:dyDescent="0.2">
      <c r="E41" s="17"/>
      <c r="F41" s="16"/>
      <c r="H41" s="7"/>
      <c r="I41" s="31"/>
    </row>
    <row r="42" spans="5:9" x14ac:dyDescent="0.2">
      <c r="E42" s="17"/>
      <c r="F42" s="16"/>
      <c r="H42" s="7"/>
      <c r="I42" s="31"/>
    </row>
    <row r="43" spans="5:9" x14ac:dyDescent="0.2">
      <c r="E43" s="17"/>
      <c r="F43" s="16"/>
      <c r="H43" s="7"/>
      <c r="I43" s="31"/>
    </row>
    <row r="44" spans="5:9" x14ac:dyDescent="0.2">
      <c r="E44" s="17"/>
      <c r="F44" s="16"/>
      <c r="H44" s="7"/>
      <c r="I44" s="31"/>
    </row>
    <row r="45" spans="5:9" x14ac:dyDescent="0.2">
      <c r="E45" s="17"/>
      <c r="F45" s="16"/>
      <c r="H45" s="7"/>
      <c r="I45" s="31"/>
    </row>
    <row r="46" spans="5:9" x14ac:dyDescent="0.2">
      <c r="E46" s="17"/>
      <c r="F46" s="16"/>
      <c r="H46" s="7"/>
      <c r="I46" s="31"/>
    </row>
    <row r="47" spans="5:9" x14ac:dyDescent="0.2">
      <c r="E47" s="17"/>
      <c r="F47" s="16"/>
      <c r="H47" s="7"/>
      <c r="I47" s="31"/>
    </row>
    <row r="48" spans="5:9" x14ac:dyDescent="0.2">
      <c r="E48" s="17"/>
      <c r="F48" s="16"/>
      <c r="H48" s="7"/>
      <c r="I48" s="31"/>
    </row>
    <row r="49" spans="5:9" x14ac:dyDescent="0.2">
      <c r="E49" s="17"/>
      <c r="F49" s="16"/>
      <c r="H49" s="7"/>
      <c r="I49" s="31"/>
    </row>
    <row r="50" spans="5:9" x14ac:dyDescent="0.2">
      <c r="E50" s="17"/>
      <c r="F50" s="16"/>
      <c r="H50" s="7"/>
      <c r="I50" s="31"/>
    </row>
    <row r="51" spans="5:9" x14ac:dyDescent="0.2">
      <c r="E51" s="17"/>
      <c r="F51" s="16"/>
      <c r="H51" s="7"/>
      <c r="I51" s="31"/>
    </row>
    <row r="52" spans="5:9" x14ac:dyDescent="0.2">
      <c r="E52" s="17"/>
      <c r="F52" s="16"/>
      <c r="H52" s="7"/>
      <c r="I52" s="31"/>
    </row>
    <row r="53" spans="5:9" x14ac:dyDescent="0.2">
      <c r="E53" s="17"/>
      <c r="F53" s="16"/>
      <c r="H53" s="7"/>
      <c r="I53" s="31"/>
    </row>
    <row r="54" spans="5:9" x14ac:dyDescent="0.2">
      <c r="E54" s="17"/>
      <c r="F54" s="16"/>
      <c r="H54" s="7"/>
      <c r="I54" s="8"/>
    </row>
    <row r="55" spans="5:9" x14ac:dyDescent="0.2">
      <c r="E55" s="17"/>
      <c r="F55" s="16"/>
      <c r="H55" s="7"/>
      <c r="I55" s="8"/>
    </row>
    <row r="56" spans="5:9" x14ac:dyDescent="0.2">
      <c r="E56" s="17"/>
      <c r="F56" s="16"/>
      <c r="H56" s="7"/>
      <c r="I56" s="8"/>
    </row>
    <row r="57" spans="5:9" x14ac:dyDescent="0.2">
      <c r="E57" s="17"/>
      <c r="F57" s="16"/>
      <c r="H57" s="7"/>
      <c r="I57" s="8"/>
    </row>
    <row r="58" spans="5:9" x14ac:dyDescent="0.2">
      <c r="E58" s="17"/>
      <c r="F58" s="16"/>
      <c r="H58" s="7"/>
      <c r="I58" s="8"/>
    </row>
    <row r="59" spans="5:9" x14ac:dyDescent="0.2">
      <c r="E59" s="17"/>
      <c r="F59" s="16"/>
      <c r="H59" s="7"/>
      <c r="I59" s="8"/>
    </row>
    <row r="60" spans="5:9" x14ac:dyDescent="0.2">
      <c r="E60" s="17"/>
      <c r="F60" s="16"/>
      <c r="H60" s="7"/>
      <c r="I60" s="8"/>
    </row>
    <row r="61" spans="5:9" x14ac:dyDescent="0.2">
      <c r="E61" s="17"/>
      <c r="F61" s="16"/>
      <c r="H61" s="7"/>
      <c r="I61" s="8"/>
    </row>
    <row r="62" spans="5:9" x14ac:dyDescent="0.2">
      <c r="E62" s="17"/>
      <c r="F62" s="16"/>
      <c r="H62" s="7"/>
      <c r="I62" s="8"/>
    </row>
    <row r="63" spans="5:9" x14ac:dyDescent="0.2">
      <c r="E63" s="17"/>
      <c r="F63" s="16"/>
      <c r="H63" s="7"/>
      <c r="I63" s="8"/>
    </row>
    <row r="64" spans="5:9" x14ac:dyDescent="0.2">
      <c r="E64" s="17"/>
      <c r="F64" s="16"/>
      <c r="H64" s="7"/>
      <c r="I64" s="8"/>
    </row>
    <row r="65" spans="5:9" x14ac:dyDescent="0.2">
      <c r="E65" s="17"/>
      <c r="F65" s="16"/>
      <c r="H65" s="7"/>
      <c r="I65" s="8"/>
    </row>
    <row r="66" spans="5:9" x14ac:dyDescent="0.2">
      <c r="E66" s="17"/>
      <c r="F66" s="16"/>
      <c r="H66" s="7"/>
      <c r="I66" s="8"/>
    </row>
    <row r="67" spans="5:9" x14ac:dyDescent="0.2">
      <c r="E67" s="17"/>
      <c r="F67" s="16"/>
      <c r="H67" s="7"/>
      <c r="I67" s="8"/>
    </row>
    <row r="68" spans="5:9" x14ac:dyDescent="0.2">
      <c r="E68" s="17"/>
      <c r="F68" s="16"/>
      <c r="H68" s="7"/>
      <c r="I68" s="8"/>
    </row>
    <row r="69" spans="5:9" x14ac:dyDescent="0.2">
      <c r="E69" s="17"/>
      <c r="F69" s="16"/>
      <c r="H69" s="7"/>
      <c r="I69" s="8"/>
    </row>
    <row r="70" spans="5:9" x14ac:dyDescent="0.2">
      <c r="E70" s="17"/>
      <c r="F70" s="16"/>
      <c r="H70" s="7"/>
      <c r="I70" s="8"/>
    </row>
    <row r="71" spans="5:9" x14ac:dyDescent="0.2">
      <c r="E71" s="17"/>
      <c r="F71" s="16"/>
      <c r="H71" s="7"/>
      <c r="I71" s="8"/>
    </row>
    <row r="72" spans="5:9" x14ac:dyDescent="0.2">
      <c r="E72" s="17"/>
      <c r="F72" s="16"/>
      <c r="H72" s="7"/>
      <c r="I72" s="8"/>
    </row>
    <row r="73" spans="5:9" x14ac:dyDescent="0.2">
      <c r="E73" s="17"/>
      <c r="F73" s="16"/>
      <c r="H73" s="7"/>
      <c r="I73" s="8"/>
    </row>
    <row r="74" spans="5:9" x14ac:dyDescent="0.2">
      <c r="E74" s="17"/>
      <c r="F74" s="16"/>
      <c r="H74" s="7"/>
      <c r="I74" s="8"/>
    </row>
    <row r="75" spans="5:9" x14ac:dyDescent="0.2">
      <c r="E75" s="17"/>
      <c r="F75" s="16"/>
      <c r="H75" s="7"/>
      <c r="I75" s="8"/>
    </row>
    <row r="76" spans="5:9" x14ac:dyDescent="0.2">
      <c r="E76" s="17"/>
      <c r="F76" s="16"/>
      <c r="H76" s="7"/>
      <c r="I76" s="8"/>
    </row>
    <row r="77" spans="5:9" x14ac:dyDescent="0.2">
      <c r="E77" s="17"/>
      <c r="F77" s="16"/>
      <c r="H77" s="7"/>
      <c r="I77" s="8"/>
    </row>
    <row r="78" spans="5:9" x14ac:dyDescent="0.2">
      <c r="E78" s="17"/>
      <c r="F78" s="16"/>
      <c r="H78" s="7"/>
      <c r="I78" s="8"/>
    </row>
    <row r="79" spans="5:9" x14ac:dyDescent="0.2">
      <c r="E79" s="17"/>
      <c r="F79" s="16"/>
      <c r="H79" s="7"/>
      <c r="I79" s="8"/>
    </row>
    <row r="80" spans="5:9" x14ac:dyDescent="0.2">
      <c r="E80" s="17"/>
      <c r="F80" s="16"/>
      <c r="H80" s="7"/>
      <c r="I80" s="8"/>
    </row>
    <row r="81" spans="5:9" x14ac:dyDescent="0.2">
      <c r="E81" s="17"/>
      <c r="F81" s="16"/>
      <c r="H81" s="7"/>
      <c r="I81" s="8"/>
    </row>
    <row r="82" spans="5:9" x14ac:dyDescent="0.2">
      <c r="E82" s="17"/>
      <c r="F82" s="16"/>
      <c r="H82" s="7"/>
      <c r="I82" s="8"/>
    </row>
    <row r="83" spans="5:9" x14ac:dyDescent="0.2">
      <c r="E83" s="17"/>
      <c r="F83" s="16"/>
      <c r="H83" s="7"/>
      <c r="I83" s="8"/>
    </row>
    <row r="84" spans="5:9" x14ac:dyDescent="0.2">
      <c r="E84" s="17"/>
      <c r="F84" s="16"/>
      <c r="H84" s="7"/>
      <c r="I84" s="8"/>
    </row>
    <row r="85" spans="5:9" x14ac:dyDescent="0.2">
      <c r="E85" s="17"/>
      <c r="F85" s="16"/>
      <c r="H85" s="7"/>
      <c r="I85" s="8"/>
    </row>
    <row r="86" spans="5:9" x14ac:dyDescent="0.2">
      <c r="E86" s="17"/>
      <c r="F86" s="16"/>
      <c r="H86" s="7"/>
      <c r="I86" s="8"/>
    </row>
    <row r="87" spans="5:9" x14ac:dyDescent="0.2">
      <c r="E87" s="17"/>
      <c r="F87" s="16"/>
      <c r="H87" s="7"/>
      <c r="I87" s="8"/>
    </row>
    <row r="88" spans="5:9" x14ac:dyDescent="0.2">
      <c r="E88" s="17"/>
      <c r="F88" s="16"/>
      <c r="H88" s="7"/>
      <c r="I88" s="8"/>
    </row>
    <row r="89" spans="5:9" x14ac:dyDescent="0.2">
      <c r="E89" s="17"/>
      <c r="F89" s="16"/>
      <c r="H89" s="7"/>
      <c r="I89" s="8"/>
    </row>
    <row r="90" spans="5:9" x14ac:dyDescent="0.2">
      <c r="E90" s="17"/>
      <c r="F90" s="16"/>
      <c r="H90" s="7"/>
      <c r="I90" s="8"/>
    </row>
    <row r="91" spans="5:9" x14ac:dyDescent="0.2">
      <c r="E91" s="17"/>
      <c r="F91" s="16"/>
      <c r="H91" s="7"/>
      <c r="I91" s="8"/>
    </row>
    <row r="92" spans="5:9" x14ac:dyDescent="0.2">
      <c r="E92" s="17"/>
      <c r="F92" s="16"/>
      <c r="H92" s="7"/>
      <c r="I92" s="8"/>
    </row>
    <row r="93" spans="5:9" x14ac:dyDescent="0.2">
      <c r="E93" s="17"/>
      <c r="F93" s="16"/>
      <c r="H93" s="7"/>
      <c r="I93" s="8"/>
    </row>
    <row r="94" spans="5:9" x14ac:dyDescent="0.2">
      <c r="E94" s="17"/>
      <c r="F94" s="16"/>
      <c r="H94" s="7"/>
      <c r="I94" s="8"/>
    </row>
    <row r="95" spans="5:9" x14ac:dyDescent="0.2">
      <c r="E95" s="17"/>
      <c r="F95" s="16"/>
      <c r="H95" s="7"/>
      <c r="I95" s="8"/>
    </row>
    <row r="96" spans="5:9" x14ac:dyDescent="0.2">
      <c r="E96" s="17"/>
      <c r="F96" s="16"/>
      <c r="H96" s="7"/>
      <c r="I96" s="8"/>
    </row>
    <row r="97" spans="5:9" x14ac:dyDescent="0.2">
      <c r="E97" s="17"/>
      <c r="F97" s="16"/>
      <c r="H97" s="7"/>
      <c r="I97" s="8"/>
    </row>
    <row r="98" spans="5:9" x14ac:dyDescent="0.2">
      <c r="E98" s="17"/>
      <c r="F98" s="16"/>
      <c r="H98" s="7"/>
      <c r="I98" s="8"/>
    </row>
    <row r="99" spans="5:9" x14ac:dyDescent="0.2">
      <c r="E99" s="17"/>
      <c r="F99" s="16"/>
      <c r="H99" s="7"/>
      <c r="I99" s="8"/>
    </row>
    <row r="100" spans="5:9" x14ac:dyDescent="0.2">
      <c r="E100" s="17"/>
      <c r="F100" s="16"/>
      <c r="H100" s="7"/>
      <c r="I100" s="8"/>
    </row>
    <row r="101" spans="5:9" x14ac:dyDescent="0.2">
      <c r="E101" s="17"/>
      <c r="F101" s="16"/>
      <c r="H101" s="7"/>
      <c r="I101" s="8"/>
    </row>
    <row r="102" spans="5:9" x14ac:dyDescent="0.2">
      <c r="E102" s="17"/>
      <c r="F102" s="16"/>
      <c r="H102" s="7"/>
      <c r="I102" s="8"/>
    </row>
    <row r="103" spans="5:9" x14ac:dyDescent="0.2">
      <c r="E103" s="17"/>
      <c r="F103" s="16"/>
      <c r="H103" s="7"/>
      <c r="I103" s="8"/>
    </row>
    <row r="104" spans="5:9" x14ac:dyDescent="0.2">
      <c r="E104" s="17"/>
      <c r="F104" s="16"/>
      <c r="H104" s="7"/>
      <c r="I104" s="8"/>
    </row>
    <row r="105" spans="5:9" x14ac:dyDescent="0.2">
      <c r="E105" s="17"/>
      <c r="F105" s="16"/>
      <c r="H105" s="7"/>
      <c r="I105" s="8"/>
    </row>
    <row r="106" spans="5:9" x14ac:dyDescent="0.2">
      <c r="E106" s="17"/>
      <c r="F106" s="16"/>
      <c r="H106" s="7"/>
      <c r="I106" s="8"/>
    </row>
    <row r="107" spans="5:9" x14ac:dyDescent="0.2">
      <c r="E107" s="17"/>
      <c r="F107" s="16"/>
      <c r="H107" s="7"/>
      <c r="I107" s="8"/>
    </row>
    <row r="108" spans="5:9" x14ac:dyDescent="0.2">
      <c r="E108" s="17"/>
      <c r="F108" s="16"/>
      <c r="H108" s="7"/>
      <c r="I108" s="8"/>
    </row>
    <row r="109" spans="5:9" x14ac:dyDescent="0.2">
      <c r="E109" s="17"/>
      <c r="F109" s="16"/>
      <c r="H109" s="7"/>
      <c r="I109" s="8"/>
    </row>
    <row r="110" spans="5:9" x14ac:dyDescent="0.2">
      <c r="E110" s="17"/>
      <c r="F110" s="16"/>
      <c r="H110" s="7"/>
      <c r="I110" s="8"/>
    </row>
    <row r="111" spans="5:9" x14ac:dyDescent="0.2">
      <c r="E111" s="17"/>
      <c r="F111" s="16"/>
      <c r="H111" s="7"/>
      <c r="I111" s="8"/>
    </row>
    <row r="112" spans="5:9" x14ac:dyDescent="0.2">
      <c r="E112" s="17"/>
      <c r="F112" s="16"/>
      <c r="H112" s="7"/>
      <c r="I112" s="8"/>
    </row>
    <row r="113" spans="5:9" x14ac:dyDescent="0.2">
      <c r="E113" s="17"/>
      <c r="F113" s="16"/>
      <c r="H113" s="7"/>
      <c r="I113" s="8"/>
    </row>
    <row r="114" spans="5:9" x14ac:dyDescent="0.2">
      <c r="E114" s="17"/>
      <c r="F114" s="16"/>
      <c r="H114" s="7"/>
      <c r="I114" s="8"/>
    </row>
    <row r="115" spans="5:9" x14ac:dyDescent="0.2">
      <c r="E115" s="17"/>
      <c r="F115" s="16"/>
      <c r="H115" s="7"/>
      <c r="I115" s="8"/>
    </row>
    <row r="116" spans="5:9" x14ac:dyDescent="0.2">
      <c r="E116" s="17"/>
      <c r="F116" s="16"/>
      <c r="H116" s="7"/>
      <c r="I116" s="8"/>
    </row>
    <row r="117" spans="5:9" x14ac:dyDescent="0.2">
      <c r="E117" s="17"/>
      <c r="F117" s="16"/>
      <c r="H117" s="7"/>
      <c r="I117" s="8"/>
    </row>
    <row r="118" spans="5:9" x14ac:dyDescent="0.2">
      <c r="E118" s="17"/>
      <c r="F118" s="16"/>
      <c r="H118" s="7"/>
      <c r="I118" s="8"/>
    </row>
    <row r="119" spans="5:9" x14ac:dyDescent="0.2">
      <c r="E119" s="17"/>
      <c r="F119" s="16"/>
      <c r="H119" s="7"/>
      <c r="I119" s="8"/>
    </row>
    <row r="120" spans="5:9" x14ac:dyDescent="0.2">
      <c r="E120" s="17"/>
      <c r="F120" s="16"/>
      <c r="H120" s="7"/>
      <c r="I120" s="8"/>
    </row>
    <row r="121" spans="5:9" x14ac:dyDescent="0.2">
      <c r="E121" s="17"/>
      <c r="F121" s="16"/>
      <c r="H121" s="7"/>
      <c r="I121" s="8"/>
    </row>
    <row r="122" spans="5:9" x14ac:dyDescent="0.2">
      <c r="E122" s="17"/>
      <c r="F122" s="16"/>
      <c r="H122" s="7"/>
      <c r="I122" s="8"/>
    </row>
    <row r="123" spans="5:9" x14ac:dyDescent="0.2">
      <c r="E123" s="17"/>
      <c r="F123" s="16"/>
      <c r="H123" s="7"/>
      <c r="I123" s="8"/>
    </row>
    <row r="124" spans="5:9" x14ac:dyDescent="0.2">
      <c r="E124" s="17"/>
      <c r="F124" s="16"/>
      <c r="H124" s="7"/>
      <c r="I124" s="8"/>
    </row>
    <row r="125" spans="5:9" x14ac:dyDescent="0.2">
      <c r="E125" s="17"/>
      <c r="F125" s="16"/>
      <c r="H125" s="7"/>
      <c r="I125" s="8"/>
    </row>
    <row r="126" spans="5:9" x14ac:dyDescent="0.2">
      <c r="E126" s="17"/>
      <c r="F126" s="16"/>
      <c r="H126" s="7"/>
      <c r="I126" s="8"/>
    </row>
    <row r="127" spans="5:9" x14ac:dyDescent="0.2">
      <c r="E127" s="17"/>
      <c r="F127" s="16"/>
      <c r="H127" s="7"/>
      <c r="I127" s="8"/>
    </row>
    <row r="128" spans="5:9" x14ac:dyDescent="0.2">
      <c r="E128" s="17"/>
      <c r="F128" s="16"/>
      <c r="H128" s="7"/>
      <c r="I128" s="8"/>
    </row>
    <row r="129" spans="5:9" x14ac:dyDescent="0.2">
      <c r="E129" s="17"/>
      <c r="F129" s="16"/>
      <c r="H129" s="7"/>
      <c r="I129" s="8"/>
    </row>
    <row r="130" spans="5:9" x14ac:dyDescent="0.2">
      <c r="E130" s="17"/>
      <c r="F130" s="16"/>
      <c r="H130" s="7"/>
      <c r="I130" s="8"/>
    </row>
    <row r="131" spans="5:9" x14ac:dyDescent="0.2">
      <c r="E131" s="17"/>
      <c r="F131" s="16"/>
      <c r="H131" s="7"/>
      <c r="I131" s="8"/>
    </row>
    <row r="132" spans="5:9" x14ac:dyDescent="0.2">
      <c r="E132" s="17"/>
      <c r="F132" s="16"/>
      <c r="H132" s="7"/>
      <c r="I132" s="8"/>
    </row>
    <row r="133" spans="5:9" x14ac:dyDescent="0.2">
      <c r="E133" s="17"/>
      <c r="F133" s="16"/>
      <c r="H133" s="7"/>
      <c r="I133" s="8"/>
    </row>
    <row r="134" spans="5:9" x14ac:dyDescent="0.2">
      <c r="E134" s="17"/>
      <c r="F134" s="16"/>
      <c r="H134" s="7"/>
      <c r="I134" s="8"/>
    </row>
    <row r="135" spans="5:9" x14ac:dyDescent="0.2">
      <c r="E135" s="17"/>
      <c r="F135" s="16"/>
      <c r="H135" s="7"/>
      <c r="I135" s="8"/>
    </row>
    <row r="136" spans="5:9" x14ac:dyDescent="0.2">
      <c r="E136" s="17"/>
      <c r="F136" s="16"/>
      <c r="H136" s="7"/>
      <c r="I136" s="8"/>
    </row>
    <row r="137" spans="5:9" x14ac:dyDescent="0.2">
      <c r="E137" s="17"/>
      <c r="F137" s="16"/>
      <c r="H137" s="7"/>
      <c r="I137" s="8"/>
    </row>
    <row r="138" spans="5:9" x14ac:dyDescent="0.2">
      <c r="E138" s="17"/>
      <c r="F138" s="16"/>
      <c r="H138" s="7"/>
      <c r="I138" s="8"/>
    </row>
    <row r="139" spans="5:9" x14ac:dyDescent="0.2">
      <c r="E139" s="17"/>
      <c r="F139" s="16"/>
      <c r="H139" s="7"/>
      <c r="I139" s="8"/>
    </row>
    <row r="140" spans="5:9" x14ac:dyDescent="0.2">
      <c r="E140" s="17"/>
      <c r="F140" s="16"/>
      <c r="H140" s="7"/>
      <c r="I140" s="8"/>
    </row>
    <row r="141" spans="5:9" x14ac:dyDescent="0.2">
      <c r="E141" s="17"/>
      <c r="F141" s="16"/>
      <c r="H141" s="7"/>
      <c r="I141" s="8"/>
    </row>
    <row r="142" spans="5:9" x14ac:dyDescent="0.2">
      <c r="E142" s="17"/>
      <c r="F142" s="16"/>
      <c r="H142" s="7"/>
      <c r="I142" s="8"/>
    </row>
    <row r="143" spans="5:9" x14ac:dyDescent="0.2">
      <c r="E143" s="17"/>
      <c r="F143" s="16"/>
      <c r="H143" s="7"/>
      <c r="I143" s="8"/>
    </row>
    <row r="144" spans="5:9" x14ac:dyDescent="0.2">
      <c r="E144" s="17"/>
      <c r="F144" s="16"/>
      <c r="H144" s="7"/>
      <c r="I144" s="8"/>
    </row>
    <row r="145" spans="5:9" x14ac:dyDescent="0.2">
      <c r="E145" s="17"/>
      <c r="F145" s="16"/>
      <c r="H145" s="7"/>
      <c r="I145" s="8"/>
    </row>
    <row r="146" spans="5:9" x14ac:dyDescent="0.2">
      <c r="E146" s="17"/>
      <c r="F146" s="16"/>
      <c r="H146" s="7"/>
      <c r="I146" s="8"/>
    </row>
    <row r="147" spans="5:9" x14ac:dyDescent="0.2">
      <c r="E147" s="17"/>
      <c r="F147" s="16"/>
      <c r="H147" s="7"/>
      <c r="I147" s="8"/>
    </row>
    <row r="148" spans="5:9" x14ac:dyDescent="0.2">
      <c r="E148" s="17"/>
      <c r="F148" s="16"/>
      <c r="H148" s="7"/>
      <c r="I148" s="8"/>
    </row>
    <row r="149" spans="5:9" x14ac:dyDescent="0.2">
      <c r="E149" s="17"/>
      <c r="F149" s="16"/>
      <c r="H149" s="7"/>
      <c r="I149" s="8"/>
    </row>
    <row r="150" spans="5:9" x14ac:dyDescent="0.2">
      <c r="E150" s="17"/>
      <c r="F150" s="16"/>
      <c r="H150" s="7"/>
      <c r="I150" s="8"/>
    </row>
    <row r="151" spans="5:9" x14ac:dyDescent="0.2">
      <c r="E151" s="17"/>
      <c r="F151" s="16"/>
      <c r="H151" s="7"/>
      <c r="I151" s="8"/>
    </row>
    <row r="152" spans="5:9" x14ac:dyDescent="0.2">
      <c r="E152" s="17"/>
      <c r="F152" s="16"/>
      <c r="H152" s="7"/>
      <c r="I152" s="8"/>
    </row>
    <row r="153" spans="5:9" x14ac:dyDescent="0.2">
      <c r="E153" s="17"/>
      <c r="F153" s="16"/>
      <c r="H153" s="7"/>
      <c r="I153" s="8"/>
    </row>
    <row r="154" spans="5:9" x14ac:dyDescent="0.2">
      <c r="E154" s="17"/>
      <c r="F154" s="16"/>
      <c r="H154" s="7"/>
      <c r="I154" s="8"/>
    </row>
    <row r="155" spans="5:9" x14ac:dyDescent="0.2">
      <c r="E155" s="17"/>
      <c r="F155" s="16"/>
      <c r="H155" s="7"/>
      <c r="I155" s="8"/>
    </row>
    <row r="156" spans="5:9" x14ac:dyDescent="0.2">
      <c r="E156" s="17"/>
      <c r="F156" s="16"/>
      <c r="H156" s="7"/>
      <c r="I156" s="8"/>
    </row>
    <row r="157" spans="5:9" x14ac:dyDescent="0.2">
      <c r="E157" s="17"/>
      <c r="F157" s="16"/>
      <c r="H157" s="7"/>
      <c r="I157" s="8"/>
    </row>
    <row r="158" spans="5:9" x14ac:dyDescent="0.2">
      <c r="E158" s="17"/>
      <c r="F158" s="16"/>
      <c r="H158" s="7"/>
      <c r="I158" s="8"/>
    </row>
    <row r="159" spans="5:9" x14ac:dyDescent="0.2">
      <c r="E159" s="17"/>
      <c r="F159" s="16"/>
      <c r="H159" s="7"/>
      <c r="I159" s="8"/>
    </row>
    <row r="160" spans="5:9" x14ac:dyDescent="0.2">
      <c r="E160" s="17"/>
      <c r="F160" s="16"/>
      <c r="H160" s="7"/>
      <c r="I160" s="8"/>
    </row>
    <row r="161" spans="5:9" x14ac:dyDescent="0.2">
      <c r="E161" s="17"/>
      <c r="F161" s="16"/>
      <c r="H161" s="7"/>
      <c r="I161" s="8"/>
    </row>
    <row r="162" spans="5:9" x14ac:dyDescent="0.2">
      <c r="E162" s="17"/>
      <c r="F162" s="16"/>
      <c r="H162" s="7"/>
      <c r="I162" s="8"/>
    </row>
    <row r="163" spans="5:9" x14ac:dyDescent="0.2">
      <c r="E163" s="17"/>
      <c r="F163" s="16"/>
      <c r="H163" s="7"/>
      <c r="I163" s="8"/>
    </row>
    <row r="164" spans="5:9" x14ac:dyDescent="0.2">
      <c r="E164" s="17"/>
      <c r="F164" s="16"/>
      <c r="H164" s="7"/>
      <c r="I164" s="8"/>
    </row>
    <row r="165" spans="5:9" x14ac:dyDescent="0.2">
      <c r="E165" s="17"/>
      <c r="F165" s="16"/>
      <c r="H165" s="7"/>
      <c r="I165" s="8"/>
    </row>
    <row r="166" spans="5:9" x14ac:dyDescent="0.2">
      <c r="E166" s="17"/>
      <c r="F166" s="16"/>
      <c r="H166" s="7"/>
      <c r="I166" s="8"/>
    </row>
    <row r="167" spans="5:9" x14ac:dyDescent="0.2">
      <c r="E167" s="17"/>
      <c r="F167" s="16"/>
      <c r="H167" s="7"/>
      <c r="I167" s="8"/>
    </row>
    <row r="168" spans="5:9" x14ac:dyDescent="0.2">
      <c r="E168" s="17"/>
      <c r="F168" s="16"/>
      <c r="H168" s="7"/>
      <c r="I168" s="8"/>
    </row>
    <row r="169" spans="5:9" x14ac:dyDescent="0.2">
      <c r="E169" s="17"/>
      <c r="F169" s="16"/>
      <c r="H169" s="7"/>
      <c r="I169" s="8"/>
    </row>
    <row r="170" spans="5:9" x14ac:dyDescent="0.2">
      <c r="E170" s="17"/>
      <c r="F170" s="16"/>
      <c r="H170" s="7"/>
      <c r="I170" s="8"/>
    </row>
    <row r="171" spans="5:9" x14ac:dyDescent="0.2">
      <c r="E171" s="17"/>
      <c r="F171" s="16"/>
      <c r="H171" s="7"/>
      <c r="I171" s="8"/>
    </row>
    <row r="172" spans="5:9" x14ac:dyDescent="0.2">
      <c r="E172" s="17"/>
      <c r="F172" s="16"/>
      <c r="H172" s="7"/>
      <c r="I172" s="8"/>
    </row>
    <row r="173" spans="5:9" x14ac:dyDescent="0.2">
      <c r="E173" s="17"/>
      <c r="F173" s="16"/>
      <c r="H173" s="7"/>
      <c r="I173" s="8"/>
    </row>
    <row r="174" spans="5:9" x14ac:dyDescent="0.2">
      <c r="E174" s="17"/>
      <c r="F174" s="16"/>
      <c r="H174" s="7"/>
      <c r="I174" s="8"/>
    </row>
    <row r="175" spans="5:9" x14ac:dyDescent="0.2">
      <c r="E175" s="17"/>
      <c r="F175" s="16"/>
      <c r="H175" s="7"/>
      <c r="I175" s="8"/>
    </row>
    <row r="176" spans="5:9" x14ac:dyDescent="0.2">
      <c r="E176" s="17"/>
      <c r="F176" s="16"/>
      <c r="H176" s="7"/>
      <c r="I176" s="8"/>
    </row>
    <row r="177" spans="5:9" x14ac:dyDescent="0.2">
      <c r="E177" s="17"/>
      <c r="F177" s="16"/>
      <c r="H177" s="7"/>
      <c r="I177" s="8"/>
    </row>
    <row r="178" spans="5:9" x14ac:dyDescent="0.2">
      <c r="E178" s="17"/>
      <c r="F178" s="16"/>
      <c r="H178" s="7"/>
      <c r="I178" s="8"/>
    </row>
    <row r="179" spans="5:9" x14ac:dyDescent="0.2">
      <c r="E179" s="17"/>
      <c r="F179" s="16"/>
      <c r="H179" s="7"/>
      <c r="I179" s="8"/>
    </row>
    <row r="180" spans="5:9" x14ac:dyDescent="0.2">
      <c r="E180" s="17"/>
      <c r="F180" s="16"/>
      <c r="H180" s="7"/>
      <c r="I180" s="8"/>
    </row>
    <row r="181" spans="5:9" x14ac:dyDescent="0.2">
      <c r="E181" s="17"/>
      <c r="F181" s="16"/>
      <c r="H181" s="7"/>
      <c r="I181" s="8"/>
    </row>
    <row r="182" spans="5:9" x14ac:dyDescent="0.2">
      <c r="E182" s="17"/>
      <c r="F182" s="16"/>
      <c r="H182" s="7"/>
      <c r="I182" s="8"/>
    </row>
    <row r="183" spans="5:9" x14ac:dyDescent="0.2">
      <c r="E183" s="17"/>
      <c r="F183" s="16"/>
      <c r="H183" s="7"/>
      <c r="I183" s="8"/>
    </row>
    <row r="184" spans="5:9" x14ac:dyDescent="0.2">
      <c r="E184" s="17"/>
      <c r="F184" s="16"/>
      <c r="H184" s="7"/>
      <c r="I184" s="8"/>
    </row>
    <row r="185" spans="5:9" x14ac:dyDescent="0.2">
      <c r="E185" s="17"/>
      <c r="F185" s="16"/>
      <c r="H185" s="7"/>
      <c r="I185" s="8"/>
    </row>
    <row r="186" spans="5:9" x14ac:dyDescent="0.2">
      <c r="E186" s="17"/>
      <c r="F186" s="16"/>
      <c r="H186" s="7"/>
      <c r="I186" s="8"/>
    </row>
    <row r="187" spans="5:9" x14ac:dyDescent="0.2">
      <c r="E187" s="17"/>
      <c r="F187" s="16"/>
      <c r="H187" s="7"/>
      <c r="I187" s="8"/>
    </row>
    <row r="188" spans="5:9" x14ac:dyDescent="0.2">
      <c r="E188" s="17"/>
      <c r="F188" s="16"/>
      <c r="H188" s="7"/>
      <c r="I188" s="8"/>
    </row>
    <row r="189" spans="5:9" x14ac:dyDescent="0.2">
      <c r="E189" s="17"/>
      <c r="F189" s="16"/>
      <c r="H189" s="7"/>
      <c r="I189" s="8"/>
    </row>
    <row r="190" spans="5:9" x14ac:dyDescent="0.2">
      <c r="E190" s="17"/>
      <c r="F190" s="16"/>
      <c r="H190" s="7"/>
      <c r="I190" s="8"/>
    </row>
    <row r="191" spans="5:9" x14ac:dyDescent="0.2">
      <c r="E191" s="17"/>
      <c r="F191" s="16"/>
      <c r="H191" s="7"/>
      <c r="I191" s="8"/>
    </row>
    <row r="192" spans="5:9" x14ac:dyDescent="0.2">
      <c r="E192" s="17"/>
      <c r="F192" s="16"/>
      <c r="H192" s="7"/>
      <c r="I192" s="8"/>
    </row>
    <row r="193" spans="5:9" x14ac:dyDescent="0.2">
      <c r="E193" s="17"/>
      <c r="F193" s="16"/>
      <c r="H193" s="7"/>
      <c r="I193" s="8"/>
    </row>
    <row r="194" spans="5:9" x14ac:dyDescent="0.2">
      <c r="E194" s="17"/>
      <c r="F194" s="16"/>
      <c r="H194" s="7"/>
      <c r="I194" s="8"/>
    </row>
    <row r="195" spans="5:9" x14ac:dyDescent="0.2">
      <c r="E195" s="17"/>
      <c r="F195" s="16"/>
      <c r="H195" s="7"/>
      <c r="I195" s="8"/>
    </row>
    <row r="196" spans="5:9" x14ac:dyDescent="0.2">
      <c r="E196" s="17"/>
      <c r="F196" s="16"/>
      <c r="H196" s="7"/>
      <c r="I196" s="8"/>
    </row>
    <row r="197" spans="5:9" x14ac:dyDescent="0.2">
      <c r="E197" s="17"/>
      <c r="F197" s="16"/>
      <c r="H197" s="7"/>
      <c r="I197" s="8"/>
    </row>
    <row r="198" spans="5:9" x14ac:dyDescent="0.2">
      <c r="E198" s="17"/>
      <c r="F198" s="16"/>
      <c r="H198" s="7"/>
      <c r="I198" s="8"/>
    </row>
    <row r="199" spans="5:9" x14ac:dyDescent="0.2">
      <c r="E199" s="17"/>
      <c r="F199" s="16"/>
      <c r="H199" s="7"/>
      <c r="I199" s="8"/>
    </row>
    <row r="200" spans="5:9" x14ac:dyDescent="0.2">
      <c r="E200" s="17"/>
      <c r="F200" s="16"/>
      <c r="H200" s="7"/>
      <c r="I200" s="8"/>
    </row>
    <row r="201" spans="5:9" x14ac:dyDescent="0.2">
      <c r="E201" s="17"/>
      <c r="F201" s="16"/>
      <c r="H201" s="7"/>
      <c r="I201" s="8"/>
    </row>
    <row r="202" spans="5:9" x14ac:dyDescent="0.2">
      <c r="E202" s="17"/>
      <c r="F202" s="16"/>
      <c r="H202" s="7"/>
      <c r="I202" s="8"/>
    </row>
    <row r="203" spans="5:9" x14ac:dyDescent="0.2">
      <c r="E203" s="17"/>
      <c r="F203" s="16"/>
      <c r="H203" s="7"/>
      <c r="I203" s="8"/>
    </row>
    <row r="204" spans="5:9" x14ac:dyDescent="0.2">
      <c r="E204" s="17"/>
      <c r="F204" s="16"/>
      <c r="H204" s="7"/>
      <c r="I204" s="8"/>
    </row>
    <row r="205" spans="5:9" x14ac:dyDescent="0.2">
      <c r="E205" s="17"/>
      <c r="F205" s="16"/>
      <c r="H205" s="7"/>
      <c r="I205" s="8"/>
    </row>
    <row r="206" spans="5:9" x14ac:dyDescent="0.2">
      <c r="E206" s="17"/>
      <c r="F206" s="16"/>
      <c r="H206" s="7"/>
      <c r="I206" s="8"/>
    </row>
    <row r="207" spans="5:9" x14ac:dyDescent="0.2">
      <c r="E207" s="17"/>
      <c r="F207" s="16"/>
      <c r="H207" s="7"/>
      <c r="I207" s="8"/>
    </row>
    <row r="208" spans="5:9" x14ac:dyDescent="0.2">
      <c r="E208" s="17"/>
      <c r="F208" s="16"/>
      <c r="H208" s="7"/>
      <c r="I208" s="8"/>
    </row>
    <row r="209" spans="5:9" x14ac:dyDescent="0.2">
      <c r="E209" s="17"/>
      <c r="F209" s="16"/>
      <c r="H209" s="7"/>
      <c r="I209" s="8"/>
    </row>
    <row r="210" spans="5:9" x14ac:dyDescent="0.2">
      <c r="E210" s="1"/>
      <c r="F210" s="16"/>
      <c r="H210" s="7"/>
      <c r="I210" s="8"/>
    </row>
    <row r="211" spans="5:9" x14ac:dyDescent="0.2">
      <c r="E211" s="1"/>
      <c r="F211" s="16"/>
      <c r="H211" s="7"/>
      <c r="I211" s="8"/>
    </row>
    <row r="212" spans="5:9" x14ac:dyDescent="0.2">
      <c r="E212" s="1"/>
      <c r="F212" s="16"/>
      <c r="H212" s="7"/>
      <c r="I212" s="8"/>
    </row>
    <row r="213" spans="5:9" x14ac:dyDescent="0.2">
      <c r="E213" s="1"/>
      <c r="F213" s="16"/>
      <c r="H213" s="7"/>
      <c r="I213" s="8"/>
    </row>
    <row r="214" spans="5:9" x14ac:dyDescent="0.2">
      <c r="E214" s="1"/>
      <c r="F214" s="16"/>
      <c r="H214" s="7"/>
      <c r="I214" s="8"/>
    </row>
    <row r="215" spans="5:9" x14ac:dyDescent="0.2">
      <c r="E215" s="1"/>
      <c r="F215" s="16"/>
      <c r="H215" s="7"/>
      <c r="I215" s="8"/>
    </row>
    <row r="216" spans="5:9" x14ac:dyDescent="0.2">
      <c r="E216" s="1"/>
      <c r="F216" s="16"/>
      <c r="H216" s="7"/>
      <c r="I216" s="8"/>
    </row>
    <row r="217" spans="5:9" x14ac:dyDescent="0.2">
      <c r="E217" s="1"/>
      <c r="F217" s="16"/>
      <c r="H217" s="7"/>
      <c r="I217" s="8"/>
    </row>
    <row r="218" spans="5:9" x14ac:dyDescent="0.2">
      <c r="E218" s="1"/>
      <c r="F218" s="16"/>
      <c r="H218" s="7"/>
      <c r="I218" s="8"/>
    </row>
    <row r="219" spans="5:9" x14ac:dyDescent="0.2">
      <c r="E219" s="1"/>
      <c r="F219" s="16"/>
      <c r="H219" s="7"/>
      <c r="I219" s="8"/>
    </row>
    <row r="220" spans="5:9" x14ac:dyDescent="0.2">
      <c r="E220" s="1"/>
      <c r="F220" s="16"/>
      <c r="H220" s="7"/>
      <c r="I220" s="8"/>
    </row>
    <row r="221" spans="5:9" x14ac:dyDescent="0.2">
      <c r="E221" s="1"/>
      <c r="F221" s="16"/>
      <c r="H221" s="7"/>
      <c r="I221" s="8"/>
    </row>
    <row r="222" spans="5:9" x14ac:dyDescent="0.2">
      <c r="E222" s="1"/>
      <c r="F222" s="16"/>
      <c r="H222" s="7"/>
      <c r="I222" s="8"/>
    </row>
    <row r="223" spans="5:9" x14ac:dyDescent="0.2">
      <c r="E223" s="1"/>
      <c r="F223" s="16"/>
      <c r="H223" s="7"/>
      <c r="I223" s="8"/>
    </row>
    <row r="224" spans="5:9" x14ac:dyDescent="0.2">
      <c r="E224" s="1"/>
      <c r="F224" s="16"/>
      <c r="H224" s="7"/>
      <c r="I224" s="8"/>
    </row>
    <row r="225" spans="5:9" x14ac:dyDescent="0.2">
      <c r="E225" s="1"/>
      <c r="F225" s="16"/>
      <c r="H225" s="7"/>
      <c r="I225" s="8"/>
    </row>
    <row r="226" spans="5:9" x14ac:dyDescent="0.2">
      <c r="E226" s="1"/>
      <c r="F226" s="16"/>
      <c r="H226" s="7"/>
      <c r="I226" s="8"/>
    </row>
    <row r="227" spans="5:9" x14ac:dyDescent="0.2">
      <c r="E227" s="1"/>
      <c r="F227" s="16"/>
      <c r="H227" s="7"/>
      <c r="I227" s="8"/>
    </row>
    <row r="228" spans="5:9" x14ac:dyDescent="0.2">
      <c r="E228" s="1"/>
      <c r="F228" s="16"/>
      <c r="H228" s="7"/>
      <c r="I228" s="8"/>
    </row>
    <row r="229" spans="5:9" x14ac:dyDescent="0.2">
      <c r="E229" s="1"/>
      <c r="F229" s="16"/>
      <c r="H229" s="7"/>
      <c r="I229" s="8"/>
    </row>
    <row r="230" spans="5:9" x14ac:dyDescent="0.2">
      <c r="E230" s="1"/>
      <c r="F230" s="16"/>
      <c r="H230" s="7"/>
      <c r="I230" s="8"/>
    </row>
    <row r="231" spans="5:9" x14ac:dyDescent="0.2">
      <c r="E231" s="1"/>
      <c r="F231" s="16"/>
      <c r="H231" s="7"/>
      <c r="I231" s="8"/>
    </row>
    <row r="232" spans="5:9" x14ac:dyDescent="0.2">
      <c r="E232" s="1"/>
      <c r="F232" s="16"/>
      <c r="H232" s="7"/>
      <c r="I232" s="8"/>
    </row>
    <row r="233" spans="5:9" x14ac:dyDescent="0.2">
      <c r="E233" s="1"/>
      <c r="F233" s="16"/>
      <c r="H233" s="7"/>
      <c r="I233" s="8"/>
    </row>
    <row r="234" spans="5:9" x14ac:dyDescent="0.2">
      <c r="E234" s="1"/>
      <c r="F234" s="16"/>
      <c r="H234" s="7"/>
      <c r="I234" s="8"/>
    </row>
    <row r="235" spans="5:9" x14ac:dyDescent="0.2">
      <c r="E235" s="1"/>
      <c r="F235" s="16"/>
      <c r="H235" s="7"/>
      <c r="I235" s="8"/>
    </row>
    <row r="236" spans="5:9" x14ac:dyDescent="0.2">
      <c r="E236" s="1"/>
      <c r="F236" s="16"/>
      <c r="H236" s="7"/>
      <c r="I236" s="8"/>
    </row>
    <row r="237" spans="5:9" x14ac:dyDescent="0.2">
      <c r="E237" s="1"/>
      <c r="F237" s="16"/>
      <c r="H237" s="7"/>
      <c r="I237" s="8"/>
    </row>
    <row r="238" spans="5:9" x14ac:dyDescent="0.2">
      <c r="E238" s="1"/>
      <c r="F238" s="16"/>
      <c r="H238" s="7"/>
      <c r="I238" s="8"/>
    </row>
    <row r="239" spans="5:9" x14ac:dyDescent="0.2">
      <c r="E239" s="1"/>
      <c r="F239" s="16"/>
      <c r="H239" s="7"/>
      <c r="I239" s="8"/>
    </row>
    <row r="240" spans="5:9" x14ac:dyDescent="0.2">
      <c r="E240" s="1"/>
      <c r="F240" s="16"/>
      <c r="H240" s="7"/>
      <c r="I240" s="8"/>
    </row>
    <row r="241" spans="4:9" x14ac:dyDescent="0.2">
      <c r="E241" s="1"/>
      <c r="F241" s="16"/>
      <c r="H241" s="7"/>
      <c r="I241" s="8"/>
    </row>
    <row r="242" spans="4:9" x14ac:dyDescent="0.2">
      <c r="E242" s="1"/>
      <c r="F242" s="16"/>
      <c r="H242" s="7"/>
      <c r="I242" s="8"/>
    </row>
    <row r="243" spans="4:9" x14ac:dyDescent="0.2">
      <c r="D243" s="18"/>
      <c r="E243" s="1"/>
      <c r="F243" s="16"/>
      <c r="H243" s="7"/>
      <c r="I243" s="8"/>
    </row>
    <row r="244" spans="4:9" x14ac:dyDescent="0.2">
      <c r="D244" s="18"/>
      <c r="E244" s="1"/>
      <c r="F244" s="16"/>
      <c r="H244" s="7"/>
      <c r="I244" s="8"/>
    </row>
    <row r="245" spans="4:9" x14ac:dyDescent="0.2">
      <c r="D245" s="18"/>
      <c r="E245" s="1"/>
      <c r="F245" s="16"/>
      <c r="H245" s="7"/>
      <c r="I245" s="8"/>
    </row>
    <row r="246" spans="4:9" x14ac:dyDescent="0.2">
      <c r="D246" s="18"/>
      <c r="E246" s="1"/>
      <c r="F246" s="16"/>
      <c r="H246" s="7"/>
      <c r="I246" s="8"/>
    </row>
    <row r="247" spans="4:9" x14ac:dyDescent="0.2">
      <c r="D247" s="18"/>
      <c r="E247" s="1"/>
      <c r="F247" s="16"/>
      <c r="H247" s="7"/>
      <c r="I247" s="8"/>
    </row>
    <row r="248" spans="4:9" x14ac:dyDescent="0.2">
      <c r="D248" s="18"/>
      <c r="E248" s="1"/>
      <c r="F248" s="16"/>
      <c r="H248" s="7"/>
      <c r="I248" s="8"/>
    </row>
    <row r="249" spans="4:9" x14ac:dyDescent="0.2">
      <c r="D249" s="18"/>
      <c r="E249" s="1"/>
      <c r="F249" s="16"/>
      <c r="H249" s="7"/>
      <c r="I249" s="8"/>
    </row>
    <row r="250" spans="4:9" x14ac:dyDescent="0.2">
      <c r="D250" s="18"/>
      <c r="E250" s="1"/>
      <c r="F250" s="16"/>
      <c r="H250" s="7"/>
      <c r="I250" s="8"/>
    </row>
    <row r="251" spans="4:9" x14ac:dyDescent="0.2">
      <c r="D251" s="18"/>
      <c r="E251" s="1"/>
      <c r="F251" s="16"/>
      <c r="H251" s="7"/>
      <c r="I251" s="8"/>
    </row>
    <row r="252" spans="4:9" x14ac:dyDescent="0.2">
      <c r="D252" s="18"/>
      <c r="E252" s="1"/>
      <c r="F252" s="16"/>
      <c r="H252" s="7"/>
      <c r="I252" s="8"/>
    </row>
    <row r="253" spans="4:9" x14ac:dyDescent="0.2">
      <c r="D253" s="18"/>
      <c r="E253" s="1"/>
      <c r="F253" s="16"/>
      <c r="H253" s="7"/>
      <c r="I253" s="8"/>
    </row>
    <row r="254" spans="4:9" x14ac:dyDescent="0.2">
      <c r="D254" s="18"/>
      <c r="E254" s="1"/>
      <c r="F254" s="16"/>
      <c r="H254" s="7"/>
      <c r="I254" s="8"/>
    </row>
    <row r="255" spans="4:9" x14ac:dyDescent="0.2">
      <c r="D255" s="18"/>
      <c r="E255" s="1"/>
      <c r="F255" s="16"/>
      <c r="H255" s="7"/>
      <c r="I255" s="8"/>
    </row>
    <row r="256" spans="4:9" x14ac:dyDescent="0.2">
      <c r="D256" s="18"/>
      <c r="E256" s="1"/>
      <c r="F256" s="16"/>
      <c r="H256" s="7"/>
      <c r="I256" s="8"/>
    </row>
    <row r="257" spans="4:9" x14ac:dyDescent="0.2">
      <c r="D257" s="18"/>
      <c r="E257" s="1"/>
      <c r="F257" s="16"/>
      <c r="H257" s="7"/>
      <c r="I257" s="8"/>
    </row>
    <row r="258" spans="4:9" x14ac:dyDescent="0.2">
      <c r="D258" s="18"/>
      <c r="E258" s="1"/>
      <c r="F258" s="16"/>
      <c r="H258" s="7"/>
      <c r="I258" s="8"/>
    </row>
    <row r="259" spans="4:9" x14ac:dyDescent="0.2">
      <c r="D259" s="18"/>
      <c r="E259" s="1"/>
      <c r="F259" s="16"/>
      <c r="H259" s="7"/>
      <c r="I259" s="8"/>
    </row>
    <row r="260" spans="4:9" x14ac:dyDescent="0.2">
      <c r="D260" s="18"/>
      <c r="E260" s="1"/>
      <c r="F260" s="16"/>
      <c r="H260" s="7"/>
      <c r="I260" s="8"/>
    </row>
    <row r="261" spans="4:9" x14ac:dyDescent="0.2">
      <c r="D261" s="18"/>
      <c r="E261" s="1"/>
      <c r="F261" s="16"/>
      <c r="H261" s="7"/>
      <c r="I261" s="8"/>
    </row>
    <row r="262" spans="4:9" x14ac:dyDescent="0.2">
      <c r="D262" s="18"/>
      <c r="E262" s="1"/>
      <c r="F262" s="16"/>
      <c r="H262" s="7"/>
      <c r="I262" s="8"/>
    </row>
    <row r="263" spans="4:9" x14ac:dyDescent="0.2">
      <c r="D263" s="18"/>
      <c r="E263" s="1"/>
      <c r="F263" s="16"/>
      <c r="H263" s="7"/>
      <c r="I263" s="8"/>
    </row>
    <row r="264" spans="4:9" x14ac:dyDescent="0.2">
      <c r="D264" s="18"/>
      <c r="E264" s="1"/>
      <c r="F264" s="16"/>
      <c r="H264" s="7"/>
      <c r="I264" s="8"/>
    </row>
    <row r="265" spans="4:9" x14ac:dyDescent="0.2">
      <c r="D265" s="18"/>
      <c r="E265" s="1"/>
      <c r="F265" s="16"/>
      <c r="H265" s="7"/>
      <c r="I265" s="8"/>
    </row>
    <row r="266" spans="4:9" x14ac:dyDescent="0.2">
      <c r="D266" s="18"/>
      <c r="E266" s="1"/>
      <c r="F266" s="16"/>
      <c r="H266" s="7"/>
      <c r="I266" s="8"/>
    </row>
    <row r="267" spans="4:9" x14ac:dyDescent="0.2">
      <c r="D267" s="18"/>
      <c r="E267" s="1"/>
      <c r="F267" s="16"/>
      <c r="H267" s="7"/>
      <c r="I267" s="8"/>
    </row>
    <row r="268" spans="4:9" x14ac:dyDescent="0.2">
      <c r="D268" s="18"/>
      <c r="E268" s="1"/>
      <c r="F268" s="16"/>
      <c r="H268" s="7"/>
      <c r="I268" s="8"/>
    </row>
    <row r="269" spans="4:9" x14ac:dyDescent="0.2">
      <c r="D269" s="18"/>
      <c r="E269" s="19"/>
      <c r="F269" s="16"/>
      <c r="H269" s="7"/>
      <c r="I269" s="8"/>
    </row>
    <row r="270" spans="4:9" x14ac:dyDescent="0.2">
      <c r="D270" s="18"/>
      <c r="E270" s="19"/>
      <c r="F270" s="16"/>
      <c r="H270" s="7"/>
      <c r="I270" s="8"/>
    </row>
    <row r="271" spans="4:9" x14ac:dyDescent="0.2">
      <c r="D271" s="18"/>
      <c r="E271" s="19"/>
      <c r="F271" s="16"/>
      <c r="H271" s="7"/>
      <c r="I271" s="8"/>
    </row>
    <row r="272" spans="4:9" x14ac:dyDescent="0.2">
      <c r="D272" s="18"/>
      <c r="E272" s="19"/>
      <c r="F272" s="16"/>
      <c r="H272" s="7"/>
      <c r="I272" s="8"/>
    </row>
    <row r="273" spans="4:9" x14ac:dyDescent="0.2">
      <c r="D273" s="18"/>
      <c r="E273" s="19"/>
      <c r="F273" s="16"/>
      <c r="H273" s="7"/>
      <c r="I273" s="8"/>
    </row>
    <row r="274" spans="4:9" x14ac:dyDescent="0.2">
      <c r="D274" s="18"/>
      <c r="E274" s="19"/>
      <c r="F274" s="16"/>
      <c r="H274" s="7"/>
      <c r="I274" s="8"/>
    </row>
    <row r="275" spans="4:9" x14ac:dyDescent="0.2">
      <c r="D275" s="18"/>
      <c r="E275" s="19"/>
      <c r="F275" s="16"/>
      <c r="H275" s="7"/>
      <c r="I275" s="8"/>
    </row>
    <row r="276" spans="4:9" x14ac:dyDescent="0.2">
      <c r="D276" s="18"/>
      <c r="E276" s="19"/>
      <c r="F276" s="16"/>
      <c r="H276" s="7"/>
      <c r="I276" s="8"/>
    </row>
    <row r="277" spans="4:9" x14ac:dyDescent="0.2">
      <c r="D277" s="18"/>
      <c r="E277" s="19"/>
      <c r="F277" s="16"/>
      <c r="H277" s="7"/>
      <c r="I277" s="8"/>
    </row>
    <row r="278" spans="4:9" x14ac:dyDescent="0.2">
      <c r="D278" s="18"/>
      <c r="E278" s="19"/>
      <c r="F278" s="16"/>
      <c r="H278" s="7"/>
      <c r="I278" s="8"/>
    </row>
    <row r="279" spans="4:9" x14ac:dyDescent="0.2">
      <c r="D279" s="18"/>
      <c r="E279" s="19"/>
      <c r="F279" s="16"/>
      <c r="H279" s="7"/>
      <c r="I279" s="8"/>
    </row>
    <row r="280" spans="4:9" x14ac:dyDescent="0.2">
      <c r="D280" s="18"/>
      <c r="E280" s="19"/>
      <c r="F280" s="16"/>
      <c r="H280" s="7"/>
      <c r="I280" s="8"/>
    </row>
    <row r="281" spans="4:9" x14ac:dyDescent="0.2">
      <c r="D281" s="18"/>
      <c r="E281" s="19"/>
      <c r="F281" s="16"/>
      <c r="H281" s="7"/>
      <c r="I281" s="8"/>
    </row>
    <row r="282" spans="4:9" x14ac:dyDescent="0.2">
      <c r="D282" s="18"/>
      <c r="E282" s="19"/>
      <c r="F282" s="16"/>
      <c r="H282" s="7"/>
      <c r="I282" s="8"/>
    </row>
    <row r="283" spans="4:9" x14ac:dyDescent="0.2">
      <c r="D283" s="18"/>
      <c r="E283" s="19"/>
      <c r="F283" s="16"/>
      <c r="H283" s="7"/>
      <c r="I283" s="8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9"/>
  <sheetViews>
    <sheetView zoomScaleNormal="100" workbookViewId="0">
      <selection sqref="A1:H4"/>
    </sheetView>
  </sheetViews>
  <sheetFormatPr defaultRowHeight="14.25" x14ac:dyDescent="0.2"/>
  <cols>
    <col min="1" max="1" width="16.25" bestFit="1" customWidth="1"/>
    <col min="2" max="2" width="13.125" bestFit="1" customWidth="1"/>
    <col min="3" max="3" width="39.875" customWidth="1"/>
    <col min="4" max="4" width="10" customWidth="1"/>
    <col min="5" max="5" width="15.25" customWidth="1"/>
    <col min="6" max="6" width="13" customWidth="1"/>
    <col min="7" max="7" width="13.75" customWidth="1"/>
    <col min="8" max="8" width="8.625" bestFit="1" customWidth="1"/>
    <col min="9" max="10" width="8.625" customWidth="1"/>
    <col min="11" max="11" width="12.375" customWidth="1"/>
    <col min="12" max="12" width="19.25" bestFit="1" customWidth="1"/>
    <col min="13" max="13" width="11.375" bestFit="1" customWidth="1"/>
    <col min="14" max="14" width="35.875" bestFit="1" customWidth="1"/>
    <col min="15" max="15" width="16.875" customWidth="1"/>
  </cols>
  <sheetData>
    <row r="1" spans="1:15" x14ac:dyDescent="0.2">
      <c r="A1" t="s">
        <v>5</v>
      </c>
      <c r="B1" t="s">
        <v>23</v>
      </c>
      <c r="C1" t="s">
        <v>43</v>
      </c>
      <c r="D1" t="s">
        <v>7</v>
      </c>
      <c r="E1" t="s">
        <v>8</v>
      </c>
      <c r="F1" t="s">
        <v>9</v>
      </c>
      <c r="G1" t="s">
        <v>10</v>
      </c>
      <c r="H1" t="s">
        <v>19</v>
      </c>
    </row>
    <row r="2" spans="1:15" x14ac:dyDescent="0.2">
      <c r="A2" t="s">
        <v>38</v>
      </c>
      <c r="B2" t="s">
        <v>42</v>
      </c>
      <c r="C2">
        <v>56</v>
      </c>
      <c r="D2" s="25">
        <v>185250</v>
      </c>
      <c r="E2" s="25"/>
      <c r="H2" s="30">
        <v>1</v>
      </c>
      <c r="I2" s="23"/>
      <c r="J2" s="23"/>
      <c r="K2" s="22"/>
      <c r="L2" s="24"/>
      <c r="N2" s="7"/>
      <c r="O2" s="8"/>
    </row>
    <row r="3" spans="1:15" x14ac:dyDescent="0.2">
      <c r="A3" t="s">
        <v>39</v>
      </c>
      <c r="B3" t="s">
        <v>42</v>
      </c>
      <c r="C3">
        <v>71</v>
      </c>
      <c r="D3" s="25">
        <v>195000</v>
      </c>
      <c r="E3" s="37">
        <f>G3/F3</f>
        <v>0.19649122807017544</v>
      </c>
      <c r="F3" s="33">
        <f>(C3-C2)/C2</f>
        <v>0.26785714285714285</v>
      </c>
      <c r="G3" s="33">
        <f>(D3-D2)/D2</f>
        <v>5.2631578947368418E-2</v>
      </c>
      <c r="H3" s="30">
        <v>1</v>
      </c>
      <c r="I3" s="23"/>
      <c r="J3" s="23"/>
      <c r="K3" s="22"/>
      <c r="L3" s="24"/>
      <c r="N3" s="7"/>
      <c r="O3" s="8"/>
    </row>
    <row r="4" spans="1:15" x14ac:dyDescent="0.2">
      <c r="A4" t="s">
        <v>40</v>
      </c>
      <c r="B4" t="s">
        <v>42</v>
      </c>
      <c r="C4">
        <v>98</v>
      </c>
      <c r="D4" s="25">
        <v>221400</v>
      </c>
      <c r="E4" s="37">
        <f>G4/F4</f>
        <v>0.2601889338731444</v>
      </c>
      <c r="F4" s="33">
        <f>(C4-C2)/C2</f>
        <v>0.75</v>
      </c>
      <c r="G4" s="33">
        <f>(D4-D2)/D2</f>
        <v>0.19514170040485829</v>
      </c>
      <c r="H4" s="30">
        <v>1</v>
      </c>
      <c r="I4" s="23"/>
      <c r="J4" s="23"/>
      <c r="K4" s="22"/>
      <c r="L4" s="24"/>
      <c r="N4" s="7"/>
      <c r="O4" s="8"/>
    </row>
    <row r="5" spans="1:15" x14ac:dyDescent="0.2">
      <c r="D5" s="25"/>
      <c r="E5" s="25"/>
      <c r="I5" s="23"/>
      <c r="J5" s="23"/>
      <c r="K5" s="22"/>
      <c r="L5" s="24"/>
      <c r="N5" s="7"/>
      <c r="O5" s="8"/>
    </row>
    <row r="6" spans="1:15" x14ac:dyDescent="0.2">
      <c r="D6" s="25"/>
      <c r="E6" s="25"/>
      <c r="I6" s="23"/>
      <c r="J6" s="23"/>
      <c r="K6" s="22"/>
      <c r="L6" s="24"/>
      <c r="N6" s="7"/>
      <c r="O6" s="8"/>
    </row>
    <row r="7" spans="1:15" x14ac:dyDescent="0.2">
      <c r="D7" s="25"/>
      <c r="E7" s="25"/>
      <c r="I7" s="23"/>
      <c r="J7" s="23"/>
      <c r="K7" s="22"/>
      <c r="L7" s="24"/>
      <c r="N7" s="7"/>
      <c r="O7" s="8"/>
    </row>
    <row r="8" spans="1:15" x14ac:dyDescent="0.2">
      <c r="D8" s="25"/>
      <c r="E8" s="25"/>
      <c r="H8" s="23"/>
      <c r="I8" s="23"/>
      <c r="J8" s="23"/>
      <c r="K8" s="22"/>
      <c r="L8" s="24"/>
      <c r="N8" s="7"/>
      <c r="O8" s="8"/>
    </row>
    <row r="9" spans="1:15" x14ac:dyDescent="0.2">
      <c r="D9" s="25"/>
      <c r="E9" s="25"/>
      <c r="H9" s="23"/>
      <c r="I9" s="23"/>
      <c r="J9" s="23"/>
      <c r="K9" s="22"/>
      <c r="L9" s="24"/>
      <c r="N9" s="7"/>
      <c r="O9" s="8"/>
    </row>
    <row r="10" spans="1:15" x14ac:dyDescent="0.2">
      <c r="D10" s="25"/>
      <c r="E10" s="25"/>
      <c r="H10" s="23"/>
      <c r="I10" s="23"/>
      <c r="J10" s="23"/>
      <c r="K10" s="22"/>
      <c r="L10" s="24"/>
      <c r="N10" s="7"/>
      <c r="O10" s="8"/>
    </row>
    <row r="11" spans="1:15" x14ac:dyDescent="0.2">
      <c r="D11" s="25"/>
      <c r="E11" s="25"/>
      <c r="I11" s="23"/>
      <c r="J11" s="23"/>
      <c r="K11" s="22"/>
      <c r="L11" s="24"/>
      <c r="N11" s="7"/>
      <c r="O11" s="8"/>
    </row>
    <row r="12" spans="1:15" x14ac:dyDescent="0.2">
      <c r="D12" s="25"/>
      <c r="E12" s="25"/>
      <c r="I12" s="23"/>
      <c r="J12" s="23"/>
      <c r="K12" s="22"/>
      <c r="L12" s="24"/>
      <c r="N12" s="7"/>
      <c r="O12" s="8"/>
    </row>
    <row r="13" spans="1:15" x14ac:dyDescent="0.2">
      <c r="D13" s="25"/>
      <c r="E13" s="25"/>
      <c r="I13" s="23"/>
      <c r="J13" s="23"/>
      <c r="K13" s="22"/>
      <c r="L13" s="24"/>
      <c r="N13" s="7"/>
      <c r="O13" s="8"/>
    </row>
    <row r="14" spans="1:15" x14ac:dyDescent="0.2">
      <c r="D14" s="25"/>
      <c r="E14" s="25"/>
      <c r="H14" s="23"/>
      <c r="I14" s="23"/>
      <c r="J14" s="23"/>
      <c r="K14" s="22"/>
      <c r="L14" s="24"/>
      <c r="N14" s="7"/>
      <c r="O14" s="8"/>
    </row>
    <row r="15" spans="1:15" x14ac:dyDescent="0.2">
      <c r="D15" s="25"/>
      <c r="E15" s="25"/>
      <c r="H15" s="23"/>
      <c r="I15" s="23"/>
      <c r="J15" s="23"/>
      <c r="K15" s="22"/>
      <c r="L15" s="24"/>
      <c r="N15" s="7"/>
      <c r="O15" s="8"/>
    </row>
    <row r="16" spans="1:15" x14ac:dyDescent="0.2">
      <c r="D16" s="25"/>
      <c r="E16" s="25"/>
      <c r="H16" s="23"/>
      <c r="I16" s="23"/>
      <c r="J16" s="23"/>
      <c r="K16" s="22"/>
      <c r="L16" s="24"/>
      <c r="N16" s="7"/>
      <c r="O16" s="8"/>
    </row>
    <row r="17" spans="4:15" x14ac:dyDescent="0.2">
      <c r="D17" s="25"/>
      <c r="E17" s="25"/>
      <c r="H17" s="23"/>
      <c r="I17" s="23"/>
      <c r="J17" s="23"/>
      <c r="K17" s="22"/>
      <c r="L17" s="24"/>
      <c r="N17" s="7"/>
      <c r="O17" s="8"/>
    </row>
    <row r="18" spans="4:15" x14ac:dyDescent="0.2">
      <c r="D18" s="25"/>
      <c r="E18" s="25"/>
      <c r="H18" s="23"/>
      <c r="I18" s="23"/>
      <c r="J18" s="23"/>
      <c r="K18" s="22"/>
      <c r="L18" s="24"/>
      <c r="N18" s="7"/>
      <c r="O18" s="8"/>
    </row>
    <row r="19" spans="4:15" x14ac:dyDescent="0.2">
      <c r="D19" s="25"/>
      <c r="E19" s="25"/>
      <c r="H19" s="23"/>
      <c r="I19" s="23"/>
      <c r="J19" s="23"/>
      <c r="K19" s="22"/>
      <c r="L19" s="24"/>
      <c r="N19" s="7"/>
      <c r="O19" s="8"/>
    </row>
    <row r="20" spans="4:15" x14ac:dyDescent="0.2">
      <c r="D20" s="25"/>
      <c r="E20" s="25"/>
      <c r="I20" s="23"/>
      <c r="J20" s="23"/>
      <c r="K20" s="22"/>
      <c r="L20" s="24"/>
      <c r="N20" s="7"/>
      <c r="O20" s="8"/>
    </row>
    <row r="21" spans="4:15" x14ac:dyDescent="0.2">
      <c r="D21" s="25"/>
      <c r="E21" s="25"/>
      <c r="I21" s="23"/>
      <c r="J21" s="23"/>
      <c r="K21" s="22"/>
      <c r="L21" s="24"/>
      <c r="N21" s="7"/>
      <c r="O21" s="8"/>
    </row>
    <row r="22" spans="4:15" x14ac:dyDescent="0.2">
      <c r="D22" s="25"/>
      <c r="E22" s="25"/>
      <c r="I22" s="23"/>
      <c r="J22" s="23"/>
      <c r="K22" s="22"/>
      <c r="L22" s="24"/>
      <c r="N22" s="7"/>
      <c r="O22" s="8"/>
    </row>
    <row r="23" spans="4:15" x14ac:dyDescent="0.2">
      <c r="D23" s="25"/>
      <c r="E23" s="25"/>
      <c r="I23" s="23"/>
      <c r="J23" s="23"/>
      <c r="K23" s="22"/>
      <c r="L23" s="24"/>
      <c r="N23" s="7"/>
      <c r="O23" s="8"/>
    </row>
    <row r="24" spans="4:15" x14ac:dyDescent="0.2">
      <c r="D24" s="25"/>
      <c r="E24" s="25"/>
      <c r="I24" s="23"/>
      <c r="J24" s="23"/>
      <c r="K24" s="22"/>
      <c r="L24" s="24"/>
      <c r="N24" s="7"/>
      <c r="O24" s="8"/>
    </row>
    <row r="25" spans="4:15" x14ac:dyDescent="0.2">
      <c r="D25" s="25"/>
      <c r="E25" s="25"/>
      <c r="I25" s="23"/>
      <c r="J25" s="23"/>
      <c r="K25" s="22"/>
      <c r="L25" s="24"/>
      <c r="N25" s="7"/>
      <c r="O25" s="8"/>
    </row>
    <row r="26" spans="4:15" x14ac:dyDescent="0.2">
      <c r="D26" s="25"/>
      <c r="E26" s="25"/>
      <c r="H26" s="23"/>
      <c r="I26" s="23"/>
      <c r="J26" s="23"/>
      <c r="K26" s="22"/>
      <c r="L26" s="24"/>
      <c r="N26" s="7"/>
      <c r="O26" s="8"/>
    </row>
    <row r="27" spans="4:15" x14ac:dyDescent="0.2">
      <c r="D27" s="25"/>
      <c r="E27" s="25"/>
      <c r="H27" s="23"/>
      <c r="I27" s="23"/>
      <c r="J27" s="23"/>
      <c r="K27" s="22"/>
      <c r="L27" s="24"/>
      <c r="N27" s="7"/>
      <c r="O27" s="8"/>
    </row>
    <row r="28" spans="4:15" x14ac:dyDescent="0.2">
      <c r="D28" s="25"/>
      <c r="E28" s="25"/>
      <c r="H28" s="23"/>
      <c r="I28" s="23"/>
      <c r="J28" s="23"/>
      <c r="K28" s="22"/>
      <c r="L28" s="24"/>
      <c r="N28" s="7"/>
      <c r="O28" s="8"/>
    </row>
    <row r="29" spans="4:15" x14ac:dyDescent="0.2">
      <c r="D29" s="25"/>
      <c r="E29" s="25"/>
      <c r="I29" s="23"/>
      <c r="J29" s="23"/>
      <c r="K29" s="22"/>
      <c r="L29" s="24"/>
      <c r="N29" s="7"/>
      <c r="O29" s="8"/>
    </row>
    <row r="30" spans="4:15" x14ac:dyDescent="0.2">
      <c r="D30" s="25"/>
      <c r="E30" s="25"/>
      <c r="I30" s="23"/>
      <c r="J30" s="23"/>
      <c r="K30" s="22"/>
      <c r="L30" s="24"/>
      <c r="N30" s="7"/>
      <c r="O30" s="8"/>
    </row>
    <row r="31" spans="4:15" x14ac:dyDescent="0.2">
      <c r="D31" s="25"/>
      <c r="E31" s="25"/>
      <c r="I31" s="23"/>
      <c r="J31" s="23"/>
      <c r="K31" s="22"/>
      <c r="L31" s="24"/>
      <c r="N31" s="7"/>
      <c r="O31" s="8"/>
    </row>
    <row r="32" spans="4:15" x14ac:dyDescent="0.2">
      <c r="D32" s="25"/>
      <c r="E32" s="25"/>
      <c r="H32" s="23"/>
      <c r="I32" s="23"/>
      <c r="J32" s="23"/>
      <c r="K32" s="22"/>
      <c r="L32" s="24"/>
      <c r="N32" s="7"/>
      <c r="O32" s="8"/>
    </row>
    <row r="33" spans="4:15" x14ac:dyDescent="0.2">
      <c r="D33" s="25"/>
      <c r="E33" s="25"/>
      <c r="H33" s="23"/>
      <c r="I33" s="23"/>
      <c r="J33" s="23"/>
      <c r="K33" s="22"/>
      <c r="L33" s="24"/>
      <c r="N33" s="7"/>
      <c r="O33" s="8"/>
    </row>
    <row r="34" spans="4:15" x14ac:dyDescent="0.2">
      <c r="D34" s="25"/>
      <c r="E34" s="25"/>
      <c r="I34" s="23"/>
      <c r="J34" s="23"/>
      <c r="K34" s="22"/>
      <c r="L34" s="24"/>
      <c r="N34" s="7"/>
      <c r="O34" s="8"/>
    </row>
    <row r="35" spans="4:15" x14ac:dyDescent="0.2">
      <c r="D35" s="25"/>
      <c r="E35" s="25"/>
      <c r="I35" s="23"/>
      <c r="J35" s="23"/>
      <c r="K35" s="22"/>
      <c r="L35" s="24"/>
      <c r="N35" s="7"/>
      <c r="O35" s="8"/>
    </row>
    <row r="36" spans="4:15" x14ac:dyDescent="0.2">
      <c r="D36" s="25"/>
      <c r="E36" s="25"/>
      <c r="I36" s="23"/>
      <c r="J36" s="23"/>
      <c r="K36" s="22"/>
      <c r="L36" s="24"/>
      <c r="N36" s="7"/>
      <c r="O36" s="8"/>
    </row>
    <row r="37" spans="4:15" x14ac:dyDescent="0.2">
      <c r="D37" s="25"/>
      <c r="E37" s="25"/>
      <c r="H37" s="23"/>
      <c r="I37" s="23"/>
      <c r="J37" s="23"/>
      <c r="K37" s="22"/>
      <c r="L37" s="24"/>
      <c r="N37" s="7"/>
      <c r="O37" s="8"/>
    </row>
    <row r="38" spans="4:15" x14ac:dyDescent="0.2">
      <c r="D38" s="25"/>
      <c r="E38" s="25"/>
      <c r="H38" s="23"/>
      <c r="I38" s="23"/>
      <c r="J38" s="23"/>
      <c r="K38" s="22"/>
      <c r="L38" s="24"/>
      <c r="N38" s="7"/>
      <c r="O38" s="8"/>
    </row>
    <row r="39" spans="4:15" x14ac:dyDescent="0.2">
      <c r="D39" s="25"/>
      <c r="E39" s="25"/>
      <c r="H39" s="23"/>
      <c r="I39" s="23"/>
      <c r="J39" s="23"/>
      <c r="K39" s="22"/>
      <c r="L39" s="24"/>
      <c r="N39" s="7"/>
      <c r="O39" s="8"/>
    </row>
    <row r="40" spans="4:15" x14ac:dyDescent="0.2">
      <c r="D40" s="25"/>
      <c r="E40" s="25"/>
      <c r="H40" s="23"/>
      <c r="I40" s="23"/>
      <c r="J40" s="23"/>
      <c r="K40" s="22"/>
      <c r="L40" s="24"/>
      <c r="N40" s="7"/>
      <c r="O40" s="8"/>
    </row>
    <row r="41" spans="4:15" x14ac:dyDescent="0.2">
      <c r="D41" s="25"/>
      <c r="E41" s="25"/>
      <c r="H41" s="23"/>
      <c r="I41" s="23"/>
      <c r="J41" s="23"/>
      <c r="K41" s="22"/>
      <c r="L41" s="24"/>
      <c r="N41" s="7"/>
      <c r="O41" s="8"/>
    </row>
    <row r="42" spans="4:15" x14ac:dyDescent="0.2">
      <c r="D42" s="25"/>
      <c r="E42" s="25"/>
      <c r="H42" s="23"/>
      <c r="I42" s="23"/>
      <c r="J42" s="23"/>
      <c r="K42" s="22"/>
      <c r="L42" s="24"/>
      <c r="N42" s="7"/>
      <c r="O42" s="8"/>
    </row>
    <row r="43" spans="4:15" x14ac:dyDescent="0.2">
      <c r="D43" s="25"/>
      <c r="E43" s="25"/>
      <c r="I43" s="23"/>
      <c r="J43" s="23"/>
      <c r="K43" s="22"/>
      <c r="L43" s="24"/>
      <c r="N43" s="7"/>
      <c r="O43" s="8"/>
    </row>
    <row r="44" spans="4:15" x14ac:dyDescent="0.2">
      <c r="D44" s="25"/>
      <c r="E44" s="25"/>
      <c r="I44" s="23"/>
      <c r="J44" s="23"/>
      <c r="K44" s="22"/>
      <c r="L44" s="24"/>
      <c r="N44" s="7"/>
      <c r="O44" s="8"/>
    </row>
    <row r="45" spans="4:15" x14ac:dyDescent="0.2">
      <c r="D45" s="25"/>
      <c r="E45" s="25"/>
      <c r="I45" s="23"/>
      <c r="J45" s="23"/>
      <c r="K45" s="22"/>
      <c r="L45" s="24"/>
      <c r="N45" s="7"/>
      <c r="O45" s="8"/>
    </row>
    <row r="46" spans="4:15" x14ac:dyDescent="0.2">
      <c r="D46" s="25"/>
      <c r="E46" s="25"/>
      <c r="H46" s="23"/>
      <c r="I46" s="23"/>
      <c r="J46" s="23"/>
      <c r="K46" s="22"/>
      <c r="L46" s="24"/>
      <c r="N46" s="7"/>
      <c r="O46" s="8"/>
    </row>
    <row r="47" spans="4:15" x14ac:dyDescent="0.2">
      <c r="D47" s="25"/>
      <c r="E47" s="25"/>
      <c r="H47" s="23"/>
      <c r="I47" s="23"/>
      <c r="J47" s="23"/>
      <c r="K47" s="22"/>
      <c r="L47" s="24"/>
      <c r="N47" s="7"/>
      <c r="O47" s="8"/>
    </row>
    <row r="48" spans="4:15" x14ac:dyDescent="0.2">
      <c r="D48" s="25"/>
      <c r="E48" s="25"/>
      <c r="H48" s="23"/>
      <c r="I48" s="23"/>
      <c r="J48" s="23"/>
      <c r="K48" s="22"/>
      <c r="L48" s="24"/>
      <c r="N48" s="7"/>
      <c r="O48" s="8"/>
    </row>
    <row r="49" spans="4:15" x14ac:dyDescent="0.2">
      <c r="D49" s="25"/>
      <c r="E49" s="25"/>
      <c r="H49" s="23"/>
      <c r="I49" s="23"/>
      <c r="J49" s="23"/>
      <c r="K49" s="22"/>
      <c r="L49" s="24"/>
      <c r="N49" s="7"/>
      <c r="O49" s="8"/>
    </row>
    <row r="50" spans="4:15" x14ac:dyDescent="0.2">
      <c r="D50" s="25"/>
      <c r="E50" s="25"/>
      <c r="H50" s="23"/>
      <c r="I50" s="23"/>
      <c r="J50" s="23"/>
      <c r="K50" s="22"/>
      <c r="L50" s="24"/>
      <c r="N50" s="7"/>
      <c r="O50" s="8"/>
    </row>
    <row r="51" spans="4:15" x14ac:dyDescent="0.2">
      <c r="D51" s="25"/>
      <c r="E51" s="25"/>
      <c r="H51" s="23"/>
      <c r="I51" s="23"/>
      <c r="J51" s="23"/>
      <c r="K51" s="22"/>
      <c r="L51" s="24"/>
      <c r="N51" s="7"/>
      <c r="O51" s="8"/>
    </row>
    <row r="52" spans="4:15" x14ac:dyDescent="0.2">
      <c r="D52" s="25"/>
      <c r="E52" s="25"/>
      <c r="I52" s="23"/>
      <c r="J52" s="23"/>
      <c r="K52" s="22"/>
      <c r="L52" s="24"/>
      <c r="N52" s="7"/>
      <c r="O52" s="8"/>
    </row>
    <row r="53" spans="4:15" x14ac:dyDescent="0.2">
      <c r="D53" s="25"/>
      <c r="E53" s="25"/>
      <c r="I53" s="23"/>
      <c r="J53" s="23"/>
      <c r="K53" s="22"/>
      <c r="L53" s="24"/>
      <c r="N53" s="7"/>
      <c r="O53" s="8"/>
    </row>
    <row r="54" spans="4:15" x14ac:dyDescent="0.2">
      <c r="D54" s="25"/>
      <c r="E54" s="25"/>
      <c r="I54" s="23"/>
      <c r="J54" s="23"/>
      <c r="K54" s="22"/>
      <c r="L54" s="24"/>
      <c r="N54" s="7"/>
      <c r="O54" s="8"/>
    </row>
    <row r="55" spans="4:15" x14ac:dyDescent="0.2">
      <c r="D55" s="25"/>
      <c r="E55" s="25"/>
      <c r="I55" s="23"/>
      <c r="J55" s="23"/>
      <c r="K55" s="22"/>
      <c r="L55" s="24"/>
      <c r="N55" s="7"/>
      <c r="O55" s="8"/>
    </row>
    <row r="56" spans="4:15" x14ac:dyDescent="0.2">
      <c r="D56" s="25"/>
      <c r="E56" s="25"/>
      <c r="I56" s="23"/>
      <c r="J56" s="23"/>
      <c r="K56" s="22"/>
      <c r="L56" s="24"/>
      <c r="N56" s="7"/>
      <c r="O56" s="8"/>
    </row>
    <row r="57" spans="4:15" x14ac:dyDescent="0.2">
      <c r="D57" s="25"/>
      <c r="E57" s="25"/>
      <c r="I57" s="23"/>
      <c r="J57" s="23"/>
      <c r="K57" s="22"/>
      <c r="L57" s="24"/>
      <c r="N57" s="7"/>
      <c r="O57" s="8"/>
    </row>
    <row r="58" spans="4:15" x14ac:dyDescent="0.2">
      <c r="D58" s="25"/>
      <c r="E58" s="25"/>
      <c r="H58" s="23"/>
      <c r="I58" s="23"/>
      <c r="J58" s="23"/>
      <c r="K58" s="22"/>
      <c r="L58" s="24"/>
      <c r="N58" s="7"/>
      <c r="O58" s="8"/>
    </row>
    <row r="59" spans="4:15" x14ac:dyDescent="0.2">
      <c r="D59" s="25"/>
      <c r="E59" s="25"/>
      <c r="H59" s="23"/>
      <c r="I59" s="23"/>
      <c r="J59" s="23"/>
      <c r="K59" s="22"/>
      <c r="L59" s="24"/>
      <c r="N59" s="7"/>
      <c r="O59" s="8"/>
    </row>
    <row r="60" spans="4:15" x14ac:dyDescent="0.2">
      <c r="D60" s="25"/>
      <c r="E60" s="25"/>
      <c r="H60" s="23"/>
      <c r="I60" s="23"/>
      <c r="J60" s="23"/>
      <c r="K60" s="22"/>
      <c r="L60" s="24"/>
      <c r="N60" s="7"/>
      <c r="O60" s="8"/>
    </row>
    <row r="61" spans="4:15" x14ac:dyDescent="0.2">
      <c r="D61" s="25"/>
      <c r="E61" s="25"/>
      <c r="I61" s="23"/>
      <c r="J61" s="23"/>
      <c r="K61" s="22"/>
      <c r="L61" s="24"/>
      <c r="N61" s="7"/>
      <c r="O61" s="8"/>
    </row>
    <row r="62" spans="4:15" x14ac:dyDescent="0.2">
      <c r="D62" s="25"/>
      <c r="E62" s="25"/>
      <c r="I62" s="23"/>
      <c r="J62" s="23"/>
      <c r="K62" s="22"/>
      <c r="L62" s="24"/>
      <c r="N62" s="7"/>
      <c r="O62" s="8"/>
    </row>
    <row r="63" spans="4:15" x14ac:dyDescent="0.2">
      <c r="D63" s="25"/>
      <c r="E63" s="25"/>
      <c r="I63" s="23"/>
      <c r="J63" s="23"/>
      <c r="K63" s="22"/>
      <c r="L63" s="24"/>
      <c r="N63" s="7"/>
      <c r="O63" s="8"/>
    </row>
    <row r="64" spans="4:15" x14ac:dyDescent="0.2">
      <c r="D64" s="25"/>
      <c r="E64" s="25"/>
      <c r="H64" s="23"/>
      <c r="I64" s="23"/>
      <c r="J64" s="23"/>
      <c r="K64" s="22"/>
      <c r="L64" s="24"/>
      <c r="N64" s="7"/>
      <c r="O64" s="8"/>
    </row>
    <row r="65" spans="4:15" x14ac:dyDescent="0.2">
      <c r="D65" s="25"/>
      <c r="E65" s="25"/>
      <c r="H65" s="23"/>
      <c r="I65" s="23"/>
      <c r="J65" s="23"/>
      <c r="K65" s="22"/>
      <c r="L65" s="24"/>
      <c r="N65" s="7"/>
      <c r="O65" s="8"/>
    </row>
    <row r="66" spans="4:15" x14ac:dyDescent="0.2">
      <c r="D66" s="25"/>
      <c r="E66" s="25"/>
      <c r="I66" s="23"/>
      <c r="J66" s="23"/>
      <c r="K66" s="22"/>
      <c r="L66" s="24"/>
      <c r="N66" s="7"/>
      <c r="O66" s="8"/>
    </row>
    <row r="67" spans="4:15" x14ac:dyDescent="0.2">
      <c r="D67" s="25"/>
      <c r="E67" s="25"/>
      <c r="I67" s="23"/>
      <c r="J67" s="23"/>
      <c r="K67" s="22"/>
      <c r="L67" s="24"/>
      <c r="N67" s="7"/>
      <c r="O67" s="8"/>
    </row>
    <row r="68" spans="4:15" x14ac:dyDescent="0.2">
      <c r="D68" s="25"/>
      <c r="E68" s="25"/>
      <c r="I68" s="23"/>
      <c r="J68" s="23"/>
      <c r="K68" s="22"/>
      <c r="L68" s="24"/>
      <c r="N68" s="7"/>
      <c r="O68" s="8"/>
    </row>
    <row r="69" spans="4:15" x14ac:dyDescent="0.2">
      <c r="D69" s="25"/>
      <c r="E69" s="25"/>
      <c r="H69" s="23"/>
      <c r="I69" s="23"/>
      <c r="J69" s="23"/>
      <c r="K69" s="22"/>
      <c r="L69" s="24"/>
      <c r="N69" s="7"/>
      <c r="O69" s="8"/>
    </row>
    <row r="70" spans="4:15" x14ac:dyDescent="0.2">
      <c r="D70" s="25"/>
      <c r="E70" s="25"/>
      <c r="H70" s="23"/>
      <c r="I70" s="23"/>
      <c r="J70" s="23"/>
      <c r="K70" s="22"/>
      <c r="L70" s="24"/>
      <c r="N70" s="7"/>
      <c r="O70" s="8"/>
    </row>
    <row r="71" spans="4:15" x14ac:dyDescent="0.2">
      <c r="D71" s="25"/>
      <c r="E71" s="25"/>
      <c r="H71" s="23"/>
      <c r="I71" s="23"/>
      <c r="J71" s="23"/>
      <c r="K71" s="22"/>
      <c r="L71" s="24"/>
      <c r="N71" s="7"/>
      <c r="O71" s="8"/>
    </row>
    <row r="72" spans="4:15" x14ac:dyDescent="0.2">
      <c r="D72" s="25"/>
      <c r="E72" s="25"/>
      <c r="H72" s="23"/>
      <c r="I72" s="23"/>
      <c r="J72" s="23"/>
      <c r="K72" s="22"/>
      <c r="L72" s="24"/>
      <c r="N72" s="7"/>
      <c r="O72" s="8"/>
    </row>
    <row r="73" spans="4:15" x14ac:dyDescent="0.2">
      <c r="D73" s="25"/>
      <c r="E73" s="25"/>
      <c r="I73" s="23"/>
      <c r="J73" s="23"/>
      <c r="K73" s="22"/>
      <c r="L73" s="24"/>
      <c r="N73" s="7"/>
      <c r="O73" s="8"/>
    </row>
    <row r="74" spans="4:15" x14ac:dyDescent="0.2">
      <c r="D74" s="25"/>
      <c r="E74" s="25"/>
      <c r="I74" s="23"/>
      <c r="J74" s="23"/>
      <c r="K74" s="22"/>
      <c r="L74" s="24"/>
      <c r="N74" s="7"/>
      <c r="O74" s="8"/>
    </row>
    <row r="75" spans="4:15" x14ac:dyDescent="0.2">
      <c r="D75" s="25"/>
      <c r="E75" s="25"/>
      <c r="H75" s="23"/>
      <c r="I75" s="23"/>
      <c r="J75" s="23"/>
      <c r="K75" s="22"/>
      <c r="L75" s="24"/>
      <c r="N75" s="7"/>
      <c r="O75" s="8"/>
    </row>
    <row r="76" spans="4:15" x14ac:dyDescent="0.2">
      <c r="D76" s="25"/>
      <c r="E76" s="25"/>
      <c r="H76" s="23"/>
      <c r="I76" s="23"/>
      <c r="J76" s="23"/>
      <c r="K76" s="22"/>
      <c r="L76" s="24"/>
      <c r="N76" s="7"/>
      <c r="O76" s="8"/>
    </row>
    <row r="77" spans="4:15" x14ac:dyDescent="0.2">
      <c r="D77" s="25"/>
      <c r="E77" s="25"/>
      <c r="H77" s="23"/>
      <c r="I77" s="23"/>
      <c r="J77" s="23"/>
      <c r="K77" s="22"/>
      <c r="L77" s="24"/>
      <c r="N77" s="7"/>
      <c r="O77" s="8"/>
    </row>
    <row r="78" spans="4:15" x14ac:dyDescent="0.2">
      <c r="D78" s="25"/>
      <c r="E78" s="25"/>
      <c r="H78" s="23"/>
      <c r="I78" s="23"/>
      <c r="J78" s="23"/>
      <c r="K78" s="22"/>
      <c r="L78" s="24"/>
      <c r="N78" s="7"/>
      <c r="O78" s="8"/>
    </row>
    <row r="79" spans="4:15" x14ac:dyDescent="0.2">
      <c r="D79" s="25"/>
      <c r="E79" s="25"/>
      <c r="H79" s="23"/>
      <c r="I79" s="23"/>
      <c r="J79" s="23"/>
      <c r="K79" s="22"/>
      <c r="L79" s="24"/>
      <c r="N79" s="7"/>
      <c r="O79" s="8"/>
    </row>
  </sheetData>
  <sortState xmlns:xlrd2="http://schemas.microsoft.com/office/spreadsheetml/2017/richdata2" ref="A2:P79">
    <sortCondition descending="1" ref="B2:B79"/>
    <sortCondition ref="C2:C79"/>
  </sortState>
  <phoneticPr fontId="8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2:I270"/>
  <sheetViews>
    <sheetView workbookViewId="0"/>
  </sheetViews>
  <sheetFormatPr defaultRowHeight="14.25" x14ac:dyDescent="0.2"/>
  <cols>
    <col min="1" max="1" width="16.25" bestFit="1" customWidth="1"/>
    <col min="2" max="2" width="13.125" bestFit="1" customWidth="1"/>
    <col min="3" max="3" width="13.875" bestFit="1" customWidth="1"/>
    <col min="4" max="4" width="30.375" bestFit="1" customWidth="1"/>
    <col min="5" max="5" width="9.625" bestFit="1" customWidth="1"/>
    <col min="6" max="7" width="8.875" customWidth="1"/>
    <col min="8" max="8" width="35.875" bestFit="1" customWidth="1"/>
    <col min="9" max="9" width="16.75" bestFit="1" customWidth="1"/>
    <col min="14" max="14" width="10" bestFit="1" customWidth="1"/>
  </cols>
  <sheetData>
    <row r="2" spans="5:9" x14ac:dyDescent="0.2">
      <c r="E2" s="20"/>
      <c r="F2" s="21"/>
      <c r="H2" s="7"/>
      <c r="I2" s="8"/>
    </row>
    <row r="3" spans="5:9" x14ac:dyDescent="0.2">
      <c r="E3" s="20"/>
      <c r="F3" s="21"/>
      <c r="H3" s="7"/>
      <c r="I3" s="8"/>
    </row>
    <row r="4" spans="5:9" x14ac:dyDescent="0.2">
      <c r="E4" s="20"/>
      <c r="F4" s="21"/>
      <c r="H4" s="7"/>
      <c r="I4" s="8"/>
    </row>
    <row r="5" spans="5:9" x14ac:dyDescent="0.2">
      <c r="E5" s="20"/>
      <c r="F5" s="21"/>
      <c r="H5" s="7"/>
      <c r="I5" s="8"/>
    </row>
    <row r="6" spans="5:9" x14ac:dyDescent="0.2">
      <c r="E6" s="20"/>
      <c r="F6" s="21"/>
      <c r="H6" s="7"/>
      <c r="I6" s="8"/>
    </row>
    <row r="7" spans="5:9" x14ac:dyDescent="0.2">
      <c r="E7" s="20"/>
      <c r="F7" s="21"/>
      <c r="H7" s="7"/>
      <c r="I7" s="8"/>
    </row>
    <row r="8" spans="5:9" x14ac:dyDescent="0.2">
      <c r="E8" s="20"/>
      <c r="F8" s="21"/>
      <c r="H8" s="7"/>
      <c r="I8" s="8"/>
    </row>
    <row r="9" spans="5:9" x14ac:dyDescent="0.2">
      <c r="E9" s="20"/>
      <c r="F9" s="21"/>
      <c r="H9" s="7"/>
      <c r="I9" s="8"/>
    </row>
    <row r="10" spans="5:9" x14ac:dyDescent="0.2">
      <c r="E10" s="20"/>
      <c r="F10" s="21"/>
      <c r="H10" s="7"/>
      <c r="I10" s="8"/>
    </row>
    <row r="11" spans="5:9" x14ac:dyDescent="0.2">
      <c r="E11" s="20"/>
      <c r="F11" s="21"/>
      <c r="H11" s="7"/>
      <c r="I11" s="8"/>
    </row>
    <row r="12" spans="5:9" x14ac:dyDescent="0.2">
      <c r="E12" s="20"/>
      <c r="F12" s="21"/>
      <c r="H12" s="7"/>
      <c r="I12" s="8"/>
    </row>
    <row r="13" spans="5:9" x14ac:dyDescent="0.2">
      <c r="E13" s="20"/>
      <c r="F13" s="21"/>
      <c r="H13" s="7"/>
      <c r="I13" s="8"/>
    </row>
    <row r="14" spans="5:9" x14ac:dyDescent="0.2">
      <c r="E14" s="20"/>
      <c r="F14" s="21"/>
      <c r="H14" s="7"/>
      <c r="I14" s="8"/>
    </row>
    <row r="15" spans="5:9" x14ac:dyDescent="0.2">
      <c r="E15" s="20"/>
      <c r="F15" s="21"/>
      <c r="H15" s="7"/>
      <c r="I15" s="8"/>
    </row>
    <row r="16" spans="5:9" x14ac:dyDescent="0.2">
      <c r="E16" s="20"/>
      <c r="F16" s="21"/>
      <c r="H16" s="7"/>
      <c r="I16" s="8"/>
    </row>
    <row r="17" spans="5:9" x14ac:dyDescent="0.2">
      <c r="E17" s="20"/>
      <c r="F17" s="21"/>
      <c r="H17" s="7"/>
      <c r="I17" s="8"/>
    </row>
    <row r="18" spans="5:9" x14ac:dyDescent="0.2">
      <c r="E18" s="20"/>
      <c r="F18" s="21"/>
      <c r="H18" s="7"/>
      <c r="I18" s="8"/>
    </row>
    <row r="19" spans="5:9" x14ac:dyDescent="0.2">
      <c r="E19" s="20"/>
      <c r="F19" s="21"/>
      <c r="H19" s="7"/>
      <c r="I19" s="8"/>
    </row>
    <row r="20" spans="5:9" x14ac:dyDescent="0.2">
      <c r="E20" s="20"/>
      <c r="F20" s="21"/>
      <c r="H20" s="7"/>
      <c r="I20" s="8"/>
    </row>
    <row r="21" spans="5:9" x14ac:dyDescent="0.2">
      <c r="E21" s="20"/>
      <c r="F21" s="21"/>
      <c r="H21" s="7"/>
      <c r="I21" s="8"/>
    </row>
    <row r="22" spans="5:9" x14ac:dyDescent="0.2">
      <c r="E22" s="20"/>
      <c r="F22" s="21"/>
      <c r="H22" s="7"/>
      <c r="I22" s="8"/>
    </row>
    <row r="23" spans="5:9" x14ac:dyDescent="0.2">
      <c r="E23" s="20"/>
      <c r="F23" s="21"/>
      <c r="H23" s="7"/>
      <c r="I23" s="8"/>
    </row>
    <row r="24" spans="5:9" x14ac:dyDescent="0.2">
      <c r="E24" s="20"/>
      <c r="F24" s="21"/>
      <c r="H24" s="7"/>
      <c r="I24" s="8"/>
    </row>
    <row r="25" spans="5:9" x14ac:dyDescent="0.2">
      <c r="E25" s="20"/>
      <c r="F25" s="21"/>
      <c r="H25" s="7"/>
      <c r="I25" s="8"/>
    </row>
    <row r="26" spans="5:9" x14ac:dyDescent="0.2">
      <c r="E26" s="20"/>
      <c r="F26" s="21"/>
      <c r="H26" s="7"/>
      <c r="I26" s="8"/>
    </row>
    <row r="27" spans="5:9" x14ac:dyDescent="0.2">
      <c r="E27" s="20"/>
      <c r="F27" s="21"/>
      <c r="H27" s="7"/>
      <c r="I27" s="8"/>
    </row>
    <row r="28" spans="5:9" x14ac:dyDescent="0.2">
      <c r="E28" s="20"/>
      <c r="F28" s="21"/>
      <c r="H28" s="7"/>
      <c r="I28" s="8"/>
    </row>
    <row r="29" spans="5:9" x14ac:dyDescent="0.2">
      <c r="E29" s="20"/>
      <c r="F29" s="21"/>
      <c r="H29" s="7"/>
      <c r="I29" s="8"/>
    </row>
    <row r="30" spans="5:9" x14ac:dyDescent="0.2">
      <c r="E30" s="20"/>
      <c r="F30" s="21"/>
      <c r="H30" s="7"/>
      <c r="I30" s="8"/>
    </row>
    <row r="31" spans="5:9" x14ac:dyDescent="0.2">
      <c r="E31" s="20"/>
      <c r="F31" s="21"/>
      <c r="H31" s="7"/>
      <c r="I31" s="8"/>
    </row>
    <row r="32" spans="5:9" x14ac:dyDescent="0.2">
      <c r="E32" s="20"/>
      <c r="F32" s="21"/>
      <c r="H32" s="7"/>
      <c r="I32" s="8"/>
    </row>
    <row r="33" spans="5:9" x14ac:dyDescent="0.2">
      <c r="E33" s="20"/>
      <c r="F33" s="21"/>
      <c r="H33" s="7"/>
      <c r="I33" s="8"/>
    </row>
    <row r="34" spans="5:9" x14ac:dyDescent="0.2">
      <c r="E34" s="20"/>
      <c r="F34" s="21"/>
      <c r="H34" s="7"/>
      <c r="I34" s="8"/>
    </row>
    <row r="35" spans="5:9" x14ac:dyDescent="0.2">
      <c r="E35" s="20"/>
      <c r="F35" s="21"/>
      <c r="H35" s="7"/>
      <c r="I35" s="8"/>
    </row>
    <row r="36" spans="5:9" x14ac:dyDescent="0.2">
      <c r="E36" s="20"/>
      <c r="F36" s="21"/>
      <c r="H36" s="7"/>
      <c r="I36" s="8"/>
    </row>
    <row r="37" spans="5:9" x14ac:dyDescent="0.2">
      <c r="E37" s="20"/>
      <c r="F37" s="21"/>
      <c r="H37" s="7"/>
      <c r="I37" s="8"/>
    </row>
    <row r="38" spans="5:9" x14ac:dyDescent="0.2">
      <c r="E38" s="20"/>
      <c r="F38" s="21"/>
      <c r="H38" s="7"/>
      <c r="I38" s="8"/>
    </row>
    <row r="39" spans="5:9" x14ac:dyDescent="0.2">
      <c r="E39" s="20"/>
      <c r="F39" s="21"/>
      <c r="H39" s="7"/>
      <c r="I39" s="8"/>
    </row>
    <row r="40" spans="5:9" x14ac:dyDescent="0.2">
      <c r="E40" s="20"/>
      <c r="F40" s="21"/>
      <c r="H40" s="7"/>
      <c r="I40" s="8"/>
    </row>
    <row r="41" spans="5:9" x14ac:dyDescent="0.2">
      <c r="E41" s="20"/>
      <c r="F41" s="21"/>
      <c r="H41" s="7"/>
      <c r="I41" s="8"/>
    </row>
    <row r="42" spans="5:9" x14ac:dyDescent="0.2">
      <c r="E42" s="20"/>
      <c r="F42" s="21"/>
      <c r="H42" s="7"/>
      <c r="I42" s="8"/>
    </row>
    <row r="43" spans="5:9" x14ac:dyDescent="0.2">
      <c r="E43" s="20"/>
      <c r="F43" s="21"/>
      <c r="H43" s="7"/>
      <c r="I43" s="8"/>
    </row>
    <row r="44" spans="5:9" x14ac:dyDescent="0.2">
      <c r="E44" s="20"/>
      <c r="F44" s="21"/>
      <c r="H44" s="7"/>
      <c r="I44" s="8"/>
    </row>
    <row r="45" spans="5:9" x14ac:dyDescent="0.2">
      <c r="E45" s="20"/>
      <c r="F45" s="21"/>
      <c r="H45" s="7"/>
      <c r="I45" s="8"/>
    </row>
    <row r="46" spans="5:9" x14ac:dyDescent="0.2">
      <c r="E46" s="20"/>
      <c r="F46" s="21"/>
      <c r="H46" s="7"/>
      <c r="I46" s="8"/>
    </row>
    <row r="47" spans="5:9" x14ac:dyDescent="0.2">
      <c r="E47" s="20"/>
      <c r="F47" s="21"/>
      <c r="H47" s="7"/>
      <c r="I47" s="8"/>
    </row>
    <row r="48" spans="5:9" x14ac:dyDescent="0.2">
      <c r="E48" s="20"/>
      <c r="F48" s="21"/>
      <c r="H48" s="7"/>
      <c r="I48" s="8"/>
    </row>
    <row r="49" spans="5:9" x14ac:dyDescent="0.2">
      <c r="E49" s="20"/>
      <c r="F49" s="21"/>
      <c r="H49" s="7"/>
      <c r="I49" s="8"/>
    </row>
    <row r="50" spans="5:9" x14ac:dyDescent="0.2">
      <c r="E50" s="20"/>
      <c r="F50" s="21"/>
      <c r="H50" s="7"/>
      <c r="I50" s="8"/>
    </row>
    <row r="51" spans="5:9" x14ac:dyDescent="0.2">
      <c r="E51" s="20"/>
      <c r="F51" s="21"/>
      <c r="H51" s="7"/>
      <c r="I51" s="8"/>
    </row>
    <row r="52" spans="5:9" x14ac:dyDescent="0.2">
      <c r="E52" s="20"/>
      <c r="F52" s="21"/>
      <c r="H52" s="7"/>
      <c r="I52" s="8"/>
    </row>
    <row r="53" spans="5:9" x14ac:dyDescent="0.2">
      <c r="E53" s="20"/>
      <c r="F53" s="21"/>
      <c r="H53" s="7"/>
      <c r="I53" s="8"/>
    </row>
    <row r="54" spans="5:9" x14ac:dyDescent="0.2">
      <c r="E54" s="20"/>
      <c r="F54" s="21"/>
      <c r="H54" s="7"/>
      <c r="I54" s="8"/>
    </row>
    <row r="55" spans="5:9" x14ac:dyDescent="0.2">
      <c r="E55" s="20"/>
      <c r="F55" s="21"/>
      <c r="H55" s="7"/>
      <c r="I55" s="8"/>
    </row>
    <row r="56" spans="5:9" x14ac:dyDescent="0.2">
      <c r="E56" s="20"/>
      <c r="F56" s="21"/>
      <c r="H56" s="7"/>
      <c r="I56" s="8"/>
    </row>
    <row r="57" spans="5:9" x14ac:dyDescent="0.2">
      <c r="E57" s="20"/>
      <c r="F57" s="21"/>
      <c r="H57" s="7"/>
      <c r="I57" s="8"/>
    </row>
    <row r="58" spans="5:9" x14ac:dyDescent="0.2">
      <c r="E58" s="20"/>
      <c r="F58" s="21"/>
      <c r="H58" s="7"/>
      <c r="I58" s="8"/>
    </row>
    <row r="59" spans="5:9" x14ac:dyDescent="0.2">
      <c r="E59" s="20"/>
      <c r="F59" s="21"/>
      <c r="H59" s="7"/>
      <c r="I59" s="8"/>
    </row>
    <row r="60" spans="5:9" x14ac:dyDescent="0.2">
      <c r="E60" s="20"/>
      <c r="F60" s="21"/>
      <c r="H60" s="7"/>
      <c r="I60" s="8"/>
    </row>
    <row r="61" spans="5:9" x14ac:dyDescent="0.2">
      <c r="E61" s="20"/>
      <c r="F61" s="21"/>
      <c r="H61" s="7"/>
      <c r="I61" s="8"/>
    </row>
    <row r="62" spans="5:9" x14ac:dyDescent="0.2">
      <c r="E62" s="20"/>
      <c r="F62" s="21"/>
      <c r="H62" s="7"/>
      <c r="I62" s="8"/>
    </row>
    <row r="63" spans="5:9" x14ac:dyDescent="0.2">
      <c r="E63" s="20"/>
      <c r="F63" s="21"/>
      <c r="H63" s="7"/>
      <c r="I63" s="8"/>
    </row>
    <row r="64" spans="5:9" x14ac:dyDescent="0.2">
      <c r="E64" s="20"/>
      <c r="F64" s="21"/>
      <c r="H64" s="7"/>
      <c r="I64" s="8"/>
    </row>
    <row r="65" spans="5:9" x14ac:dyDescent="0.2">
      <c r="E65" s="20"/>
      <c r="F65" s="21"/>
      <c r="H65" s="7"/>
      <c r="I65" s="8"/>
    </row>
    <row r="66" spans="5:9" x14ac:dyDescent="0.2">
      <c r="E66" s="20"/>
      <c r="F66" s="21"/>
      <c r="H66" s="7"/>
      <c r="I66" s="8"/>
    </row>
    <row r="67" spans="5:9" x14ac:dyDescent="0.2">
      <c r="E67" s="20"/>
      <c r="F67" s="21"/>
      <c r="H67" s="7"/>
      <c r="I67" s="8"/>
    </row>
    <row r="68" spans="5:9" x14ac:dyDescent="0.2">
      <c r="E68" s="20"/>
      <c r="F68" s="21"/>
      <c r="H68" s="7"/>
      <c r="I68" s="8"/>
    </row>
    <row r="69" spans="5:9" x14ac:dyDescent="0.2">
      <c r="E69" s="20"/>
      <c r="F69" s="21"/>
      <c r="H69" s="7"/>
      <c r="I69" s="8"/>
    </row>
    <row r="70" spans="5:9" x14ac:dyDescent="0.2">
      <c r="E70" s="20"/>
      <c r="F70" s="21"/>
      <c r="H70" s="7"/>
      <c r="I70" s="8"/>
    </row>
    <row r="71" spans="5:9" x14ac:dyDescent="0.2">
      <c r="E71" s="20"/>
      <c r="F71" s="21"/>
      <c r="H71" s="7"/>
      <c r="I71" s="8"/>
    </row>
    <row r="72" spans="5:9" x14ac:dyDescent="0.2">
      <c r="E72" s="20"/>
      <c r="F72" s="21"/>
      <c r="H72" s="7"/>
      <c r="I72" s="8"/>
    </row>
    <row r="73" spans="5:9" x14ac:dyDescent="0.2">
      <c r="E73" s="20"/>
      <c r="F73" s="21"/>
      <c r="H73" s="7"/>
      <c r="I73" s="8"/>
    </row>
    <row r="74" spans="5:9" x14ac:dyDescent="0.2">
      <c r="E74" s="20"/>
      <c r="F74" s="21"/>
      <c r="H74" s="7"/>
      <c r="I74" s="8"/>
    </row>
    <row r="75" spans="5:9" x14ac:dyDescent="0.2">
      <c r="E75" s="20"/>
      <c r="F75" s="21"/>
      <c r="H75" s="7"/>
      <c r="I75" s="8"/>
    </row>
    <row r="76" spans="5:9" x14ac:dyDescent="0.2">
      <c r="E76" s="20"/>
      <c r="F76" s="21"/>
      <c r="H76" s="7"/>
      <c r="I76" s="8"/>
    </row>
    <row r="77" spans="5:9" x14ac:dyDescent="0.2">
      <c r="E77" s="20"/>
      <c r="F77" s="21"/>
      <c r="H77" s="7"/>
      <c r="I77" s="8"/>
    </row>
    <row r="78" spans="5:9" x14ac:dyDescent="0.2">
      <c r="E78" s="20"/>
      <c r="F78" s="21"/>
      <c r="H78" s="7"/>
      <c r="I78" s="8"/>
    </row>
    <row r="79" spans="5:9" x14ac:dyDescent="0.2">
      <c r="E79" s="20"/>
      <c r="F79" s="21"/>
      <c r="H79" s="7"/>
      <c r="I79" s="8"/>
    </row>
    <row r="80" spans="5:9" x14ac:dyDescent="0.2">
      <c r="E80" s="20"/>
      <c r="F80" s="21"/>
      <c r="H80" s="7"/>
      <c r="I80" s="8"/>
    </row>
    <row r="81" spans="5:9" x14ac:dyDescent="0.2">
      <c r="E81" s="20"/>
      <c r="F81" s="21"/>
      <c r="H81" s="7"/>
      <c r="I81" s="8"/>
    </row>
    <row r="82" spans="5:9" x14ac:dyDescent="0.2">
      <c r="E82" s="20"/>
      <c r="F82" s="21"/>
      <c r="H82" s="7"/>
      <c r="I82" s="8"/>
    </row>
    <row r="83" spans="5:9" x14ac:dyDescent="0.2">
      <c r="E83" s="20"/>
      <c r="F83" s="21"/>
      <c r="H83" s="7"/>
      <c r="I83" s="8"/>
    </row>
    <row r="84" spans="5:9" x14ac:dyDescent="0.2">
      <c r="E84" s="20"/>
      <c r="F84" s="21"/>
      <c r="H84" s="7"/>
      <c r="I84" s="8"/>
    </row>
    <row r="85" spans="5:9" x14ac:dyDescent="0.2">
      <c r="E85" s="20"/>
      <c r="F85" s="21"/>
      <c r="H85" s="7"/>
      <c r="I85" s="8"/>
    </row>
    <row r="86" spans="5:9" x14ac:dyDescent="0.2">
      <c r="E86" s="20"/>
      <c r="F86" s="21"/>
      <c r="H86" s="7"/>
      <c r="I86" s="8"/>
    </row>
    <row r="87" spans="5:9" x14ac:dyDescent="0.2">
      <c r="E87" s="20"/>
      <c r="F87" s="21"/>
      <c r="H87" s="7"/>
      <c r="I87" s="8"/>
    </row>
    <row r="88" spans="5:9" x14ac:dyDescent="0.2">
      <c r="E88" s="20"/>
      <c r="F88" s="21"/>
      <c r="H88" s="7"/>
      <c r="I88" s="8"/>
    </row>
    <row r="89" spans="5:9" x14ac:dyDescent="0.2">
      <c r="E89" s="20"/>
      <c r="F89" s="21"/>
      <c r="H89" s="7"/>
      <c r="I89" s="8"/>
    </row>
    <row r="90" spans="5:9" x14ac:dyDescent="0.2">
      <c r="E90" s="20"/>
      <c r="F90" s="21"/>
      <c r="H90" s="7"/>
      <c r="I90" s="8"/>
    </row>
    <row r="91" spans="5:9" x14ac:dyDescent="0.2">
      <c r="E91" s="20"/>
      <c r="F91" s="21"/>
      <c r="H91" s="7"/>
      <c r="I91" s="8"/>
    </row>
    <row r="92" spans="5:9" x14ac:dyDescent="0.2">
      <c r="E92" s="20"/>
      <c r="F92" s="21"/>
      <c r="H92" s="7"/>
      <c r="I92" s="8"/>
    </row>
    <row r="93" spans="5:9" x14ac:dyDescent="0.2">
      <c r="E93" s="20"/>
      <c r="F93" s="21"/>
      <c r="H93" s="7"/>
      <c r="I93" s="8"/>
    </row>
    <row r="94" spans="5:9" x14ac:dyDescent="0.2">
      <c r="E94" s="20"/>
      <c r="F94" s="21"/>
      <c r="H94" s="7"/>
      <c r="I94" s="8"/>
    </row>
    <row r="95" spans="5:9" x14ac:dyDescent="0.2">
      <c r="E95" s="20"/>
      <c r="F95" s="21"/>
      <c r="H95" s="7"/>
      <c r="I95" s="8"/>
    </row>
    <row r="96" spans="5:9" x14ac:dyDescent="0.2">
      <c r="E96" s="20"/>
      <c r="F96" s="21"/>
      <c r="H96" s="7"/>
      <c r="I96" s="8"/>
    </row>
    <row r="97" spans="5:9" x14ac:dyDescent="0.2">
      <c r="E97" s="20"/>
      <c r="F97" s="21"/>
      <c r="H97" s="7"/>
      <c r="I97" s="8"/>
    </row>
    <row r="98" spans="5:9" x14ac:dyDescent="0.2">
      <c r="E98" s="20"/>
      <c r="F98" s="21"/>
      <c r="H98" s="7"/>
      <c r="I98" s="8"/>
    </row>
    <row r="99" spans="5:9" x14ac:dyDescent="0.2">
      <c r="E99" s="20"/>
      <c r="F99" s="21"/>
      <c r="H99" s="7"/>
      <c r="I99" s="8"/>
    </row>
    <row r="100" spans="5:9" x14ac:dyDescent="0.2">
      <c r="E100" s="20"/>
      <c r="F100" s="21"/>
      <c r="H100" s="7"/>
      <c r="I100" s="8"/>
    </row>
    <row r="101" spans="5:9" x14ac:dyDescent="0.2">
      <c r="E101" s="20"/>
      <c r="F101" s="21"/>
      <c r="H101" s="7"/>
      <c r="I101" s="8"/>
    </row>
    <row r="102" spans="5:9" x14ac:dyDescent="0.2">
      <c r="E102" s="20"/>
      <c r="F102" s="21"/>
      <c r="H102" s="7"/>
      <c r="I102" s="8"/>
    </row>
    <row r="103" spans="5:9" x14ac:dyDescent="0.2">
      <c r="E103" s="20"/>
      <c r="F103" s="21"/>
      <c r="H103" s="7"/>
      <c r="I103" s="8"/>
    </row>
    <row r="104" spans="5:9" x14ac:dyDescent="0.2">
      <c r="E104" s="20"/>
      <c r="F104" s="21"/>
      <c r="H104" s="7"/>
      <c r="I104" s="8"/>
    </row>
    <row r="105" spans="5:9" x14ac:dyDescent="0.2">
      <c r="E105" s="20"/>
      <c r="F105" s="21"/>
      <c r="H105" s="7"/>
      <c r="I105" s="8"/>
    </row>
    <row r="106" spans="5:9" x14ac:dyDescent="0.2">
      <c r="E106" s="20"/>
      <c r="F106" s="21"/>
      <c r="H106" s="7"/>
      <c r="I106" s="8"/>
    </row>
    <row r="107" spans="5:9" x14ac:dyDescent="0.2">
      <c r="E107" s="20"/>
      <c r="F107" s="21"/>
      <c r="H107" s="7"/>
      <c r="I107" s="8"/>
    </row>
    <row r="108" spans="5:9" x14ac:dyDescent="0.2">
      <c r="E108" s="20"/>
      <c r="F108" s="21"/>
      <c r="H108" s="7"/>
      <c r="I108" s="8"/>
    </row>
    <row r="109" spans="5:9" x14ac:dyDescent="0.2">
      <c r="E109" s="20"/>
      <c r="F109" s="21"/>
      <c r="H109" s="7"/>
      <c r="I109" s="8"/>
    </row>
    <row r="110" spans="5:9" x14ac:dyDescent="0.2">
      <c r="E110" s="20"/>
      <c r="F110" s="21"/>
      <c r="H110" s="7"/>
      <c r="I110" s="8"/>
    </row>
    <row r="111" spans="5:9" x14ac:dyDescent="0.2">
      <c r="E111" s="20"/>
      <c r="F111" s="21"/>
      <c r="H111" s="7"/>
      <c r="I111" s="8"/>
    </row>
    <row r="112" spans="5:9" x14ac:dyDescent="0.2">
      <c r="E112" s="20"/>
      <c r="F112" s="21"/>
      <c r="H112" s="7"/>
      <c r="I112" s="8"/>
    </row>
    <row r="113" spans="5:9" x14ac:dyDescent="0.2">
      <c r="E113" s="20"/>
      <c r="F113" s="21"/>
      <c r="H113" s="7"/>
      <c r="I113" s="8"/>
    </row>
    <row r="114" spans="5:9" x14ac:dyDescent="0.2">
      <c r="E114" s="20"/>
      <c r="F114" s="21"/>
      <c r="H114" s="7"/>
      <c r="I114" s="8"/>
    </row>
    <row r="115" spans="5:9" x14ac:dyDescent="0.2">
      <c r="E115" s="20"/>
      <c r="F115" s="21"/>
      <c r="H115" s="7"/>
      <c r="I115" s="8"/>
    </row>
    <row r="116" spans="5:9" x14ac:dyDescent="0.2">
      <c r="E116" s="20"/>
      <c r="F116" s="21"/>
      <c r="H116" s="7"/>
      <c r="I116" s="8"/>
    </row>
    <row r="117" spans="5:9" x14ac:dyDescent="0.2">
      <c r="E117" s="20"/>
      <c r="F117" s="21"/>
      <c r="H117" s="7"/>
      <c r="I117" s="8"/>
    </row>
    <row r="118" spans="5:9" x14ac:dyDescent="0.2">
      <c r="E118" s="20"/>
      <c r="F118" s="21"/>
      <c r="H118" s="7"/>
      <c r="I118" s="8"/>
    </row>
    <row r="119" spans="5:9" x14ac:dyDescent="0.2">
      <c r="E119" s="20"/>
      <c r="F119" s="21"/>
      <c r="H119" s="7"/>
      <c r="I119" s="8"/>
    </row>
    <row r="120" spans="5:9" x14ac:dyDescent="0.2">
      <c r="E120" s="20"/>
      <c r="F120" s="21"/>
      <c r="H120" s="7"/>
      <c r="I120" s="8"/>
    </row>
    <row r="121" spans="5:9" x14ac:dyDescent="0.2">
      <c r="E121" s="20"/>
      <c r="F121" s="21"/>
      <c r="H121" s="7"/>
      <c r="I121" s="8"/>
    </row>
    <row r="122" spans="5:9" x14ac:dyDescent="0.2">
      <c r="E122" s="20"/>
      <c r="F122" s="21"/>
      <c r="H122" s="7"/>
      <c r="I122" s="8"/>
    </row>
    <row r="123" spans="5:9" x14ac:dyDescent="0.2">
      <c r="E123" s="20"/>
      <c r="F123" s="21"/>
      <c r="H123" s="7"/>
      <c r="I123" s="8"/>
    </row>
    <row r="124" spans="5:9" x14ac:dyDescent="0.2">
      <c r="E124" s="20"/>
      <c r="F124" s="21"/>
      <c r="H124" s="7"/>
      <c r="I124" s="8"/>
    </row>
    <row r="125" spans="5:9" x14ac:dyDescent="0.2">
      <c r="E125" s="20"/>
      <c r="F125" s="21"/>
      <c r="H125" s="7"/>
      <c r="I125" s="8"/>
    </row>
    <row r="126" spans="5:9" x14ac:dyDescent="0.2">
      <c r="E126" s="20"/>
      <c r="F126" s="21"/>
      <c r="H126" s="7"/>
      <c r="I126" s="8"/>
    </row>
    <row r="127" spans="5:9" x14ac:dyDescent="0.2">
      <c r="E127" s="20"/>
      <c r="F127" s="21"/>
      <c r="H127" s="7"/>
      <c r="I127" s="8"/>
    </row>
    <row r="128" spans="5:9" x14ac:dyDescent="0.2">
      <c r="E128" s="20"/>
      <c r="F128" s="21"/>
      <c r="H128" s="7"/>
      <c r="I128" s="8"/>
    </row>
    <row r="129" spans="5:9" x14ac:dyDescent="0.2">
      <c r="E129" s="20"/>
      <c r="F129" s="21"/>
      <c r="H129" s="7"/>
      <c r="I129" s="8"/>
    </row>
    <row r="130" spans="5:9" x14ac:dyDescent="0.2">
      <c r="E130" s="20"/>
      <c r="F130" s="21"/>
      <c r="H130" s="7"/>
      <c r="I130" s="8"/>
    </row>
    <row r="131" spans="5:9" x14ac:dyDescent="0.2">
      <c r="E131" s="20"/>
      <c r="F131" s="21"/>
      <c r="H131" s="7"/>
      <c r="I131" s="8"/>
    </row>
    <row r="132" spans="5:9" x14ac:dyDescent="0.2">
      <c r="E132" s="20"/>
      <c r="F132" s="21"/>
      <c r="H132" s="7"/>
      <c r="I132" s="8"/>
    </row>
    <row r="133" spans="5:9" x14ac:dyDescent="0.2">
      <c r="E133" s="20"/>
      <c r="F133" s="21"/>
      <c r="H133" s="7"/>
      <c r="I133" s="8"/>
    </row>
    <row r="134" spans="5:9" x14ac:dyDescent="0.2">
      <c r="E134" s="20"/>
      <c r="F134" s="21"/>
      <c r="H134" s="7"/>
      <c r="I134" s="8"/>
    </row>
    <row r="135" spans="5:9" x14ac:dyDescent="0.2">
      <c r="E135" s="20"/>
      <c r="F135" s="21"/>
      <c r="H135" s="7"/>
      <c r="I135" s="8"/>
    </row>
    <row r="136" spans="5:9" x14ac:dyDescent="0.2">
      <c r="E136" s="20"/>
      <c r="F136" s="21"/>
      <c r="H136" s="7"/>
      <c r="I136" s="8"/>
    </row>
    <row r="137" spans="5:9" x14ac:dyDescent="0.2">
      <c r="E137" s="20"/>
      <c r="F137" s="21"/>
      <c r="H137" s="7"/>
      <c r="I137" s="8"/>
    </row>
    <row r="138" spans="5:9" x14ac:dyDescent="0.2">
      <c r="E138" s="20"/>
      <c r="F138" s="21"/>
      <c r="H138" s="7"/>
      <c r="I138" s="8"/>
    </row>
    <row r="139" spans="5:9" x14ac:dyDescent="0.2">
      <c r="E139" s="20"/>
      <c r="F139" s="21"/>
      <c r="H139" s="7"/>
      <c r="I139" s="8"/>
    </row>
    <row r="140" spans="5:9" x14ac:dyDescent="0.2">
      <c r="E140" s="20"/>
      <c r="F140" s="21"/>
      <c r="H140" s="7"/>
      <c r="I140" s="8"/>
    </row>
    <row r="141" spans="5:9" x14ac:dyDescent="0.2">
      <c r="E141" s="20"/>
      <c r="F141" s="21"/>
      <c r="H141" s="7"/>
      <c r="I141" s="8"/>
    </row>
    <row r="142" spans="5:9" x14ac:dyDescent="0.2">
      <c r="E142" s="20"/>
      <c r="F142" s="21"/>
      <c r="H142" s="7"/>
      <c r="I142" s="8"/>
    </row>
    <row r="143" spans="5:9" x14ac:dyDescent="0.2">
      <c r="E143" s="20"/>
      <c r="F143" s="21"/>
      <c r="H143" s="7"/>
      <c r="I143" s="8"/>
    </row>
    <row r="144" spans="5:9" x14ac:dyDescent="0.2">
      <c r="E144" s="20"/>
      <c r="F144" s="21"/>
      <c r="H144" s="7"/>
      <c r="I144" s="8"/>
    </row>
    <row r="145" spans="5:9" x14ac:dyDescent="0.2">
      <c r="E145" s="20"/>
      <c r="F145" s="21"/>
      <c r="H145" s="7"/>
      <c r="I145" s="8"/>
    </row>
    <row r="146" spans="5:9" x14ac:dyDescent="0.2">
      <c r="E146" s="20"/>
      <c r="F146" s="21"/>
      <c r="H146" s="7"/>
      <c r="I146" s="8"/>
    </row>
    <row r="147" spans="5:9" x14ac:dyDescent="0.2">
      <c r="E147" s="20"/>
      <c r="F147" s="21"/>
      <c r="H147" s="7"/>
      <c r="I147" s="8"/>
    </row>
    <row r="148" spans="5:9" x14ac:dyDescent="0.2">
      <c r="E148" s="20"/>
      <c r="F148" s="21"/>
      <c r="H148" s="7"/>
      <c r="I148" s="8"/>
    </row>
    <row r="149" spans="5:9" x14ac:dyDescent="0.2">
      <c r="E149" s="20"/>
      <c r="F149" s="21"/>
      <c r="H149" s="7"/>
      <c r="I149" s="8"/>
    </row>
    <row r="150" spans="5:9" x14ac:dyDescent="0.2">
      <c r="E150" s="20"/>
      <c r="F150" s="21"/>
      <c r="H150" s="7"/>
      <c r="I150" s="8"/>
    </row>
    <row r="151" spans="5:9" x14ac:dyDescent="0.2">
      <c r="E151" s="20"/>
      <c r="F151" s="21"/>
      <c r="H151" s="7"/>
      <c r="I151" s="8"/>
    </row>
    <row r="152" spans="5:9" x14ac:dyDescent="0.2">
      <c r="E152" s="20"/>
      <c r="F152" s="21"/>
      <c r="H152" s="7"/>
      <c r="I152" s="8"/>
    </row>
    <row r="153" spans="5:9" x14ac:dyDescent="0.2">
      <c r="E153" s="20"/>
      <c r="F153" s="21"/>
      <c r="H153" s="7"/>
      <c r="I153" s="8"/>
    </row>
    <row r="154" spans="5:9" x14ac:dyDescent="0.2">
      <c r="E154" s="20"/>
      <c r="F154" s="21"/>
      <c r="H154" s="7"/>
      <c r="I154" s="8"/>
    </row>
    <row r="155" spans="5:9" x14ac:dyDescent="0.2">
      <c r="E155" s="20"/>
      <c r="F155" s="21"/>
      <c r="H155" s="7"/>
      <c r="I155" s="8"/>
    </row>
    <row r="156" spans="5:9" x14ac:dyDescent="0.2">
      <c r="E156" s="20"/>
      <c r="F156" s="21"/>
      <c r="H156" s="7"/>
      <c r="I156" s="8"/>
    </row>
    <row r="157" spans="5:9" x14ac:dyDescent="0.2">
      <c r="E157" s="20"/>
      <c r="F157" s="21"/>
      <c r="H157" s="7"/>
      <c r="I157" s="8"/>
    </row>
    <row r="158" spans="5:9" x14ac:dyDescent="0.2">
      <c r="E158" s="20"/>
      <c r="F158" s="21"/>
      <c r="H158" s="7"/>
      <c r="I158" s="8"/>
    </row>
    <row r="159" spans="5:9" x14ac:dyDescent="0.2">
      <c r="E159" s="20"/>
      <c r="F159" s="21"/>
      <c r="H159" s="7"/>
      <c r="I159" s="8"/>
    </row>
    <row r="160" spans="5:9" x14ac:dyDescent="0.2">
      <c r="E160" s="20"/>
      <c r="F160" s="21"/>
      <c r="H160" s="7"/>
      <c r="I160" s="8"/>
    </row>
    <row r="161" spans="5:9" x14ac:dyDescent="0.2">
      <c r="E161" s="20"/>
      <c r="F161" s="21"/>
      <c r="H161" s="7"/>
      <c r="I161" s="8"/>
    </row>
    <row r="162" spans="5:9" x14ac:dyDescent="0.2">
      <c r="E162" s="20"/>
      <c r="F162" s="21"/>
      <c r="H162" s="7"/>
      <c r="I162" s="8"/>
    </row>
    <row r="163" spans="5:9" x14ac:dyDescent="0.2">
      <c r="E163" s="20"/>
      <c r="F163" s="21"/>
      <c r="H163" s="7"/>
      <c r="I163" s="8"/>
    </row>
    <row r="164" spans="5:9" x14ac:dyDescent="0.2">
      <c r="E164" s="20"/>
      <c r="F164" s="21"/>
      <c r="H164" s="7"/>
      <c r="I164" s="8"/>
    </row>
    <row r="165" spans="5:9" x14ac:dyDescent="0.2">
      <c r="E165" s="20"/>
      <c r="F165" s="21"/>
      <c r="H165" s="7"/>
      <c r="I165" s="8"/>
    </row>
    <row r="166" spans="5:9" x14ac:dyDescent="0.2">
      <c r="E166" s="20"/>
      <c r="F166" s="21"/>
      <c r="H166" s="7"/>
      <c r="I166" s="8"/>
    </row>
    <row r="167" spans="5:9" x14ac:dyDescent="0.2">
      <c r="E167" s="20"/>
      <c r="F167" s="21"/>
      <c r="H167" s="7"/>
      <c r="I167" s="8"/>
    </row>
    <row r="168" spans="5:9" x14ac:dyDescent="0.2">
      <c r="E168" s="20"/>
      <c r="F168" s="21"/>
      <c r="H168" s="7"/>
      <c r="I168" s="8"/>
    </row>
    <row r="169" spans="5:9" x14ac:dyDescent="0.2">
      <c r="E169" s="20"/>
      <c r="F169" s="21"/>
      <c r="H169" s="7"/>
      <c r="I169" s="8"/>
    </row>
    <row r="170" spans="5:9" x14ac:dyDescent="0.2">
      <c r="E170" s="20"/>
      <c r="F170" s="21"/>
      <c r="H170" s="7"/>
      <c r="I170" s="8"/>
    </row>
    <row r="171" spans="5:9" x14ac:dyDescent="0.2">
      <c r="E171" s="20"/>
      <c r="F171" s="21"/>
      <c r="H171" s="7"/>
      <c r="I171" s="8"/>
    </row>
    <row r="172" spans="5:9" x14ac:dyDescent="0.2">
      <c r="E172" s="20"/>
      <c r="F172" s="21"/>
      <c r="H172" s="7"/>
      <c r="I172" s="8"/>
    </row>
    <row r="173" spans="5:9" x14ac:dyDescent="0.2">
      <c r="E173" s="20"/>
      <c r="F173" s="21"/>
      <c r="H173" s="7"/>
      <c r="I173" s="8"/>
    </row>
    <row r="174" spans="5:9" x14ac:dyDescent="0.2">
      <c r="E174" s="20"/>
      <c r="F174" s="21"/>
      <c r="H174" s="7"/>
      <c r="I174" s="8"/>
    </row>
    <row r="175" spans="5:9" x14ac:dyDescent="0.2">
      <c r="E175" s="20"/>
      <c r="F175" s="21"/>
      <c r="H175" s="7"/>
      <c r="I175" s="8"/>
    </row>
    <row r="176" spans="5:9" x14ac:dyDescent="0.2">
      <c r="E176" s="20"/>
      <c r="F176" s="21"/>
      <c r="H176" s="7"/>
      <c r="I176" s="8"/>
    </row>
    <row r="177" spans="5:9" x14ac:dyDescent="0.2">
      <c r="E177" s="20"/>
      <c r="F177" s="21"/>
      <c r="H177" s="7"/>
      <c r="I177" s="8"/>
    </row>
    <row r="178" spans="5:9" x14ac:dyDescent="0.2">
      <c r="E178" s="20"/>
      <c r="F178" s="21"/>
      <c r="H178" s="7"/>
      <c r="I178" s="8"/>
    </row>
    <row r="179" spans="5:9" x14ac:dyDescent="0.2">
      <c r="E179" s="20"/>
      <c r="F179" s="21"/>
      <c r="H179" s="7"/>
      <c r="I179" s="8"/>
    </row>
    <row r="180" spans="5:9" x14ac:dyDescent="0.2">
      <c r="E180" s="20"/>
      <c r="F180" s="21"/>
      <c r="H180" s="7"/>
      <c r="I180" s="8"/>
    </row>
    <row r="181" spans="5:9" x14ac:dyDescent="0.2">
      <c r="E181" s="20"/>
      <c r="F181" s="21"/>
      <c r="H181" s="7"/>
      <c r="I181" s="8"/>
    </row>
    <row r="182" spans="5:9" x14ac:dyDescent="0.2">
      <c r="E182" s="20"/>
      <c r="F182" s="21"/>
      <c r="H182" s="7"/>
      <c r="I182" s="8"/>
    </row>
    <row r="183" spans="5:9" x14ac:dyDescent="0.2">
      <c r="E183" s="20"/>
      <c r="F183" s="21"/>
      <c r="H183" s="7"/>
      <c r="I183" s="8"/>
    </row>
    <row r="184" spans="5:9" x14ac:dyDescent="0.2">
      <c r="E184" s="20"/>
      <c r="F184" s="21"/>
      <c r="H184" s="7"/>
      <c r="I184" s="8"/>
    </row>
    <row r="185" spans="5:9" x14ac:dyDescent="0.2">
      <c r="E185" s="20"/>
      <c r="F185" s="21"/>
      <c r="H185" s="7"/>
      <c r="I185" s="8"/>
    </row>
    <row r="186" spans="5:9" x14ac:dyDescent="0.2">
      <c r="E186" s="20"/>
      <c r="F186" s="21"/>
      <c r="H186" s="7"/>
      <c r="I186" s="8"/>
    </row>
    <row r="187" spans="5:9" x14ac:dyDescent="0.2">
      <c r="E187" s="20"/>
      <c r="F187" s="21"/>
      <c r="H187" s="7"/>
      <c r="I187" s="8"/>
    </row>
    <row r="188" spans="5:9" x14ac:dyDescent="0.2">
      <c r="E188" s="20"/>
      <c r="F188" s="21"/>
      <c r="H188" s="7"/>
      <c r="I188" s="8"/>
    </row>
    <row r="189" spans="5:9" x14ac:dyDescent="0.2">
      <c r="E189" s="20"/>
      <c r="F189" s="21"/>
      <c r="H189" s="7"/>
      <c r="I189" s="8"/>
    </row>
    <row r="190" spans="5:9" x14ac:dyDescent="0.2">
      <c r="E190" s="20"/>
      <c r="F190" s="21"/>
      <c r="H190" s="7"/>
      <c r="I190" s="8"/>
    </row>
    <row r="191" spans="5:9" x14ac:dyDescent="0.2">
      <c r="E191" s="20"/>
      <c r="F191" s="21"/>
      <c r="H191" s="7"/>
      <c r="I191" s="8"/>
    </row>
    <row r="192" spans="5:9" x14ac:dyDescent="0.2">
      <c r="E192" s="20"/>
      <c r="F192" s="21"/>
      <c r="H192" s="7"/>
      <c r="I192" s="8"/>
    </row>
    <row r="193" spans="5:9" x14ac:dyDescent="0.2">
      <c r="E193" s="20"/>
      <c r="F193" s="21"/>
      <c r="H193" s="7"/>
      <c r="I193" s="8"/>
    </row>
    <row r="194" spans="5:9" x14ac:dyDescent="0.2">
      <c r="E194" s="20"/>
      <c r="F194" s="21"/>
      <c r="H194" s="7"/>
      <c r="I194" s="8"/>
    </row>
    <row r="195" spans="5:9" x14ac:dyDescent="0.2">
      <c r="E195" s="20"/>
      <c r="F195" s="21"/>
      <c r="H195" s="7"/>
      <c r="I195" s="8"/>
    </row>
    <row r="196" spans="5:9" x14ac:dyDescent="0.2">
      <c r="E196" s="20"/>
      <c r="F196" s="21"/>
      <c r="H196" s="7"/>
      <c r="I196" s="8"/>
    </row>
    <row r="197" spans="5:9" x14ac:dyDescent="0.2">
      <c r="E197" s="20"/>
      <c r="F197" s="21"/>
      <c r="H197" s="7"/>
      <c r="I197" s="8"/>
    </row>
    <row r="198" spans="5:9" x14ac:dyDescent="0.2">
      <c r="E198" s="20"/>
      <c r="F198" s="21"/>
      <c r="H198" s="7"/>
      <c r="I198" s="8"/>
    </row>
    <row r="199" spans="5:9" x14ac:dyDescent="0.2">
      <c r="E199" s="20"/>
      <c r="F199" s="21"/>
      <c r="H199" s="7"/>
      <c r="I199" s="8"/>
    </row>
    <row r="200" spans="5:9" x14ac:dyDescent="0.2">
      <c r="E200" s="20"/>
      <c r="F200" s="21"/>
      <c r="H200" s="7"/>
      <c r="I200" s="8"/>
    </row>
    <row r="201" spans="5:9" x14ac:dyDescent="0.2">
      <c r="E201" s="20"/>
      <c r="F201" s="21"/>
      <c r="H201" s="7"/>
      <c r="I201" s="8"/>
    </row>
    <row r="202" spans="5:9" x14ac:dyDescent="0.2">
      <c r="E202" s="20"/>
      <c r="F202" s="21"/>
      <c r="H202" s="7"/>
      <c r="I202" s="8"/>
    </row>
    <row r="203" spans="5:9" x14ac:dyDescent="0.2">
      <c r="E203" s="20"/>
      <c r="F203" s="21"/>
      <c r="H203" s="7"/>
      <c r="I203" s="8"/>
    </row>
    <row r="204" spans="5:9" x14ac:dyDescent="0.2">
      <c r="E204" s="20"/>
      <c r="F204" s="21"/>
      <c r="H204" s="7"/>
      <c r="I204" s="8"/>
    </row>
    <row r="205" spans="5:9" x14ac:dyDescent="0.2">
      <c r="E205" s="20"/>
      <c r="F205" s="21"/>
      <c r="H205" s="7"/>
      <c r="I205" s="8"/>
    </row>
    <row r="206" spans="5:9" x14ac:dyDescent="0.2">
      <c r="E206" s="20"/>
      <c r="F206" s="21"/>
      <c r="H206" s="7"/>
      <c r="I206" s="8"/>
    </row>
    <row r="207" spans="5:9" x14ac:dyDescent="0.2">
      <c r="E207" s="20"/>
      <c r="F207" s="21"/>
      <c r="H207" s="7"/>
      <c r="I207" s="8"/>
    </row>
    <row r="208" spans="5:9" x14ac:dyDescent="0.2">
      <c r="E208" s="20"/>
      <c r="F208" s="21"/>
      <c r="H208" s="7"/>
      <c r="I208" s="8"/>
    </row>
    <row r="209" spans="5:9" x14ac:dyDescent="0.2">
      <c r="E209" s="20"/>
      <c r="F209" s="21"/>
      <c r="H209" s="7"/>
      <c r="I209" s="8"/>
    </row>
    <row r="210" spans="5:9" x14ac:dyDescent="0.2">
      <c r="E210" s="20"/>
      <c r="F210" s="21"/>
      <c r="H210" s="7"/>
      <c r="I210" s="8"/>
    </row>
    <row r="211" spans="5:9" x14ac:dyDescent="0.2">
      <c r="E211" s="20"/>
      <c r="F211" s="21"/>
      <c r="H211" s="7"/>
      <c r="I211" s="8"/>
    </row>
    <row r="212" spans="5:9" x14ac:dyDescent="0.2">
      <c r="E212" s="20"/>
      <c r="F212" s="21"/>
      <c r="H212" s="7"/>
      <c r="I212" s="8"/>
    </row>
    <row r="213" spans="5:9" x14ac:dyDescent="0.2">
      <c r="E213" s="20"/>
      <c r="F213" s="21"/>
      <c r="H213" s="7"/>
      <c r="I213" s="8"/>
    </row>
    <row r="214" spans="5:9" x14ac:dyDescent="0.2">
      <c r="E214" s="20"/>
      <c r="F214" s="21"/>
      <c r="H214" s="7"/>
      <c r="I214" s="8"/>
    </row>
    <row r="215" spans="5:9" x14ac:dyDescent="0.2">
      <c r="E215" s="20"/>
      <c r="F215" s="21"/>
      <c r="H215" s="7"/>
      <c r="I215" s="8"/>
    </row>
    <row r="216" spans="5:9" x14ac:dyDescent="0.2">
      <c r="E216" s="20"/>
      <c r="F216" s="21"/>
      <c r="H216" s="7"/>
      <c r="I216" s="8"/>
    </row>
    <row r="217" spans="5:9" x14ac:dyDescent="0.2">
      <c r="E217" s="20"/>
      <c r="F217" s="21"/>
      <c r="H217" s="7"/>
      <c r="I217" s="8"/>
    </row>
    <row r="218" spans="5:9" x14ac:dyDescent="0.2">
      <c r="E218" s="20"/>
      <c r="F218" s="21"/>
      <c r="H218" s="7"/>
      <c r="I218" s="8"/>
    </row>
    <row r="219" spans="5:9" x14ac:dyDescent="0.2">
      <c r="E219" s="20"/>
      <c r="F219" s="21"/>
      <c r="H219" s="7"/>
      <c r="I219" s="8"/>
    </row>
    <row r="220" spans="5:9" x14ac:dyDescent="0.2">
      <c r="E220" s="20"/>
      <c r="F220" s="21"/>
      <c r="H220" s="7"/>
      <c r="I220" s="8"/>
    </row>
    <row r="221" spans="5:9" x14ac:dyDescent="0.2">
      <c r="E221" s="20"/>
      <c r="F221" s="21"/>
      <c r="H221" s="7"/>
      <c r="I221" s="8"/>
    </row>
    <row r="222" spans="5:9" x14ac:dyDescent="0.2">
      <c r="E222" s="20"/>
      <c r="F222" s="21"/>
      <c r="H222" s="7"/>
      <c r="I222" s="8"/>
    </row>
    <row r="223" spans="5:9" x14ac:dyDescent="0.2">
      <c r="E223" s="20"/>
      <c r="F223" s="21"/>
      <c r="H223" s="7"/>
      <c r="I223" s="8"/>
    </row>
    <row r="224" spans="5:9" x14ac:dyDescent="0.2">
      <c r="E224" s="20"/>
      <c r="F224" s="21"/>
      <c r="H224" s="7"/>
      <c r="I224" s="8"/>
    </row>
    <row r="225" spans="5:9" x14ac:dyDescent="0.2">
      <c r="E225" s="20"/>
      <c r="F225" s="21"/>
      <c r="H225" s="7"/>
      <c r="I225" s="8"/>
    </row>
    <row r="226" spans="5:9" x14ac:dyDescent="0.2">
      <c r="E226" s="20"/>
      <c r="F226" s="21"/>
      <c r="H226" s="7"/>
      <c r="I226" s="8"/>
    </row>
    <row r="227" spans="5:9" x14ac:dyDescent="0.2">
      <c r="E227" s="20"/>
      <c r="F227" s="21"/>
      <c r="H227" s="7"/>
      <c r="I227" s="8"/>
    </row>
    <row r="228" spans="5:9" x14ac:dyDescent="0.2">
      <c r="E228" s="20"/>
      <c r="F228" s="21"/>
      <c r="H228" s="7"/>
      <c r="I228" s="8"/>
    </row>
    <row r="229" spans="5:9" x14ac:dyDescent="0.2">
      <c r="E229" s="20"/>
      <c r="F229" s="21"/>
      <c r="H229" s="7"/>
      <c r="I229" s="8"/>
    </row>
    <row r="230" spans="5:9" x14ac:dyDescent="0.2">
      <c r="E230" s="20"/>
      <c r="F230" s="21"/>
      <c r="H230" s="7"/>
      <c r="I230" s="8"/>
    </row>
    <row r="231" spans="5:9" x14ac:dyDescent="0.2">
      <c r="E231" s="20"/>
      <c r="F231" s="21"/>
      <c r="H231" s="7"/>
      <c r="I231" s="8"/>
    </row>
    <row r="232" spans="5:9" x14ac:dyDescent="0.2">
      <c r="E232" s="20"/>
      <c r="F232" s="21"/>
      <c r="H232" s="7"/>
      <c r="I232" s="8"/>
    </row>
    <row r="233" spans="5:9" x14ac:dyDescent="0.2">
      <c r="E233" s="20"/>
      <c r="F233" s="21"/>
      <c r="H233" s="7"/>
      <c r="I233" s="8"/>
    </row>
    <row r="234" spans="5:9" x14ac:dyDescent="0.2">
      <c r="E234" s="20"/>
      <c r="F234" s="21"/>
      <c r="H234" s="7"/>
      <c r="I234" s="8"/>
    </row>
    <row r="235" spans="5:9" x14ac:dyDescent="0.2">
      <c r="E235" s="20"/>
      <c r="F235" s="21"/>
      <c r="H235" s="7"/>
      <c r="I235" s="8"/>
    </row>
    <row r="236" spans="5:9" x14ac:dyDescent="0.2">
      <c r="E236" s="20"/>
      <c r="F236" s="21"/>
      <c r="H236" s="7"/>
      <c r="I236" s="8"/>
    </row>
    <row r="237" spans="5:9" x14ac:dyDescent="0.2">
      <c r="E237" s="20"/>
      <c r="F237" s="21"/>
      <c r="H237" s="7"/>
      <c r="I237" s="8"/>
    </row>
    <row r="238" spans="5:9" x14ac:dyDescent="0.2">
      <c r="E238" s="20"/>
      <c r="F238" s="21"/>
      <c r="H238" s="7"/>
      <c r="I238" s="8"/>
    </row>
    <row r="239" spans="5:9" x14ac:dyDescent="0.2">
      <c r="E239" s="20"/>
      <c r="F239" s="21"/>
      <c r="H239" s="7"/>
      <c r="I239" s="8"/>
    </row>
    <row r="240" spans="5:9" x14ac:dyDescent="0.2">
      <c r="E240" s="20"/>
      <c r="F240" s="21"/>
      <c r="H240" s="7"/>
      <c r="I240" s="8"/>
    </row>
    <row r="241" spans="5:9" x14ac:dyDescent="0.2">
      <c r="E241" s="20"/>
      <c r="F241" s="21"/>
      <c r="H241" s="7"/>
      <c r="I241" s="8"/>
    </row>
    <row r="242" spans="5:9" x14ac:dyDescent="0.2">
      <c r="E242" s="20"/>
      <c r="F242" s="21"/>
      <c r="H242" s="7"/>
      <c r="I242" s="8"/>
    </row>
    <row r="243" spans="5:9" x14ac:dyDescent="0.2">
      <c r="E243" s="20"/>
      <c r="F243" s="21"/>
      <c r="H243" s="7"/>
      <c r="I243" s="8"/>
    </row>
    <row r="244" spans="5:9" x14ac:dyDescent="0.2">
      <c r="E244" s="20"/>
      <c r="F244" s="21"/>
      <c r="H244" s="7"/>
      <c r="I244" s="8"/>
    </row>
    <row r="245" spans="5:9" x14ac:dyDescent="0.2">
      <c r="E245" s="20"/>
      <c r="F245" s="21"/>
      <c r="H245" s="7"/>
      <c r="I245" s="8"/>
    </row>
    <row r="246" spans="5:9" x14ac:dyDescent="0.2">
      <c r="E246" s="20"/>
      <c r="F246" s="21"/>
      <c r="H246" s="7"/>
      <c r="I246" s="8"/>
    </row>
    <row r="247" spans="5:9" x14ac:dyDescent="0.2">
      <c r="E247" s="20"/>
      <c r="F247" s="21"/>
      <c r="H247" s="7"/>
      <c r="I247" s="8"/>
    </row>
    <row r="248" spans="5:9" x14ac:dyDescent="0.2">
      <c r="E248" s="20"/>
      <c r="F248" s="21"/>
      <c r="H248" s="7"/>
      <c r="I248" s="8"/>
    </row>
    <row r="249" spans="5:9" x14ac:dyDescent="0.2">
      <c r="E249" s="20"/>
      <c r="F249" s="21"/>
      <c r="H249" s="7"/>
      <c r="I249" s="8"/>
    </row>
    <row r="250" spans="5:9" x14ac:dyDescent="0.2">
      <c r="E250" s="20"/>
      <c r="F250" s="21"/>
      <c r="H250" s="7"/>
      <c r="I250" s="8"/>
    </row>
    <row r="251" spans="5:9" x14ac:dyDescent="0.2">
      <c r="E251" s="20"/>
      <c r="F251" s="21"/>
      <c r="H251" s="7"/>
      <c r="I251" s="8"/>
    </row>
    <row r="252" spans="5:9" x14ac:dyDescent="0.2">
      <c r="E252" s="20"/>
      <c r="F252" s="21"/>
      <c r="H252" s="7"/>
      <c r="I252" s="8"/>
    </row>
    <row r="253" spans="5:9" x14ac:dyDescent="0.2">
      <c r="E253" s="20"/>
      <c r="F253" s="21"/>
      <c r="H253" s="7"/>
      <c r="I253" s="8"/>
    </row>
    <row r="254" spans="5:9" x14ac:dyDescent="0.2">
      <c r="E254" s="20"/>
      <c r="F254" s="21"/>
      <c r="H254" s="7"/>
      <c r="I254" s="8"/>
    </row>
    <row r="255" spans="5:9" x14ac:dyDescent="0.2">
      <c r="E255" s="20"/>
      <c r="F255" s="21"/>
      <c r="H255" s="7"/>
      <c r="I255" s="8"/>
    </row>
    <row r="256" spans="5:9" x14ac:dyDescent="0.2">
      <c r="E256" s="20"/>
      <c r="F256" s="21"/>
      <c r="H256" s="7"/>
      <c r="I256" s="8"/>
    </row>
    <row r="257" spans="5:9" x14ac:dyDescent="0.2">
      <c r="E257" s="20"/>
      <c r="F257" s="21"/>
      <c r="H257" s="7"/>
      <c r="I257" s="8"/>
    </row>
    <row r="258" spans="5:9" x14ac:dyDescent="0.2">
      <c r="E258" s="20"/>
      <c r="F258" s="21"/>
      <c r="H258" s="7"/>
      <c r="I258" s="8"/>
    </row>
    <row r="259" spans="5:9" x14ac:dyDescent="0.2">
      <c r="E259" s="20"/>
      <c r="F259" s="21"/>
      <c r="H259" s="7"/>
      <c r="I259" s="8"/>
    </row>
    <row r="260" spans="5:9" x14ac:dyDescent="0.2">
      <c r="E260" s="20"/>
      <c r="F260" s="21"/>
      <c r="H260" s="7"/>
      <c r="I260" s="8"/>
    </row>
    <row r="261" spans="5:9" x14ac:dyDescent="0.2">
      <c r="E261" s="20"/>
      <c r="F261" s="21"/>
      <c r="H261" s="7"/>
      <c r="I261" s="8"/>
    </row>
    <row r="262" spans="5:9" x14ac:dyDescent="0.2">
      <c r="E262" s="20"/>
      <c r="F262" s="21"/>
      <c r="H262" s="7"/>
      <c r="I262" s="8"/>
    </row>
    <row r="263" spans="5:9" x14ac:dyDescent="0.2">
      <c r="E263" s="20"/>
      <c r="F263" s="21"/>
      <c r="H263" s="7"/>
      <c r="I263" s="8"/>
    </row>
    <row r="264" spans="5:9" x14ac:dyDescent="0.2">
      <c r="E264" s="20"/>
      <c r="F264" s="21"/>
      <c r="H264" s="7"/>
      <c r="I264" s="8"/>
    </row>
    <row r="265" spans="5:9" x14ac:dyDescent="0.2">
      <c r="E265" s="20"/>
      <c r="F265" s="21"/>
      <c r="H265" s="7"/>
      <c r="I265" s="8"/>
    </row>
    <row r="266" spans="5:9" x14ac:dyDescent="0.2">
      <c r="E266" s="20"/>
      <c r="F266" s="21"/>
      <c r="H266" s="7"/>
      <c r="I266" s="8"/>
    </row>
    <row r="267" spans="5:9" x14ac:dyDescent="0.2">
      <c r="E267" s="20"/>
      <c r="F267" s="21"/>
      <c r="H267" s="7"/>
      <c r="I267" s="8"/>
    </row>
    <row r="268" spans="5:9" x14ac:dyDescent="0.2">
      <c r="E268" s="20"/>
      <c r="F268" s="21"/>
      <c r="H268" s="7"/>
      <c r="I268" s="8"/>
    </row>
    <row r="269" spans="5:9" x14ac:dyDescent="0.2">
      <c r="E269" s="20"/>
      <c r="F269" s="21"/>
      <c r="H269" s="7"/>
      <c r="I269" s="8"/>
    </row>
    <row r="270" spans="5:9" x14ac:dyDescent="0.2">
      <c r="E270" s="20"/>
      <c r="F270" s="21"/>
      <c r="H270" s="7"/>
      <c r="I270" s="8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zoomScaleNormal="100" workbookViewId="0">
      <selection activeCell="B2" sqref="B2"/>
    </sheetView>
  </sheetViews>
  <sheetFormatPr defaultRowHeight="14.25" x14ac:dyDescent="0.2"/>
  <cols>
    <col min="1" max="1" width="21.75" bestFit="1" customWidth="1"/>
    <col min="2" max="2" width="16.25" bestFit="1" customWidth="1"/>
    <col min="3" max="3" width="15.25" bestFit="1" customWidth="1"/>
    <col min="4" max="4" width="11.25" bestFit="1" customWidth="1"/>
  </cols>
  <sheetData>
    <row r="1" spans="1:4" x14ac:dyDescent="0.2">
      <c r="B1" s="11" t="s">
        <v>44</v>
      </c>
      <c r="C1" s="11" t="s">
        <v>41</v>
      </c>
      <c r="D1" s="11"/>
    </row>
    <row r="2" spans="1:4" x14ac:dyDescent="0.2">
      <c r="A2" s="11" t="s">
        <v>45</v>
      </c>
      <c r="B2" cm="1">
        <f t="array" ref="B2">SUMPRODUCT(Heating!F2:F5*Heating!I2:I5)/SUM(Heating!I2:I5)*-1</f>
        <v>-1.1635690639418192</v>
      </c>
      <c r="C2">
        <f>B2</f>
        <v>-1.1635690639418192</v>
      </c>
    </row>
    <row r="3" spans="1:4" x14ac:dyDescent="0.2">
      <c r="A3" s="11" t="s">
        <v>46</v>
      </c>
      <c r="B3" cm="1">
        <f t="array" ref="B3">SUMPRODUCT(Cooling!F2:F16*Cooling!I2:I16)/SUM(Cooling!I2:I16)*-1</f>
        <v>0.88801215936709066</v>
      </c>
      <c r="C3">
        <f t="shared" ref="C3:C4" si="0">B3</f>
        <v>0.88801215936709066</v>
      </c>
    </row>
    <row r="4" spans="1:4" x14ac:dyDescent="0.2">
      <c r="A4" s="11" t="s">
        <v>47</v>
      </c>
      <c r="B4">
        <v>0</v>
      </c>
      <c r="C4">
        <f t="shared" si="0"/>
        <v>0</v>
      </c>
    </row>
    <row r="5" spans="1:4" x14ac:dyDescent="0.2">
      <c r="A5" s="11" t="s">
        <v>48</v>
      </c>
      <c r="B5">
        <f>C5</f>
        <v>-0.22834008097165992</v>
      </c>
      <c r="C5">
        <f>AVERAGE(Lighting!E3:E4)*-1</f>
        <v>-0.22834008097165992</v>
      </c>
    </row>
    <row r="6" spans="1:4" x14ac:dyDescent="0.2">
      <c r="A6" s="11" t="s">
        <v>49</v>
      </c>
      <c r="B6" cm="1">
        <f t="array" ref="B6">SUMPRODUCT(Appliances!F2:F10*Appliances!I2:I10)/SUM(Appliances!I2:I10)*-1</f>
        <v>-4.0686092673248266</v>
      </c>
      <c r="C6">
        <f>B6</f>
        <v>-4.0686092673248266</v>
      </c>
    </row>
    <row r="7" spans="1:4" x14ac:dyDescent="0.2">
      <c r="A7" s="11" t="s">
        <v>50</v>
      </c>
      <c r="B7">
        <v>0</v>
      </c>
      <c r="C7">
        <f>B7</f>
        <v>0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D7"/>
  <sheetViews>
    <sheetView tabSelected="1" workbookViewId="0">
      <selection activeCell="C9" sqref="C9"/>
    </sheetView>
  </sheetViews>
  <sheetFormatPr defaultRowHeight="14.25" x14ac:dyDescent="0.2"/>
  <cols>
    <col min="1" max="1" width="23.375" customWidth="1"/>
    <col min="2" max="2" width="19.25" customWidth="1"/>
    <col min="3" max="3" width="18.625" customWidth="1"/>
    <col min="4" max="4" width="15" customWidth="1"/>
  </cols>
  <sheetData>
    <row r="1" spans="1:4" x14ac:dyDescent="0.2">
      <c r="A1" s="27"/>
      <c r="B1" s="38" t="s">
        <v>51</v>
      </c>
      <c r="C1" s="38" t="s">
        <v>52</v>
      </c>
      <c r="D1" s="38" t="s">
        <v>53</v>
      </c>
    </row>
    <row r="2" spans="1:4" x14ac:dyDescent="0.2">
      <c r="A2" s="11" t="s">
        <v>45</v>
      </c>
      <c r="B2" s="26">
        <v>-1.1635690639418192</v>
      </c>
      <c r="C2" s="39">
        <v>-1.1635690639418192</v>
      </c>
      <c r="D2" s="39">
        <v>-1.1635690639418192</v>
      </c>
    </row>
    <row r="3" spans="1:4" x14ac:dyDescent="0.2">
      <c r="A3" s="11" t="s">
        <v>46</v>
      </c>
      <c r="B3" s="26">
        <v>0.88801215936709066</v>
      </c>
      <c r="C3" s="39">
        <v>0.88801215936709066</v>
      </c>
      <c r="D3" s="39">
        <v>0.88801215936709066</v>
      </c>
    </row>
    <row r="4" spans="1:4" x14ac:dyDescent="0.2">
      <c r="A4" s="11" t="s">
        <v>47</v>
      </c>
      <c r="B4" s="26">
        <v>0</v>
      </c>
      <c r="C4" s="39">
        <v>0</v>
      </c>
      <c r="D4" s="39">
        <v>0</v>
      </c>
    </row>
    <row r="5" spans="1:4" x14ac:dyDescent="0.2">
      <c r="A5" s="11" t="s">
        <v>48</v>
      </c>
      <c r="B5" s="26">
        <v>-0.22834008097165992</v>
      </c>
      <c r="C5" s="39">
        <v>-0.22834008097165992</v>
      </c>
      <c r="D5" s="39">
        <v>-0.22834008097165992</v>
      </c>
    </row>
    <row r="6" spans="1:4" x14ac:dyDescent="0.2">
      <c r="A6" s="11" t="s">
        <v>49</v>
      </c>
      <c r="B6" s="26">
        <v>-4.0686092673248266</v>
      </c>
      <c r="C6" s="39">
        <v>-4.0686092673248266</v>
      </c>
      <c r="D6" s="39">
        <v>-4.0686092673248266</v>
      </c>
    </row>
    <row r="7" spans="1:4" x14ac:dyDescent="0.2">
      <c r="A7" s="11" t="s">
        <v>50</v>
      </c>
      <c r="B7" s="26">
        <v>0</v>
      </c>
      <c r="C7" s="39">
        <v>0</v>
      </c>
      <c r="D7" s="39">
        <v>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数据来源</vt:lpstr>
      <vt:lpstr>Heating</vt:lpstr>
      <vt:lpstr>Cooling</vt:lpstr>
      <vt:lpstr>Appliances</vt:lpstr>
      <vt:lpstr>Lighting</vt:lpstr>
      <vt:lpstr>Other Equipment</vt:lpstr>
      <vt:lpstr>Calculations</vt:lpstr>
      <vt:lpstr>EoCPwEU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admin</cp:lastModifiedBy>
  <dcterms:created xsi:type="dcterms:W3CDTF">2016-07-14T16:43:33Z</dcterms:created>
  <dcterms:modified xsi:type="dcterms:W3CDTF">2023-02-23T03:16:12Z</dcterms:modified>
</cp:coreProperties>
</file>