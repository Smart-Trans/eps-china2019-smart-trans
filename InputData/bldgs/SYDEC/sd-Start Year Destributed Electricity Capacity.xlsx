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hare\EPS\EPS Shandong 3.3.1\InputData\bldgs\BDEQ\"/>
    </mc:Choice>
  </mc:AlternateContent>
  <xr:revisionPtr revIDLastSave="0" documentId="8_{719814F0-E837-4E51-B2F4-C39C2FA08F72}" xr6:coauthVersionLast="47" xr6:coauthVersionMax="47" xr10:uidLastSave="{00000000-0000-0000-0000-000000000000}"/>
  <bookViews>
    <workbookView xWindow="-120" yWindow="-120" windowWidth="29040" windowHeight="15840" firstSheet="6" activeTab="10" xr2:uid="{8D662839-B8E4-499C-A07A-1C8D6D94B01A}"/>
  </bookViews>
  <sheets>
    <sheet name="能源局光伏并网数据" sheetId="1" r:id="rId1"/>
    <sheet name="户用光伏安装数据" sheetId="2" r:id="rId2"/>
    <sheet name="户用光伏上限模拟" sheetId="4" r:id="rId3"/>
    <sheet name="世行山东城市化率" sheetId="5" r:id="rId4"/>
    <sheet name="整县推进试点城市" sheetId="6" r:id="rId5"/>
    <sheet name="山东光伏数据" sheetId="3" r:id="rId6"/>
    <sheet name="SYDEC" sheetId="8" r:id="rId7"/>
    <sheet name="BDEQ-BEOfDS-urban-residential" sheetId="9" r:id="rId8"/>
    <sheet name="BDEQ-BEOfDS-rural-residential" sheetId="10" r:id="rId9"/>
    <sheet name="BDEQ-BEOfDS-commercial" sheetId="11" r:id="rId10"/>
    <sheet name="BDEQ-BDESC-urban-residential" sheetId="12" r:id="rId11"/>
    <sheet name="BDEQ-BDESC-rural-residential" sheetId="13" r:id="rId12"/>
    <sheet name="BDEQ-BDESC-commercial" sheetId="14" r:id="rId13"/>
  </sheets>
  <externalReferences>
    <externalReference r:id="rId14"/>
  </externalReferences>
  <definedNames>
    <definedName name="billion_kw_to_MW">[1]About!$B$29</definedName>
    <definedName name="gigwatt_to_megawatt">[1]About!$B$30</definedName>
    <definedName name="OLE_LINK2" localSheetId="1">户用光伏安装数据!#REF!</definedName>
    <definedName name="Percent_rural">[1]About!$A$27</definedName>
    <definedName name="Percent_Urban">[1]About!$A$26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7" i="11" l="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B7" i="11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B7" i="10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B7" i="9"/>
  <c r="AY18" i="1"/>
  <c r="AZ4" i="1"/>
  <c r="BA4" i="1"/>
  <c r="BB4" i="1"/>
  <c r="BC4" i="1"/>
  <c r="AZ5" i="1"/>
  <c r="BA5" i="1"/>
  <c r="BB5" i="1"/>
  <c r="BC5" i="1"/>
  <c r="AZ6" i="1"/>
  <c r="BA6" i="1"/>
  <c r="BB6" i="1"/>
  <c r="BC6" i="1"/>
  <c r="AZ7" i="1"/>
  <c r="BA7" i="1"/>
  <c r="BB7" i="1"/>
  <c r="BC7" i="1"/>
  <c r="AZ8" i="1"/>
  <c r="BA8" i="1"/>
  <c r="BB8" i="1"/>
  <c r="BC8" i="1"/>
  <c r="AZ9" i="1"/>
  <c r="BA9" i="1"/>
  <c r="BB9" i="1"/>
  <c r="BC9" i="1"/>
  <c r="AZ10" i="1"/>
  <c r="BA10" i="1"/>
  <c r="BB10" i="1"/>
  <c r="BC10" i="1"/>
  <c r="AZ11" i="1"/>
  <c r="BA11" i="1"/>
  <c r="BB11" i="1"/>
  <c r="BC11" i="1"/>
  <c r="AZ12" i="1"/>
  <c r="BA12" i="1"/>
  <c r="BB12" i="1"/>
  <c r="BC12" i="1"/>
  <c r="AZ13" i="1"/>
  <c r="BA13" i="1"/>
  <c r="BB13" i="1"/>
  <c r="BC13" i="1"/>
  <c r="AZ14" i="1"/>
  <c r="BA14" i="1"/>
  <c r="BB14" i="1"/>
  <c r="BC14" i="1"/>
  <c r="AZ15" i="1"/>
  <c r="BA15" i="1"/>
  <c r="BB15" i="1"/>
  <c r="BC15" i="1"/>
  <c r="AZ16" i="1"/>
  <c r="BA16" i="1"/>
  <c r="BB16" i="1"/>
  <c r="BC16" i="1"/>
  <c r="AZ17" i="1"/>
  <c r="BA17" i="1"/>
  <c r="BB17" i="1"/>
  <c r="BC17" i="1"/>
  <c r="AZ18" i="1"/>
  <c r="BA18" i="1"/>
  <c r="BB18" i="1"/>
  <c r="BC18" i="1"/>
  <c r="AZ19" i="1"/>
  <c r="BA19" i="1"/>
  <c r="BB19" i="1"/>
  <c r="BC19" i="1"/>
  <c r="AZ20" i="1"/>
  <c r="BA20" i="1"/>
  <c r="BB20" i="1"/>
  <c r="BC20" i="1"/>
  <c r="AZ21" i="1"/>
  <c r="BA21" i="1"/>
  <c r="BB21" i="1"/>
  <c r="BC21" i="1"/>
  <c r="AZ22" i="1"/>
  <c r="BA22" i="1"/>
  <c r="BB22" i="1"/>
  <c r="BC22" i="1"/>
  <c r="AZ23" i="1"/>
  <c r="BA23" i="1"/>
  <c r="BB23" i="1"/>
  <c r="BC23" i="1"/>
  <c r="AZ24" i="1"/>
  <c r="BA24" i="1"/>
  <c r="BB24" i="1"/>
  <c r="BC24" i="1"/>
  <c r="AZ25" i="1"/>
  <c r="BA25" i="1"/>
  <c r="BB25" i="1"/>
  <c r="BC25" i="1"/>
  <c r="AZ26" i="1"/>
  <c r="BA26" i="1"/>
  <c r="BB26" i="1"/>
  <c r="BC26" i="1"/>
  <c r="AZ27" i="1"/>
  <c r="BA27" i="1"/>
  <c r="BB27" i="1"/>
  <c r="AZ28" i="1"/>
  <c r="BA28" i="1"/>
  <c r="BB28" i="1"/>
  <c r="BC28" i="1"/>
  <c r="AZ30" i="1"/>
  <c r="BA30" i="1"/>
  <c r="BB30" i="1"/>
  <c r="BC30" i="1"/>
  <c r="AZ31" i="1"/>
  <c r="BA31" i="1"/>
  <c r="BB31" i="1"/>
  <c r="BC31" i="1"/>
  <c r="AZ32" i="1"/>
  <c r="BA32" i="1"/>
  <c r="BB32" i="1"/>
  <c r="BC32" i="1"/>
  <c r="AZ33" i="1"/>
  <c r="BA33" i="1"/>
  <c r="BB33" i="1"/>
  <c r="BC33" i="1"/>
  <c r="AZ34" i="1"/>
  <c r="BA34" i="1"/>
  <c r="BB34" i="1"/>
  <c r="BC34" i="1"/>
  <c r="BA3" i="1"/>
  <c r="BB3" i="1"/>
  <c r="BC3" i="1"/>
  <c r="AZ3" i="1"/>
  <c r="AV27" i="1"/>
  <c r="AW27" i="1"/>
  <c r="AX27" i="1"/>
  <c r="AV28" i="1"/>
  <c r="AW28" i="1"/>
  <c r="AX28" i="1"/>
  <c r="AY28" i="1"/>
  <c r="AV30" i="1"/>
  <c r="AW30" i="1"/>
  <c r="AX30" i="1"/>
  <c r="AY30" i="1"/>
  <c r="AV31" i="1"/>
  <c r="AW31" i="1"/>
  <c r="AX31" i="1"/>
  <c r="AY31" i="1"/>
  <c r="AV32" i="1"/>
  <c r="AW32" i="1"/>
  <c r="AX32" i="1"/>
  <c r="AY32" i="1"/>
  <c r="AV33" i="1"/>
  <c r="AW33" i="1"/>
  <c r="AX33" i="1"/>
  <c r="AY33" i="1"/>
  <c r="AV34" i="1"/>
  <c r="AW34" i="1"/>
  <c r="AX34" i="1"/>
  <c r="AY34" i="1"/>
  <c r="AV4" i="1"/>
  <c r="AW4" i="1"/>
  <c r="AX4" i="1"/>
  <c r="AY4" i="1"/>
  <c r="AV5" i="1"/>
  <c r="AW5" i="1"/>
  <c r="AX5" i="1"/>
  <c r="AY5" i="1"/>
  <c r="AV6" i="1"/>
  <c r="AW6" i="1"/>
  <c r="AX6" i="1"/>
  <c r="AY6" i="1"/>
  <c r="AV7" i="1"/>
  <c r="AW7" i="1"/>
  <c r="AX7" i="1"/>
  <c r="AY7" i="1"/>
  <c r="AV8" i="1"/>
  <c r="AW8" i="1"/>
  <c r="AX8" i="1"/>
  <c r="AY8" i="1"/>
  <c r="AV9" i="1"/>
  <c r="AW9" i="1"/>
  <c r="AX9" i="1"/>
  <c r="AY9" i="1"/>
  <c r="AV10" i="1"/>
  <c r="AW10" i="1"/>
  <c r="AX10" i="1"/>
  <c r="AY10" i="1"/>
  <c r="AV11" i="1"/>
  <c r="AW11" i="1"/>
  <c r="AX11" i="1"/>
  <c r="AY11" i="1"/>
  <c r="AV12" i="1"/>
  <c r="AW12" i="1"/>
  <c r="AX12" i="1"/>
  <c r="AY12" i="1"/>
  <c r="AV13" i="1"/>
  <c r="AW13" i="1"/>
  <c r="AX13" i="1"/>
  <c r="AY13" i="1"/>
  <c r="AV14" i="1"/>
  <c r="AW14" i="1"/>
  <c r="AX14" i="1"/>
  <c r="AY14" i="1"/>
  <c r="AV15" i="1"/>
  <c r="AW15" i="1"/>
  <c r="AX15" i="1"/>
  <c r="AY15" i="1"/>
  <c r="AV16" i="1"/>
  <c r="AW16" i="1"/>
  <c r="AX16" i="1"/>
  <c r="AY16" i="1"/>
  <c r="AV17" i="1"/>
  <c r="AW17" i="1"/>
  <c r="AX17" i="1"/>
  <c r="AY17" i="1"/>
  <c r="AV18" i="1"/>
  <c r="AW18" i="1"/>
  <c r="AX18" i="1"/>
  <c r="AV19" i="1"/>
  <c r="AW19" i="1"/>
  <c r="AX19" i="1"/>
  <c r="AY19" i="1"/>
  <c r="AV20" i="1"/>
  <c r="AW20" i="1"/>
  <c r="AX20" i="1"/>
  <c r="AY20" i="1"/>
  <c r="AV21" i="1"/>
  <c r="AW21" i="1"/>
  <c r="AX21" i="1"/>
  <c r="AY21" i="1"/>
  <c r="AV22" i="1"/>
  <c r="AW22" i="1"/>
  <c r="AX22" i="1"/>
  <c r="AY22" i="1"/>
  <c r="AV23" i="1"/>
  <c r="AW23" i="1"/>
  <c r="AX23" i="1"/>
  <c r="AY23" i="1"/>
  <c r="AV24" i="1"/>
  <c r="AW24" i="1"/>
  <c r="AX24" i="1"/>
  <c r="AY24" i="1"/>
  <c r="AV25" i="1"/>
  <c r="AW25" i="1"/>
  <c r="AX25" i="1"/>
  <c r="AY25" i="1"/>
  <c r="AV26" i="1"/>
  <c r="AW26" i="1"/>
  <c r="AX26" i="1"/>
  <c r="AY26" i="1"/>
  <c r="AW3" i="1"/>
  <c r="AX3" i="1"/>
  <c r="AY3" i="1"/>
  <c r="AV3" i="1"/>
  <c r="F31" i="3" l="1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B7" i="14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B7" i="13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B7" i="12"/>
  <c r="D7" i="8" l="1"/>
  <c r="C7" i="8"/>
  <c r="B7" i="8"/>
  <c r="J32" i="3" a="1"/>
  <c r="J32" i="3" s="1"/>
  <c r="F37" i="3"/>
  <c r="G37" i="3"/>
  <c r="I37" i="3"/>
  <c r="H31" i="3"/>
  <c r="H37" i="3" s="1"/>
  <c r="G31" i="3"/>
  <c r="I31" i="3"/>
  <c r="K36" i="3"/>
  <c r="B41" i="3"/>
  <c r="F32" i="3"/>
  <c r="B36" i="3"/>
  <c r="C36" i="3"/>
  <c r="D36" i="3"/>
  <c r="E36" i="3"/>
  <c r="D50" i="3"/>
  <c r="E50" i="3"/>
  <c r="C52" i="3"/>
  <c r="D49" i="3"/>
  <c r="B49" i="3"/>
  <c r="C34" i="3"/>
  <c r="D34" i="3"/>
  <c r="E34" i="3"/>
  <c r="C35" i="3"/>
  <c r="D35" i="3"/>
  <c r="E35" i="3"/>
  <c r="B35" i="3"/>
  <c r="B34" i="3"/>
  <c r="C45" i="3"/>
  <c r="D52" i="3" s="1"/>
  <c r="C44" i="3"/>
  <c r="C51" i="3" s="1"/>
  <c r="C41" i="3"/>
  <c r="C43" i="3"/>
  <c r="B50" i="3" s="1"/>
  <c r="C42" i="3"/>
  <c r="C49" i="3" s="1"/>
  <c r="B52" i="3" l="1"/>
  <c r="F35" i="3" s="1"/>
  <c r="D51" i="3"/>
  <c r="E51" i="3"/>
  <c r="B51" i="3"/>
  <c r="F34" i="3" s="1"/>
  <c r="C50" i="3"/>
  <c r="E49" i="3"/>
  <c r="E52" i="3"/>
  <c r="G32" i="3"/>
  <c r="F33" i="4"/>
  <c r="K33" i="4" s="1"/>
  <c r="G33" i="4"/>
  <c r="E33" i="4"/>
  <c r="L37" i="3" l="1"/>
  <c r="K37" i="3"/>
  <c r="F33" i="3"/>
  <c r="N34" i="3"/>
  <c r="N33" i="3" s="1"/>
  <c r="G34" i="3"/>
  <c r="H34" i="3" s="1"/>
  <c r="I34" i="3" s="1"/>
  <c r="O34" i="3"/>
  <c r="AE34" i="3"/>
  <c r="AE33" i="3" s="1"/>
  <c r="Q34" i="3"/>
  <c r="AG34" i="3"/>
  <c r="AH34" i="3"/>
  <c r="AH33" i="3" s="1"/>
  <c r="R34" i="3"/>
  <c r="R33" i="3" s="1"/>
  <c r="S34" i="3"/>
  <c r="T34" i="3"/>
  <c r="T33" i="3" s="1"/>
  <c r="AL34" i="3"/>
  <c r="AK34" i="3"/>
  <c r="AK33" i="3" s="1"/>
  <c r="V34" i="3"/>
  <c r="V33" i="3" s="1"/>
  <c r="X34" i="3"/>
  <c r="AN34" i="3"/>
  <c r="Y34" i="3"/>
  <c r="Y33" i="3" s="1"/>
  <c r="AO34" i="3"/>
  <c r="Z34" i="3"/>
  <c r="Z33" i="3" s="1"/>
  <c r="AA34" i="3"/>
  <c r="AA33" i="3" s="1"/>
  <c r="K35" i="3"/>
  <c r="AA35" i="3"/>
  <c r="AQ35" i="3"/>
  <c r="AL35" i="3"/>
  <c r="L35" i="3"/>
  <c r="AB35" i="3"/>
  <c r="AR35" i="3"/>
  <c r="AD35" i="3"/>
  <c r="AN35" i="3"/>
  <c r="M35" i="3"/>
  <c r="AC35" i="3"/>
  <c r="G35" i="3"/>
  <c r="H35" i="3" s="1"/>
  <c r="I35" i="3" s="1"/>
  <c r="J35" i="3"/>
  <c r="N35" i="3"/>
  <c r="O35" i="3"/>
  <c r="AE35" i="3"/>
  <c r="P35" i="3"/>
  <c r="AF35" i="3"/>
  <c r="Q35" i="3"/>
  <c r="AG35" i="3"/>
  <c r="T35" i="3"/>
  <c r="R35" i="3"/>
  <c r="AH35" i="3"/>
  <c r="AI35" i="3"/>
  <c r="X35" i="3"/>
  <c r="S35" i="3"/>
  <c r="AJ35" i="3"/>
  <c r="AK35" i="3"/>
  <c r="Z35" i="3"/>
  <c r="U35" i="3"/>
  <c r="V35" i="3"/>
  <c r="W35" i="3"/>
  <c r="AM35" i="3"/>
  <c r="Y35" i="3"/>
  <c r="AO35" i="3"/>
  <c r="AP35" i="3"/>
  <c r="H32" i="3"/>
  <c r="F29" i="4"/>
  <c r="F32" i="4" s="1"/>
  <c r="G29" i="4"/>
  <c r="G32" i="4" s="1"/>
  <c r="H29" i="4"/>
  <c r="H32" i="4" s="1"/>
  <c r="I29" i="4"/>
  <c r="I32" i="4" s="1"/>
  <c r="J29" i="4"/>
  <c r="J32" i="4" s="1"/>
  <c r="K29" i="4"/>
  <c r="K32" i="4" s="1"/>
  <c r="L29" i="4"/>
  <c r="L32" i="4" s="1"/>
  <c r="M29" i="4"/>
  <c r="M32" i="4" s="1"/>
  <c r="N29" i="4"/>
  <c r="N32" i="4" s="1"/>
  <c r="O29" i="4"/>
  <c r="O32" i="4" s="1"/>
  <c r="P29" i="4"/>
  <c r="P32" i="4" s="1"/>
  <c r="Q29" i="4"/>
  <c r="Q32" i="4" s="1"/>
  <c r="R29" i="4"/>
  <c r="R32" i="4" s="1"/>
  <c r="S29" i="4"/>
  <c r="S32" i="4" s="1"/>
  <c r="T29" i="4"/>
  <c r="T32" i="4" s="1"/>
  <c r="U29" i="4"/>
  <c r="U32" i="4" s="1"/>
  <c r="V29" i="4"/>
  <c r="V32" i="4" s="1"/>
  <c r="W29" i="4"/>
  <c r="W32" i="4" s="1"/>
  <c r="X29" i="4"/>
  <c r="X32" i="4" s="1"/>
  <c r="Y29" i="4"/>
  <c r="Y32" i="4" s="1"/>
  <c r="Z29" i="4"/>
  <c r="Z32" i="4" s="1"/>
  <c r="AA29" i="4"/>
  <c r="AA32" i="4" s="1"/>
  <c r="AB29" i="4"/>
  <c r="AB32" i="4" s="1"/>
  <c r="AC29" i="4"/>
  <c r="AC32" i="4" s="1"/>
  <c r="AD29" i="4"/>
  <c r="AD32" i="4" s="1"/>
  <c r="AE29" i="4"/>
  <c r="AE32" i="4" s="1"/>
  <c r="AF29" i="4"/>
  <c r="AF32" i="4" s="1"/>
  <c r="AG29" i="4"/>
  <c r="AG32" i="4" s="1"/>
  <c r="AH29" i="4"/>
  <c r="AH32" i="4" s="1"/>
  <c r="AI29" i="4"/>
  <c r="AI32" i="4" s="1"/>
  <c r="AJ29" i="4"/>
  <c r="AJ32" i="4" s="1"/>
  <c r="AK29" i="4"/>
  <c r="AK32" i="4" s="1"/>
  <c r="AL29" i="4"/>
  <c r="AL32" i="4" s="1"/>
  <c r="AM29" i="4"/>
  <c r="AM32" i="4" s="1"/>
  <c r="AN29" i="4"/>
  <c r="AN32" i="4" s="1"/>
  <c r="AO29" i="4"/>
  <c r="AO32" i="4" s="1"/>
  <c r="AP29" i="4"/>
  <c r="AP32" i="4" s="1"/>
  <c r="AQ29" i="4"/>
  <c r="AQ32" i="4" s="1"/>
  <c r="AR29" i="4"/>
  <c r="AR32" i="4" s="1"/>
  <c r="AS29" i="4"/>
  <c r="AS32" i="4" s="1"/>
  <c r="AT29" i="4"/>
  <c r="AT32" i="4" s="1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E30" i="4"/>
  <c r="E29" i="4"/>
  <c r="E32" i="4" s="1"/>
  <c r="F21" i="4"/>
  <c r="G21" i="4"/>
  <c r="H21" i="4"/>
  <c r="H24" i="4" s="1"/>
  <c r="H27" i="4" s="1"/>
  <c r="I21" i="4"/>
  <c r="I24" i="4" s="1"/>
  <c r="I27" i="4" s="1"/>
  <c r="J21" i="4"/>
  <c r="K21" i="4"/>
  <c r="L21" i="4"/>
  <c r="M21" i="4"/>
  <c r="N21" i="4"/>
  <c r="O21" i="4"/>
  <c r="O23" i="4" s="1"/>
  <c r="P21" i="4"/>
  <c r="P23" i="4" s="1"/>
  <c r="P26" i="4" s="1"/>
  <c r="Q21" i="4"/>
  <c r="R21" i="4"/>
  <c r="R23" i="4" s="1"/>
  <c r="S21" i="4"/>
  <c r="S23" i="4" s="1"/>
  <c r="T21" i="4"/>
  <c r="T23" i="4" s="1"/>
  <c r="U21" i="4"/>
  <c r="U23" i="4" s="1"/>
  <c r="V21" i="4"/>
  <c r="W21" i="4"/>
  <c r="X21" i="4"/>
  <c r="X24" i="4" s="1"/>
  <c r="X27" i="4" s="1"/>
  <c r="Y21" i="4"/>
  <c r="Y24" i="4" s="1"/>
  <c r="Y27" i="4" s="1"/>
  <c r="Z21" i="4"/>
  <c r="AA21" i="4"/>
  <c r="AB21" i="4"/>
  <c r="AC21" i="4"/>
  <c r="AD21" i="4"/>
  <c r="AE21" i="4"/>
  <c r="AE23" i="4" s="1"/>
  <c r="AF21" i="4"/>
  <c r="AF23" i="4" s="1"/>
  <c r="AF26" i="4" s="1"/>
  <c r="AG21" i="4"/>
  <c r="AH21" i="4"/>
  <c r="AH23" i="4" s="1"/>
  <c r="AI21" i="4"/>
  <c r="AI23" i="4" s="1"/>
  <c r="AJ21" i="4"/>
  <c r="AJ23" i="4" s="1"/>
  <c r="AK21" i="4"/>
  <c r="AK23" i="4" s="1"/>
  <c r="AL21" i="4"/>
  <c r="AM21" i="4"/>
  <c r="AN21" i="4"/>
  <c r="AO21" i="4"/>
  <c r="AO24" i="4" s="1"/>
  <c r="AO27" i="4" s="1"/>
  <c r="AP21" i="4"/>
  <c r="AQ21" i="4"/>
  <c r="AR21" i="4"/>
  <c r="AS21" i="4"/>
  <c r="AT21" i="4"/>
  <c r="E21" i="4"/>
  <c r="E23" i="4" s="1"/>
  <c r="J26" i="4"/>
  <c r="K26" i="4"/>
  <c r="N26" i="4"/>
  <c r="Z26" i="4"/>
  <c r="AA26" i="4"/>
  <c r="AD26" i="4"/>
  <c r="AP26" i="4"/>
  <c r="AQ26" i="4"/>
  <c r="AT26" i="4"/>
  <c r="J27" i="4"/>
  <c r="AD27" i="4"/>
  <c r="AT27" i="4"/>
  <c r="F23" i="4"/>
  <c r="F24" i="4" s="1"/>
  <c r="F27" i="4" s="1"/>
  <c r="G23" i="4"/>
  <c r="G24" i="4" s="1"/>
  <c r="G27" i="4" s="1"/>
  <c r="H23" i="4"/>
  <c r="H26" i="4" s="1"/>
  <c r="I23" i="4"/>
  <c r="I26" i="4" s="1"/>
  <c r="J23" i="4"/>
  <c r="K23" i="4"/>
  <c r="L23" i="4"/>
  <c r="L26" i="4" s="1"/>
  <c r="M23" i="4"/>
  <c r="M26" i="4" s="1"/>
  <c r="N23" i="4"/>
  <c r="Q23" i="4"/>
  <c r="Q26" i="4" s="1"/>
  <c r="V23" i="4"/>
  <c r="V26" i="4" s="1"/>
  <c r="W23" i="4"/>
  <c r="W24" i="4" s="1"/>
  <c r="W27" i="4" s="1"/>
  <c r="X23" i="4"/>
  <c r="X26" i="4" s="1"/>
  <c r="Y23" i="4"/>
  <c r="Y26" i="4" s="1"/>
  <c r="Z23" i="4"/>
  <c r="AA23" i="4"/>
  <c r="AB23" i="4"/>
  <c r="AB26" i="4" s="1"/>
  <c r="AC23" i="4"/>
  <c r="AC26" i="4" s="1"/>
  <c r="AD23" i="4"/>
  <c r="AG23" i="4"/>
  <c r="AG26" i="4" s="1"/>
  <c r="AL23" i="4"/>
  <c r="AL24" i="4" s="1"/>
  <c r="AL27" i="4" s="1"/>
  <c r="AM23" i="4"/>
  <c r="AM24" i="4" s="1"/>
  <c r="AM27" i="4" s="1"/>
  <c r="AN23" i="4"/>
  <c r="AN24" i="4" s="1"/>
  <c r="AN27" i="4" s="1"/>
  <c r="AO23" i="4"/>
  <c r="AO26" i="4" s="1"/>
  <c r="AP23" i="4"/>
  <c r="AQ23" i="4"/>
  <c r="AR23" i="4"/>
  <c r="AR26" i="4" s="1"/>
  <c r="AS23" i="4"/>
  <c r="AS26" i="4" s="1"/>
  <c r="AT23" i="4"/>
  <c r="J24" i="4"/>
  <c r="K24" i="4"/>
  <c r="K27" i="4" s="1"/>
  <c r="L24" i="4"/>
  <c r="L27" i="4" s="1"/>
  <c r="N24" i="4"/>
  <c r="N27" i="4" s="1"/>
  <c r="Q24" i="4"/>
  <c r="Q27" i="4" s="1"/>
  <c r="V24" i="4"/>
  <c r="V27" i="4" s="1"/>
  <c r="Z24" i="4"/>
  <c r="Z27" i="4" s="1"/>
  <c r="AA24" i="4"/>
  <c r="AA27" i="4" s="1"/>
  <c r="AD24" i="4"/>
  <c r="AP24" i="4"/>
  <c r="AP27" i="4" s="1"/>
  <c r="AQ24" i="4"/>
  <c r="AQ27" i="4" s="1"/>
  <c r="AR24" i="4"/>
  <c r="AR27" i="4" s="1"/>
  <c r="AS24" i="4"/>
  <c r="AS27" i="4" s="1"/>
  <c r="AT24" i="4"/>
  <c r="B22" i="4"/>
  <c r="C22" i="4"/>
  <c r="D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F22" i="4"/>
  <c r="G22" i="4"/>
  <c r="H22" i="4"/>
  <c r="I22" i="4"/>
  <c r="J22" i="4"/>
  <c r="K22" i="4"/>
  <c r="L22" i="4"/>
  <c r="M22" i="4"/>
  <c r="N22" i="4"/>
  <c r="O22" i="4"/>
  <c r="E22" i="4"/>
  <c r="M37" i="3" l="1"/>
  <c r="AG33" i="3"/>
  <c r="X33" i="3"/>
  <c r="AB34" i="3"/>
  <c r="AB33" i="3" s="1"/>
  <c r="P34" i="3"/>
  <c r="P33" i="3" s="1"/>
  <c r="AH32" i="3" a="1"/>
  <c r="AH32" i="3" s="1"/>
  <c r="AH36" i="3" s="1"/>
  <c r="AN33" i="3"/>
  <c r="Q33" i="3"/>
  <c r="W34" i="3"/>
  <c r="W33" i="3" s="1"/>
  <c r="J34" i="3"/>
  <c r="J33" i="3" s="1"/>
  <c r="O33" i="3"/>
  <c r="U34" i="3"/>
  <c r="U33" i="3" s="1"/>
  <c r="AF34" i="3"/>
  <c r="AF33" i="3" s="1"/>
  <c r="AM32" i="3" a="1"/>
  <c r="AM32" i="3" s="1"/>
  <c r="AM36" i="3" s="1"/>
  <c r="AL33" i="3"/>
  <c r="AQ34" i="3"/>
  <c r="AQ33" i="3" s="1"/>
  <c r="AJ34" i="3"/>
  <c r="AJ33" i="3" s="1"/>
  <c r="AD34" i="3"/>
  <c r="AD33" i="3" s="1"/>
  <c r="K34" i="3"/>
  <c r="K33" i="3" s="1"/>
  <c r="L34" i="3"/>
  <c r="L33" i="3" s="1"/>
  <c r="G33" i="3"/>
  <c r="F36" i="3"/>
  <c r="AR34" i="3"/>
  <c r="AR33" i="3" s="1"/>
  <c r="AM34" i="3"/>
  <c r="AM33" i="3" s="1"/>
  <c r="AC34" i="3"/>
  <c r="AC33" i="3" s="1"/>
  <c r="AP34" i="3"/>
  <c r="AP33" i="3" s="1"/>
  <c r="AI34" i="3"/>
  <c r="AI33" i="3" s="1"/>
  <c r="M34" i="3"/>
  <c r="M33" i="3" s="1"/>
  <c r="S33" i="3"/>
  <c r="AO33" i="3"/>
  <c r="V32" i="3" a="1"/>
  <c r="V32" i="3" s="1"/>
  <c r="V36" i="3" s="1"/>
  <c r="I32" i="3"/>
  <c r="AO32" i="3" s="1" a="1"/>
  <c r="AO32" i="3" s="1"/>
  <c r="AO36" i="3" s="1"/>
  <c r="AJ24" i="4"/>
  <c r="AJ27" i="4" s="1"/>
  <c r="AJ26" i="4"/>
  <c r="AI24" i="4"/>
  <c r="AI27" i="4" s="1"/>
  <c r="AI26" i="4"/>
  <c r="S24" i="4"/>
  <c r="S27" i="4" s="1"/>
  <c r="S26" i="4"/>
  <c r="AH24" i="4"/>
  <c r="AH27" i="4" s="1"/>
  <c r="AH26" i="4"/>
  <c r="R24" i="4"/>
  <c r="R27" i="4" s="1"/>
  <c r="R26" i="4"/>
  <c r="T24" i="4"/>
  <c r="T27" i="4" s="1"/>
  <c r="T26" i="4"/>
  <c r="AK24" i="4"/>
  <c r="AK27" i="4" s="1"/>
  <c r="AK26" i="4"/>
  <c r="AE24" i="4"/>
  <c r="AE27" i="4" s="1"/>
  <c r="AE26" i="4"/>
  <c r="O24" i="4"/>
  <c r="O27" i="4" s="1"/>
  <c r="O26" i="4"/>
  <c r="U24" i="4"/>
  <c r="U27" i="4" s="1"/>
  <c r="U26" i="4"/>
  <c r="P24" i="4"/>
  <c r="P27" i="4" s="1"/>
  <c r="AN26" i="4"/>
  <c r="M24" i="4"/>
  <c r="M27" i="4" s="1"/>
  <c r="AM26" i="4"/>
  <c r="W26" i="4"/>
  <c r="G26" i="4"/>
  <c r="AL26" i="4"/>
  <c r="F26" i="4"/>
  <c r="AG24" i="4"/>
  <c r="AG27" i="4" s="1"/>
  <c r="AF24" i="4"/>
  <c r="AF27" i="4" s="1"/>
  <c r="AC24" i="4"/>
  <c r="AC27" i="4" s="1"/>
  <c r="AB24" i="4"/>
  <c r="AB27" i="4" s="1"/>
  <c r="E26" i="4"/>
  <c r="E24" i="4"/>
  <c r="E27" i="4" s="1"/>
  <c r="N37" i="3" l="1"/>
  <c r="M32" i="3" a="1"/>
  <c r="M32" i="3" s="1"/>
  <c r="P32" i="3" a="1"/>
  <c r="P32" i="3" s="1"/>
  <c r="P36" i="3" s="1"/>
  <c r="AA32" i="3" a="1"/>
  <c r="AA32" i="3" s="1"/>
  <c r="AA36" i="3" s="1"/>
  <c r="Q32" i="3" a="1"/>
  <c r="Q32" i="3" s="1"/>
  <c r="Q36" i="3" s="1"/>
  <c r="AR32" i="3" a="1"/>
  <c r="AR32" i="3" s="1"/>
  <c r="AR36" i="3" s="1"/>
  <c r="AI32" i="3" a="1"/>
  <c r="AI32" i="3" s="1"/>
  <c r="AI36" i="3" s="1"/>
  <c r="H33" i="3"/>
  <c r="G36" i="3"/>
  <c r="J36" i="3"/>
  <c r="J37" i="3" s="1"/>
  <c r="AF32" i="3" a="1"/>
  <c r="AF32" i="3" s="1"/>
  <c r="AF36" i="3" s="1"/>
  <c r="AC32" i="3" a="1"/>
  <c r="AC32" i="3" s="1"/>
  <c r="AC36" i="3" s="1"/>
  <c r="N32" i="3" a="1"/>
  <c r="N32" i="3" s="1"/>
  <c r="N36" i="3" s="1"/>
  <c r="AP32" i="3" a="1"/>
  <c r="AP32" i="3" s="1"/>
  <c r="AP36" i="3" s="1"/>
  <c r="AN32" i="3" a="1"/>
  <c r="AN32" i="3" s="1"/>
  <c r="AN36" i="3" s="1"/>
  <c r="AE32" i="3" a="1"/>
  <c r="AE32" i="3" s="1"/>
  <c r="AE36" i="3" s="1"/>
  <c r="K32" i="3" a="1"/>
  <c r="K32" i="3" s="1"/>
  <c r="AB32" i="3" a="1"/>
  <c r="AB32" i="3" s="1"/>
  <c r="AB36" i="3" s="1"/>
  <c r="W32" i="3" a="1"/>
  <c r="W32" i="3" s="1"/>
  <c r="W36" i="3" s="1"/>
  <c r="AL32" i="3" a="1"/>
  <c r="AL32" i="3" s="1"/>
  <c r="AL36" i="3" s="1"/>
  <c r="AJ32" i="3" a="1"/>
  <c r="AJ32" i="3" s="1"/>
  <c r="AJ36" i="3" s="1"/>
  <c r="U32" i="3" a="1"/>
  <c r="U32" i="3" s="1"/>
  <c r="U36" i="3" s="1"/>
  <c r="L32" i="3" a="1"/>
  <c r="L32" i="3" s="1"/>
  <c r="L36" i="3" s="1"/>
  <c r="AQ32" i="3" a="1"/>
  <c r="AQ32" i="3" s="1"/>
  <c r="AQ36" i="3" s="1"/>
  <c r="Z32" i="3" a="1"/>
  <c r="Z32" i="3" s="1"/>
  <c r="Z36" i="3" s="1"/>
  <c r="S32" i="3" a="1"/>
  <c r="S32" i="3" s="1"/>
  <c r="S36" i="3" s="1"/>
  <c r="X32" i="3" a="1"/>
  <c r="X32" i="3" s="1"/>
  <c r="X36" i="3" s="1"/>
  <c r="O32" i="3" a="1"/>
  <c r="O32" i="3" s="1"/>
  <c r="O36" i="3" s="1"/>
  <c r="R32" i="3" a="1"/>
  <c r="R32" i="3" s="1"/>
  <c r="R36" i="3" s="1"/>
  <c r="Y32" i="3" a="1"/>
  <c r="Y32" i="3" s="1"/>
  <c r="Y36" i="3" s="1"/>
  <c r="AG32" i="3" a="1"/>
  <c r="AG32" i="3" s="1"/>
  <c r="AG36" i="3" s="1"/>
  <c r="M36" i="3"/>
  <c r="T32" i="3" a="1"/>
  <c r="T32" i="3" s="1"/>
  <c r="T36" i="3" s="1"/>
  <c r="AD32" i="3" a="1"/>
  <c r="AD32" i="3" s="1"/>
  <c r="AD36" i="3" s="1"/>
  <c r="AK32" i="3" a="1"/>
  <c r="AK32" i="3" s="1"/>
  <c r="AK36" i="3" s="1"/>
  <c r="B1" i="4"/>
  <c r="J20" i="5"/>
  <c r="H20" i="5"/>
  <c r="F20" i="5"/>
  <c r="D20" i="5"/>
  <c r="B20" i="5"/>
  <c r="B19" i="5"/>
  <c r="C19" i="5"/>
  <c r="D19" i="5"/>
  <c r="E19" i="5"/>
  <c r="F19" i="5"/>
  <c r="G19" i="5"/>
  <c r="H19" i="5"/>
  <c r="I19" i="5"/>
  <c r="J19" i="5"/>
  <c r="A19" i="5"/>
  <c r="P37" i="3" l="1"/>
  <c r="O37" i="3"/>
  <c r="I33" i="3"/>
  <c r="I36" i="3" s="1"/>
  <c r="H36" i="3"/>
  <c r="O25" i="3"/>
  <c r="C37" i="3" s="1"/>
  <c r="P25" i="3"/>
  <c r="D37" i="3" s="1"/>
  <c r="Q25" i="3"/>
  <c r="E37" i="3" s="1"/>
  <c r="N25" i="3"/>
  <c r="B37" i="3" s="1"/>
  <c r="R23" i="3" a="1"/>
  <c r="R23" i="3" s="1"/>
  <c r="S23" i="3" s="1" a="1"/>
  <c r="S23" i="3" s="1"/>
  <c r="S25" i="3" s="1"/>
  <c r="R24" i="3" a="1"/>
  <c r="R24" i="3" s="1"/>
  <c r="S24" i="3" s="1" a="1"/>
  <c r="S24" i="3" s="1"/>
  <c r="R22" i="3" a="1"/>
  <c r="R22" i="3" s="1"/>
  <c r="S22" i="3" s="1" a="1"/>
  <c r="S22" i="3" s="1"/>
  <c r="B14" i="3"/>
  <c r="Q37" i="3" l="1"/>
  <c r="R25" i="3"/>
  <c r="T22" i="3" a="1"/>
  <c r="T22" i="3" s="1"/>
  <c r="U22" i="3" s="1" a="1"/>
  <c r="U22" i="3" s="1"/>
  <c r="T24" i="3" a="1"/>
  <c r="T24" i="3" s="1"/>
  <c r="U24" i="3" s="1" a="1"/>
  <c r="U24" i="3" s="1"/>
  <c r="T23" i="3" a="1"/>
  <c r="T23" i="3" s="1"/>
  <c r="J25" i="3"/>
  <c r="I12" i="3"/>
  <c r="E27" i="3"/>
  <c r="I27" i="3" s="1"/>
  <c r="I26" i="3" s="1"/>
  <c r="F15" i="3"/>
  <c r="C14" i="3"/>
  <c r="E14" i="3"/>
  <c r="F13" i="3"/>
  <c r="F12" i="3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38" i="2"/>
  <c r="U39" i="2"/>
  <c r="U3" i="2" s="1"/>
  <c r="U40" i="2"/>
  <c r="U4" i="2" s="1"/>
  <c r="U41" i="2"/>
  <c r="U5" i="2" s="1"/>
  <c r="U42" i="2"/>
  <c r="U6" i="2" s="1"/>
  <c r="U43" i="2"/>
  <c r="U7" i="2" s="1"/>
  <c r="U44" i="2"/>
  <c r="U8" i="2" s="1"/>
  <c r="U45" i="2"/>
  <c r="U9" i="2" s="1"/>
  <c r="U46" i="2"/>
  <c r="U10" i="2" s="1"/>
  <c r="U47" i="2"/>
  <c r="U11" i="2" s="1"/>
  <c r="U48" i="2"/>
  <c r="U12" i="2" s="1"/>
  <c r="U49" i="2"/>
  <c r="U13" i="2" s="1"/>
  <c r="U50" i="2"/>
  <c r="U14" i="2" s="1"/>
  <c r="U51" i="2"/>
  <c r="U15" i="2" s="1"/>
  <c r="U52" i="2"/>
  <c r="U16" i="2" s="1"/>
  <c r="U53" i="2"/>
  <c r="U17" i="2" s="1"/>
  <c r="U54" i="2"/>
  <c r="U18" i="2" s="1"/>
  <c r="U55" i="2"/>
  <c r="U19" i="2" s="1"/>
  <c r="U56" i="2"/>
  <c r="U20" i="2" s="1"/>
  <c r="U57" i="2"/>
  <c r="U21" i="2" s="1"/>
  <c r="U58" i="2"/>
  <c r="U22" i="2" s="1"/>
  <c r="U59" i="2"/>
  <c r="U23" i="2" s="1"/>
  <c r="U60" i="2"/>
  <c r="U24" i="2" s="1"/>
  <c r="U61" i="2"/>
  <c r="U25" i="2" s="1"/>
  <c r="U62" i="2"/>
  <c r="U26" i="2" s="1"/>
  <c r="U63" i="2"/>
  <c r="U27" i="2" s="1"/>
  <c r="U64" i="2"/>
  <c r="U28" i="2" s="1"/>
  <c r="U65" i="2"/>
  <c r="U29" i="2" s="1"/>
  <c r="U66" i="2"/>
  <c r="U30" i="2" s="1"/>
  <c r="U67" i="2"/>
  <c r="U31" i="2" s="1"/>
  <c r="U68" i="2"/>
  <c r="U32" i="2" s="1"/>
  <c r="U69" i="2"/>
  <c r="U33" i="2" s="1"/>
  <c r="U70" i="2"/>
  <c r="U34" i="2" s="1"/>
  <c r="U71" i="2"/>
  <c r="U35" i="2" s="1"/>
  <c r="U38" i="2"/>
  <c r="U2" i="2" s="1"/>
  <c r="J39" i="2"/>
  <c r="K39" i="2" s="1"/>
  <c r="N39" i="2" s="1"/>
  <c r="O39" i="2" s="1"/>
  <c r="P39" i="2" s="1"/>
  <c r="AA39" i="2" s="1"/>
  <c r="AB39" i="2" s="1"/>
  <c r="AC39" i="2" s="1"/>
  <c r="AD39" i="2" s="1"/>
  <c r="J40" i="2"/>
  <c r="K40" i="2" s="1"/>
  <c r="N40" i="2" s="1"/>
  <c r="O40" i="2" s="1"/>
  <c r="P40" i="2" s="1"/>
  <c r="J41" i="2"/>
  <c r="K41" i="2" s="1"/>
  <c r="N41" i="2" s="1"/>
  <c r="O41" i="2" s="1"/>
  <c r="P41" i="2" s="1"/>
  <c r="J42" i="2"/>
  <c r="K42" i="2" s="1"/>
  <c r="N42" i="2" s="1"/>
  <c r="O42" i="2" s="1"/>
  <c r="P42" i="2" s="1"/>
  <c r="J43" i="2"/>
  <c r="K43" i="2" s="1"/>
  <c r="N43" i="2"/>
  <c r="O43" i="2" s="1"/>
  <c r="P43" i="2" s="1"/>
  <c r="J44" i="2"/>
  <c r="K44" i="2" s="1"/>
  <c r="N44" i="2" s="1"/>
  <c r="O44" i="2" s="1"/>
  <c r="P44" i="2" s="1"/>
  <c r="J45" i="2"/>
  <c r="K45" i="2" s="1"/>
  <c r="N45" i="2" s="1"/>
  <c r="O45" i="2" s="1"/>
  <c r="P45" i="2" s="1"/>
  <c r="J46" i="2"/>
  <c r="K46" i="2" s="1"/>
  <c r="N46" i="2" s="1"/>
  <c r="O46" i="2" s="1"/>
  <c r="P46" i="2" s="1"/>
  <c r="AA46" i="2" s="1"/>
  <c r="AB46" i="2" s="1"/>
  <c r="AC46" i="2" s="1"/>
  <c r="AD46" i="2" s="1"/>
  <c r="J47" i="2"/>
  <c r="K47" i="2" s="1"/>
  <c r="N47" i="2"/>
  <c r="O47" i="2" s="1"/>
  <c r="P47" i="2" s="1"/>
  <c r="J48" i="2"/>
  <c r="K48" i="2" s="1"/>
  <c r="N48" i="2" s="1"/>
  <c r="O48" i="2" s="1"/>
  <c r="P48" i="2" s="1"/>
  <c r="J49" i="2"/>
  <c r="K49" i="2" s="1"/>
  <c r="N49" i="2" s="1"/>
  <c r="O49" i="2" s="1"/>
  <c r="P49" i="2" s="1"/>
  <c r="J50" i="2"/>
  <c r="K50" i="2" s="1"/>
  <c r="N50" i="2" s="1"/>
  <c r="O50" i="2" s="1"/>
  <c r="P50" i="2" s="1"/>
  <c r="J51" i="2"/>
  <c r="K51" i="2" s="1"/>
  <c r="N51" i="2"/>
  <c r="O51" i="2" s="1"/>
  <c r="P51" i="2" s="1"/>
  <c r="J52" i="2"/>
  <c r="K52" i="2" s="1"/>
  <c r="N52" i="2"/>
  <c r="O52" i="2" s="1"/>
  <c r="P52" i="2" s="1"/>
  <c r="J53" i="2"/>
  <c r="K53" i="2" s="1"/>
  <c r="N53" i="2" s="1"/>
  <c r="O53" i="2" s="1"/>
  <c r="P53" i="2" s="1"/>
  <c r="J54" i="2"/>
  <c r="K54" i="2" s="1"/>
  <c r="N54" i="2" s="1"/>
  <c r="O54" i="2" s="1"/>
  <c r="P54" i="2" s="1"/>
  <c r="J55" i="2"/>
  <c r="K55" i="2" s="1"/>
  <c r="N55" i="2"/>
  <c r="O55" i="2" s="1"/>
  <c r="P55" i="2" s="1"/>
  <c r="AA55" i="2" s="1"/>
  <c r="AB55" i="2" s="1"/>
  <c r="AC55" i="2" s="1"/>
  <c r="AD55" i="2" s="1"/>
  <c r="J56" i="2"/>
  <c r="K56" i="2" s="1"/>
  <c r="N56" i="2" s="1"/>
  <c r="O56" i="2" s="1"/>
  <c r="P56" i="2" s="1"/>
  <c r="J57" i="2"/>
  <c r="K57" i="2" s="1"/>
  <c r="N57" i="2" s="1"/>
  <c r="O57" i="2" s="1"/>
  <c r="P57" i="2" s="1"/>
  <c r="J58" i="2"/>
  <c r="K58" i="2" s="1"/>
  <c r="N58" i="2" s="1"/>
  <c r="O58" i="2" s="1"/>
  <c r="P58" i="2" s="1"/>
  <c r="J59" i="2"/>
  <c r="K59" i="2" s="1"/>
  <c r="N59" i="2"/>
  <c r="O59" i="2" s="1"/>
  <c r="P59" i="2" s="1"/>
  <c r="J60" i="2"/>
  <c r="K60" i="2" s="1"/>
  <c r="N60" i="2"/>
  <c r="O60" i="2" s="1"/>
  <c r="P60" i="2" s="1"/>
  <c r="J61" i="2"/>
  <c r="K61" i="2" s="1"/>
  <c r="N61" i="2" s="1"/>
  <c r="O61" i="2" s="1"/>
  <c r="P61" i="2" s="1"/>
  <c r="J62" i="2"/>
  <c r="K62" i="2" s="1"/>
  <c r="N62" i="2" s="1"/>
  <c r="O62" i="2" s="1"/>
  <c r="P62" i="2" s="1"/>
  <c r="J63" i="2"/>
  <c r="K63" i="2"/>
  <c r="N63" i="2"/>
  <c r="O63" i="2" s="1"/>
  <c r="P63" i="2" s="1"/>
  <c r="AA63" i="2" s="1"/>
  <c r="AB63" i="2" s="1"/>
  <c r="AC63" i="2" s="1"/>
  <c r="AD63" i="2" s="1"/>
  <c r="J64" i="2"/>
  <c r="K64" i="2" s="1"/>
  <c r="N64" i="2" s="1"/>
  <c r="O64" i="2" s="1"/>
  <c r="P64" i="2" s="1"/>
  <c r="J65" i="2"/>
  <c r="K65" i="2" s="1"/>
  <c r="N65" i="2" s="1"/>
  <c r="O65" i="2" s="1"/>
  <c r="P65" i="2" s="1"/>
  <c r="J66" i="2"/>
  <c r="K66" i="2" s="1"/>
  <c r="N66" i="2" s="1"/>
  <c r="O66" i="2" s="1"/>
  <c r="P66" i="2" s="1"/>
  <c r="J67" i="2"/>
  <c r="K67" i="2" s="1"/>
  <c r="N67" i="2"/>
  <c r="O67" i="2" s="1"/>
  <c r="P67" i="2" s="1"/>
  <c r="J68" i="2"/>
  <c r="K68" i="2" s="1"/>
  <c r="N68" i="2" s="1"/>
  <c r="O68" i="2" s="1"/>
  <c r="P68" i="2" s="1"/>
  <c r="J69" i="2"/>
  <c r="K69" i="2" s="1"/>
  <c r="N69" i="2"/>
  <c r="O69" i="2" s="1"/>
  <c r="P69" i="2" s="1"/>
  <c r="J70" i="2"/>
  <c r="K70" i="2" s="1"/>
  <c r="N70" i="2" s="1"/>
  <c r="O70" i="2" s="1"/>
  <c r="P70" i="2" s="1"/>
  <c r="J71" i="2"/>
  <c r="K71" i="2" s="1"/>
  <c r="N71" i="2"/>
  <c r="O71" i="2" s="1"/>
  <c r="P71" i="2" s="1"/>
  <c r="AA71" i="2" s="1"/>
  <c r="AB71" i="2" s="1"/>
  <c r="AC71" i="2" s="1"/>
  <c r="AD71" i="2" s="1"/>
  <c r="N38" i="2"/>
  <c r="O38" i="2" s="1"/>
  <c r="P38" i="2" s="1"/>
  <c r="AA38" i="2" s="1"/>
  <c r="AB38" i="2" s="1"/>
  <c r="AC38" i="2" s="1"/>
  <c r="AD38" i="2" s="1"/>
  <c r="J38" i="2"/>
  <c r="K38" i="2" s="1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38" i="2"/>
  <c r="S37" i="1"/>
  <c r="R3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" i="1"/>
  <c r="O25" i="1"/>
  <c r="N2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U33" i="1"/>
  <c r="V33" i="1"/>
  <c r="W33" i="1"/>
  <c r="U34" i="1"/>
  <c r="V34" i="1"/>
  <c r="W34" i="1"/>
  <c r="U35" i="1"/>
  <c r="V35" i="1"/>
  <c r="W3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W3" i="1"/>
  <c r="V3" i="1"/>
  <c r="P3" i="1"/>
  <c r="O3" i="1"/>
  <c r="U4" i="1"/>
  <c r="U5" i="1"/>
  <c r="U6" i="1"/>
  <c r="U7" i="1"/>
  <c r="U8" i="1"/>
  <c r="U9" i="1"/>
  <c r="U10" i="1"/>
  <c r="U11" i="1"/>
  <c r="U12" i="1"/>
  <c r="U13" i="1"/>
  <c r="U14" i="1"/>
  <c r="U15" i="1"/>
  <c r="U3" i="1"/>
  <c r="N4" i="1"/>
  <c r="N5" i="1"/>
  <c r="N6" i="1"/>
  <c r="N7" i="1"/>
  <c r="N8" i="1"/>
  <c r="N9" i="1"/>
  <c r="N10" i="1"/>
  <c r="N11" i="1"/>
  <c r="N12" i="1"/>
  <c r="N13" i="1"/>
  <c r="N14" i="1"/>
  <c r="N15" i="1"/>
  <c r="N3" i="1"/>
  <c r="H4" i="1"/>
  <c r="M4" i="1"/>
  <c r="H5" i="1"/>
  <c r="M5" i="1"/>
  <c r="H6" i="1"/>
  <c r="M6" i="1"/>
  <c r="H7" i="1"/>
  <c r="M7" i="1"/>
  <c r="H8" i="1"/>
  <c r="M8" i="1"/>
  <c r="H9" i="1"/>
  <c r="M9" i="1"/>
  <c r="H10" i="1"/>
  <c r="M10" i="1"/>
  <c r="H11" i="1"/>
  <c r="M11" i="1"/>
  <c r="H12" i="1"/>
  <c r="M12" i="1"/>
  <c r="H13" i="1"/>
  <c r="M13" i="1"/>
  <c r="H14" i="1"/>
  <c r="M14" i="1"/>
  <c r="H15" i="1"/>
  <c r="M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M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T33" i="1" s="1"/>
  <c r="F34" i="1"/>
  <c r="F35" i="1"/>
  <c r="F3" i="1"/>
  <c r="T17" i="1" l="1"/>
  <c r="T22" i="1"/>
  <c r="R37" i="3"/>
  <c r="T25" i="3"/>
  <c r="N37" i="1"/>
  <c r="P37" i="1"/>
  <c r="U37" i="1"/>
  <c r="M37" i="1"/>
  <c r="W37" i="1"/>
  <c r="K37" i="1"/>
  <c r="V37" i="1"/>
  <c r="L37" i="1"/>
  <c r="O37" i="1"/>
  <c r="U23" i="3" a="1"/>
  <c r="U23" i="3" s="1"/>
  <c r="U25" i="3" s="1"/>
  <c r="V24" i="3" a="1"/>
  <c r="V24" i="3" s="1"/>
  <c r="W24" i="3" s="1" a="1"/>
  <c r="W24" i="3" s="1"/>
  <c r="V22" i="3" a="1"/>
  <c r="V22" i="3" s="1"/>
  <c r="C27" i="3"/>
  <c r="E26" i="3"/>
  <c r="J26" i="3" s="1"/>
  <c r="F14" i="3"/>
  <c r="AA64" i="2"/>
  <c r="AB64" i="2" s="1"/>
  <c r="AC64" i="2" s="1"/>
  <c r="AD64" i="2" s="1"/>
  <c r="AA56" i="2"/>
  <c r="AB56" i="2" s="1"/>
  <c r="AC56" i="2" s="1"/>
  <c r="AD56" i="2" s="1"/>
  <c r="AA62" i="2"/>
  <c r="AB62" i="2" s="1"/>
  <c r="AC62" i="2" s="1"/>
  <c r="AD62" i="2" s="1"/>
  <c r="AA68" i="2"/>
  <c r="AB68" i="2" s="1"/>
  <c r="AC68" i="2" s="1"/>
  <c r="AD68" i="2" s="1"/>
  <c r="AA44" i="2"/>
  <c r="AB44" i="2" s="1"/>
  <c r="AC44" i="2" s="1"/>
  <c r="AD44" i="2" s="1"/>
  <c r="AA70" i="2"/>
  <c r="AB70" i="2" s="1"/>
  <c r="AC70" i="2" s="1"/>
  <c r="AD70" i="2" s="1"/>
  <c r="AA57" i="2"/>
  <c r="AB57" i="2" s="1"/>
  <c r="AC57" i="2" s="1"/>
  <c r="AD57" i="2" s="1"/>
  <c r="AA45" i="2"/>
  <c r="AB45" i="2" s="1"/>
  <c r="AC45" i="2" s="1"/>
  <c r="AD45" i="2" s="1"/>
  <c r="AA54" i="2"/>
  <c r="AB54" i="2" s="1"/>
  <c r="AC54" i="2" s="1"/>
  <c r="AD54" i="2" s="1"/>
  <c r="AA41" i="2"/>
  <c r="AB41" i="2" s="1"/>
  <c r="AC41" i="2" s="1"/>
  <c r="AD41" i="2" s="1"/>
  <c r="AA40" i="2"/>
  <c r="AB40" i="2" s="1"/>
  <c r="AC40" i="2" s="1"/>
  <c r="AD40" i="2" s="1"/>
  <c r="AA60" i="2"/>
  <c r="AB60" i="2" s="1"/>
  <c r="AC60" i="2" s="1"/>
  <c r="AD60" i="2" s="1"/>
  <c r="AA42" i="2"/>
  <c r="AB42" i="2" s="1"/>
  <c r="AC42" i="2" s="1"/>
  <c r="AD42" i="2" s="1"/>
  <c r="AA52" i="2"/>
  <c r="AB52" i="2" s="1"/>
  <c r="AC52" i="2" s="1"/>
  <c r="AD52" i="2" s="1"/>
  <c r="AA49" i="2"/>
  <c r="AB49" i="2" s="1"/>
  <c r="AC49" i="2" s="1"/>
  <c r="AD49" i="2" s="1"/>
  <c r="AA48" i="2"/>
  <c r="AB48" i="2" s="1"/>
  <c r="AC48" i="2" s="1"/>
  <c r="AD48" i="2" s="1"/>
  <c r="AA47" i="2"/>
  <c r="AB47" i="2" s="1"/>
  <c r="AC47" i="2" s="1"/>
  <c r="AD47" i="2" s="1"/>
  <c r="AA59" i="2"/>
  <c r="AB59" i="2" s="1"/>
  <c r="AC59" i="2" s="1"/>
  <c r="AD59" i="2" s="1"/>
  <c r="AA58" i="2"/>
  <c r="AB58" i="2" s="1"/>
  <c r="AC58" i="2" s="1"/>
  <c r="AD58" i="2" s="1"/>
  <c r="AA67" i="2"/>
  <c r="AB67" i="2" s="1"/>
  <c r="AC67" i="2" s="1"/>
  <c r="AD67" i="2" s="1"/>
  <c r="AA69" i="2"/>
  <c r="AB69" i="2" s="1"/>
  <c r="AC69" i="2" s="1"/>
  <c r="AD69" i="2" s="1"/>
  <c r="AA66" i="2"/>
  <c r="AB66" i="2" s="1"/>
  <c r="AC66" i="2" s="1"/>
  <c r="AD66" i="2" s="1"/>
  <c r="AA43" i="2"/>
  <c r="AB43" i="2" s="1"/>
  <c r="AC43" i="2" s="1"/>
  <c r="AD43" i="2" s="1"/>
  <c r="AA65" i="2"/>
  <c r="AB65" i="2" s="1"/>
  <c r="AC65" i="2" s="1"/>
  <c r="AD65" i="2" s="1"/>
  <c r="AA53" i="2"/>
  <c r="AB53" i="2" s="1"/>
  <c r="AC53" i="2" s="1"/>
  <c r="AD53" i="2" s="1"/>
  <c r="AA51" i="2"/>
  <c r="AB51" i="2" s="1"/>
  <c r="AC51" i="2" s="1"/>
  <c r="AD51" i="2" s="1"/>
  <c r="AA61" i="2"/>
  <c r="AB61" i="2" s="1"/>
  <c r="AC61" i="2" s="1"/>
  <c r="AD61" i="2" s="1"/>
  <c r="AA50" i="2"/>
  <c r="AB50" i="2" s="1"/>
  <c r="AC50" i="2" s="1"/>
  <c r="AD50" i="2" s="1"/>
  <c r="T30" i="1"/>
  <c r="T25" i="1"/>
  <c r="T8" i="1"/>
  <c r="T23" i="1"/>
  <c r="T35" i="1"/>
  <c r="T26" i="1"/>
  <c r="T20" i="1"/>
  <c r="T31" i="1"/>
  <c r="T29" i="1"/>
  <c r="T27" i="1"/>
  <c r="T24" i="1"/>
  <c r="T19" i="1"/>
  <c r="T34" i="1"/>
  <c r="T28" i="1"/>
  <c r="T21" i="1"/>
  <c r="T18" i="1"/>
  <c r="T32" i="1"/>
  <c r="T16" i="1"/>
  <c r="T15" i="1"/>
  <c r="T12" i="1"/>
  <c r="T7" i="1"/>
  <c r="T3" i="1"/>
  <c r="T4" i="1"/>
  <c r="T13" i="1"/>
  <c r="T14" i="1"/>
  <c r="T10" i="1"/>
  <c r="T6" i="1"/>
  <c r="T11" i="1"/>
  <c r="T9" i="1"/>
  <c r="T5" i="1"/>
  <c r="S37" i="3" l="1"/>
  <c r="C26" i="3"/>
  <c r="B27" i="3"/>
  <c r="B26" i="3" s="1"/>
  <c r="X24" i="3" a="1"/>
  <c r="X24" i="3" s="1"/>
  <c r="Y24" i="3" s="1" a="1"/>
  <c r="Y24" i="3" s="1"/>
  <c r="V23" i="3" a="1"/>
  <c r="V23" i="3" s="1"/>
  <c r="W22" i="3" a="1"/>
  <c r="W22" i="3" s="1"/>
  <c r="X22" i="3" s="1" a="1"/>
  <c r="X22" i="3" s="1"/>
  <c r="T37" i="1"/>
  <c r="T37" i="3" l="1"/>
  <c r="W23" i="3" a="1"/>
  <c r="W23" i="3" s="1"/>
  <c r="W25" i="3" s="1"/>
  <c r="V25" i="3"/>
  <c r="Z24" i="3" a="1"/>
  <c r="Z24" i="3" s="1"/>
  <c r="AA24" i="3" s="1" a="1"/>
  <c r="AA24" i="3" s="1"/>
  <c r="Y22" i="3" a="1"/>
  <c r="Y22" i="3" s="1"/>
  <c r="Z22" i="3" s="1" a="1"/>
  <c r="Z22" i="3" s="1"/>
  <c r="U37" i="3" l="1"/>
  <c r="X23" i="3" a="1"/>
  <c r="X23" i="3" s="1"/>
  <c r="X25" i="3" s="1"/>
  <c r="AB24" i="3" a="1"/>
  <c r="AB24" i="3" s="1"/>
  <c r="AA22" i="3" a="1"/>
  <c r="AA22" i="3" s="1"/>
  <c r="V37" i="3" l="1"/>
  <c r="Y23" i="3" a="1"/>
  <c r="Y23" i="3" s="1"/>
  <c r="Y25" i="3" s="1"/>
  <c r="AC24" i="3" a="1"/>
  <c r="AC24" i="3" s="1"/>
  <c r="AB22" i="3" a="1"/>
  <c r="AB22" i="3" s="1"/>
  <c r="W37" i="3" l="1"/>
  <c r="Z23" i="3" a="1"/>
  <c r="Z23" i="3" s="1"/>
  <c r="Z25" i="3" s="1"/>
  <c r="AC22" i="3" a="1"/>
  <c r="AC22" i="3" s="1"/>
  <c r="AD24" i="3" a="1"/>
  <c r="AD24" i="3" s="1"/>
  <c r="X37" i="3" l="1"/>
  <c r="AA23" i="3" a="1"/>
  <c r="AA23" i="3" s="1"/>
  <c r="AA25" i="3" s="1"/>
  <c r="AE24" i="3" a="1"/>
  <c r="AE24" i="3" s="1"/>
  <c r="AD22" i="3" a="1"/>
  <c r="AD22" i="3" s="1"/>
  <c r="Y37" i="3" l="1"/>
  <c r="AB23" i="3" a="1"/>
  <c r="AB23" i="3" s="1"/>
  <c r="AB25" i="3" s="1"/>
  <c r="AE22" i="3" a="1"/>
  <c r="AE22" i="3" s="1"/>
  <c r="AF22" i="3" s="1" a="1"/>
  <c r="AF22" i="3" s="1"/>
  <c r="AF24" i="3" a="1"/>
  <c r="AF24" i="3" s="1"/>
  <c r="Z37" i="3" l="1"/>
  <c r="AC23" i="3" a="1"/>
  <c r="AC23" i="3" s="1"/>
  <c r="AC25" i="3" s="1"/>
  <c r="AG24" i="3" a="1"/>
  <c r="AG24" i="3" s="1"/>
  <c r="AG22" i="3" a="1"/>
  <c r="AG22" i="3" s="1"/>
  <c r="AA37" i="3" l="1"/>
  <c r="AD23" i="3" a="1"/>
  <c r="AD23" i="3" s="1"/>
  <c r="AD25" i="3" s="1"/>
  <c r="AH22" i="3" a="1"/>
  <c r="AH22" i="3" s="1"/>
  <c r="AH24" i="3" a="1"/>
  <c r="AH24" i="3" s="1"/>
  <c r="AB37" i="3" l="1"/>
  <c r="AE23" i="3" a="1"/>
  <c r="AE23" i="3" s="1"/>
  <c r="AE25" i="3" s="1"/>
  <c r="AI24" i="3" a="1"/>
  <c r="AI24" i="3" s="1"/>
  <c r="AI22" i="3" a="1"/>
  <c r="AI22" i="3" s="1"/>
  <c r="AC37" i="3" l="1"/>
  <c r="AF23" i="3" a="1"/>
  <c r="AF23" i="3" s="1"/>
  <c r="AF25" i="3" s="1"/>
  <c r="AJ22" i="3" a="1"/>
  <c r="AJ22" i="3" s="1"/>
  <c r="AJ24" i="3" a="1"/>
  <c r="AJ24" i="3" s="1"/>
  <c r="AD37" i="3" l="1"/>
  <c r="AG23" i="3" a="1"/>
  <c r="AG23" i="3" s="1"/>
  <c r="AK22" i="3" a="1"/>
  <c r="AK22" i="3" s="1"/>
  <c r="AK24" i="3" a="1"/>
  <c r="AK24" i="3" s="1"/>
  <c r="AE37" i="3" l="1"/>
  <c r="AG25" i="3"/>
  <c r="AH23" i="3" a="1"/>
  <c r="AH23" i="3" s="1"/>
  <c r="AL24" i="3" a="1"/>
  <c r="AL24" i="3" s="1"/>
  <c r="AL22" i="3" a="1"/>
  <c r="AL22" i="3" s="1"/>
  <c r="AF37" i="3" l="1"/>
  <c r="AH25" i="3"/>
  <c r="AI23" i="3" a="1"/>
  <c r="AI23" i="3" s="1"/>
  <c r="AI25" i="3" s="1"/>
  <c r="AM22" i="3" a="1"/>
  <c r="AM22" i="3" s="1"/>
  <c r="AM24" i="3" a="1"/>
  <c r="AM24" i="3" s="1"/>
  <c r="AN24" i="3" s="1" a="1"/>
  <c r="AN24" i="3" s="1"/>
  <c r="AG37" i="3" l="1"/>
  <c r="AJ23" i="3" a="1"/>
  <c r="AJ23" i="3" s="1"/>
  <c r="AJ25" i="3" s="1"/>
  <c r="AN22" i="3" a="1"/>
  <c r="AN22" i="3" s="1"/>
  <c r="AO22" i="3" s="1" a="1"/>
  <c r="AO22" i="3" s="1"/>
  <c r="AO24" i="3" a="1"/>
  <c r="AO24" i="3" s="1"/>
  <c r="AH37" i="3" l="1"/>
  <c r="AK23" i="3" a="1"/>
  <c r="AK23" i="3" s="1"/>
  <c r="AK25" i="3" s="1"/>
  <c r="AP24" i="3" a="1"/>
  <c r="AP24" i="3" s="1"/>
  <c r="AP22" i="3" a="1"/>
  <c r="AP22" i="3" s="1"/>
  <c r="AQ22" i="3" s="1" a="1"/>
  <c r="AQ22" i="3" s="1"/>
  <c r="AI37" i="3" l="1"/>
  <c r="AL23" i="3" a="1"/>
  <c r="AL23" i="3" s="1"/>
  <c r="AL25" i="3" s="1"/>
  <c r="AR22" i="3" a="1"/>
  <c r="AR22" i="3" s="1"/>
  <c r="AQ24" i="3" a="1"/>
  <c r="AQ24" i="3" s="1"/>
  <c r="AJ37" i="3" l="1"/>
  <c r="AM23" i="3" a="1"/>
  <c r="AM23" i="3" s="1"/>
  <c r="AM25" i="3" s="1"/>
  <c r="AS22" i="3" a="1"/>
  <c r="AS22" i="3" s="1"/>
  <c r="AT22" i="3" s="1" a="1"/>
  <c r="AT22" i="3" s="1"/>
  <c r="AR24" i="3" a="1"/>
  <c r="AR24" i="3" s="1"/>
  <c r="AS24" i="3" s="1" a="1"/>
  <c r="AS24" i="3" s="1"/>
  <c r="AK37" i="3" l="1"/>
  <c r="AN23" i="3" a="1"/>
  <c r="AN23" i="3" s="1"/>
  <c r="AN25" i="3" s="1"/>
  <c r="AT24" i="3" a="1"/>
  <c r="AT24" i="3" s="1"/>
  <c r="AU24" i="3" s="1" a="1"/>
  <c r="AU24" i="3" s="1"/>
  <c r="AU22" i="3" a="1"/>
  <c r="AU22" i="3" s="1"/>
  <c r="AL37" i="3" l="1"/>
  <c r="AO23" i="3" a="1"/>
  <c r="AO23" i="3" s="1"/>
  <c r="AO25" i="3" s="1"/>
  <c r="AV22" i="3" a="1"/>
  <c r="AV22" i="3" s="1"/>
  <c r="AV24" i="3" a="1"/>
  <c r="AV24" i="3" s="1"/>
  <c r="AM37" i="3" l="1"/>
  <c r="AP23" i="3" a="1"/>
  <c r="AP23" i="3" s="1"/>
  <c r="AP25" i="3" s="1"/>
  <c r="AW24" i="3" a="1"/>
  <c r="AW24" i="3" s="1"/>
  <c r="AW22" i="3" a="1"/>
  <c r="AW22" i="3" s="1"/>
  <c r="AN37" i="3" l="1"/>
  <c r="AQ23" i="3" a="1"/>
  <c r="AQ23" i="3" s="1"/>
  <c r="AQ25" i="3" s="1"/>
  <c r="AX22" i="3" a="1"/>
  <c r="AX22" i="3" s="1"/>
  <c r="AX24" i="3" a="1"/>
  <c r="AX24" i="3" s="1"/>
  <c r="AO37" i="3" l="1"/>
  <c r="AR23" i="3" a="1"/>
  <c r="AR23" i="3" s="1"/>
  <c r="AR25" i="3" s="1"/>
  <c r="AY22" i="3" a="1"/>
  <c r="AY22" i="3" s="1"/>
  <c r="AY24" i="3" a="1"/>
  <c r="AY24" i="3" s="1"/>
  <c r="AP37" i="3" l="1"/>
  <c r="AS23" i="3" a="1"/>
  <c r="AS23" i="3" s="1"/>
  <c r="AS25" i="3" s="1"/>
  <c r="AZ22" i="3" a="1"/>
  <c r="AZ22" i="3" s="1"/>
  <c r="AZ24" i="3" a="1"/>
  <c r="AZ24" i="3" s="1"/>
  <c r="AQ37" i="3" l="1"/>
  <c r="AR37" i="3"/>
  <c r="AT23" i="3" a="1"/>
  <c r="AT23" i="3" s="1"/>
  <c r="AT25" i="3" s="1"/>
  <c r="BA24" i="3" a="1"/>
  <c r="BA24" i="3" s="1"/>
  <c r="BA22" i="3" a="1"/>
  <c r="BA22" i="3" s="1"/>
  <c r="AU23" i="3" l="1" a="1"/>
  <c r="AU23" i="3" s="1"/>
  <c r="AU25" i="3" s="1"/>
  <c r="BB22" i="3" a="1"/>
  <c r="BB22" i="3" s="1"/>
  <c r="BC22" i="3" s="1" a="1"/>
  <c r="BC22" i="3" s="1"/>
  <c r="BB24" i="3" a="1"/>
  <c r="BB24" i="3" s="1"/>
  <c r="AV23" i="3" l="1" a="1"/>
  <c r="AV23" i="3" s="1"/>
  <c r="AV25" i="3" s="1"/>
  <c r="BD22" i="3" a="1"/>
  <c r="BD22" i="3" s="1"/>
  <c r="BC24" i="3" a="1"/>
  <c r="BC24" i="3" s="1"/>
  <c r="BD24" i="3" s="1" a="1"/>
  <c r="BD24" i="3" s="1"/>
  <c r="AW23" i="3" l="1" a="1"/>
  <c r="AW23" i="3" s="1"/>
  <c r="AW25" i="3" s="1"/>
  <c r="AX23" i="3" l="1" a="1"/>
  <c r="AX23" i="3" s="1"/>
  <c r="AX25" i="3" s="1"/>
  <c r="AY23" i="3" l="1" a="1"/>
  <c r="AY23" i="3" s="1"/>
  <c r="AY25" i="3" s="1"/>
  <c r="AZ23" i="3" l="1" a="1"/>
  <c r="AZ23" i="3" s="1"/>
  <c r="AZ25" i="3" s="1"/>
  <c r="BA23" i="3" l="1" a="1"/>
  <c r="BA23" i="3" s="1"/>
  <c r="BA25" i="3" s="1"/>
  <c r="BB23" i="3" l="1" a="1"/>
  <c r="BB23" i="3" s="1"/>
  <c r="BB25" i="3" s="1"/>
  <c r="BC23" i="3" l="1" a="1"/>
  <c r="BC23" i="3" s="1"/>
  <c r="BC25" i="3" s="1"/>
  <c r="BD23" i="3" l="1" a="1"/>
  <c r="BD23" i="3" s="1"/>
  <c r="BD2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<sst xmlns="http://schemas.openxmlformats.org/spreadsheetml/2006/main" count="1227" uniqueCount="400">
  <si>
    <t>省（区、市）</t>
  </si>
  <si>
    <t>累计装机容量（万千瓦）</t>
  </si>
  <si>
    <t>新增装机容量（万千瓦）</t>
  </si>
  <si>
    <t>其中：光伏电站</t>
  </si>
  <si>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</si>
  <si>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</si>
  <si>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</si>
  <si>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</si>
  <si>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</si>
  <si>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</si>
  <si>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</si>
  <si>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</si>
  <si>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</si>
  <si>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</si>
  <si>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</si>
  <si>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</si>
  <si>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</si>
  <si>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</si>
  <si>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</si>
  <si>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</si>
  <si>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</si>
  <si>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</si>
  <si>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</si>
  <si>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</si>
  <si>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</si>
  <si>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</si>
  <si>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</si>
  <si>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</si>
  <si>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</si>
  <si>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</si>
  <si>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</si>
  <si>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</si>
  <si>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</si>
  <si>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</si>
  <si>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</si>
  <si>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新疆自治区</t>
  </si>
  <si>
    <t>新疆兵团</t>
  </si>
  <si>
    <t>分布式</t>
    <phoneticPr fontId="7" type="noConversion"/>
  </si>
  <si>
    <t>光伏电站</t>
    <phoneticPr fontId="7" type="noConversion"/>
  </si>
  <si>
    <t>分布式光伏</t>
    <phoneticPr fontId="7" type="noConversion"/>
  </si>
  <si>
    <r>
      <rPr>
        <sz val="6"/>
        <rFont val="Microsoft YaHei"/>
        <family val="2"/>
        <charset val="134"/>
      </rPr>
      <t>省（区、市）</t>
    </r>
  </si>
  <si>
    <r>
      <rPr>
        <sz val="6"/>
        <rFont val="Times New Roman"/>
        <family val="1"/>
      </rPr>
      <t>2021</t>
    </r>
    <r>
      <rPr>
        <sz val="6"/>
        <rFont val="Microsoft YaHei"/>
        <family val="2"/>
        <charset val="134"/>
      </rPr>
      <t>年新增并网容量</t>
    </r>
  </si>
  <si>
    <r>
      <rPr>
        <sz val="6"/>
        <rFont val="Microsoft YaHei"/>
        <family val="2"/>
        <charset val="134"/>
      </rPr>
      <t>截至</t>
    </r>
    <r>
      <rPr>
        <sz val="6"/>
        <rFont val="Times New Roman"/>
        <family val="1"/>
      </rPr>
      <t>2021</t>
    </r>
    <r>
      <rPr>
        <sz val="6"/>
        <rFont val="Microsoft YaHei"/>
        <family val="2"/>
        <charset val="134"/>
      </rPr>
      <t>年底累计并网容置</t>
    </r>
  </si>
  <si>
    <r>
      <rPr>
        <sz val="6"/>
        <rFont val="Microsoft YaHei"/>
        <family val="2"/>
        <charset val="134"/>
      </rPr>
      <t>其中：集中 式光伏电站</t>
    </r>
  </si>
  <si>
    <r>
      <rPr>
        <sz val="6"/>
        <rFont val="Microsoft YaHei"/>
        <family val="2"/>
        <charset val="134"/>
      </rPr>
      <t>其中：分 布式光伏</t>
    </r>
  </si>
  <si>
    <r>
      <rPr>
        <sz val="6"/>
        <rFont val="Microsoft YaHei"/>
        <family val="2"/>
        <charset val="134"/>
      </rPr>
      <t>其中:分布式 光伏</t>
    </r>
  </si>
  <si>
    <r>
      <rPr>
        <sz val="6"/>
        <rFont val="Microsoft YaHei"/>
        <family val="2"/>
        <charset val="134"/>
      </rPr>
      <t>总计</t>
    </r>
  </si>
  <si>
    <r>
      <rPr>
        <sz val="6"/>
        <rFont val="Microsoft YaHei"/>
        <family val="2"/>
        <charset val="134"/>
      </rPr>
      <t>北京</t>
    </r>
  </si>
  <si>
    <r>
      <rPr>
        <sz val="6"/>
        <rFont val="Microsoft YaHei"/>
        <family val="2"/>
        <charset val="134"/>
      </rPr>
      <t>天津</t>
    </r>
  </si>
  <si>
    <r>
      <rPr>
        <sz val="6"/>
        <rFont val="Microsoft YaHei"/>
        <family val="2"/>
        <charset val="134"/>
      </rPr>
      <t>河北</t>
    </r>
  </si>
  <si>
    <r>
      <rPr>
        <sz val="6"/>
        <rFont val="Microsoft YaHei"/>
        <family val="2"/>
        <charset val="134"/>
      </rPr>
      <t>山西</t>
    </r>
  </si>
  <si>
    <r>
      <rPr>
        <sz val="6"/>
        <rFont val="Microsoft YaHei"/>
        <family val="2"/>
        <charset val="134"/>
      </rPr>
      <t>山东</t>
    </r>
  </si>
  <si>
    <r>
      <rPr>
        <sz val="6"/>
        <rFont val="Microsoft YaHei"/>
        <family val="2"/>
        <charset val="134"/>
      </rPr>
      <t>内蒙古</t>
    </r>
  </si>
  <si>
    <r>
      <rPr>
        <sz val="6"/>
        <rFont val="Microsoft YaHei"/>
        <family val="2"/>
        <charset val="134"/>
      </rPr>
      <t>辽宁</t>
    </r>
  </si>
  <si>
    <r>
      <rPr>
        <sz val="6"/>
        <rFont val="Microsoft YaHei"/>
        <family val="2"/>
        <charset val="134"/>
      </rPr>
      <t>吉林</t>
    </r>
  </si>
  <si>
    <r>
      <rPr>
        <sz val="6"/>
        <rFont val="Microsoft YaHei"/>
        <family val="2"/>
        <charset val="134"/>
      </rPr>
      <t>黑龙江</t>
    </r>
  </si>
  <si>
    <r>
      <rPr>
        <sz val="6"/>
        <rFont val="Microsoft YaHei"/>
        <family val="2"/>
        <charset val="134"/>
      </rPr>
      <t>上海</t>
    </r>
  </si>
  <si>
    <r>
      <rPr>
        <sz val="6"/>
        <rFont val="Microsoft YaHei"/>
        <family val="2"/>
        <charset val="134"/>
      </rPr>
      <t>江苏</t>
    </r>
  </si>
  <si>
    <r>
      <rPr>
        <sz val="6"/>
        <rFont val="Microsoft YaHei"/>
        <family val="2"/>
        <charset val="134"/>
      </rPr>
      <t>浙江</t>
    </r>
  </si>
  <si>
    <r>
      <rPr>
        <sz val="6"/>
        <rFont val="Microsoft YaHei"/>
        <family val="2"/>
        <charset val="134"/>
      </rPr>
      <t>安徽</t>
    </r>
  </si>
  <si>
    <r>
      <rPr>
        <sz val="6"/>
        <rFont val="Microsoft YaHei"/>
        <family val="2"/>
        <charset val="134"/>
      </rPr>
      <t>福建</t>
    </r>
  </si>
  <si>
    <r>
      <rPr>
        <sz val="6"/>
        <rFont val="Microsoft YaHei"/>
        <family val="2"/>
        <charset val="134"/>
      </rPr>
      <t>江西</t>
    </r>
  </si>
  <si>
    <r>
      <rPr>
        <sz val="6"/>
        <rFont val="Microsoft YaHei"/>
        <family val="2"/>
        <charset val="134"/>
      </rPr>
      <t>河南</t>
    </r>
  </si>
  <si>
    <r>
      <rPr>
        <sz val="6"/>
        <rFont val="Microsoft YaHei"/>
        <family val="2"/>
        <charset val="134"/>
      </rPr>
      <t>湖北</t>
    </r>
  </si>
  <si>
    <r>
      <rPr>
        <sz val="6"/>
        <rFont val="Microsoft YaHei"/>
        <family val="2"/>
        <charset val="134"/>
      </rPr>
      <t>湖南</t>
    </r>
  </si>
  <si>
    <r>
      <rPr>
        <sz val="6"/>
        <rFont val="Microsoft YaHei"/>
        <family val="2"/>
        <charset val="134"/>
      </rPr>
      <t>重庆</t>
    </r>
  </si>
  <si>
    <r>
      <rPr>
        <sz val="6"/>
        <rFont val="Microsoft YaHei"/>
        <family val="2"/>
        <charset val="134"/>
      </rPr>
      <t>四川</t>
    </r>
  </si>
  <si>
    <r>
      <rPr>
        <sz val="6"/>
        <rFont val="Microsoft YaHei"/>
        <family val="2"/>
        <charset val="134"/>
      </rPr>
      <t>陕西</t>
    </r>
  </si>
  <si>
    <r>
      <rPr>
        <sz val="6"/>
        <rFont val="Microsoft YaHei"/>
        <family val="2"/>
        <charset val="134"/>
      </rPr>
      <t>甘肃</t>
    </r>
  </si>
  <si>
    <r>
      <rPr>
        <sz val="6"/>
        <rFont val="Microsoft YaHei"/>
        <family val="2"/>
        <charset val="134"/>
      </rPr>
      <t>青海</t>
    </r>
  </si>
  <si>
    <r>
      <rPr>
        <sz val="6"/>
        <rFont val="Microsoft YaHei"/>
        <family val="2"/>
        <charset val="134"/>
      </rPr>
      <t>宁夏</t>
    </r>
  </si>
  <si>
    <r>
      <rPr>
        <sz val="6"/>
        <rFont val="Microsoft YaHei"/>
        <family val="2"/>
        <charset val="134"/>
      </rPr>
      <t>新疆</t>
    </r>
  </si>
  <si>
    <r>
      <rPr>
        <sz val="6"/>
        <rFont val="Microsoft YaHei"/>
        <family val="2"/>
        <charset val="134"/>
      </rPr>
      <t>新疆兵团</t>
    </r>
  </si>
  <si>
    <r>
      <rPr>
        <sz val="6"/>
        <rFont val="Microsoft YaHei"/>
        <family val="2"/>
        <charset val="134"/>
      </rPr>
      <t>西藏</t>
    </r>
  </si>
  <si>
    <r>
      <rPr>
        <sz val="6"/>
        <rFont val="Microsoft YaHei"/>
        <family val="2"/>
        <charset val="134"/>
      </rPr>
      <t>广东</t>
    </r>
  </si>
  <si>
    <r>
      <rPr>
        <sz val="6"/>
        <rFont val="Microsoft YaHei"/>
        <family val="2"/>
        <charset val="134"/>
      </rPr>
      <t>广西</t>
    </r>
  </si>
  <si>
    <r>
      <rPr>
        <sz val="6"/>
        <rFont val="Microsoft YaHei"/>
        <family val="2"/>
        <charset val="134"/>
      </rPr>
      <t>海南</t>
    </r>
  </si>
  <si>
    <r>
      <rPr>
        <sz val="6"/>
        <rFont val="Microsoft YaHei"/>
        <family val="2"/>
        <charset val="134"/>
      </rPr>
      <t>贵州</t>
    </r>
  </si>
  <si>
    <r>
      <rPr>
        <sz val="6"/>
        <rFont val="Microsoft YaHei"/>
        <family val="2"/>
        <charset val="134"/>
      </rPr>
      <t>云南</t>
    </r>
  </si>
  <si>
    <t>2020H1</t>
    <phoneticPr fontId="7" type="noConversion"/>
  </si>
  <si>
    <t>全国</t>
    <phoneticPr fontId="7" type="noConversion"/>
  </si>
  <si>
    <t>北京市</t>
    <phoneticPr fontId="7" type="noConversion"/>
  </si>
  <si>
    <t>天津市</t>
    <phoneticPr fontId="7" type="noConversion"/>
  </si>
  <si>
    <t>河北省</t>
    <phoneticPr fontId="7" type="noConversion"/>
  </si>
  <si>
    <t>山西省</t>
    <phoneticPr fontId="7" type="noConversion"/>
  </si>
  <si>
    <t>内蒙古自治区</t>
    <phoneticPr fontId="7" type="noConversion"/>
  </si>
  <si>
    <t>辽宁省</t>
    <phoneticPr fontId="7" type="noConversion"/>
  </si>
  <si>
    <t>吉林省</t>
    <phoneticPr fontId="7" type="noConversion"/>
  </si>
  <si>
    <t>黑龙江省</t>
    <phoneticPr fontId="7" type="noConversion"/>
  </si>
  <si>
    <t>上海市</t>
    <phoneticPr fontId="7" type="noConversion"/>
  </si>
  <si>
    <t>江苏省</t>
    <phoneticPr fontId="7" type="noConversion"/>
  </si>
  <si>
    <t>浙江省</t>
    <phoneticPr fontId="7" type="noConversion"/>
  </si>
  <si>
    <t>安徽省</t>
    <phoneticPr fontId="7" type="noConversion"/>
  </si>
  <si>
    <t>福建省</t>
    <phoneticPr fontId="7" type="noConversion"/>
  </si>
  <si>
    <t>江西省</t>
    <phoneticPr fontId="7" type="noConversion"/>
  </si>
  <si>
    <t>山东省</t>
    <phoneticPr fontId="7" type="noConversion"/>
  </si>
  <si>
    <t>河南省</t>
    <phoneticPr fontId="7" type="noConversion"/>
  </si>
  <si>
    <t>湖北省</t>
    <phoneticPr fontId="7" type="noConversion"/>
  </si>
  <si>
    <t>湖南省</t>
    <phoneticPr fontId="7" type="noConversion"/>
  </si>
  <si>
    <t>广东省</t>
    <phoneticPr fontId="7" type="noConversion"/>
  </si>
  <si>
    <t>广西壮族自治区</t>
    <phoneticPr fontId="7" type="noConversion"/>
  </si>
  <si>
    <t>海南省</t>
    <phoneticPr fontId="7" type="noConversion"/>
  </si>
  <si>
    <t>重庆市</t>
    <phoneticPr fontId="7" type="noConversion"/>
  </si>
  <si>
    <t>四川省</t>
    <phoneticPr fontId="7" type="noConversion"/>
  </si>
  <si>
    <t>贵州省</t>
    <phoneticPr fontId="7" type="noConversion"/>
  </si>
  <si>
    <t>云南省</t>
    <phoneticPr fontId="7" type="noConversion"/>
  </si>
  <si>
    <t>西藏自治区</t>
    <phoneticPr fontId="7" type="noConversion"/>
  </si>
  <si>
    <t>甘肃省</t>
    <phoneticPr fontId="7" type="noConversion"/>
  </si>
  <si>
    <t>青海省</t>
    <phoneticPr fontId="7" type="noConversion"/>
  </si>
  <si>
    <t>宁夏回族自治区</t>
    <phoneticPr fontId="7" type="noConversion"/>
  </si>
  <si>
    <t>新疆维吾尔自治区</t>
    <phoneticPr fontId="7" type="noConversion"/>
  </si>
  <si>
    <t>新疆建设兵团</t>
    <phoneticPr fontId="7" type="noConversion"/>
  </si>
  <si>
    <t>其中：河北南网</t>
  </si>
  <si>
    <t>冀北电网</t>
  </si>
  <si>
    <t>其中：蒙西</t>
  </si>
  <si>
    <t>蒙东</t>
  </si>
  <si>
    <t>新疆自治区（含兵团）</t>
  </si>
  <si>
    <r>
      <rPr>
        <sz val="14"/>
        <color rgb="FF3B3B3B"/>
        <rFont val="微软雅黑"/>
        <family val="2"/>
        <charset val="134"/>
      </rPr>
      <t>根据中国光伏行业协会数据显示，</t>
    </r>
    <r>
      <rPr>
        <sz val="14"/>
        <color rgb="FF3B3B3B"/>
        <rFont val="Segoe UI"/>
        <family val="2"/>
      </rPr>
      <t>2020</t>
    </r>
    <r>
      <rPr>
        <sz val="14"/>
        <color rgb="FF3B3B3B"/>
        <rFont val="微软雅黑"/>
        <family val="2"/>
        <charset val="134"/>
      </rPr>
      <t>年全国户用光伏的装机规模累计达到</t>
    </r>
    <r>
      <rPr>
        <sz val="14"/>
        <color rgb="FF3B3B3B"/>
        <rFont val="Segoe UI"/>
        <family val="2"/>
      </rPr>
      <t>20GW</t>
    </r>
    <r>
      <rPr>
        <sz val="14"/>
        <color rgb="FF3B3B3B"/>
        <rFont val="微软雅黑"/>
        <family val="2"/>
        <charset val="134"/>
      </rPr>
      <t>，新增装机规模高达</t>
    </r>
    <r>
      <rPr>
        <sz val="14"/>
        <color rgb="FF3B3B3B"/>
        <rFont val="Segoe UI"/>
        <family val="2"/>
      </rPr>
      <t>10.1GW</t>
    </r>
    <r>
      <rPr>
        <sz val="14"/>
        <color rgb="FF3B3B3B"/>
        <rFont val="微软雅黑"/>
        <family val="2"/>
        <charset val="134"/>
      </rPr>
      <t>。</t>
    </r>
    <phoneticPr fontId="7" type="noConversion"/>
  </si>
  <si>
    <r>
      <t>截至今年4月底，山东省</t>
    </r>
    <r>
      <rPr>
        <sz val="12"/>
        <color rgb="FF1780C4"/>
        <rFont val="微软雅黑"/>
        <family val="2"/>
        <charset val="134"/>
      </rPr>
      <t>分布式光伏</t>
    </r>
    <r>
      <rPr>
        <sz val="12"/>
        <color rgb="FF333333"/>
        <rFont val="微软雅黑"/>
        <family val="2"/>
        <charset val="134"/>
      </rPr>
      <t>发电总</t>
    </r>
    <r>
      <rPr>
        <sz val="12"/>
        <color rgb="FF1780C4"/>
        <rFont val="微软雅黑"/>
        <family val="2"/>
        <charset val="134"/>
      </rPr>
      <t>装机</t>
    </r>
    <r>
      <rPr>
        <sz val="12"/>
        <color rgb="FF333333"/>
        <rFont val="微软雅黑"/>
        <family val="2"/>
        <charset val="134"/>
      </rPr>
      <t>1589万千瓦，位居全国第一。其中，</t>
    </r>
    <r>
      <rPr>
        <sz val="12"/>
        <color rgb="FF1780C4"/>
        <rFont val="微软雅黑"/>
        <family val="2"/>
        <charset val="134"/>
      </rPr>
      <t>工商业</t>
    </r>
    <r>
      <rPr>
        <sz val="12"/>
        <color rgb="FF333333"/>
        <rFont val="微软雅黑"/>
        <family val="2"/>
        <charset val="134"/>
      </rPr>
      <t>分布式装机678万千瓦，占分布式总装机42.7%;户用光伏装机911万千瓦，达到51.3万户，占分布式总装机57.3%。</t>
    </r>
    <phoneticPr fontId="7" type="noConversion"/>
  </si>
  <si>
    <t>2020年山东省分布式装机容量1467万千瓦，2019年装机容量942万千瓦</t>
    <phoneticPr fontId="7" type="noConversion"/>
  </si>
  <si>
    <t>电力工业统计资料汇编2020</t>
    <phoneticPr fontId="7" type="noConversion"/>
  </si>
  <si>
    <t>2020年山东省太阳能发电装机容量2272万千瓦，2019年装机容量1619万千瓦</t>
    <phoneticPr fontId="7" type="noConversion"/>
  </si>
  <si>
    <t>2020年山东省6000千瓦以上太阳能电厂装机容量905万千瓦，2019年装机容量751万千瓦</t>
    <phoneticPr fontId="7" type="noConversion"/>
  </si>
  <si>
    <t>光伏合计</t>
    <phoneticPr fontId="7" type="noConversion"/>
  </si>
  <si>
    <t>光伏分布式</t>
    <phoneticPr fontId="7" type="noConversion"/>
  </si>
  <si>
    <t>6000千瓦以上装机</t>
    <phoneticPr fontId="7" type="noConversion"/>
  </si>
  <si>
    <t>2021年4月底</t>
    <phoneticPr fontId="7" type="noConversion"/>
  </si>
  <si>
    <t>户用</t>
    <phoneticPr fontId="7" type="noConversion"/>
  </si>
  <si>
    <t>工商</t>
    <phoneticPr fontId="7" type="noConversion"/>
  </si>
  <si>
    <t>分布式合计</t>
    <phoneticPr fontId="7" type="noConversion"/>
  </si>
  <si>
    <t>2021年前四月新增</t>
    <phoneticPr fontId="7" type="noConversion"/>
  </si>
  <si>
    <t>2021年新增</t>
    <phoneticPr fontId="7" type="noConversion"/>
  </si>
  <si>
    <t>2020年新增</t>
    <phoneticPr fontId="7" type="noConversion"/>
  </si>
  <si>
    <t>2019新增</t>
    <phoneticPr fontId="7" type="noConversion"/>
  </si>
  <si>
    <t>工商业</t>
    <phoneticPr fontId="7" type="noConversion"/>
  </si>
  <si>
    <t>户用光伏</t>
    <phoneticPr fontId="7" type="noConversion"/>
  </si>
  <si>
    <t>集中</t>
    <phoneticPr fontId="7" type="noConversion"/>
  </si>
  <si>
    <t>十四五期间农村分布式新增1000，城镇分布式新增500</t>
    <phoneticPr fontId="7" type="noConversion"/>
  </si>
  <si>
    <t>城市人口</t>
    <phoneticPr fontId="7" type="noConversion"/>
  </si>
  <si>
    <t>乡村人口</t>
    <phoneticPr fontId="7" type="noConversion"/>
  </si>
  <si>
    <t>年份</t>
    <phoneticPr fontId="7" type="noConversion"/>
  </si>
  <si>
    <t>城镇化率</t>
    <phoneticPr fontId="7" type="noConversion"/>
  </si>
  <si>
    <t>单户光伏</t>
    <phoneticPr fontId="7" type="noConversion"/>
  </si>
  <si>
    <t>乡村户人口</t>
    <phoneticPr fontId="7" type="noConversion"/>
  </si>
  <si>
    <t>城镇户人口</t>
    <phoneticPr fontId="7" type="noConversion"/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</si>
  <si>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</si>
  <si>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</si>
  <si>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</si>
  <si>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</si>
  <si>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</si>
  <si>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</si>
  <si>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</si>
  <si>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</si>
  <si>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</si>
  <si>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</si>
  <si>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</si>
  <si>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</si>
  <si>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</si>
  <si>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</si>
  <si>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</si>
  <si>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</si>
  <si>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</si>
  <si>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城镇户数</t>
    <phoneticPr fontId="7" type="noConversion"/>
  </si>
  <si>
    <t>乡村户数</t>
    <phoneticPr fontId="7" type="noConversion"/>
  </si>
  <si>
    <t>山东人口(万人）</t>
    <phoneticPr fontId="7" type="noConversion"/>
  </si>
  <si>
    <t>万户</t>
    <phoneticPr fontId="7" type="noConversion"/>
  </si>
  <si>
    <t>乡村户覆盖率</t>
    <phoneticPr fontId="7" type="noConversion"/>
  </si>
  <si>
    <t>城镇户覆盖率</t>
    <phoneticPr fontId="7" type="noConversion"/>
  </si>
  <si>
    <t>城镇光伏</t>
    <phoneticPr fontId="7" type="noConversion"/>
  </si>
  <si>
    <t>乡村光伏</t>
    <phoneticPr fontId="7" type="noConversion"/>
  </si>
  <si>
    <t>MW</t>
    <phoneticPr fontId="7" type="noConversion"/>
  </si>
  <si>
    <t>省，自治区，直辖市，特别行政区</t>
  </si>
  <si>
    <t>一级行政区划</t>
  </si>
  <si>
    <t>地级市，地区，自治州，盟</t>
  </si>
  <si>
    <t>二级行政区划</t>
  </si>
  <si>
    <t>历下区</t>
  </si>
  <si>
    <t>市辖区、县级市、县、自治县、旗、自治旗、特区、林区</t>
  </si>
  <si>
    <t>三级行政区划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</si>
  <si>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</si>
  <si>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</si>
  <si>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</si>
  <si>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</si>
  <si>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</si>
  <si>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</si>
  <si>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</si>
  <si>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</si>
  <si>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</si>
  <si>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</si>
  <si>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</si>
  <si>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</si>
  <si>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</si>
  <si>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</si>
  <si>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</si>
  <si>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</si>
  <si>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</si>
  <si>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</si>
  <si>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</si>
  <si>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</si>
  <si>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</si>
  <si>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</si>
  <si>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</si>
  <si>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</si>
  <si>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</si>
  <si>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</si>
  <si>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</si>
  <si>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</si>
  <si>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</si>
  <si>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</si>
  <si>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</si>
  <si>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</si>
  <si>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</si>
  <si>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</si>
  <si>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</si>
  <si>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</si>
  <si>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</si>
  <si>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</si>
  <si>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</si>
  <si>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</si>
  <si>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</si>
  <si>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</si>
  <si>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</si>
  <si>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蓬莱区</t>
  </si>
  <si>
    <t>龙口市</t>
  </si>
  <si>
    <t>莱阳市</t>
  </si>
  <si>
    <t>莱州市</t>
  </si>
  <si>
    <t>招远市</t>
  </si>
  <si>
    <t>栖霞市</t>
  </si>
  <si>
    <t>海阳市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</si>
  <si>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</si>
  <si>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</si>
  <si>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</si>
  <si>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</si>
  <si>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</si>
  <si>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</si>
  <si>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</si>
  <si>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</si>
  <si>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</si>
  <si>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</si>
  <si>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</si>
  <si>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</si>
  <si>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</si>
  <si>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</si>
  <si>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</si>
  <si>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</si>
  <si>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</si>
  <si>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</si>
  <si>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</si>
  <si>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</si>
  <si>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</si>
  <si>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</si>
  <si>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</si>
  <si>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</si>
  <si>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</si>
  <si>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</si>
  <si>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</si>
  <si>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</si>
  <si>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</si>
  <si>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</si>
  <si>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</si>
  <si>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</si>
  <si>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</si>
  <si>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东港区</t>
  </si>
  <si>
    <t>岚山区</t>
  </si>
  <si>
    <t>五莲县</t>
  </si>
  <si>
    <t>莒县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</si>
  <si>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</si>
  <si>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</si>
  <si>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</si>
  <si>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</si>
  <si>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</si>
  <si>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</si>
  <si>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</si>
  <si>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</si>
  <si>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</si>
  <si>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</si>
  <si>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</si>
  <si>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</si>
  <si>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</si>
  <si>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</si>
  <si>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</si>
  <si>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</si>
  <si>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</si>
  <si>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</si>
  <si>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</si>
  <si>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</si>
  <si>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</si>
  <si>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</si>
  <si>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</si>
  <si>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</si>
  <si>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</si>
  <si>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</si>
  <si>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</si>
  <si>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</si>
  <si>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</si>
  <si>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</si>
  <si>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</si>
  <si>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</si>
  <si>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</si>
  <si>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</si>
  <si>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</si>
  <si>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</si>
  <si>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</si>
  <si>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</si>
  <si>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</si>
  <si>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</si>
  <si>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</si>
  <si>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</si>
  <si>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</si>
  <si>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</si>
  <si>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</si>
  <si>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</si>
  <si>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</si>
  <si>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济南高新技术产业开发区</t>
    <phoneticPr fontId="7" type="noConversion"/>
  </si>
  <si>
    <t>潍坊高新技术产业开发区</t>
    <phoneticPr fontId="7" type="noConversion"/>
  </si>
  <si>
    <t>潍坊峡山生态经济开发区</t>
    <phoneticPr fontId="7" type="noConversion"/>
  </si>
  <si>
    <t>滨州北海经济开发区</t>
    <phoneticPr fontId="7" type="noConversion"/>
  </si>
  <si>
    <t>聊城经济技术开发区</t>
    <phoneticPr fontId="7" type="noConversion"/>
  </si>
  <si>
    <t>临沂高新技术产业开发区</t>
    <phoneticPr fontId="7" type="noConversion"/>
  </si>
  <si>
    <t>菏泽经济技术开发区</t>
    <phoneticPr fontId="7" type="noConversion"/>
  </si>
  <si>
    <t>Data Sources:</t>
    <phoneticPr fontId="7" type="noConversion"/>
  </si>
  <si>
    <t>总计</t>
    <phoneticPr fontId="7" type="noConversion"/>
  </si>
  <si>
    <t>城镇分布式</t>
    <phoneticPr fontId="7" type="noConversion"/>
  </si>
  <si>
    <t>乡村分布式</t>
    <phoneticPr fontId="7" type="noConversion"/>
  </si>
  <si>
    <t>十四五期间农村分布式新增10000，城镇分布式新增5000</t>
    <phoneticPr fontId="7" type="noConversion"/>
  </si>
  <si>
    <t>2025总计</t>
    <phoneticPr fontId="7" type="noConversion"/>
  </si>
  <si>
    <t>逐年分布</t>
    <phoneticPr fontId="7" type="noConversion"/>
  </si>
  <si>
    <t>其中：城镇</t>
    <phoneticPr fontId="7" type="noConversion"/>
  </si>
  <si>
    <t>乡村</t>
    <phoneticPr fontId="7" type="noConversion"/>
  </si>
  <si>
    <t>整县屋顶分布式则是统筹推进整县分布式光伏集中化、规模化开发建设，充分利用党政机关建筑、公共建筑、工商业厂房和农村居民屋顶资源，到“十四五”末，全省整县分布式光伏规模化开发容量达20GW以上。</t>
    <phoneticPr fontId="7" type="noConversion"/>
  </si>
  <si>
    <t>整县推进光伏测算</t>
    <phoneticPr fontId="7" type="noConversion"/>
  </si>
  <si>
    <t>海上光伏基地</t>
    <phoneticPr fontId="7" type="noConversion"/>
  </si>
  <si>
    <t>2022年并网1500MW，总计4200MW</t>
    <phoneticPr fontId="7" type="noConversion"/>
  </si>
  <si>
    <t>鲁西南采煤沉陷区</t>
    <phoneticPr fontId="7" type="noConversion"/>
  </si>
  <si>
    <t>鲁北盐碱滩土地风光储输一体化集体</t>
    <phoneticPr fontId="7" type="noConversion"/>
  </si>
  <si>
    <t>2022年总并网3000MW左右，其中光伏2023年一期工程建成2000MW。规划到2025年开工15000MW、建成10000MW风电光伏总计规模40000MW风光储</t>
    <phoneticPr fontId="7" type="noConversion"/>
  </si>
  <si>
    <t>2022年装机1500MW，从规划5000MW以上，鲁西南采煤沉陷区光伏发电项目规划到2025年建成3000MW左右光伏。</t>
    <phoneticPr fontId="7" type="noConversion"/>
  </si>
  <si>
    <t>municipal solid waste</t>
  </si>
  <si>
    <t>heavy or residual fuel oil</t>
  </si>
  <si>
    <t>crude oil</t>
  </si>
  <si>
    <t>offshore wind</t>
  </si>
  <si>
    <t>lignite</t>
  </si>
  <si>
    <t>natural gas peaker</t>
  </si>
  <si>
    <t>petroleum</t>
  </si>
  <si>
    <t>geothermal</t>
  </si>
  <si>
    <t>biomass</t>
  </si>
  <si>
    <t>solar thermal</t>
  </si>
  <si>
    <t>solar PV</t>
  </si>
  <si>
    <t>onshore wind</t>
  </si>
  <si>
    <t>hydro</t>
  </si>
  <si>
    <t>nuclear</t>
  </si>
  <si>
    <t>natural gas nonpeaker</t>
  </si>
  <si>
    <t>hard coal</t>
  </si>
  <si>
    <t>commercial</t>
  </si>
  <si>
    <t>rural residential</t>
  </si>
  <si>
    <t>urban residential</t>
  </si>
  <si>
    <t>MW</t>
  </si>
  <si>
    <t>MW*hour</t>
  </si>
  <si>
    <t>山东省可再生能源是四五五发展规划</t>
    <phoneticPr fontId="7" type="noConversion"/>
  </si>
  <si>
    <t>十四五末期，山东省风电装机规模25000MW，光伏装机57000MW</t>
    <phoneticPr fontId="7" type="noConversion"/>
  </si>
  <si>
    <r>
      <rPr>
        <sz val="10"/>
        <rFont val="宋体"/>
        <family val="3"/>
        <charset val="134"/>
      </rPr>
      <t>地区</t>
    </r>
  </si>
  <si>
    <r>
      <rPr>
        <sz val="10"/>
        <rFont val="宋体"/>
        <family val="3"/>
        <charset val="134"/>
      </rPr>
      <t>装机容量（万千瓦）</t>
    </r>
    <phoneticPr fontId="24" type="noConversion"/>
  </si>
  <si>
    <r>
      <rPr>
        <sz val="10"/>
        <rFont val="宋体"/>
        <family val="3"/>
        <charset val="134"/>
      </rPr>
      <t>发电量（亿千瓦时）</t>
    </r>
    <phoneticPr fontId="24" type="noConversion"/>
  </si>
  <si>
    <r>
      <t>2018</t>
    </r>
    <r>
      <rPr>
        <sz val="10"/>
        <rFont val="宋体"/>
        <family val="3"/>
        <charset val="134"/>
      </rPr>
      <t>年</t>
    </r>
    <phoneticPr fontId="24" type="noConversion"/>
  </si>
  <si>
    <r>
      <t>2017</t>
    </r>
    <r>
      <rPr>
        <sz val="10"/>
        <rFont val="宋体"/>
        <family val="3"/>
        <charset val="134"/>
      </rPr>
      <t>年</t>
    </r>
    <phoneticPr fontId="24" type="noConversion"/>
  </si>
  <si>
    <r>
      <rPr>
        <sz val="10"/>
        <rFont val="宋体"/>
        <family val="3"/>
        <charset val="134"/>
      </rPr>
      <t>全国</t>
    </r>
    <phoneticPr fontId="24" type="noConversion"/>
  </si>
  <si>
    <r>
      <rPr>
        <sz val="10"/>
        <rFont val="宋体"/>
        <family val="3"/>
        <charset val="134"/>
      </rPr>
      <t>北京</t>
    </r>
    <phoneticPr fontId="24" type="noConversion"/>
  </si>
  <si>
    <r>
      <rPr>
        <sz val="10"/>
        <rFont val="宋体"/>
        <family val="3"/>
        <charset val="134"/>
      </rPr>
      <t>天津</t>
    </r>
    <phoneticPr fontId="24" type="noConversion"/>
  </si>
  <si>
    <r>
      <rPr>
        <sz val="10"/>
        <rFont val="宋体"/>
        <family val="3"/>
        <charset val="134"/>
      </rPr>
      <t>河北</t>
    </r>
    <phoneticPr fontId="24" type="noConversion"/>
  </si>
  <si>
    <r>
      <rPr>
        <sz val="10"/>
        <rFont val="宋体"/>
        <family val="3"/>
        <charset val="134"/>
      </rPr>
      <t>山西</t>
    </r>
    <phoneticPr fontId="24" type="noConversion"/>
  </si>
  <si>
    <r>
      <rPr>
        <sz val="10"/>
        <rFont val="宋体"/>
        <family val="3"/>
        <charset val="134"/>
      </rPr>
      <t>内蒙古</t>
    </r>
    <phoneticPr fontId="24" type="noConversion"/>
  </si>
  <si>
    <r>
      <rPr>
        <sz val="10"/>
        <rFont val="宋体"/>
        <family val="3"/>
        <charset val="134"/>
      </rPr>
      <t>辽宁</t>
    </r>
    <phoneticPr fontId="24" type="noConversion"/>
  </si>
  <si>
    <r>
      <rPr>
        <sz val="10"/>
        <rFont val="宋体"/>
        <family val="3"/>
        <charset val="134"/>
      </rPr>
      <t>吉林</t>
    </r>
    <phoneticPr fontId="24" type="noConversion"/>
  </si>
  <si>
    <r>
      <rPr>
        <sz val="10"/>
        <rFont val="宋体"/>
        <family val="3"/>
        <charset val="134"/>
      </rPr>
      <t>黑龙江</t>
    </r>
    <phoneticPr fontId="24" type="noConversion"/>
  </si>
  <si>
    <r>
      <rPr>
        <sz val="10"/>
        <rFont val="宋体"/>
        <family val="3"/>
        <charset val="134"/>
      </rPr>
      <t>上海</t>
    </r>
    <phoneticPr fontId="24" type="noConversion"/>
  </si>
  <si>
    <r>
      <rPr>
        <sz val="10"/>
        <rFont val="宋体"/>
        <family val="3"/>
        <charset val="134"/>
      </rPr>
      <t>江苏</t>
    </r>
    <phoneticPr fontId="24" type="noConversion"/>
  </si>
  <si>
    <r>
      <rPr>
        <sz val="10"/>
        <rFont val="宋体"/>
        <family val="3"/>
        <charset val="134"/>
      </rPr>
      <t>浙江</t>
    </r>
    <phoneticPr fontId="24" type="noConversion"/>
  </si>
  <si>
    <r>
      <rPr>
        <sz val="10"/>
        <rFont val="宋体"/>
        <family val="3"/>
        <charset val="134"/>
      </rPr>
      <t>安徽</t>
    </r>
    <phoneticPr fontId="24" type="noConversion"/>
  </si>
  <si>
    <r>
      <rPr>
        <sz val="10"/>
        <rFont val="宋体"/>
        <family val="3"/>
        <charset val="134"/>
      </rPr>
      <t>福建</t>
    </r>
    <phoneticPr fontId="24" type="noConversion"/>
  </si>
  <si>
    <r>
      <rPr>
        <sz val="10"/>
        <rFont val="宋体"/>
        <family val="3"/>
        <charset val="134"/>
      </rPr>
      <t>江西</t>
    </r>
    <phoneticPr fontId="24" type="noConversion"/>
  </si>
  <si>
    <r>
      <rPr>
        <sz val="10"/>
        <rFont val="宋体"/>
        <family val="3"/>
        <charset val="134"/>
      </rPr>
      <t>山东</t>
    </r>
    <phoneticPr fontId="24" type="noConversion"/>
  </si>
  <si>
    <r>
      <rPr>
        <sz val="10"/>
        <rFont val="宋体"/>
        <family val="3"/>
        <charset val="134"/>
      </rPr>
      <t>河南</t>
    </r>
    <phoneticPr fontId="24" type="noConversion"/>
  </si>
  <si>
    <r>
      <rPr>
        <sz val="10"/>
        <rFont val="宋体"/>
        <family val="3"/>
        <charset val="134"/>
      </rPr>
      <t>湖北</t>
    </r>
    <phoneticPr fontId="24" type="noConversion"/>
  </si>
  <si>
    <r>
      <rPr>
        <sz val="10"/>
        <rFont val="宋体"/>
        <family val="3"/>
        <charset val="134"/>
      </rPr>
      <t>湖南</t>
    </r>
    <phoneticPr fontId="24" type="noConversion"/>
  </si>
  <si>
    <r>
      <rPr>
        <sz val="10"/>
        <rFont val="宋体"/>
        <family val="3"/>
        <charset val="134"/>
      </rPr>
      <t>广东</t>
    </r>
    <phoneticPr fontId="24" type="noConversion"/>
  </si>
  <si>
    <r>
      <rPr>
        <sz val="10"/>
        <rFont val="宋体"/>
        <family val="3"/>
        <charset val="134"/>
      </rPr>
      <t>广西</t>
    </r>
    <phoneticPr fontId="24" type="noConversion"/>
  </si>
  <si>
    <r>
      <rPr>
        <sz val="10"/>
        <rFont val="宋体"/>
        <family val="3"/>
        <charset val="134"/>
      </rPr>
      <t>海南</t>
    </r>
    <phoneticPr fontId="24" type="noConversion"/>
  </si>
  <si>
    <r>
      <rPr>
        <sz val="10"/>
        <rFont val="宋体"/>
        <family val="3"/>
        <charset val="134"/>
      </rPr>
      <t>重庆</t>
    </r>
    <phoneticPr fontId="24" type="noConversion"/>
  </si>
  <si>
    <r>
      <rPr>
        <sz val="10"/>
        <rFont val="宋体"/>
        <family val="3"/>
        <charset val="134"/>
      </rPr>
      <t>四川</t>
    </r>
    <phoneticPr fontId="24" type="noConversion"/>
  </si>
  <si>
    <r>
      <rPr>
        <sz val="10"/>
        <rFont val="宋体"/>
        <family val="3"/>
        <charset val="134"/>
      </rPr>
      <t>贵州</t>
    </r>
    <phoneticPr fontId="24" type="noConversion"/>
  </si>
  <si>
    <r>
      <rPr>
        <sz val="10"/>
        <rFont val="宋体"/>
        <family val="3"/>
        <charset val="134"/>
      </rPr>
      <t>云南</t>
    </r>
    <phoneticPr fontId="24" type="noConversion"/>
  </si>
  <si>
    <r>
      <rPr>
        <sz val="10"/>
        <rFont val="宋体"/>
        <family val="3"/>
        <charset val="134"/>
      </rPr>
      <t>西藏</t>
    </r>
    <phoneticPr fontId="24" type="noConversion"/>
  </si>
  <si>
    <r>
      <rPr>
        <sz val="10"/>
        <rFont val="宋体"/>
        <family val="3"/>
        <charset val="134"/>
      </rPr>
      <t>陕西</t>
    </r>
    <phoneticPr fontId="24" type="noConversion"/>
  </si>
  <si>
    <r>
      <rPr>
        <sz val="10"/>
        <rFont val="宋体"/>
        <family val="3"/>
        <charset val="134"/>
      </rPr>
      <t>甘肃</t>
    </r>
    <phoneticPr fontId="24" type="noConversion"/>
  </si>
  <si>
    <r>
      <rPr>
        <sz val="10"/>
        <rFont val="宋体"/>
        <family val="3"/>
        <charset val="134"/>
      </rPr>
      <t>青海</t>
    </r>
    <phoneticPr fontId="24" type="noConversion"/>
  </si>
  <si>
    <r>
      <rPr>
        <sz val="10"/>
        <rFont val="宋体"/>
        <family val="3"/>
        <charset val="134"/>
      </rPr>
      <t>宁夏</t>
    </r>
    <phoneticPr fontId="24" type="noConversion"/>
  </si>
  <si>
    <r>
      <rPr>
        <sz val="10"/>
        <rFont val="宋体"/>
        <family val="3"/>
        <charset val="134"/>
      </rPr>
      <t>新疆</t>
    </r>
    <phoneticPr fontId="24" type="noConversion"/>
  </si>
  <si>
    <r>
      <t>2019</t>
    </r>
    <r>
      <rPr>
        <sz val="10"/>
        <rFont val="宋体"/>
        <family val="3"/>
        <charset val="134"/>
      </rPr>
      <t>年</t>
    </r>
    <phoneticPr fontId="24" type="noConversion"/>
  </si>
  <si>
    <r>
      <t>2020</t>
    </r>
    <r>
      <rPr>
        <sz val="10"/>
        <rFont val="宋体"/>
        <family val="2"/>
        <charset val="134"/>
      </rPr>
      <t>年</t>
    </r>
    <phoneticPr fontId="7" type="noConversion"/>
  </si>
  <si>
    <t>容量因子</t>
    <phoneticPr fontId="24" type="noConversion"/>
  </si>
  <si>
    <t>运行小时数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</si>
</sst>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);[Red]\(0.00\)"/>
    <numFmt numFmtId="178" formatCode="0_);[Red]\(0\)"/>
    <numFmt numFmtId="179" formatCode="0.0%"/>
    <numFmt numFmtId="182" formatCode="0.E+00"/>
  </numFmts>
  <fonts count="2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2"/>
      <color rgb="FF000000"/>
      <name val="方正黑体_GBK"/>
      <family val="3"/>
      <charset val="134"/>
    </font>
    <font>
      <b/>
      <sz val="12"/>
      <color rgb="FF000000"/>
      <name val="方正仿宋_GBK"/>
      <family val="3"/>
      <charset val="134"/>
    </font>
    <font>
      <b/>
      <sz val="12"/>
      <color rgb="FF000000"/>
      <name val="Times New Roman"/>
      <family val="1"/>
    </font>
    <font>
      <sz val="12"/>
      <color rgb="FF000000"/>
      <name val="方正仿宋_GBK"/>
      <family val="3"/>
      <charset val="134"/>
    </font>
    <font>
      <sz val="12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6"/>
      <name val="Microsoft YaHei"/>
      <family val="2"/>
      <charset val="134"/>
    </font>
    <font>
      <sz val="6"/>
      <name val="Times New Roman"/>
      <family val="1"/>
    </font>
    <font>
      <sz val="14"/>
      <color rgb="FF3B3B3B"/>
      <name val="Segoe UI"/>
      <family val="2"/>
    </font>
    <font>
      <sz val="14"/>
      <color rgb="FF3B3B3B"/>
      <name val="微软雅黑"/>
      <family val="2"/>
      <charset val="134"/>
    </font>
    <font>
      <sz val="14"/>
      <color rgb="FF3B3B3B"/>
      <name val="Segoe UI"/>
      <family val="2"/>
      <charset val="134"/>
    </font>
    <font>
      <sz val="11"/>
      <color rgb="FFFF0000"/>
      <name val="等线"/>
      <family val="2"/>
      <charset val="134"/>
      <scheme val="minor"/>
    </font>
    <font>
      <sz val="12"/>
      <color rgb="FF333333"/>
      <name val="微软雅黑"/>
      <family val="2"/>
      <charset val="134"/>
    </font>
    <font>
      <sz val="12"/>
      <color rgb="FF1780C4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0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Arial"/>
      <family val="2"/>
    </font>
    <font>
      <sz val="10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8">
    <xf numFmtId="0" fontId="0" fillId="0" borderId="0" xfId="0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177" fontId="13" fillId="0" borderId="0" xfId="0" applyNumberFormat="1" applyFo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0" fontId="0" fillId="0" borderId="0" xfId="0" applyNumberFormat="1">
      <alignment vertical="center"/>
    </xf>
    <xf numFmtId="0" fontId="16" fillId="0" borderId="0" xfId="0" applyFont="1" applyAlignment="1"/>
    <xf numFmtId="0" fontId="16" fillId="0" borderId="0" xfId="0" applyFont="1" applyAlignment="1">
      <alignment horizontal="left"/>
    </xf>
    <xf numFmtId="0" fontId="17" fillId="3" borderId="0" xfId="0" applyFont="1" applyFill="1" applyAlignment="1">
      <alignment horizontal="left"/>
    </xf>
    <xf numFmtId="0" fontId="0" fillId="0" borderId="0" xfId="0" applyAlignment="1"/>
    <xf numFmtId="11" fontId="0" fillId="0" borderId="0" xfId="0" applyNumberFormat="1">
      <alignment vertical="center"/>
    </xf>
    <xf numFmtId="179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left"/>
    </xf>
    <xf numFmtId="0" fontId="18" fillId="4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20" fillId="0" borderId="0" xfId="0" applyFont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1" fillId="0" borderId="0" xfId="1"/>
    <xf numFmtId="0" fontId="22" fillId="0" borderId="11" xfId="0" applyFont="1" applyBorder="1" applyAlignment="1">
      <alignment horizontal="center" vertical="top" wrapText="1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top" wrapText="1"/>
    </xf>
    <xf numFmtId="0" fontId="22" fillId="0" borderId="11" xfId="0" applyFont="1" applyBorder="1">
      <alignment vertical="center"/>
    </xf>
    <xf numFmtId="0" fontId="25" fillId="0" borderId="11" xfId="0" applyFont="1" applyBorder="1" applyAlignment="1">
      <alignment horizontal="center" vertical="top" shrinkToFit="1"/>
    </xf>
    <xf numFmtId="1" fontId="25" fillId="0" borderId="11" xfId="0" applyNumberFormat="1" applyFont="1" applyBorder="1" applyAlignment="1">
      <alignment horizontal="center" vertical="top" shrinkToFit="1"/>
    </xf>
    <xf numFmtId="0" fontId="22" fillId="0" borderId="11" xfId="0" applyFont="1" applyBorder="1" applyAlignment="1">
      <alignment horizontal="center" wrapText="1"/>
    </xf>
    <xf numFmtId="0" fontId="22" fillId="0" borderId="11" xfId="0" applyFont="1" applyBorder="1" applyAlignment="1">
      <alignment horizontal="center" vertical="center"/>
    </xf>
    <xf numFmtId="10" fontId="25" fillId="0" borderId="11" xfId="0" applyNumberFormat="1" applyFont="1" applyBorder="1" applyAlignment="1">
      <alignment horizontal="center" vertical="top" shrinkToFit="1"/>
    </xf>
    <xf numFmtId="0" fontId="23" fillId="0" borderId="11" xfId="0" applyFont="1" applyBorder="1" applyAlignment="1">
      <alignment horizontal="center" vertical="center"/>
    </xf>
    <xf numFmtId="176" fontId="25" fillId="0" borderId="11" xfId="0" applyNumberFormat="1" applyFont="1" applyFill="1" applyBorder="1" applyAlignment="1">
      <alignment horizontal="center" vertical="top" shrinkToFit="1"/>
    </xf>
    <xf numFmtId="182" fontId="1" fillId="0" borderId="0" xfId="1" applyNumberFormat="1"/>
  </cellXfs>
  <cellStyles count="2">
    <cellStyle name="常规" xfId="0" builtinId="0"/>
    <cellStyle name="常规 2" xfId="1" xr:uid="{A487C3F1-2E1C-44DF-8CA5-6A8F0059B6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户用光伏安装数据!$AN$1:$AY$1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户用光伏安装数据!$AN$2:$AY$2</c:f>
              <c:numCache>
                <c:formatCode>0.00_);[Red]\(0.00\)</c:formatCode>
                <c:ptCount val="12"/>
                <c:pt idx="5">
                  <c:v>18.520800000000001</c:v>
                </c:pt>
                <c:pt idx="6">
                  <c:v>19.7179</c:v>
                </c:pt>
                <c:pt idx="7">
                  <c:v>26.513200000000001</c:v>
                </c:pt>
                <c:pt idx="8">
                  <c:v>37.5837</c:v>
                </c:pt>
                <c:pt idx="9">
                  <c:v>44.478115099999997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17-4B8F-9CA1-88C89B4F60F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户用光伏安装数据!$AN$1:$AY$1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户用光伏安装数据!$AN$3:$AY$3</c:f>
              <c:numCache>
                <c:formatCode>General</c:formatCode>
                <c:ptCount val="12"/>
                <c:pt idx="0">
                  <c:v>4.7263237</c:v>
                </c:pt>
                <c:pt idx="1">
                  <c:v>0.42160550000000002</c:v>
                </c:pt>
                <c:pt idx="2">
                  <c:v>4.6102480000000003</c:v>
                </c:pt>
                <c:pt idx="3">
                  <c:v>17.147776</c:v>
                </c:pt>
                <c:pt idx="4">
                  <c:v>25.4394065</c:v>
                </c:pt>
                <c:pt idx="5">
                  <c:v>32.997843899999999</c:v>
                </c:pt>
                <c:pt idx="6">
                  <c:v>38.548428199999996</c:v>
                </c:pt>
                <c:pt idx="7">
                  <c:v>45.486209670000022</c:v>
                </c:pt>
                <c:pt idx="8">
                  <c:v>57.950899999999997</c:v>
                </c:pt>
                <c:pt idx="9">
                  <c:v>56.765900000000002</c:v>
                </c:pt>
                <c:pt idx="10">
                  <c:v>173.20519999999999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17-4B8F-9CA1-88C89B4F60F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户用光伏安装数据!$AN$1:$AY$1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户用光伏安装数据!$AN$4:$AY$4</c:f>
              <c:numCache>
                <c:formatCode>General</c:formatCode>
                <c:ptCount val="12"/>
                <c:pt idx="0">
                  <c:v>12.035</c:v>
                </c:pt>
                <c:pt idx="1">
                  <c:v>13.348800000000001</c:v>
                </c:pt>
                <c:pt idx="2">
                  <c:v>28.145700000000001</c:v>
                </c:pt>
                <c:pt idx="3">
                  <c:v>55.813600000000001</c:v>
                </c:pt>
                <c:pt idx="4">
                  <c:v>63.384900000000002</c:v>
                </c:pt>
                <c:pt idx="5">
                  <c:v>67.203400000000002</c:v>
                </c:pt>
                <c:pt idx="6">
                  <c:v>65.569400000000002</c:v>
                </c:pt>
                <c:pt idx="7">
                  <c:v>67.8232</c:v>
                </c:pt>
                <c:pt idx="8">
                  <c:v>69.904399999999995</c:v>
                </c:pt>
                <c:pt idx="9">
                  <c:v>64.360100000000003</c:v>
                </c:pt>
                <c:pt idx="10">
                  <c:v>88.13</c:v>
                </c:pt>
                <c:pt idx="11">
                  <c:v>157.9777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17-4B8F-9CA1-88C89B4F6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146959"/>
        <c:axId val="1096154863"/>
      </c:scatterChart>
      <c:valAx>
        <c:axId val="109614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6154863"/>
        <c:crosses val="autoZero"/>
        <c:crossBetween val="midCat"/>
      </c:valAx>
      <c:valAx>
        <c:axId val="10961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614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893307086614172"/>
                  <c:y val="0.34275444736074656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世行山东城市化率!$G$24:$K$24</c:f>
              <c:numCache>
                <c:formatCode>General</c:formatCod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2060</c:v>
                </c:pt>
              </c:numCache>
            </c:numRef>
          </c:xVal>
          <c:yVal>
            <c:numRef>
              <c:f>世行山东城市化率!$G$25:$K$25</c:f>
              <c:numCache>
                <c:formatCode>General</c:formatCode>
                <c:ptCount val="5"/>
                <c:pt idx="0">
                  <c:v>0.65830121711349587</c:v>
                </c:pt>
                <c:pt idx="1">
                  <c:v>0.72698094813324476</c:v>
                </c:pt>
                <c:pt idx="2">
                  <c:v>0.76289930850588217</c:v>
                </c:pt>
                <c:pt idx="3">
                  <c:v>0.78802386241494249</c:v>
                </c:pt>
                <c:pt idx="4">
                  <c:v>0.81415401984220215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3-443A-B94A-A1102AFDD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849791"/>
        <c:axId val="1469850623"/>
      </c:scatterChart>
      <c:valAx>
        <c:axId val="146984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9850623"/>
        <c:crosses val="autoZero"/>
        <c:crossBetween val="midCat"/>
      </c:valAx>
      <c:valAx>
        <c:axId val="146985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984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光伏装机</a:t>
            </a:r>
            <a:endParaRPr lang="en-US" altLang="zh-CN"/>
          </a:p>
          <a:p>
            <a:pPr>
              <a:defRPr/>
            </a:pP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山东光伏数据!$A$31</c:f>
              <c:strCache>
                <c:ptCount val="1"/>
                <c:pt idx="0">
                  <c:v>集中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山东光伏数据!$B$30:$AR$30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xVal>
          <c:yVal>
            <c:numRef>
              <c:f>山东光伏数据!$B$31:$AR$31</c:f>
              <c:numCache>
                <c:formatCode>0_);[Red]\(0\)</c:formatCode>
                <c:ptCount val="43"/>
                <c:pt idx="0">
                  <c:v>6480</c:v>
                </c:pt>
                <c:pt idx="1">
                  <c:v>6770</c:v>
                </c:pt>
                <c:pt idx="2">
                  <c:v>8050</c:v>
                </c:pt>
                <c:pt idx="3">
                  <c:v>10090</c:v>
                </c:pt>
                <c:pt idx="4">
                  <c:v>14090</c:v>
                </c:pt>
                <c:pt idx="5">
                  <c:v>16836.666666666668</c:v>
                </c:pt>
                <c:pt idx="6">
                  <c:v>19583.333333333336</c:v>
                </c:pt>
                <c:pt idx="7">
                  <c:v>22330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08-455E-9512-94C89BE8B479}"/>
            </c:ext>
          </c:extLst>
        </c:ser>
        <c:ser>
          <c:idx val="1"/>
          <c:order val="1"/>
          <c:tx>
            <c:strRef>
              <c:f>山东光伏数据!$A$32</c:f>
              <c:strCache>
                <c:ptCount val="1"/>
                <c:pt idx="0">
                  <c:v>工商业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山东光伏数据!$B$30:$AR$30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xVal>
          <c:yVal>
            <c:numRef>
              <c:f>山东光伏数据!$B$32:$AR$32</c:f>
              <c:numCache>
                <c:formatCode>0_);[Red]\(0\)</c:formatCode>
                <c:ptCount val="43"/>
                <c:pt idx="0">
                  <c:v>5663.4000000000005</c:v>
                </c:pt>
                <c:pt idx="1">
                  <c:v>6063.4000000000005</c:v>
                </c:pt>
                <c:pt idx="2">
                  <c:v>6653.4000000000005</c:v>
                </c:pt>
                <c:pt idx="3">
                  <c:v>7691.1999999999989</c:v>
                </c:pt>
                <c:pt idx="4">
                  <c:v>8201.0499999999993</c:v>
                </c:pt>
                <c:pt idx="5">
                  <c:v>8948.83</c:v>
                </c:pt>
                <c:pt idx="6">
                  <c:v>9900.5499999999993</c:v>
                </c:pt>
                <c:pt idx="7">
                  <c:v>11090.199999999999</c:v>
                </c:pt>
                <c:pt idx="8" formatCode="0_ ">
                  <c:v>11485.583571428666</c:v>
                </c:pt>
                <c:pt idx="9" formatCode="0_ ">
                  <c:v>12254.267976190429</c:v>
                </c:pt>
                <c:pt idx="10" formatCode="0_ ">
                  <c:v>13022.952380952425</c:v>
                </c:pt>
                <c:pt idx="11" formatCode="0_ ">
                  <c:v>13791.636785714189</c:v>
                </c:pt>
                <c:pt idx="12" formatCode="0_ ">
                  <c:v>14560.321190476185</c:v>
                </c:pt>
                <c:pt idx="13" formatCode="0_ ">
                  <c:v>15329.005595238181</c:v>
                </c:pt>
                <c:pt idx="14" formatCode="0_ ">
                  <c:v>16097.689999999944</c:v>
                </c:pt>
                <c:pt idx="15" formatCode="0_ ">
                  <c:v>16866.37440476194</c:v>
                </c:pt>
                <c:pt idx="16" formatCode="0_ ">
                  <c:v>17635.058809523936</c:v>
                </c:pt>
                <c:pt idx="17" formatCode="0_ ">
                  <c:v>18403.7432142857</c:v>
                </c:pt>
                <c:pt idx="18" formatCode="0_ ">
                  <c:v>19172.427619047696</c:v>
                </c:pt>
                <c:pt idx="19" formatCode="0_ ">
                  <c:v>19941.112023809459</c:v>
                </c:pt>
                <c:pt idx="20" formatCode="0_ ">
                  <c:v>20709.796428571455</c:v>
                </c:pt>
                <c:pt idx="21" formatCode="0_ ">
                  <c:v>21478.480833333451</c:v>
                </c:pt>
                <c:pt idx="22" formatCode="0_ ">
                  <c:v>22247.165238095215</c:v>
                </c:pt>
                <c:pt idx="23" formatCode="0_ ">
                  <c:v>23015.849642857211</c:v>
                </c:pt>
                <c:pt idx="24" formatCode="0_ ">
                  <c:v>23784.534047618974</c:v>
                </c:pt>
                <c:pt idx="25" formatCode="0_ ">
                  <c:v>24553.21845238097</c:v>
                </c:pt>
                <c:pt idx="26" formatCode="0_ ">
                  <c:v>25321.902857142966</c:v>
                </c:pt>
                <c:pt idx="27" formatCode="0_ ">
                  <c:v>26090.58726190473</c:v>
                </c:pt>
                <c:pt idx="28" formatCode="0_ ">
                  <c:v>26859.271666666726</c:v>
                </c:pt>
                <c:pt idx="29" formatCode="0_ ">
                  <c:v>27627.956071428489</c:v>
                </c:pt>
                <c:pt idx="30" formatCode="0_ ">
                  <c:v>28396.640476190485</c:v>
                </c:pt>
                <c:pt idx="31" formatCode="0_ ">
                  <c:v>29165.324880952481</c:v>
                </c:pt>
                <c:pt idx="32" formatCode="0_ ">
                  <c:v>29934.009285714244</c:v>
                </c:pt>
                <c:pt idx="33" formatCode="0_ ">
                  <c:v>30702.693690476241</c:v>
                </c:pt>
                <c:pt idx="34" formatCode="0_ ">
                  <c:v>31471.378095238004</c:v>
                </c:pt>
                <c:pt idx="35" formatCode="0_ ">
                  <c:v>32240.0625</c:v>
                </c:pt>
                <c:pt idx="36" formatCode="0_ ">
                  <c:v>33008.746904761996</c:v>
                </c:pt>
                <c:pt idx="37" formatCode="0_ ">
                  <c:v>33777.431309523759</c:v>
                </c:pt>
                <c:pt idx="38" formatCode="0_ ">
                  <c:v>34546.115714285756</c:v>
                </c:pt>
                <c:pt idx="39" formatCode="0_ ">
                  <c:v>35314.800119047519</c:v>
                </c:pt>
                <c:pt idx="40" formatCode="0_ ">
                  <c:v>36083.484523809515</c:v>
                </c:pt>
                <c:pt idx="41" formatCode="0_ ">
                  <c:v>36852.168928571511</c:v>
                </c:pt>
                <c:pt idx="42" formatCode="0_ ">
                  <c:v>37620.853333333274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8-455E-9512-94C89BE8B479}"/>
            </c:ext>
          </c:extLst>
        </c:ser>
        <c:ser>
          <c:idx val="3"/>
          <c:order val="2"/>
          <c:tx>
            <c:strRef>
              <c:f>山东光伏数据!$A$34</c:f>
              <c:strCache>
                <c:ptCount val="1"/>
                <c:pt idx="0">
                  <c:v>城镇分布式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山东光伏数据!$B$30:$AR$30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xVal>
          <c:yVal>
            <c:numRef>
              <c:f>山东光伏数据!$B$34:$AR$34</c:f>
              <c:numCache>
                <c:formatCode>0_);[Red]\(0\)</c:formatCode>
                <c:ptCount val="43"/>
                <c:pt idx="0">
                  <c:v>293.31999999999994</c:v>
                </c:pt>
                <c:pt idx="1">
                  <c:v>671.31999999999994</c:v>
                </c:pt>
                <c:pt idx="2">
                  <c:v>1603.32</c:v>
                </c:pt>
                <c:pt idx="3">
                  <c:v>3129.76</c:v>
                </c:pt>
                <c:pt idx="4">
                  <c:v>3367.69</c:v>
                </c:pt>
                <c:pt idx="5">
                  <c:v>3716.654</c:v>
                </c:pt>
                <c:pt idx="6">
                  <c:v>4160.79</c:v>
                </c:pt>
                <c:pt idx="7">
                  <c:v>4715.96</c:v>
                </c:pt>
                <c:pt idx="8" formatCode="0_ ">
                  <c:v>5652.910428571282</c:v>
                </c:pt>
                <c:pt idx="9" formatCode="0_ ">
                  <c:v>6307.4790238093119</c:v>
                </c:pt>
                <c:pt idx="10" formatCode="0_ ">
                  <c:v>6962.0476190473419</c:v>
                </c:pt>
                <c:pt idx="11" formatCode="0_ ">
                  <c:v>7616.6162142856047</c:v>
                </c:pt>
                <c:pt idx="12" formatCode="0_ ">
                  <c:v>8271.1848095236346</c:v>
                </c:pt>
                <c:pt idx="13" formatCode="0_ ">
                  <c:v>8925.7534047616646</c:v>
                </c:pt>
                <c:pt idx="14" formatCode="0_ ">
                  <c:v>9580.3219999999274</c:v>
                </c:pt>
                <c:pt idx="15" formatCode="0_ ">
                  <c:v>10234.890595237957</c:v>
                </c:pt>
                <c:pt idx="16" formatCode="0_ ">
                  <c:v>10889.459190475987</c:v>
                </c:pt>
                <c:pt idx="17" formatCode="0_ ">
                  <c:v>11544.027785714017</c:v>
                </c:pt>
                <c:pt idx="18" formatCode="0_ ">
                  <c:v>12198.59638095228</c:v>
                </c:pt>
                <c:pt idx="19" formatCode="0_ ">
                  <c:v>12853.16497619031</c:v>
                </c:pt>
                <c:pt idx="20" formatCode="0_ ">
                  <c:v>13507.73357142834</c:v>
                </c:pt>
                <c:pt idx="21" formatCode="0_ ">
                  <c:v>14162.30216666637</c:v>
                </c:pt>
                <c:pt idx="22" formatCode="0_ ">
                  <c:v>14816.870761904633</c:v>
                </c:pt>
                <c:pt idx="23" formatCode="0_ ">
                  <c:v>15471.439357142663</c:v>
                </c:pt>
                <c:pt idx="24" formatCode="0_ ">
                  <c:v>16126.007952380693</c:v>
                </c:pt>
                <c:pt idx="25" formatCode="0_ ">
                  <c:v>16780.576547618955</c:v>
                </c:pt>
                <c:pt idx="26" formatCode="0_ ">
                  <c:v>17435.145142856985</c:v>
                </c:pt>
                <c:pt idx="27" formatCode="0_ ">
                  <c:v>18089.713738095015</c:v>
                </c:pt>
                <c:pt idx="28" formatCode="0_ ">
                  <c:v>18744.282333333045</c:v>
                </c:pt>
                <c:pt idx="29" formatCode="0_ ">
                  <c:v>19398.850928571308</c:v>
                </c:pt>
                <c:pt idx="30" formatCode="0_ ">
                  <c:v>20053.419523809338</c:v>
                </c:pt>
                <c:pt idx="31" formatCode="0_ ">
                  <c:v>20707.988119047368</c:v>
                </c:pt>
                <c:pt idx="32" formatCode="0_ ">
                  <c:v>21362.556714285631</c:v>
                </c:pt>
                <c:pt idx="33" formatCode="0_ ">
                  <c:v>22017.125309523661</c:v>
                </c:pt>
                <c:pt idx="34" formatCode="0_ ">
                  <c:v>22671.693904761691</c:v>
                </c:pt>
                <c:pt idx="35" formatCode="0_ ">
                  <c:v>23326.262499999721</c:v>
                </c:pt>
                <c:pt idx="36" formatCode="0_ ">
                  <c:v>23980.831095237983</c:v>
                </c:pt>
                <c:pt idx="37" formatCode="0_ ">
                  <c:v>23937.954961655232</c:v>
                </c:pt>
                <c:pt idx="38" formatCode="0_ ">
                  <c:v>23829.883901552719</c:v>
                </c:pt>
                <c:pt idx="39" formatCode="0_ ">
                  <c:v>23720.314892476716</c:v>
                </c:pt>
                <c:pt idx="40" formatCode="0_ ">
                  <c:v>23610.085384986029</c:v>
                </c:pt>
                <c:pt idx="41" formatCode="0_ ">
                  <c:v>23500.048443249027</c:v>
                </c:pt>
                <c:pt idx="42" formatCode="0_ ">
                  <c:v>23391.066588371148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8-455E-9512-94C89BE8B479}"/>
            </c:ext>
          </c:extLst>
        </c:ser>
        <c:ser>
          <c:idx val="4"/>
          <c:order val="3"/>
          <c:tx>
            <c:strRef>
              <c:f>山东光伏数据!$A$35</c:f>
              <c:strCache>
                <c:ptCount val="1"/>
                <c:pt idx="0">
                  <c:v>乡村分布式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山东光伏数据!$B$30:$AR$30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xVal>
          <c:yVal>
            <c:numRef>
              <c:f>山东光伏数据!$B$35:$AR$35</c:f>
              <c:numCache>
                <c:formatCode>0_);[Red]\(0\)</c:formatCode>
                <c:ptCount val="43"/>
                <c:pt idx="0">
                  <c:v>1173.2799999999997</c:v>
                </c:pt>
                <c:pt idx="1">
                  <c:v>2685.2799999999997</c:v>
                </c:pt>
                <c:pt idx="2">
                  <c:v>6413.28</c:v>
                </c:pt>
                <c:pt idx="3">
                  <c:v>12519.04</c:v>
                </c:pt>
                <c:pt idx="4">
                  <c:v>13470.76</c:v>
                </c:pt>
                <c:pt idx="5">
                  <c:v>14866.616</c:v>
                </c:pt>
                <c:pt idx="6">
                  <c:v>16643.16</c:v>
                </c:pt>
                <c:pt idx="7">
                  <c:v>18863.84</c:v>
                </c:pt>
                <c:pt idx="8" formatCode="0_ ">
                  <c:v>22611.641714285128</c:v>
                </c:pt>
                <c:pt idx="9" formatCode="0_ ">
                  <c:v>25229.916095237248</c:v>
                </c:pt>
                <c:pt idx="10" formatCode="0_ ">
                  <c:v>27848.190476189367</c:v>
                </c:pt>
                <c:pt idx="11" formatCode="0_ ">
                  <c:v>30466.464857142419</c:v>
                </c:pt>
                <c:pt idx="12" formatCode="0_ ">
                  <c:v>33084.739238094538</c:v>
                </c:pt>
                <c:pt idx="13" formatCode="0_ ">
                  <c:v>35703.013619046658</c:v>
                </c:pt>
                <c:pt idx="14" formatCode="0_ ">
                  <c:v>35586.889837558316</c:v>
                </c:pt>
                <c:pt idx="15" formatCode="0_ ">
                  <c:v>34896.011407492195</c:v>
                </c:pt>
                <c:pt idx="16" formatCode="0_ ">
                  <c:v>34211.741301778886</c:v>
                </c:pt>
                <c:pt idx="17" formatCode="0_ ">
                  <c:v>33535.280408833685</c:v>
                </c:pt>
                <c:pt idx="18" formatCode="0_ ">
                  <c:v>32867.760279904149</c:v>
                </c:pt>
                <c:pt idx="19" formatCode="0_ ">
                  <c:v>32210.244816849365</c:v>
                </c:pt>
                <c:pt idx="20" formatCode="0_ ">
                  <c:v>31563.732729824715</c:v>
                </c:pt>
                <c:pt idx="21" formatCode="0_ ">
                  <c:v>30929.160690925601</c:v>
                </c:pt>
                <c:pt idx="22" formatCode="0_ ">
                  <c:v>30307.404705551613</c:v>
                </c:pt>
                <c:pt idx="23" formatCode="0_ ">
                  <c:v>29699.281097185736</c:v>
                </c:pt>
                <c:pt idx="24" formatCode="0_ ">
                  <c:v>29105.551838634634</c:v>
                </c:pt>
                <c:pt idx="25" formatCode="0_ ">
                  <c:v>28526.927446198373</c:v>
                </c:pt>
                <c:pt idx="26" formatCode="0_ ">
                  <c:v>27964.065997529753</c:v>
                </c:pt>
                <c:pt idx="27" formatCode="0_ ">
                  <c:v>27417.580151511116</c:v>
                </c:pt>
                <c:pt idx="28" formatCode="0_ ">
                  <c:v>26888.03593006757</c:v>
                </c:pt>
                <c:pt idx="29" formatCode="0_ ">
                  <c:v>26375.962592752385</c:v>
                </c:pt>
                <c:pt idx="30" formatCode="0_ ">
                  <c:v>25881.848374701727</c:v>
                </c:pt>
                <c:pt idx="31" formatCode="0_ ">
                  <c:v>25406.148878856769</c:v>
                </c:pt>
                <c:pt idx="32" formatCode="0_ ">
                  <c:v>24949.288908449809</c:v>
                </c:pt>
                <c:pt idx="33" formatCode="0_ ">
                  <c:v>24511.664795943598</c:v>
                </c:pt>
                <c:pt idx="34" formatCode="0_ ">
                  <c:v>24093.652588426889</c:v>
                </c:pt>
                <c:pt idx="35" formatCode="0_ ">
                  <c:v>23695.605123820213</c:v>
                </c:pt>
                <c:pt idx="36" formatCode="0_ ">
                  <c:v>23317.861230906165</c:v>
                </c:pt>
                <c:pt idx="37" formatCode="0_ ">
                  <c:v>22960.749491068691</c:v>
                </c:pt>
                <c:pt idx="38" formatCode="0_ ">
                  <c:v>22624.589912068855</c:v>
                </c:pt>
                <c:pt idx="39" formatCode="0_ ">
                  <c:v>22309.700026187817</c:v>
                </c:pt>
                <c:pt idx="40" formatCode="0_ ">
                  <c:v>22016.397598148673</c:v>
                </c:pt>
                <c:pt idx="41" formatCode="0_ ">
                  <c:v>21745.009103454933</c:v>
                </c:pt>
                <c:pt idx="42" formatCode="0_ ">
                  <c:v>21495.869726825542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8-455E-9512-94C89BE8B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01551"/>
        <c:axId val="108643663"/>
      </c:scatterChart>
      <c:valAx>
        <c:axId val="102701551"/>
        <c:scaling>
          <c:orientation val="minMax"/>
          <c:max val="2060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643663"/>
        <c:crosses val="autoZero"/>
        <c:crossBetween val="midCat"/>
      </c:valAx>
      <c:valAx>
        <c:axId val="1086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701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385762</xdr:colOff>
      <xdr:row>10</xdr:row>
      <xdr:rowOff>19050</xdr:rowOff>
    </xdr:from>
    <xdr:to>
      <xdr:col>46</xdr:col>
      <xdr:colOff>157162</xdr:colOff>
      <xdr:row>25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EAB01B-B3FC-449B-8C44-3EBF00C49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261937</xdr:colOff>
      <xdr:row>20</xdr:row>
      <xdr:rowOff>142875</xdr:rowOff>
    </xdr:from>
    <xdr:to>
      <xdr:col>18</xdr:col>
      <xdr:colOff>33337</xdr:colOff>
      <xdr:row>35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2D1BB2E-D21A-4290-8022-1A44EC9DF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40</xdr:row>
      <xdr:rowOff>0</xdr:rowOff>
    </xdr:from>
    <xdr:to>
      <xdr:col>23</xdr:col>
      <xdr:colOff>366713</xdr:colOff>
      <xdr:row>63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7CC8545-5F1E-4B5A-9D5E-08859A16C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U%20Distribued%20Electricity%20Quant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Table_21._Residential_Sector_Eq"/>
      <sheetName val="Table_22._Commercial_Sector_Ene"/>
      <sheetName val="RECS HC2.1"/>
      <sheetName val="Calculations"/>
    </sheetNames>
    <sheetDataSet>
      <sheetData sheetId="0">
        <row r="26">
          <cell r="A26">
            <v>0.80118443316412857</v>
          </cell>
        </row>
        <row r="27">
          <cell r="A27">
            <v>0.1988155668358714</v>
          </cell>
        </row>
        <row r="29">
          <cell r="B29">
            <v>1000000</v>
          </cell>
        </row>
        <row r="30">
          <cell r="B30">
            <v>1000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DEB4-6EF5-456E-9C11-910EDA77ED98}">
  <dimension ref="A1:BC37"/>
  <sheetViews>
    <sheetView topLeftCell="U4" workbookViewId="0">
      <selection activeCell="AZ18" sqref="AZ18"/>
    </sheetView>
  </sheetViews>
  <sheetFormatPr defaultRowHeight="14.25"/>
  <cols>
    <col min="1" max="5" width="0" hidden="1" customWidth="1"/>
    <col min="6" max="9" width="9" hidden="1" customWidth="1"/>
    <col min="10" max="10" width="17.25" bestFit="1" customWidth="1"/>
    <col min="11" max="12" width="8.5" customWidth="1"/>
    <col min="13" max="14" width="8.5" style="8" customWidth="1"/>
    <col min="15" max="17" width="8.5" style="16" customWidth="1"/>
    <col min="18" max="18" width="8.5" style="8" customWidth="1"/>
    <col min="19" max="19" width="8.5" style="9" customWidth="1"/>
    <col min="20" max="23" width="8.5" style="8" customWidth="1"/>
    <col min="24" max="25" width="9" hidden="1" customWidth="1"/>
    <col min="26" max="33" width="0" hidden="1" customWidth="1"/>
  </cols>
  <sheetData>
    <row r="1" spans="1:55" ht="15" thickBot="1">
      <c r="A1" s="43" t="s">
        <v>0</v>
      </c>
      <c r="B1" s="45" t="s">
        <v>1</v>
      </c>
      <c r="C1" s="46"/>
      <c r="D1" s="45" t="s">
        <v>2</v>
      </c>
      <c r="E1" s="46"/>
      <c r="K1">
        <v>2017</v>
      </c>
      <c r="L1">
        <v>2018</v>
      </c>
      <c r="M1" s="8">
        <v>2019</v>
      </c>
      <c r="N1" s="8" t="s">
        <v>79</v>
      </c>
      <c r="O1" s="16">
        <v>2020</v>
      </c>
      <c r="P1" s="16">
        <v>2021</v>
      </c>
      <c r="R1" s="8">
        <v>2017</v>
      </c>
      <c r="S1" s="9">
        <v>2018</v>
      </c>
      <c r="T1" s="8">
        <v>2019</v>
      </c>
      <c r="U1" s="8" t="s">
        <v>79</v>
      </c>
      <c r="V1" s="16">
        <v>2020</v>
      </c>
      <c r="W1" s="16">
        <v>2021</v>
      </c>
      <c r="AA1" s="47" t="s">
        <v>40</v>
      </c>
      <c r="AB1" s="40" t="s">
        <v>41</v>
      </c>
      <c r="AC1" s="41"/>
      <c r="AD1" s="42"/>
      <c r="AE1" s="40" t="s">
        <v>42</v>
      </c>
      <c r="AF1" s="41"/>
      <c r="AG1" s="42"/>
      <c r="AM1" s="56" t="s">
        <v>359</v>
      </c>
      <c r="AN1" s="57" t="s">
        <v>360</v>
      </c>
      <c r="AO1" s="57"/>
      <c r="AP1" s="57"/>
      <c r="AQ1" s="57"/>
      <c r="AR1" s="57" t="s">
        <v>361</v>
      </c>
      <c r="AS1" s="57"/>
      <c r="AT1" s="57"/>
      <c r="AU1" s="57"/>
      <c r="AV1" s="65" t="s">
        <v>398</v>
      </c>
      <c r="AW1" s="57"/>
      <c r="AX1" s="57"/>
      <c r="AY1" s="57"/>
      <c r="AZ1" s="57" t="s">
        <v>399</v>
      </c>
      <c r="BA1" s="57"/>
      <c r="BB1" s="57"/>
      <c r="BC1" s="57"/>
    </row>
    <row r="2" spans="1:55" ht="29.25" thickBot="1">
      <c r="A2" s="44"/>
      <c r="B2" s="1"/>
      <c r="C2" s="2" t="s">
        <v>3</v>
      </c>
      <c r="D2" s="1"/>
      <c r="E2" s="3" t="s">
        <v>3</v>
      </c>
      <c r="K2" s="9" t="s">
        <v>38</v>
      </c>
      <c r="L2" s="9" t="s">
        <v>38</v>
      </c>
      <c r="M2" s="8" t="s">
        <v>38</v>
      </c>
      <c r="N2" s="8" t="s">
        <v>38</v>
      </c>
      <c r="O2" s="8" t="s">
        <v>38</v>
      </c>
      <c r="P2" s="8" t="s">
        <v>38</v>
      </c>
      <c r="Q2" s="9"/>
      <c r="R2" s="9" t="s">
        <v>39</v>
      </c>
      <c r="S2" s="9" t="s">
        <v>39</v>
      </c>
      <c r="T2" s="8" t="s">
        <v>39</v>
      </c>
      <c r="U2" s="8" t="s">
        <v>39</v>
      </c>
      <c r="V2" s="8" t="s">
        <v>39</v>
      </c>
      <c r="W2" s="8" t="s">
        <v>39</v>
      </c>
      <c r="AA2" s="48"/>
      <c r="AB2" s="10"/>
      <c r="AC2" s="11" t="s">
        <v>43</v>
      </c>
      <c r="AD2" s="11" t="s">
        <v>44</v>
      </c>
      <c r="AE2" s="10"/>
      <c r="AF2" s="11" t="s">
        <v>43</v>
      </c>
      <c r="AG2" s="11" t="s">
        <v>45</v>
      </c>
      <c r="AM2" s="56"/>
      <c r="AN2" s="58" t="s">
        <v>397</v>
      </c>
      <c r="AO2" s="58" t="s">
        <v>396</v>
      </c>
      <c r="AP2" s="58" t="s">
        <v>362</v>
      </c>
      <c r="AQ2" s="58" t="s">
        <v>363</v>
      </c>
      <c r="AR2" s="58" t="s">
        <v>397</v>
      </c>
      <c r="AS2" s="58" t="s">
        <v>396</v>
      </c>
      <c r="AT2" s="58" t="s">
        <v>362</v>
      </c>
      <c r="AU2" s="58" t="s">
        <v>363</v>
      </c>
      <c r="AV2" s="58" t="s">
        <v>397</v>
      </c>
      <c r="AW2" s="58" t="s">
        <v>396</v>
      </c>
      <c r="AX2" s="58" t="s">
        <v>362</v>
      </c>
      <c r="AY2" s="58" t="s">
        <v>363</v>
      </c>
      <c r="AZ2" s="58" t="s">
        <v>397</v>
      </c>
      <c r="BA2" s="58" t="s">
        <v>396</v>
      </c>
      <c r="BB2" s="58" t="s">
        <v>362</v>
      </c>
      <c r="BC2" s="58" t="s">
        <v>363</v>
      </c>
    </row>
    <row r="3" spans="1:55" ht="16.5" thickBot="1">
      <c r="A3" s="4" t="s">
        <v>4</v>
      </c>
      <c r="B3" s="5">
        <v>21582</v>
      </c>
      <c r="C3" s="5">
        <v>14875</v>
      </c>
      <c r="D3" s="5">
        <v>1152</v>
      </c>
      <c r="E3" s="5">
        <v>708</v>
      </c>
      <c r="F3">
        <f>B3-C3</f>
        <v>6707</v>
      </c>
      <c r="G3">
        <f>D3-E3</f>
        <v>444</v>
      </c>
      <c r="H3">
        <f>B3-D3</f>
        <v>20430</v>
      </c>
      <c r="J3" t="s">
        <v>80</v>
      </c>
      <c r="K3">
        <f>AJ3-R3</f>
        <v>9384</v>
      </c>
      <c r="L3">
        <f>AK3-S3</f>
        <v>12406</v>
      </c>
      <c r="M3" s="8">
        <f>C3-E3</f>
        <v>14167</v>
      </c>
      <c r="N3" s="8">
        <f>C3</f>
        <v>14875</v>
      </c>
      <c r="O3" s="16">
        <f>AF3-AC3</f>
        <v>17287.87</v>
      </c>
      <c r="P3" s="16">
        <f>AF3</f>
        <v>19847.939999999999</v>
      </c>
      <c r="R3" s="8">
        <v>3658</v>
      </c>
      <c r="S3" s="9">
        <v>5027</v>
      </c>
      <c r="T3" s="8">
        <f t="shared" ref="T3:T15" si="0">F3-G3</f>
        <v>6263</v>
      </c>
      <c r="U3" s="8">
        <f>B3-C3</f>
        <v>6707</v>
      </c>
      <c r="V3" s="16">
        <f>AG3-AD3</f>
        <v>7822.9</v>
      </c>
      <c r="W3" s="16">
        <f>AG3</f>
        <v>10750.8</v>
      </c>
      <c r="X3" s="15"/>
      <c r="Y3" s="15"/>
      <c r="Z3">
        <v>5488</v>
      </c>
      <c r="AA3" s="12" t="s">
        <v>46</v>
      </c>
      <c r="AB3" s="13">
        <v>5488</v>
      </c>
      <c r="AC3" s="13">
        <v>2560.0700000000002</v>
      </c>
      <c r="AD3" s="13">
        <v>2927.9</v>
      </c>
      <c r="AE3" s="13">
        <v>30598.7</v>
      </c>
      <c r="AF3" s="13">
        <v>19847.939999999999</v>
      </c>
      <c r="AG3" s="13">
        <v>10750.8</v>
      </c>
      <c r="AJ3">
        <v>13042</v>
      </c>
      <c r="AK3">
        <v>17433</v>
      </c>
      <c r="AM3" s="59" t="s">
        <v>364</v>
      </c>
      <c r="AN3" s="63">
        <v>7827</v>
      </c>
      <c r="AO3" s="61">
        <v>6180</v>
      </c>
      <c r="AP3" s="60">
        <v>5027</v>
      </c>
      <c r="AQ3" s="60">
        <v>3658</v>
      </c>
      <c r="AR3" s="60">
        <v>679</v>
      </c>
      <c r="AS3" s="60">
        <v>538</v>
      </c>
      <c r="AT3" s="60">
        <v>388</v>
      </c>
      <c r="AU3" s="60">
        <v>154</v>
      </c>
      <c r="AV3" s="64">
        <f>AR3*10000/(AN3*8760)</f>
        <v>9.9030810687510101E-2</v>
      </c>
      <c r="AW3" s="64">
        <f t="shared" ref="AW3:AY3" si="1">AS3*10000/(AO3*8760)</f>
        <v>9.9377872353002022E-2</v>
      </c>
      <c r="AX3" s="64">
        <f t="shared" si="1"/>
        <v>8.8108687970802416E-2</v>
      </c>
      <c r="AY3" s="64">
        <f t="shared" si="1"/>
        <v>4.8058799004371482E-2</v>
      </c>
      <c r="AZ3" s="66">
        <f>AR3*10000/AN3</f>
        <v>867.50990162258847</v>
      </c>
      <c r="BA3" s="66">
        <f t="shared" ref="BA3:BC3" si="2">AS3*10000/AO3</f>
        <v>870.55016181229769</v>
      </c>
      <c r="BB3" s="66">
        <f t="shared" si="2"/>
        <v>771.83210662422914</v>
      </c>
      <c r="BC3" s="66">
        <f t="shared" si="2"/>
        <v>420.99507927829416</v>
      </c>
    </row>
    <row r="4" spans="1:55" ht="16.5" thickBot="1">
      <c r="A4" s="6" t="s">
        <v>5</v>
      </c>
      <c r="B4" s="7">
        <v>60</v>
      </c>
      <c r="C4" s="7">
        <v>5</v>
      </c>
      <c r="D4" s="7">
        <v>9</v>
      </c>
      <c r="E4" s="7">
        <v>0</v>
      </c>
      <c r="F4">
        <f t="shared" ref="F4:F35" si="3">B4-C4</f>
        <v>55</v>
      </c>
      <c r="G4">
        <f t="shared" ref="G4:G35" si="4">D4-E4</f>
        <v>9</v>
      </c>
      <c r="H4">
        <f t="shared" ref="H4:H35" si="5">B4-D4</f>
        <v>51</v>
      </c>
      <c r="J4" t="s">
        <v>81</v>
      </c>
      <c r="K4">
        <f t="shared" ref="K4:K35" si="6">AJ4-R4</f>
        <v>3</v>
      </c>
      <c r="L4">
        <f t="shared" ref="L4:L35" si="7">AK4-S4</f>
        <v>5</v>
      </c>
      <c r="M4" s="8">
        <f t="shared" ref="M4:M15" si="8">C4-E4</f>
        <v>5</v>
      </c>
      <c r="N4" s="8">
        <f t="shared" ref="N4:N15" si="9">C4</f>
        <v>5</v>
      </c>
      <c r="O4" s="16">
        <f t="shared" ref="O4:O15" si="10">AF4-AC4</f>
        <v>5.0999999999999996</v>
      </c>
      <c r="P4" s="16">
        <f t="shared" ref="P4:P15" si="11">AF4</f>
        <v>5.0999999999999996</v>
      </c>
      <c r="R4" s="8">
        <v>22</v>
      </c>
      <c r="S4" s="9">
        <v>35</v>
      </c>
      <c r="T4" s="8">
        <f t="shared" si="0"/>
        <v>46</v>
      </c>
      <c r="U4" s="8">
        <f t="shared" ref="U4:U15" si="12">B4-C4</f>
        <v>55</v>
      </c>
      <c r="V4" s="16">
        <f t="shared" ref="V4:V15" si="13">AG4-AD4</f>
        <v>56.4</v>
      </c>
      <c r="W4" s="16">
        <f t="shared" ref="W4:W15" si="14">AG4</f>
        <v>75</v>
      </c>
      <c r="X4" s="15"/>
      <c r="Y4" s="15"/>
      <c r="Z4">
        <v>18.600000000000001</v>
      </c>
      <c r="AA4" s="14" t="s">
        <v>47</v>
      </c>
      <c r="AB4" s="13">
        <v>18.600000000000001</v>
      </c>
      <c r="AC4" s="13">
        <v>0</v>
      </c>
      <c r="AD4" s="13">
        <v>18.600000000000001</v>
      </c>
      <c r="AE4" s="13">
        <v>80.099999999999994</v>
      </c>
      <c r="AF4" s="13">
        <v>5.0999999999999996</v>
      </c>
      <c r="AG4" s="13">
        <v>75</v>
      </c>
      <c r="AJ4">
        <v>25</v>
      </c>
      <c r="AK4">
        <v>40</v>
      </c>
      <c r="AM4" s="59" t="s">
        <v>365</v>
      </c>
      <c r="AN4" s="63">
        <v>56</v>
      </c>
      <c r="AO4" s="61">
        <v>46</v>
      </c>
      <c r="AP4" s="60">
        <v>35</v>
      </c>
      <c r="AQ4" s="60">
        <v>22</v>
      </c>
      <c r="AR4" s="60">
        <v>5</v>
      </c>
      <c r="AS4" s="60">
        <v>4</v>
      </c>
      <c r="AT4" s="60">
        <v>2</v>
      </c>
      <c r="AU4" s="60">
        <v>1</v>
      </c>
      <c r="AV4" s="64">
        <f t="shared" ref="AV4:AV26" si="15">AR4*10000/(AN4*8760)</f>
        <v>0.10192433137638617</v>
      </c>
      <c r="AW4" s="64">
        <f t="shared" ref="AW4:AW27" si="16">AS4*10000/(AO4*8760)</f>
        <v>9.9265435775263047E-2</v>
      </c>
      <c r="AX4" s="64">
        <f t="shared" ref="AX4:AX27" si="17">AT4*10000/(AP4*8760)</f>
        <v>6.5231572080887146E-2</v>
      </c>
      <c r="AY4" s="64">
        <f t="shared" ref="AY4:AY27" si="18">AU4*10000/(AQ4*8760)</f>
        <v>5.1888750518887507E-2</v>
      </c>
      <c r="AZ4" s="66">
        <f t="shared" ref="AZ4:AZ34" si="19">AR4*10000/AN4</f>
        <v>892.85714285714289</v>
      </c>
      <c r="BA4" s="66">
        <f t="shared" ref="BA4:BA34" si="20">AS4*10000/AO4</f>
        <v>869.56521739130437</v>
      </c>
      <c r="BB4" s="66">
        <f t="shared" ref="BB4:BB34" si="21">AT4*10000/AP4</f>
        <v>571.42857142857144</v>
      </c>
      <c r="BC4" s="66">
        <f t="shared" ref="BC4:BC34" si="22">AU4*10000/AQ4</f>
        <v>454.54545454545456</v>
      </c>
    </row>
    <row r="5" spans="1:55" ht="16.5" thickBot="1">
      <c r="A5" s="6" t="s">
        <v>6</v>
      </c>
      <c r="B5" s="7">
        <v>151</v>
      </c>
      <c r="C5" s="7">
        <v>110</v>
      </c>
      <c r="D5" s="7">
        <v>9</v>
      </c>
      <c r="E5" s="7">
        <v>6</v>
      </c>
      <c r="F5">
        <f t="shared" si="3"/>
        <v>41</v>
      </c>
      <c r="G5">
        <f t="shared" si="4"/>
        <v>3</v>
      </c>
      <c r="H5">
        <f t="shared" si="5"/>
        <v>142</v>
      </c>
      <c r="J5" t="s">
        <v>82</v>
      </c>
      <c r="K5">
        <f t="shared" si="6"/>
        <v>53</v>
      </c>
      <c r="L5">
        <f t="shared" si="7"/>
        <v>97</v>
      </c>
      <c r="M5" s="8">
        <f t="shared" si="8"/>
        <v>104</v>
      </c>
      <c r="N5" s="8">
        <f t="shared" si="9"/>
        <v>110</v>
      </c>
      <c r="O5" s="16">
        <f t="shared" si="10"/>
        <v>118.83999999999999</v>
      </c>
      <c r="P5" s="16">
        <f t="shared" si="11"/>
        <v>118.85</v>
      </c>
      <c r="R5" s="8">
        <v>15</v>
      </c>
      <c r="S5" s="9">
        <v>31</v>
      </c>
      <c r="T5" s="8">
        <f t="shared" si="0"/>
        <v>38</v>
      </c>
      <c r="U5" s="8">
        <f t="shared" si="12"/>
        <v>41</v>
      </c>
      <c r="V5" s="16">
        <f t="shared" si="13"/>
        <v>44.7</v>
      </c>
      <c r="W5" s="16">
        <f t="shared" si="14"/>
        <v>58.9</v>
      </c>
      <c r="X5" s="15"/>
      <c r="Y5" s="15"/>
      <c r="Z5">
        <v>14.2</v>
      </c>
      <c r="AA5" s="14" t="s">
        <v>48</v>
      </c>
      <c r="AB5" s="13">
        <v>14.2</v>
      </c>
      <c r="AC5" s="13">
        <v>0.01</v>
      </c>
      <c r="AD5" s="13">
        <v>14.2</v>
      </c>
      <c r="AE5" s="13">
        <v>177.8</v>
      </c>
      <c r="AF5" s="13">
        <v>118.85</v>
      </c>
      <c r="AG5" s="13">
        <v>58.9</v>
      </c>
      <c r="AJ5">
        <v>68</v>
      </c>
      <c r="AK5">
        <v>128</v>
      </c>
      <c r="AM5" s="59" t="s">
        <v>366</v>
      </c>
      <c r="AN5" s="63">
        <v>45</v>
      </c>
      <c r="AO5" s="61">
        <v>38</v>
      </c>
      <c r="AP5" s="60">
        <v>31</v>
      </c>
      <c r="AQ5" s="60">
        <v>15</v>
      </c>
      <c r="AR5" s="60">
        <v>4</v>
      </c>
      <c r="AS5" s="60">
        <v>3</v>
      </c>
      <c r="AT5" s="60">
        <v>2</v>
      </c>
      <c r="AU5" s="60">
        <v>1</v>
      </c>
      <c r="AV5" s="64">
        <f t="shared" si="15"/>
        <v>0.10147133434804667</v>
      </c>
      <c r="AW5" s="64">
        <f t="shared" si="16"/>
        <v>9.0122566690699346E-2</v>
      </c>
      <c r="AX5" s="64">
        <f t="shared" si="17"/>
        <v>7.3648549123582263E-2</v>
      </c>
      <c r="AY5" s="64">
        <f t="shared" si="18"/>
        <v>7.6103500761035003E-2</v>
      </c>
      <c r="AZ5" s="66">
        <f t="shared" si="19"/>
        <v>888.88888888888891</v>
      </c>
      <c r="BA5" s="66">
        <f t="shared" si="20"/>
        <v>789.47368421052636</v>
      </c>
      <c r="BB5" s="66">
        <f t="shared" si="21"/>
        <v>645.16129032258061</v>
      </c>
      <c r="BC5" s="66">
        <f t="shared" si="22"/>
        <v>666.66666666666663</v>
      </c>
    </row>
    <row r="6" spans="1:55" ht="16.5" thickBot="1">
      <c r="A6" s="6" t="s">
        <v>7</v>
      </c>
      <c r="B6" s="7">
        <v>1571</v>
      </c>
      <c r="C6" s="7">
        <v>1018</v>
      </c>
      <c r="D6" s="7">
        <v>97</v>
      </c>
      <c r="E6" s="7">
        <v>56</v>
      </c>
      <c r="F6">
        <f t="shared" si="3"/>
        <v>553</v>
      </c>
      <c r="G6">
        <f t="shared" si="4"/>
        <v>41</v>
      </c>
      <c r="H6">
        <f t="shared" si="5"/>
        <v>1474</v>
      </c>
      <c r="J6" t="s">
        <v>83</v>
      </c>
      <c r="K6">
        <f t="shared" si="6"/>
        <v>517</v>
      </c>
      <c r="L6">
        <f t="shared" si="7"/>
        <v>856</v>
      </c>
      <c r="M6" s="8">
        <f t="shared" si="8"/>
        <v>962</v>
      </c>
      <c r="N6" s="8">
        <f t="shared" si="9"/>
        <v>1018</v>
      </c>
      <c r="O6" s="16">
        <f t="shared" si="10"/>
        <v>1445.52</v>
      </c>
      <c r="P6" s="16">
        <f t="shared" si="11"/>
        <v>1658.84</v>
      </c>
      <c r="R6" s="8">
        <v>351</v>
      </c>
      <c r="S6" s="9">
        <v>378</v>
      </c>
      <c r="T6" s="8">
        <f t="shared" si="0"/>
        <v>512</v>
      </c>
      <c r="U6" s="8">
        <f t="shared" si="12"/>
        <v>553</v>
      </c>
      <c r="V6" s="16">
        <f t="shared" si="13"/>
        <v>745.8</v>
      </c>
      <c r="W6" s="16">
        <f t="shared" si="14"/>
        <v>1262.5</v>
      </c>
      <c r="X6" s="15"/>
      <c r="Y6" s="15"/>
      <c r="Z6">
        <v>730</v>
      </c>
      <c r="AA6" s="14" t="s">
        <v>49</v>
      </c>
      <c r="AB6" s="13">
        <v>730</v>
      </c>
      <c r="AC6" s="13">
        <v>213.32</v>
      </c>
      <c r="AD6" s="13">
        <v>516.70000000000005</v>
      </c>
      <c r="AE6" s="13">
        <v>2921.3</v>
      </c>
      <c r="AF6" s="13">
        <v>1658.84</v>
      </c>
      <c r="AG6" s="13">
        <v>1262.5</v>
      </c>
      <c r="AJ6">
        <v>868</v>
      </c>
      <c r="AK6">
        <v>1234</v>
      </c>
      <c r="AM6" s="59" t="s">
        <v>367</v>
      </c>
      <c r="AN6" s="63">
        <v>747</v>
      </c>
      <c r="AO6" s="61">
        <v>513</v>
      </c>
      <c r="AP6" s="60">
        <v>378</v>
      </c>
      <c r="AQ6" s="60">
        <v>351</v>
      </c>
      <c r="AR6" s="60">
        <v>70</v>
      </c>
      <c r="AS6" s="60">
        <v>53</v>
      </c>
      <c r="AT6" s="60">
        <v>32</v>
      </c>
      <c r="AU6" s="60">
        <v>11</v>
      </c>
      <c r="AV6" s="64">
        <f t="shared" si="15"/>
        <v>0.10697279223438656</v>
      </c>
      <c r="AW6" s="64">
        <f t="shared" si="16"/>
        <v>0.11793817369400161</v>
      </c>
      <c r="AX6" s="64">
        <f t="shared" si="17"/>
        <v>9.6639366045758734E-2</v>
      </c>
      <c r="AY6" s="64">
        <f t="shared" si="18"/>
        <v>3.5775149930401075E-2</v>
      </c>
      <c r="AZ6" s="66">
        <f t="shared" si="19"/>
        <v>937.08165997322624</v>
      </c>
      <c r="BA6" s="66">
        <f t="shared" si="20"/>
        <v>1033.1384015594542</v>
      </c>
      <c r="BB6" s="66">
        <f t="shared" si="21"/>
        <v>846.56084656084658</v>
      </c>
      <c r="BC6" s="66">
        <f t="shared" si="22"/>
        <v>313.39031339031339</v>
      </c>
    </row>
    <row r="7" spans="1:55" ht="16.5" thickBot="1">
      <c r="A7" s="6" t="s">
        <v>8</v>
      </c>
      <c r="B7" s="7">
        <v>1198</v>
      </c>
      <c r="C7" s="7">
        <v>963</v>
      </c>
      <c r="D7" s="7">
        <v>110</v>
      </c>
      <c r="E7" s="7">
        <v>106</v>
      </c>
      <c r="F7">
        <f t="shared" si="3"/>
        <v>235</v>
      </c>
      <c r="G7">
        <f t="shared" si="4"/>
        <v>4</v>
      </c>
      <c r="H7">
        <f t="shared" si="5"/>
        <v>1088</v>
      </c>
      <c r="J7" t="s">
        <v>84</v>
      </c>
      <c r="K7">
        <f t="shared" si="6"/>
        <v>530</v>
      </c>
      <c r="L7">
        <f t="shared" si="7"/>
        <v>681</v>
      </c>
      <c r="M7" s="8">
        <f t="shared" si="8"/>
        <v>857</v>
      </c>
      <c r="N7" s="8">
        <f t="shared" si="9"/>
        <v>963</v>
      </c>
      <c r="O7" s="16">
        <f t="shared" si="10"/>
        <v>1028.32</v>
      </c>
      <c r="P7" s="16">
        <f t="shared" si="11"/>
        <v>1101.8399999999999</v>
      </c>
      <c r="R7" s="8">
        <v>60</v>
      </c>
      <c r="S7" s="9">
        <v>183</v>
      </c>
      <c r="T7" s="8">
        <f t="shared" si="0"/>
        <v>231</v>
      </c>
      <c r="U7" s="8">
        <f t="shared" si="12"/>
        <v>235</v>
      </c>
      <c r="V7" s="16">
        <f t="shared" si="13"/>
        <v>280.2</v>
      </c>
      <c r="W7" s="16">
        <f t="shared" si="14"/>
        <v>355.9</v>
      </c>
      <c r="X7" s="15"/>
      <c r="Y7" s="15"/>
      <c r="AA7" s="14" t="s">
        <v>50</v>
      </c>
      <c r="AB7" s="13">
        <v>149.19999999999999</v>
      </c>
      <c r="AC7" s="13">
        <v>73.52</v>
      </c>
      <c r="AD7" s="13">
        <v>75.7</v>
      </c>
      <c r="AE7" s="13">
        <v>1457.7</v>
      </c>
      <c r="AF7" s="13">
        <v>1101.8399999999999</v>
      </c>
      <c r="AG7" s="13">
        <v>355.9</v>
      </c>
      <c r="AJ7">
        <v>590</v>
      </c>
      <c r="AK7">
        <v>864</v>
      </c>
      <c r="AM7" s="59" t="s">
        <v>368</v>
      </c>
      <c r="AN7" s="63">
        <v>280</v>
      </c>
      <c r="AO7" s="61">
        <v>231</v>
      </c>
      <c r="AP7" s="60">
        <v>183</v>
      </c>
      <c r="AQ7" s="60">
        <v>60</v>
      </c>
      <c r="AR7" s="60">
        <v>31</v>
      </c>
      <c r="AS7" s="60">
        <v>25</v>
      </c>
      <c r="AT7" s="60">
        <v>14</v>
      </c>
      <c r="AU7" s="60">
        <v>5</v>
      </c>
      <c r="AV7" s="64">
        <f t="shared" si="15"/>
        <v>0.12638617090671886</v>
      </c>
      <c r="AW7" s="64">
        <f t="shared" si="16"/>
        <v>0.12354464409258929</v>
      </c>
      <c r="AX7" s="64">
        <f t="shared" si="17"/>
        <v>8.7331886119220506E-2</v>
      </c>
      <c r="AY7" s="64">
        <f t="shared" si="18"/>
        <v>9.5129375951293754E-2</v>
      </c>
      <c r="AZ7" s="66">
        <f t="shared" si="19"/>
        <v>1107.1428571428571</v>
      </c>
      <c r="BA7" s="66">
        <f t="shared" si="20"/>
        <v>1082.2510822510822</v>
      </c>
      <c r="BB7" s="66">
        <f t="shared" si="21"/>
        <v>765.0273224043716</v>
      </c>
      <c r="BC7" s="66">
        <f t="shared" si="22"/>
        <v>833.33333333333337</v>
      </c>
    </row>
    <row r="8" spans="1:55" ht="16.5" thickBot="1">
      <c r="A8" s="6" t="s">
        <v>9</v>
      </c>
      <c r="B8" s="7">
        <v>1131</v>
      </c>
      <c r="C8" s="7">
        <v>1048</v>
      </c>
      <c r="D8" s="7">
        <v>50</v>
      </c>
      <c r="E8" s="7">
        <v>47</v>
      </c>
      <c r="F8">
        <f t="shared" si="3"/>
        <v>83</v>
      </c>
      <c r="G8">
        <f t="shared" si="4"/>
        <v>3</v>
      </c>
      <c r="H8">
        <f t="shared" si="5"/>
        <v>1081</v>
      </c>
      <c r="J8" t="s">
        <v>85</v>
      </c>
      <c r="K8">
        <f t="shared" si="6"/>
        <v>741</v>
      </c>
      <c r="L8">
        <f t="shared" si="7"/>
        <v>933</v>
      </c>
      <c r="M8" s="8">
        <f t="shared" si="8"/>
        <v>1001</v>
      </c>
      <c r="N8" s="8">
        <f t="shared" si="9"/>
        <v>1048</v>
      </c>
      <c r="O8" s="16">
        <f t="shared" si="10"/>
        <v>1138</v>
      </c>
      <c r="P8" s="16">
        <f t="shared" si="11"/>
        <v>1299.5</v>
      </c>
      <c r="R8" s="8">
        <v>2</v>
      </c>
      <c r="S8" s="9">
        <v>13</v>
      </c>
      <c r="T8" s="8">
        <f t="shared" si="0"/>
        <v>80</v>
      </c>
      <c r="U8" s="8">
        <f t="shared" si="12"/>
        <v>83</v>
      </c>
      <c r="V8" s="16">
        <f t="shared" si="13"/>
        <v>90.1</v>
      </c>
      <c r="W8" s="16">
        <f t="shared" si="14"/>
        <v>102.5</v>
      </c>
      <c r="X8" s="15"/>
      <c r="Y8" s="15"/>
      <c r="AA8" s="13" t="s">
        <v>52</v>
      </c>
      <c r="AB8" s="13">
        <v>173.9</v>
      </c>
      <c r="AC8" s="13">
        <v>161.5</v>
      </c>
      <c r="AD8" s="13">
        <v>12.4</v>
      </c>
      <c r="AE8" s="13">
        <v>1402</v>
      </c>
      <c r="AF8" s="13">
        <v>1299.5</v>
      </c>
      <c r="AG8" s="13">
        <v>102.5</v>
      </c>
      <c r="AJ8">
        <v>743</v>
      </c>
      <c r="AK8">
        <v>946</v>
      </c>
      <c r="AM8" s="59" t="s">
        <v>369</v>
      </c>
      <c r="AN8" s="63">
        <v>88</v>
      </c>
      <c r="AO8" s="61">
        <v>51</v>
      </c>
      <c r="AP8" s="60">
        <v>13</v>
      </c>
      <c r="AQ8" s="60">
        <v>2</v>
      </c>
      <c r="AR8" s="60">
        <v>13</v>
      </c>
      <c r="AS8" s="60">
        <v>3</v>
      </c>
      <c r="AT8" s="60">
        <v>1</v>
      </c>
      <c r="AU8" s="60">
        <v>0.3</v>
      </c>
      <c r="AV8" s="64">
        <f t="shared" si="15"/>
        <v>0.16863843918638438</v>
      </c>
      <c r="AW8" s="64">
        <f t="shared" si="16"/>
        <v>6.7150147730325002E-2</v>
      </c>
      <c r="AX8" s="64">
        <f t="shared" si="17"/>
        <v>8.7811731647348082E-2</v>
      </c>
      <c r="AY8" s="64">
        <f t="shared" si="18"/>
        <v>0.17123287671232876</v>
      </c>
      <c r="AZ8" s="66">
        <f t="shared" si="19"/>
        <v>1477.2727272727273</v>
      </c>
      <c r="BA8" s="66">
        <f t="shared" si="20"/>
        <v>588.23529411764707</v>
      </c>
      <c r="BB8" s="66">
        <f t="shared" si="21"/>
        <v>769.23076923076928</v>
      </c>
      <c r="BC8" s="66">
        <f t="shared" si="22"/>
        <v>1500</v>
      </c>
    </row>
    <row r="9" spans="1:55" ht="16.5" thickBot="1">
      <c r="A9" s="6" t="s">
        <v>10</v>
      </c>
      <c r="B9" s="7">
        <v>369</v>
      </c>
      <c r="C9" s="7">
        <v>268</v>
      </c>
      <c r="D9" s="7">
        <v>26</v>
      </c>
      <c r="E9" s="7">
        <v>22</v>
      </c>
      <c r="F9">
        <f t="shared" si="3"/>
        <v>101</v>
      </c>
      <c r="G9">
        <f t="shared" si="4"/>
        <v>4</v>
      </c>
      <c r="H9">
        <f t="shared" si="5"/>
        <v>343</v>
      </c>
      <c r="J9" t="s">
        <v>86</v>
      </c>
      <c r="K9">
        <f t="shared" si="6"/>
        <v>185</v>
      </c>
      <c r="L9">
        <f t="shared" si="7"/>
        <v>219</v>
      </c>
      <c r="M9" s="8">
        <f t="shared" si="8"/>
        <v>246</v>
      </c>
      <c r="N9" s="8">
        <f t="shared" si="9"/>
        <v>268</v>
      </c>
      <c r="O9" s="16">
        <f t="shared" si="10"/>
        <v>281.89</v>
      </c>
      <c r="P9" s="16">
        <f t="shared" si="11"/>
        <v>317.5</v>
      </c>
      <c r="R9" s="8">
        <v>38</v>
      </c>
      <c r="S9" s="9">
        <v>83</v>
      </c>
      <c r="T9" s="8">
        <f t="shared" si="0"/>
        <v>97</v>
      </c>
      <c r="U9" s="8">
        <f t="shared" si="12"/>
        <v>101</v>
      </c>
      <c r="V9" s="16">
        <f t="shared" si="13"/>
        <v>117.9</v>
      </c>
      <c r="W9" s="16">
        <f t="shared" si="14"/>
        <v>160</v>
      </c>
      <c r="X9" s="15"/>
      <c r="Y9" s="15"/>
      <c r="AA9" s="14" t="s">
        <v>53</v>
      </c>
      <c r="AB9" s="13">
        <v>77.7</v>
      </c>
      <c r="AC9" s="13">
        <v>35.61</v>
      </c>
      <c r="AD9" s="13">
        <v>42.1</v>
      </c>
      <c r="AE9" s="13">
        <v>477.5</v>
      </c>
      <c r="AF9" s="13">
        <v>317.5</v>
      </c>
      <c r="AG9" s="13">
        <v>160</v>
      </c>
      <c r="AJ9">
        <v>223</v>
      </c>
      <c r="AK9">
        <v>302</v>
      </c>
      <c r="AM9" s="59" t="s">
        <v>370</v>
      </c>
      <c r="AN9" s="63">
        <v>118</v>
      </c>
      <c r="AO9" s="61">
        <v>97</v>
      </c>
      <c r="AP9" s="60">
        <v>83</v>
      </c>
      <c r="AQ9" s="60">
        <v>38</v>
      </c>
      <c r="AR9" s="60">
        <v>12</v>
      </c>
      <c r="AS9" s="60">
        <v>10</v>
      </c>
      <c r="AT9" s="60">
        <v>7</v>
      </c>
      <c r="AU9" s="60">
        <v>3</v>
      </c>
      <c r="AV9" s="64">
        <f t="shared" si="15"/>
        <v>0.11609008590666357</v>
      </c>
      <c r="AW9" s="64">
        <f t="shared" si="16"/>
        <v>0.1176858259191263</v>
      </c>
      <c r="AX9" s="64">
        <f t="shared" si="17"/>
        <v>9.6275513010947902E-2</v>
      </c>
      <c r="AY9" s="64">
        <f t="shared" si="18"/>
        <v>9.0122566690699346E-2</v>
      </c>
      <c r="AZ9" s="66">
        <f t="shared" si="19"/>
        <v>1016.9491525423729</v>
      </c>
      <c r="BA9" s="66">
        <f t="shared" si="20"/>
        <v>1030.9278350515465</v>
      </c>
      <c r="BB9" s="66">
        <f t="shared" si="21"/>
        <v>843.37349397590367</v>
      </c>
      <c r="BC9" s="66">
        <f t="shared" si="22"/>
        <v>789.47368421052636</v>
      </c>
    </row>
    <row r="10" spans="1:55" ht="16.5" thickBot="1">
      <c r="A10" s="6" t="s">
        <v>11</v>
      </c>
      <c r="B10" s="7">
        <v>326</v>
      </c>
      <c r="C10" s="7">
        <v>255</v>
      </c>
      <c r="D10" s="7">
        <v>52</v>
      </c>
      <c r="E10" s="7">
        <v>50</v>
      </c>
      <c r="F10">
        <f t="shared" si="3"/>
        <v>71</v>
      </c>
      <c r="G10">
        <f t="shared" si="4"/>
        <v>2</v>
      </c>
      <c r="H10">
        <f t="shared" si="5"/>
        <v>274</v>
      </c>
      <c r="J10" t="s">
        <v>87</v>
      </c>
      <c r="K10">
        <f t="shared" si="6"/>
        <v>107</v>
      </c>
      <c r="L10">
        <f t="shared" si="7"/>
        <v>203</v>
      </c>
      <c r="M10" s="8">
        <f t="shared" si="8"/>
        <v>205</v>
      </c>
      <c r="N10" s="8">
        <f t="shared" si="9"/>
        <v>255</v>
      </c>
      <c r="O10" s="16">
        <f t="shared" si="10"/>
        <v>260.91000000000003</v>
      </c>
      <c r="P10" s="16">
        <f t="shared" si="11"/>
        <v>265.79000000000002</v>
      </c>
      <c r="R10" s="8">
        <v>52</v>
      </c>
      <c r="S10" s="9">
        <v>62</v>
      </c>
      <c r="T10" s="8">
        <f t="shared" si="0"/>
        <v>69</v>
      </c>
      <c r="U10" s="8">
        <f t="shared" si="12"/>
        <v>71</v>
      </c>
      <c r="V10" s="16">
        <f t="shared" si="13"/>
        <v>76</v>
      </c>
      <c r="W10" s="16">
        <f t="shared" si="14"/>
        <v>80.099999999999994</v>
      </c>
      <c r="X10" s="15"/>
      <c r="Y10" s="15"/>
      <c r="AA10" s="14" t="s">
        <v>54</v>
      </c>
      <c r="AB10" s="13">
        <v>9</v>
      </c>
      <c r="AC10" s="13">
        <v>4.88</v>
      </c>
      <c r="AD10" s="13">
        <v>4.0999999999999996</v>
      </c>
      <c r="AE10" s="13">
        <v>345.9</v>
      </c>
      <c r="AF10" s="13">
        <v>265.79000000000002</v>
      </c>
      <c r="AG10" s="13">
        <v>80.099999999999994</v>
      </c>
      <c r="AJ10">
        <v>159</v>
      </c>
      <c r="AK10">
        <v>265</v>
      </c>
      <c r="AM10" s="59" t="s">
        <v>371</v>
      </c>
      <c r="AN10" s="63">
        <v>76</v>
      </c>
      <c r="AO10" s="61">
        <v>69</v>
      </c>
      <c r="AP10" s="60">
        <v>62</v>
      </c>
      <c r="AQ10" s="60">
        <v>52</v>
      </c>
      <c r="AR10" s="60">
        <v>9</v>
      </c>
      <c r="AS10" s="60">
        <v>9</v>
      </c>
      <c r="AT10" s="60">
        <v>7</v>
      </c>
      <c r="AU10" s="60">
        <v>2</v>
      </c>
      <c r="AV10" s="64">
        <f t="shared" si="15"/>
        <v>0.13518385003604902</v>
      </c>
      <c r="AW10" s="64">
        <f t="shared" si="16"/>
        <v>0.14889815366289458</v>
      </c>
      <c r="AX10" s="64">
        <f t="shared" si="17"/>
        <v>0.12888496096626897</v>
      </c>
      <c r="AY10" s="64">
        <f t="shared" si="18"/>
        <v>4.3905865823674041E-2</v>
      </c>
      <c r="AZ10" s="66">
        <f t="shared" si="19"/>
        <v>1184.2105263157894</v>
      </c>
      <c r="BA10" s="66">
        <f t="shared" si="20"/>
        <v>1304.3478260869565</v>
      </c>
      <c r="BB10" s="66">
        <f t="shared" si="21"/>
        <v>1129.0322580645161</v>
      </c>
      <c r="BC10" s="66">
        <f t="shared" si="22"/>
        <v>384.61538461538464</v>
      </c>
    </row>
    <row r="11" spans="1:55" ht="16.5" thickBot="1">
      <c r="A11" s="6" t="s">
        <v>12</v>
      </c>
      <c r="B11" s="7">
        <v>287</v>
      </c>
      <c r="C11" s="7">
        <v>205</v>
      </c>
      <c r="D11" s="7">
        <v>12</v>
      </c>
      <c r="E11" s="7">
        <v>10</v>
      </c>
      <c r="F11">
        <f t="shared" si="3"/>
        <v>82</v>
      </c>
      <c r="G11">
        <f t="shared" si="4"/>
        <v>2</v>
      </c>
      <c r="H11">
        <f t="shared" si="5"/>
        <v>275</v>
      </c>
      <c r="J11" t="s">
        <v>88</v>
      </c>
      <c r="K11">
        <f t="shared" si="6"/>
        <v>64</v>
      </c>
      <c r="L11">
        <f t="shared" si="7"/>
        <v>141</v>
      </c>
      <c r="M11" s="8">
        <f t="shared" si="8"/>
        <v>195</v>
      </c>
      <c r="N11" s="8">
        <f t="shared" si="9"/>
        <v>205</v>
      </c>
      <c r="O11" s="16">
        <f t="shared" si="10"/>
        <v>234.99</v>
      </c>
      <c r="P11" s="16">
        <f t="shared" si="11"/>
        <v>329.99</v>
      </c>
      <c r="R11" s="8">
        <v>30</v>
      </c>
      <c r="S11" s="9">
        <v>74</v>
      </c>
      <c r="T11" s="8">
        <f t="shared" si="0"/>
        <v>80</v>
      </c>
      <c r="U11" s="8">
        <f t="shared" si="12"/>
        <v>82</v>
      </c>
      <c r="V11" s="16">
        <f t="shared" si="13"/>
        <v>82.7</v>
      </c>
      <c r="W11" s="16">
        <f t="shared" si="14"/>
        <v>89.8</v>
      </c>
      <c r="X11" s="15"/>
      <c r="Y11" s="15"/>
      <c r="AA11" s="13" t="s">
        <v>55</v>
      </c>
      <c r="AB11" s="13">
        <v>102.1</v>
      </c>
      <c r="AC11" s="13">
        <v>95</v>
      </c>
      <c r="AD11" s="13">
        <v>7.1</v>
      </c>
      <c r="AE11" s="13">
        <v>419.8</v>
      </c>
      <c r="AF11" s="13">
        <v>329.99</v>
      </c>
      <c r="AG11" s="13">
        <v>89.8</v>
      </c>
      <c r="AJ11">
        <v>94</v>
      </c>
      <c r="AK11">
        <v>215</v>
      </c>
      <c r="AM11" s="59" t="s">
        <v>372</v>
      </c>
      <c r="AN11" s="63">
        <v>83</v>
      </c>
      <c r="AO11" s="61">
        <v>79</v>
      </c>
      <c r="AP11" s="60">
        <v>74</v>
      </c>
      <c r="AQ11" s="60">
        <v>30</v>
      </c>
      <c r="AR11" s="60">
        <v>10</v>
      </c>
      <c r="AS11" s="60">
        <v>9</v>
      </c>
      <c r="AT11" s="60">
        <v>5</v>
      </c>
      <c r="AU11" s="60">
        <v>1</v>
      </c>
      <c r="AV11" s="64">
        <f t="shared" si="15"/>
        <v>0.137536447158497</v>
      </c>
      <c r="AW11" s="64">
        <f t="shared" si="16"/>
        <v>0.13005028611062944</v>
      </c>
      <c r="AX11" s="64">
        <f t="shared" si="17"/>
        <v>7.7131926446994944E-2</v>
      </c>
      <c r="AY11" s="64">
        <f t="shared" si="18"/>
        <v>3.8051750380517502E-2</v>
      </c>
      <c r="AZ11" s="66">
        <f t="shared" si="19"/>
        <v>1204.8192771084337</v>
      </c>
      <c r="BA11" s="66">
        <f t="shared" si="20"/>
        <v>1139.2405063291139</v>
      </c>
      <c r="BB11" s="66">
        <f t="shared" si="21"/>
        <v>675.67567567567562</v>
      </c>
      <c r="BC11" s="66">
        <f t="shared" si="22"/>
        <v>333.33333333333331</v>
      </c>
    </row>
    <row r="12" spans="1:55" ht="16.5" thickBot="1">
      <c r="A12" s="6" t="s">
        <v>13</v>
      </c>
      <c r="B12" s="7">
        <v>117</v>
      </c>
      <c r="C12" s="7">
        <v>6</v>
      </c>
      <c r="D12" s="7">
        <v>8</v>
      </c>
      <c r="E12" s="7">
        <v>0</v>
      </c>
      <c r="F12">
        <f t="shared" si="3"/>
        <v>111</v>
      </c>
      <c r="G12">
        <f t="shared" si="4"/>
        <v>8</v>
      </c>
      <c r="H12">
        <f t="shared" si="5"/>
        <v>109</v>
      </c>
      <c r="J12" t="s">
        <v>89</v>
      </c>
      <c r="K12">
        <f t="shared" si="6"/>
        <v>-1</v>
      </c>
      <c r="L12">
        <f t="shared" si="7"/>
        <v>7</v>
      </c>
      <c r="M12" s="8">
        <f t="shared" si="8"/>
        <v>6</v>
      </c>
      <c r="N12" s="8">
        <f t="shared" si="9"/>
        <v>6</v>
      </c>
      <c r="O12" s="16">
        <f t="shared" si="10"/>
        <v>19.7</v>
      </c>
      <c r="P12" s="16">
        <f t="shared" si="11"/>
        <v>24.09</v>
      </c>
      <c r="R12" s="8">
        <v>59</v>
      </c>
      <c r="S12" s="9">
        <v>82</v>
      </c>
      <c r="T12" s="8">
        <f t="shared" si="0"/>
        <v>103</v>
      </c>
      <c r="U12" s="8">
        <f t="shared" si="12"/>
        <v>111</v>
      </c>
      <c r="V12" s="16">
        <f t="shared" si="13"/>
        <v>116.89999999999999</v>
      </c>
      <c r="W12" s="16">
        <f t="shared" si="14"/>
        <v>144.19999999999999</v>
      </c>
      <c r="X12" s="15"/>
      <c r="Y12" s="15"/>
      <c r="AA12" s="14" t="s">
        <v>56</v>
      </c>
      <c r="AB12" s="13">
        <v>31.7</v>
      </c>
      <c r="AC12" s="13">
        <v>4.3899999999999997</v>
      </c>
      <c r="AD12" s="13">
        <v>27.3</v>
      </c>
      <c r="AE12" s="13">
        <v>168.3</v>
      </c>
      <c r="AF12" s="13">
        <v>24.09</v>
      </c>
      <c r="AG12" s="13">
        <v>144.19999999999999</v>
      </c>
      <c r="AJ12">
        <v>58</v>
      </c>
      <c r="AK12">
        <v>89</v>
      </c>
      <c r="AM12" s="59" t="s">
        <v>373</v>
      </c>
      <c r="AN12" s="63">
        <v>117</v>
      </c>
      <c r="AO12" s="61">
        <v>102</v>
      </c>
      <c r="AP12" s="60">
        <v>82</v>
      </c>
      <c r="AQ12" s="60">
        <v>59</v>
      </c>
      <c r="AR12" s="60">
        <v>9</v>
      </c>
      <c r="AS12" s="60">
        <v>7</v>
      </c>
      <c r="AT12" s="60">
        <v>5</v>
      </c>
      <c r="AU12" s="60">
        <v>2</v>
      </c>
      <c r="AV12" s="64">
        <f t="shared" si="15"/>
        <v>8.7811731647348082E-2</v>
      </c>
      <c r="AW12" s="64">
        <f t="shared" si="16"/>
        <v>7.8341839018712514E-2</v>
      </c>
      <c r="AX12" s="64">
        <f t="shared" si="17"/>
        <v>6.9606860452166172E-2</v>
      </c>
      <c r="AY12" s="64">
        <f t="shared" si="18"/>
        <v>3.8696695302221189E-2</v>
      </c>
      <c r="AZ12" s="66">
        <f t="shared" si="19"/>
        <v>769.23076923076928</v>
      </c>
      <c r="BA12" s="66">
        <f t="shared" si="20"/>
        <v>686.27450980392155</v>
      </c>
      <c r="BB12" s="66">
        <f t="shared" si="21"/>
        <v>609.7560975609756</v>
      </c>
      <c r="BC12" s="66">
        <f t="shared" si="22"/>
        <v>338.9830508474576</v>
      </c>
    </row>
    <row r="13" spans="1:55" ht="16.5" thickBot="1">
      <c r="A13" s="6" t="s">
        <v>14</v>
      </c>
      <c r="B13" s="7">
        <v>1599</v>
      </c>
      <c r="C13" s="7">
        <v>883</v>
      </c>
      <c r="D13" s="7">
        <v>113</v>
      </c>
      <c r="E13" s="7">
        <v>62</v>
      </c>
      <c r="F13">
        <f t="shared" si="3"/>
        <v>716</v>
      </c>
      <c r="G13">
        <f t="shared" si="4"/>
        <v>51</v>
      </c>
      <c r="H13">
        <f t="shared" si="5"/>
        <v>1486</v>
      </c>
      <c r="J13" t="s">
        <v>90</v>
      </c>
      <c r="K13">
        <f t="shared" si="6"/>
        <v>580</v>
      </c>
      <c r="L13">
        <f t="shared" si="7"/>
        <v>792</v>
      </c>
      <c r="M13" s="8">
        <f t="shared" si="8"/>
        <v>821</v>
      </c>
      <c r="N13" s="8">
        <f t="shared" si="9"/>
        <v>883</v>
      </c>
      <c r="O13" s="16">
        <f t="shared" si="10"/>
        <v>895.91000000000008</v>
      </c>
      <c r="P13" s="16">
        <f t="shared" si="11"/>
        <v>941.08</v>
      </c>
      <c r="R13" s="8">
        <v>327</v>
      </c>
      <c r="S13" s="9">
        <v>540</v>
      </c>
      <c r="T13" s="8">
        <f t="shared" si="0"/>
        <v>665</v>
      </c>
      <c r="U13" s="8">
        <f t="shared" si="12"/>
        <v>716</v>
      </c>
      <c r="V13" s="16">
        <f t="shared" si="13"/>
        <v>788.09999999999991</v>
      </c>
      <c r="W13" s="16">
        <f t="shared" si="14"/>
        <v>974.9</v>
      </c>
      <c r="X13" s="15"/>
      <c r="Y13" s="15"/>
      <c r="AA13" s="14" t="s">
        <v>57</v>
      </c>
      <c r="AB13" s="13">
        <v>232</v>
      </c>
      <c r="AC13" s="13">
        <v>45.17</v>
      </c>
      <c r="AD13" s="13">
        <v>186.8</v>
      </c>
      <c r="AE13" s="13">
        <v>1916</v>
      </c>
      <c r="AF13" s="13">
        <v>941.08</v>
      </c>
      <c r="AG13" s="13">
        <v>974.9</v>
      </c>
      <c r="AJ13">
        <v>907</v>
      </c>
      <c r="AK13">
        <v>1332</v>
      </c>
      <c r="AM13" s="59" t="s">
        <v>374</v>
      </c>
      <c r="AN13" s="63">
        <v>788</v>
      </c>
      <c r="AO13" s="61">
        <v>664</v>
      </c>
      <c r="AP13" s="60">
        <v>540</v>
      </c>
      <c r="AQ13" s="60">
        <v>327</v>
      </c>
      <c r="AR13" s="60">
        <v>61</v>
      </c>
      <c r="AS13" s="60">
        <v>53</v>
      </c>
      <c r="AT13" s="60">
        <v>40</v>
      </c>
      <c r="AU13" s="60">
        <v>19</v>
      </c>
      <c r="AV13" s="64">
        <f t="shared" si="15"/>
        <v>8.8368912685719586E-2</v>
      </c>
      <c r="AW13" s="64">
        <f t="shared" si="16"/>
        <v>9.111789624250427E-2</v>
      </c>
      <c r="AX13" s="64">
        <f t="shared" si="17"/>
        <v>8.4559445290038893E-2</v>
      </c>
      <c r="AY13" s="64">
        <f t="shared" si="18"/>
        <v>6.6328739195397488E-2</v>
      </c>
      <c r="AZ13" s="66">
        <f t="shared" si="19"/>
        <v>774.11167512690361</v>
      </c>
      <c r="BA13" s="66">
        <f t="shared" si="20"/>
        <v>798.19277108433732</v>
      </c>
      <c r="BB13" s="66">
        <f t="shared" si="21"/>
        <v>740.74074074074076</v>
      </c>
      <c r="BC13" s="66">
        <f t="shared" si="22"/>
        <v>581.03975535168195</v>
      </c>
    </row>
    <row r="14" spans="1:55" ht="16.5" thickBot="1">
      <c r="A14" s="6" t="s">
        <v>15</v>
      </c>
      <c r="B14" s="7">
        <v>1409</v>
      </c>
      <c r="C14" s="7">
        <v>428</v>
      </c>
      <c r="D14" s="7">
        <v>70</v>
      </c>
      <c r="E14" s="7">
        <v>14</v>
      </c>
      <c r="F14">
        <f t="shared" si="3"/>
        <v>981</v>
      </c>
      <c r="G14">
        <f t="shared" si="4"/>
        <v>56</v>
      </c>
      <c r="H14">
        <f t="shared" si="5"/>
        <v>1339</v>
      </c>
      <c r="J14" t="s">
        <v>91</v>
      </c>
      <c r="K14">
        <f t="shared" si="6"/>
        <v>315</v>
      </c>
      <c r="L14">
        <f t="shared" si="7"/>
        <v>361</v>
      </c>
      <c r="M14" s="8">
        <f t="shared" si="8"/>
        <v>414</v>
      </c>
      <c r="N14" s="8">
        <f t="shared" si="9"/>
        <v>428</v>
      </c>
      <c r="O14" s="16">
        <f t="shared" si="10"/>
        <v>412.16999999999996</v>
      </c>
      <c r="P14" s="16">
        <f t="shared" si="11"/>
        <v>577.03</v>
      </c>
      <c r="R14" s="8">
        <v>499</v>
      </c>
      <c r="S14" s="9">
        <v>777</v>
      </c>
      <c r="T14" s="8">
        <f t="shared" si="0"/>
        <v>925</v>
      </c>
      <c r="U14" s="8">
        <f t="shared" si="12"/>
        <v>981</v>
      </c>
      <c r="V14" s="16">
        <f t="shared" si="13"/>
        <v>1067.2</v>
      </c>
      <c r="W14" s="16">
        <f t="shared" si="14"/>
        <v>1264.8</v>
      </c>
      <c r="X14" s="15"/>
      <c r="Y14" s="15"/>
      <c r="AA14" s="14" t="s">
        <v>58</v>
      </c>
      <c r="AB14" s="13">
        <v>362.5</v>
      </c>
      <c r="AC14" s="13">
        <v>164.86</v>
      </c>
      <c r="AD14" s="13">
        <v>197.6</v>
      </c>
      <c r="AE14" s="13">
        <v>1841.8</v>
      </c>
      <c r="AF14" s="13">
        <v>577.03</v>
      </c>
      <c r="AG14" s="13">
        <v>1264.8</v>
      </c>
      <c r="AJ14">
        <v>814</v>
      </c>
      <c r="AK14">
        <v>1138</v>
      </c>
      <c r="AM14" s="59" t="s">
        <v>375</v>
      </c>
      <c r="AN14" s="63">
        <v>1067</v>
      </c>
      <c r="AO14" s="61">
        <v>925</v>
      </c>
      <c r="AP14" s="60">
        <v>777</v>
      </c>
      <c r="AQ14" s="60">
        <v>499</v>
      </c>
      <c r="AR14" s="60">
        <v>88</v>
      </c>
      <c r="AS14" s="60">
        <v>75</v>
      </c>
      <c r="AT14" s="60">
        <v>63</v>
      </c>
      <c r="AU14" s="60">
        <v>31</v>
      </c>
      <c r="AV14" s="64">
        <f t="shared" si="15"/>
        <v>9.4148660735301037E-2</v>
      </c>
      <c r="AW14" s="64">
        <f t="shared" si="16"/>
        <v>9.2558311736393922E-2</v>
      </c>
      <c r="AX14" s="64">
        <f t="shared" si="17"/>
        <v>9.2558311736393922E-2</v>
      </c>
      <c r="AY14" s="64">
        <f t="shared" si="18"/>
        <v>7.0918091891545645E-2</v>
      </c>
      <c r="AZ14" s="66">
        <f t="shared" si="19"/>
        <v>824.74226804123714</v>
      </c>
      <c r="BA14" s="66">
        <f t="shared" si="20"/>
        <v>810.81081081081084</v>
      </c>
      <c r="BB14" s="66">
        <f t="shared" si="21"/>
        <v>810.81081081081084</v>
      </c>
      <c r="BC14" s="66">
        <f t="shared" si="22"/>
        <v>621.24248496993982</v>
      </c>
    </row>
    <row r="15" spans="1:55" ht="16.5" thickBot="1">
      <c r="A15" s="6" t="s">
        <v>16</v>
      </c>
      <c r="B15" s="7">
        <v>1272</v>
      </c>
      <c r="C15" s="7">
        <v>774</v>
      </c>
      <c r="D15" s="7">
        <v>19</v>
      </c>
      <c r="E15" s="7">
        <v>1</v>
      </c>
      <c r="F15">
        <f t="shared" si="3"/>
        <v>498</v>
      </c>
      <c r="G15">
        <f t="shared" si="4"/>
        <v>18</v>
      </c>
      <c r="H15">
        <f t="shared" si="5"/>
        <v>1253</v>
      </c>
      <c r="J15" t="s">
        <v>92</v>
      </c>
      <c r="K15">
        <f t="shared" si="6"/>
        <v>565</v>
      </c>
      <c r="L15">
        <f t="shared" si="7"/>
        <v>677</v>
      </c>
      <c r="M15" s="8">
        <f t="shared" si="8"/>
        <v>773</v>
      </c>
      <c r="N15" s="8">
        <f t="shared" si="9"/>
        <v>774</v>
      </c>
      <c r="O15" s="16">
        <f t="shared" si="10"/>
        <v>825.56</v>
      </c>
      <c r="P15" s="16">
        <f t="shared" si="11"/>
        <v>947.02</v>
      </c>
      <c r="R15" s="8">
        <v>323</v>
      </c>
      <c r="S15" s="9">
        <v>441</v>
      </c>
      <c r="T15" s="8">
        <f t="shared" si="0"/>
        <v>480</v>
      </c>
      <c r="U15" s="8">
        <f t="shared" si="12"/>
        <v>498</v>
      </c>
      <c r="V15" s="16">
        <f t="shared" si="13"/>
        <v>544.09999999999991</v>
      </c>
      <c r="W15" s="16">
        <f t="shared" si="14"/>
        <v>759.8</v>
      </c>
      <c r="X15" s="15"/>
      <c r="Y15" s="15"/>
      <c r="AA15" s="14" t="s">
        <v>59</v>
      </c>
      <c r="AB15" s="13">
        <v>337.2</v>
      </c>
      <c r="AC15" s="13">
        <v>121.46</v>
      </c>
      <c r="AD15" s="13">
        <v>215.7</v>
      </c>
      <c r="AE15" s="13">
        <v>1706.8</v>
      </c>
      <c r="AF15" s="13">
        <v>947.02</v>
      </c>
      <c r="AG15" s="13">
        <v>759.8</v>
      </c>
      <c r="AJ15">
        <v>888</v>
      </c>
      <c r="AK15">
        <v>1118</v>
      </c>
      <c r="AM15" s="59" t="s">
        <v>376</v>
      </c>
      <c r="AN15" s="63">
        <v>544</v>
      </c>
      <c r="AO15" s="61">
        <v>480</v>
      </c>
      <c r="AP15" s="60">
        <v>441</v>
      </c>
      <c r="AQ15" s="60">
        <v>323</v>
      </c>
      <c r="AR15" s="60">
        <v>45</v>
      </c>
      <c r="AS15" s="60">
        <v>46</v>
      </c>
      <c r="AT15" s="60">
        <v>36</v>
      </c>
      <c r="AU15" s="60">
        <v>18</v>
      </c>
      <c r="AV15" s="64">
        <f t="shared" si="15"/>
        <v>9.4429895245769543E-2</v>
      </c>
      <c r="AW15" s="64">
        <f t="shared" si="16"/>
        <v>0.10939878234398782</v>
      </c>
      <c r="AX15" s="64">
        <f t="shared" si="17"/>
        <v>9.3187960115553067E-2</v>
      </c>
      <c r="AY15" s="64">
        <f t="shared" si="18"/>
        <v>6.3615929428728957E-2</v>
      </c>
      <c r="AZ15" s="66">
        <f t="shared" si="19"/>
        <v>827.20588235294122</v>
      </c>
      <c r="BA15" s="66">
        <f t="shared" si="20"/>
        <v>958.33333333333337</v>
      </c>
      <c r="BB15" s="66">
        <f t="shared" si="21"/>
        <v>816.32653061224494</v>
      </c>
      <c r="BC15" s="66">
        <f t="shared" si="22"/>
        <v>557.27554179566562</v>
      </c>
    </row>
    <row r="16" spans="1:55" ht="16.5" thickBot="1">
      <c r="A16" s="6" t="s">
        <v>17</v>
      </c>
      <c r="B16" s="7">
        <v>179</v>
      </c>
      <c r="C16" s="7">
        <v>38</v>
      </c>
      <c r="D16" s="7">
        <v>10</v>
      </c>
      <c r="E16" s="7">
        <v>0</v>
      </c>
      <c r="F16">
        <f t="shared" si="3"/>
        <v>141</v>
      </c>
      <c r="G16">
        <f t="shared" si="4"/>
        <v>10</v>
      </c>
      <c r="H16">
        <f t="shared" si="5"/>
        <v>169</v>
      </c>
      <c r="J16" t="s">
        <v>93</v>
      </c>
      <c r="K16">
        <f t="shared" si="6"/>
        <v>-17</v>
      </c>
      <c r="L16">
        <f t="shared" si="7"/>
        <v>37</v>
      </c>
      <c r="M16" s="8">
        <f t="shared" ref="M16:M35" si="23">C16-E16</f>
        <v>38</v>
      </c>
      <c r="N16" s="8">
        <f t="shared" ref="N16:N35" si="24">C16</f>
        <v>38</v>
      </c>
      <c r="O16" s="16">
        <f t="shared" ref="O16:O35" si="25">AF16-AC16</f>
        <v>37.799999999999997</v>
      </c>
      <c r="P16" s="16">
        <f t="shared" ref="P16:P35" si="26">AF16</f>
        <v>39.159999999999997</v>
      </c>
      <c r="R16" s="8">
        <v>109</v>
      </c>
      <c r="S16" s="9">
        <v>111</v>
      </c>
      <c r="T16" s="8">
        <f t="shared" ref="T16:T35" si="27">F16-G16</f>
        <v>131</v>
      </c>
      <c r="U16" s="8">
        <f t="shared" ref="U16:U35" si="28">B16-C16</f>
        <v>141</v>
      </c>
      <c r="V16" s="16">
        <f t="shared" ref="V16:V35" si="29">AG16-AD16</f>
        <v>164.3</v>
      </c>
      <c r="W16" s="16">
        <f t="shared" ref="W16:W35" si="30">AG16</f>
        <v>237.9</v>
      </c>
      <c r="X16" s="15"/>
      <c r="Y16" s="15"/>
      <c r="AA16" s="14" t="s">
        <v>60</v>
      </c>
      <c r="AB16" s="13">
        <v>75</v>
      </c>
      <c r="AC16" s="13">
        <v>1.36</v>
      </c>
      <c r="AD16" s="13">
        <v>73.599999999999994</v>
      </c>
      <c r="AE16" s="13">
        <v>277</v>
      </c>
      <c r="AF16" s="13">
        <v>39.159999999999997</v>
      </c>
      <c r="AG16" s="13">
        <v>237.9</v>
      </c>
      <c r="AJ16">
        <v>92</v>
      </c>
      <c r="AK16">
        <v>148</v>
      </c>
      <c r="AM16" s="59" t="s">
        <v>377</v>
      </c>
      <c r="AN16" s="63">
        <v>164</v>
      </c>
      <c r="AO16" s="61">
        <v>131</v>
      </c>
      <c r="AP16" s="60">
        <v>111</v>
      </c>
      <c r="AQ16" s="58">
        <v>109</v>
      </c>
      <c r="AR16" s="58">
        <v>15</v>
      </c>
      <c r="AS16" s="58">
        <v>11</v>
      </c>
      <c r="AT16" s="60">
        <v>9</v>
      </c>
      <c r="AU16" s="60">
        <v>3</v>
      </c>
      <c r="AV16" s="64">
        <f t="shared" si="15"/>
        <v>0.10441029067824925</v>
      </c>
      <c r="AW16" s="64">
        <f t="shared" si="16"/>
        <v>9.585555439367005E-2</v>
      </c>
      <c r="AX16" s="64">
        <f t="shared" si="17"/>
        <v>9.2558311736393922E-2</v>
      </c>
      <c r="AY16" s="64">
        <f t="shared" si="18"/>
        <v>3.1418876460977754E-2</v>
      </c>
      <c r="AZ16" s="66">
        <f t="shared" si="19"/>
        <v>914.63414634146341</v>
      </c>
      <c r="BA16" s="66">
        <f t="shared" si="20"/>
        <v>839.69465648854964</v>
      </c>
      <c r="BB16" s="66">
        <f t="shared" si="21"/>
        <v>810.81081081081084</v>
      </c>
      <c r="BC16" s="66">
        <f t="shared" si="22"/>
        <v>275.22935779816515</v>
      </c>
    </row>
    <row r="17" spans="1:55" ht="16.5" thickBot="1">
      <c r="A17" s="6" t="s">
        <v>18</v>
      </c>
      <c r="B17" s="7">
        <v>678</v>
      </c>
      <c r="C17" s="7">
        <v>394</v>
      </c>
      <c r="D17" s="7">
        <v>48</v>
      </c>
      <c r="E17" s="7">
        <v>27</v>
      </c>
      <c r="F17">
        <f t="shared" si="3"/>
        <v>284</v>
      </c>
      <c r="G17">
        <f t="shared" si="4"/>
        <v>21</v>
      </c>
      <c r="H17">
        <f t="shared" si="5"/>
        <v>630</v>
      </c>
      <c r="J17" t="s">
        <v>94</v>
      </c>
      <c r="K17">
        <f t="shared" si="6"/>
        <v>277</v>
      </c>
      <c r="L17">
        <f t="shared" si="7"/>
        <v>294</v>
      </c>
      <c r="M17" s="8">
        <f t="shared" si="23"/>
        <v>367</v>
      </c>
      <c r="N17" s="8">
        <f t="shared" si="24"/>
        <v>394</v>
      </c>
      <c r="O17" s="16">
        <f t="shared" si="25"/>
        <v>476.66</v>
      </c>
      <c r="P17" s="16">
        <f t="shared" si="26"/>
        <v>551.95000000000005</v>
      </c>
      <c r="R17" s="8">
        <v>172</v>
      </c>
      <c r="S17" s="9">
        <v>242</v>
      </c>
      <c r="T17" s="8">
        <f t="shared" si="27"/>
        <v>263</v>
      </c>
      <c r="U17" s="8">
        <f t="shared" si="28"/>
        <v>284</v>
      </c>
      <c r="V17" s="16">
        <f t="shared" si="29"/>
        <v>299.2</v>
      </c>
      <c r="W17" s="16">
        <f t="shared" si="30"/>
        <v>359.2</v>
      </c>
      <c r="X17" s="15"/>
      <c r="Y17" s="15"/>
      <c r="AA17" s="14" t="s">
        <v>61</v>
      </c>
      <c r="AB17" s="13">
        <v>135.30000000000001</v>
      </c>
      <c r="AC17" s="13">
        <v>75.290000000000006</v>
      </c>
      <c r="AD17" s="13">
        <v>60</v>
      </c>
      <c r="AE17" s="13">
        <v>911.1</v>
      </c>
      <c r="AF17" s="13">
        <v>551.95000000000005</v>
      </c>
      <c r="AG17" s="13">
        <v>359.2</v>
      </c>
      <c r="AJ17">
        <v>449</v>
      </c>
      <c r="AK17">
        <v>536</v>
      </c>
      <c r="AM17" s="59" t="s">
        <v>378</v>
      </c>
      <c r="AN17" s="63">
        <v>299</v>
      </c>
      <c r="AO17" s="61">
        <v>262</v>
      </c>
      <c r="AP17" s="60">
        <v>242</v>
      </c>
      <c r="AQ17" s="60">
        <v>172</v>
      </c>
      <c r="AR17" s="60">
        <v>26</v>
      </c>
      <c r="AS17" s="60">
        <v>24</v>
      </c>
      <c r="AT17" s="60">
        <v>21</v>
      </c>
      <c r="AU17" s="60">
        <v>8</v>
      </c>
      <c r="AV17" s="64">
        <f t="shared" si="15"/>
        <v>9.9265435775263047E-2</v>
      </c>
      <c r="AW17" s="64">
        <f t="shared" si="16"/>
        <v>0.10456969570218551</v>
      </c>
      <c r="AX17" s="64">
        <f t="shared" si="17"/>
        <v>9.9060341899694329E-2</v>
      </c>
      <c r="AY17" s="64">
        <f t="shared" si="18"/>
        <v>5.3095465647233726E-2</v>
      </c>
      <c r="AZ17" s="66">
        <f t="shared" si="19"/>
        <v>869.56521739130437</v>
      </c>
      <c r="BA17" s="66">
        <f t="shared" si="20"/>
        <v>916.03053435114509</v>
      </c>
      <c r="BB17" s="66">
        <f t="shared" si="21"/>
        <v>867.76859504132233</v>
      </c>
      <c r="BC17" s="66">
        <f t="shared" si="22"/>
        <v>465.11627906976742</v>
      </c>
    </row>
    <row r="18" spans="1:55" ht="16.5" thickBot="1">
      <c r="A18" s="6" t="s">
        <v>19</v>
      </c>
      <c r="B18" s="7">
        <v>1801</v>
      </c>
      <c r="C18" s="7">
        <v>739</v>
      </c>
      <c r="D18" s="7">
        <v>181</v>
      </c>
      <c r="E18" s="7">
        <v>62</v>
      </c>
      <c r="F18">
        <f t="shared" si="3"/>
        <v>1062</v>
      </c>
      <c r="G18">
        <f t="shared" si="4"/>
        <v>119</v>
      </c>
      <c r="H18">
        <f t="shared" si="5"/>
        <v>1620</v>
      </c>
      <c r="J18" t="s">
        <v>95</v>
      </c>
      <c r="K18">
        <f t="shared" si="6"/>
        <v>578</v>
      </c>
      <c r="L18">
        <f t="shared" si="7"/>
        <v>648</v>
      </c>
      <c r="M18" s="8">
        <f t="shared" si="23"/>
        <v>677</v>
      </c>
      <c r="N18" s="8">
        <f t="shared" si="24"/>
        <v>739</v>
      </c>
      <c r="O18" s="16">
        <f t="shared" si="25"/>
        <v>805.02</v>
      </c>
      <c r="P18" s="16">
        <f t="shared" si="26"/>
        <v>1008.97</v>
      </c>
      <c r="R18" s="8">
        <v>474</v>
      </c>
      <c r="S18" s="9">
        <v>713</v>
      </c>
      <c r="T18" s="8">
        <f t="shared" si="27"/>
        <v>943</v>
      </c>
      <c r="U18" s="8">
        <f t="shared" si="28"/>
        <v>1062</v>
      </c>
      <c r="V18" s="16">
        <f t="shared" si="29"/>
        <v>1467.4</v>
      </c>
      <c r="W18" s="16">
        <f t="shared" si="30"/>
        <v>2334.4</v>
      </c>
      <c r="X18" s="15"/>
      <c r="Y18" s="15"/>
      <c r="AA18" s="14" t="s">
        <v>51</v>
      </c>
      <c r="AB18" s="13">
        <v>1070.9000000000001</v>
      </c>
      <c r="AC18" s="13">
        <v>203.95</v>
      </c>
      <c r="AD18" s="13">
        <v>867</v>
      </c>
      <c r="AE18" s="13">
        <v>3343.4</v>
      </c>
      <c r="AF18" s="13">
        <v>1008.97</v>
      </c>
      <c r="AG18" s="13">
        <v>2334.4</v>
      </c>
      <c r="AJ18">
        <v>1052</v>
      </c>
      <c r="AK18">
        <v>1361</v>
      </c>
      <c r="AM18" s="59" t="s">
        <v>379</v>
      </c>
      <c r="AN18" s="63">
        <v>1467</v>
      </c>
      <c r="AO18" s="61">
        <v>942</v>
      </c>
      <c r="AP18" s="60">
        <v>713</v>
      </c>
      <c r="AQ18" s="60">
        <v>474</v>
      </c>
      <c r="AR18" s="60">
        <v>117</v>
      </c>
      <c r="AS18" s="60">
        <v>80</v>
      </c>
      <c r="AT18" s="60">
        <v>60</v>
      </c>
      <c r="AU18" s="60">
        <v>20</v>
      </c>
      <c r="AV18" s="64">
        <f t="shared" si="15"/>
        <v>9.1044065327618565E-2</v>
      </c>
      <c r="AW18" s="64">
        <f t="shared" si="16"/>
        <v>9.6947134727433132E-2</v>
      </c>
      <c r="AX18" s="64">
        <f t="shared" si="17"/>
        <v>9.6063324943802958E-2</v>
      </c>
      <c r="AY18" s="64">
        <f t="shared" si="18"/>
        <v>4.816677263356646E-2</v>
      </c>
      <c r="AZ18" s="66">
        <f t="shared" si="19"/>
        <v>797.54601226993861</v>
      </c>
      <c r="BA18" s="66">
        <f t="shared" si="20"/>
        <v>849.25690021231424</v>
      </c>
      <c r="BB18" s="66">
        <f t="shared" si="21"/>
        <v>841.51472650771393</v>
      </c>
      <c r="BC18" s="66">
        <f t="shared" si="22"/>
        <v>421.94092827004221</v>
      </c>
    </row>
    <row r="19" spans="1:55" ht="16.5" thickBot="1">
      <c r="A19" s="6" t="s">
        <v>20</v>
      </c>
      <c r="B19" s="7">
        <v>1089</v>
      </c>
      <c r="C19" s="7">
        <v>600</v>
      </c>
      <c r="D19" s="7">
        <v>35</v>
      </c>
      <c r="E19" s="7">
        <v>0</v>
      </c>
      <c r="F19">
        <f t="shared" si="3"/>
        <v>489</v>
      </c>
      <c r="G19">
        <f t="shared" si="4"/>
        <v>35</v>
      </c>
      <c r="H19">
        <f t="shared" si="5"/>
        <v>1054</v>
      </c>
      <c r="J19" t="s">
        <v>96</v>
      </c>
      <c r="K19">
        <f t="shared" si="6"/>
        <v>492</v>
      </c>
      <c r="L19">
        <f t="shared" si="7"/>
        <v>600</v>
      </c>
      <c r="M19" s="8">
        <f t="shared" si="23"/>
        <v>600</v>
      </c>
      <c r="N19" s="8">
        <f t="shared" si="24"/>
        <v>600</v>
      </c>
      <c r="O19" s="16">
        <f t="shared" si="25"/>
        <v>603.84999999999991</v>
      </c>
      <c r="P19" s="16">
        <f t="shared" si="26"/>
        <v>625.79999999999995</v>
      </c>
      <c r="R19" s="8">
        <v>211</v>
      </c>
      <c r="S19" s="9">
        <v>391</v>
      </c>
      <c r="T19" s="8">
        <f t="shared" si="27"/>
        <v>454</v>
      </c>
      <c r="U19" s="8">
        <f t="shared" si="28"/>
        <v>489</v>
      </c>
      <c r="V19" s="16">
        <f t="shared" si="29"/>
        <v>570.79999999999995</v>
      </c>
      <c r="W19" s="16">
        <f t="shared" si="30"/>
        <v>929.8</v>
      </c>
      <c r="X19" s="15"/>
      <c r="Y19" s="15"/>
      <c r="AA19" s="14" t="s">
        <v>62</v>
      </c>
      <c r="AB19" s="13">
        <v>381</v>
      </c>
      <c r="AC19" s="13">
        <v>21.95</v>
      </c>
      <c r="AD19" s="13">
        <v>359</v>
      </c>
      <c r="AE19" s="13">
        <v>1555.6</v>
      </c>
      <c r="AF19" s="13">
        <v>625.79999999999995</v>
      </c>
      <c r="AG19" s="13">
        <v>929.8</v>
      </c>
      <c r="AJ19">
        <v>703</v>
      </c>
      <c r="AK19">
        <v>991</v>
      </c>
      <c r="AM19" s="59" t="s">
        <v>380</v>
      </c>
      <c r="AN19" s="63">
        <v>571</v>
      </c>
      <c r="AO19" s="61">
        <v>454</v>
      </c>
      <c r="AP19" s="60">
        <v>391</v>
      </c>
      <c r="AQ19" s="60">
        <v>211</v>
      </c>
      <c r="AR19" s="60">
        <v>49</v>
      </c>
      <c r="AS19" s="60">
        <v>38</v>
      </c>
      <c r="AT19" s="60">
        <v>27</v>
      </c>
      <c r="AU19" s="60">
        <v>4</v>
      </c>
      <c r="AV19" s="64">
        <f t="shared" si="15"/>
        <v>9.7961599053171158E-2</v>
      </c>
      <c r="AW19" s="64">
        <f t="shared" si="16"/>
        <v>9.5548448092048363E-2</v>
      </c>
      <c r="AX19" s="64">
        <f t="shared" si="17"/>
        <v>7.8828434292120664E-2</v>
      </c>
      <c r="AY19" s="64">
        <f t="shared" si="18"/>
        <v>2.1640805903611851E-2</v>
      </c>
      <c r="AZ19" s="66">
        <f t="shared" si="19"/>
        <v>858.14360770577935</v>
      </c>
      <c r="BA19" s="66">
        <f t="shared" si="20"/>
        <v>837.00440528634363</v>
      </c>
      <c r="BB19" s="66">
        <f t="shared" si="21"/>
        <v>690.53708439897696</v>
      </c>
      <c r="BC19" s="66">
        <f t="shared" si="22"/>
        <v>189.57345971563981</v>
      </c>
    </row>
    <row r="20" spans="1:55" ht="16.5" thickBot="1">
      <c r="A20" s="6" t="s">
        <v>21</v>
      </c>
      <c r="B20" s="7">
        <v>647</v>
      </c>
      <c r="C20" s="7">
        <v>440</v>
      </c>
      <c r="D20" s="7">
        <v>26</v>
      </c>
      <c r="E20" s="7">
        <v>20</v>
      </c>
      <c r="F20">
        <f t="shared" si="3"/>
        <v>207</v>
      </c>
      <c r="G20">
        <f t="shared" si="4"/>
        <v>6</v>
      </c>
      <c r="H20">
        <f t="shared" si="5"/>
        <v>621</v>
      </c>
      <c r="J20" t="s">
        <v>97</v>
      </c>
      <c r="K20">
        <f t="shared" si="6"/>
        <v>236</v>
      </c>
      <c r="L20">
        <f t="shared" si="7"/>
        <v>335</v>
      </c>
      <c r="M20" s="8">
        <f t="shared" si="23"/>
        <v>420</v>
      </c>
      <c r="N20" s="8">
        <f t="shared" si="24"/>
        <v>440</v>
      </c>
      <c r="O20" s="16">
        <f t="shared" si="25"/>
        <v>485.65999999999997</v>
      </c>
      <c r="P20" s="16">
        <f t="shared" si="26"/>
        <v>713</v>
      </c>
      <c r="R20" s="8">
        <v>177</v>
      </c>
      <c r="S20" s="9">
        <v>175</v>
      </c>
      <c r="T20" s="8">
        <f t="shared" si="27"/>
        <v>201</v>
      </c>
      <c r="U20" s="8">
        <f t="shared" si="28"/>
        <v>207</v>
      </c>
      <c r="V20" s="16">
        <f t="shared" si="29"/>
        <v>211.9</v>
      </c>
      <c r="W20" s="16">
        <f t="shared" si="30"/>
        <v>239.6</v>
      </c>
      <c r="X20" s="15"/>
      <c r="Y20" s="15"/>
      <c r="AA20" s="14" t="s">
        <v>63</v>
      </c>
      <c r="AB20" s="13">
        <v>255</v>
      </c>
      <c r="AC20" s="13">
        <v>227.34</v>
      </c>
      <c r="AD20" s="13">
        <v>27.7</v>
      </c>
      <c r="AE20" s="13">
        <v>952.6</v>
      </c>
      <c r="AF20" s="13">
        <v>713</v>
      </c>
      <c r="AG20" s="13">
        <v>239.6</v>
      </c>
      <c r="AJ20">
        <v>413</v>
      </c>
      <c r="AK20">
        <v>510</v>
      </c>
      <c r="AM20" s="59" t="s">
        <v>381</v>
      </c>
      <c r="AN20" s="63">
        <v>212</v>
      </c>
      <c r="AO20" s="61">
        <v>202</v>
      </c>
      <c r="AP20" s="60">
        <v>175</v>
      </c>
      <c r="AQ20" s="60">
        <v>177</v>
      </c>
      <c r="AR20" s="60">
        <v>19</v>
      </c>
      <c r="AS20" s="60">
        <v>17</v>
      </c>
      <c r="AT20" s="60">
        <v>13</v>
      </c>
      <c r="AU20" s="60">
        <v>5</v>
      </c>
      <c r="AV20" s="64">
        <f t="shared" si="15"/>
        <v>0.10230895149478762</v>
      </c>
      <c r="AW20" s="64">
        <f t="shared" si="16"/>
        <v>9.6071250960712506E-2</v>
      </c>
      <c r="AX20" s="64">
        <f t="shared" si="17"/>
        <v>8.4801043705153289E-2</v>
      </c>
      <c r="AY20" s="64">
        <f t="shared" si="18"/>
        <v>3.2247246085184325E-2</v>
      </c>
      <c r="AZ20" s="66">
        <f t="shared" si="19"/>
        <v>896.22641509433959</v>
      </c>
      <c r="BA20" s="66">
        <f t="shared" si="20"/>
        <v>841.58415841584156</v>
      </c>
      <c r="BB20" s="66">
        <f t="shared" si="21"/>
        <v>742.85714285714289</v>
      </c>
      <c r="BC20" s="66">
        <f t="shared" si="22"/>
        <v>282.4858757062147</v>
      </c>
    </row>
    <row r="21" spans="1:55" ht="16.5" thickBot="1">
      <c r="A21" s="6" t="s">
        <v>22</v>
      </c>
      <c r="B21" s="7">
        <v>360</v>
      </c>
      <c r="C21" s="7">
        <v>169</v>
      </c>
      <c r="D21" s="7">
        <v>16</v>
      </c>
      <c r="E21" s="7">
        <v>14</v>
      </c>
      <c r="F21">
        <f t="shared" si="3"/>
        <v>191</v>
      </c>
      <c r="G21">
        <f t="shared" si="4"/>
        <v>2</v>
      </c>
      <c r="H21">
        <f t="shared" si="5"/>
        <v>344</v>
      </c>
      <c r="J21" t="s">
        <v>98</v>
      </c>
      <c r="K21">
        <f t="shared" si="6"/>
        <v>86</v>
      </c>
      <c r="L21">
        <f t="shared" si="7"/>
        <v>126</v>
      </c>
      <c r="M21" s="8">
        <f t="shared" si="23"/>
        <v>155</v>
      </c>
      <c r="N21" s="8">
        <f t="shared" si="24"/>
        <v>169</v>
      </c>
      <c r="O21" s="16">
        <f t="shared" si="25"/>
        <v>190.62</v>
      </c>
      <c r="P21" s="16">
        <f t="shared" si="26"/>
        <v>220.15</v>
      </c>
      <c r="R21" s="8">
        <v>90</v>
      </c>
      <c r="S21" s="9">
        <v>166</v>
      </c>
      <c r="T21" s="8">
        <f t="shared" si="27"/>
        <v>189</v>
      </c>
      <c r="U21" s="8">
        <f t="shared" si="28"/>
        <v>191</v>
      </c>
      <c r="V21" s="16">
        <f t="shared" si="29"/>
        <v>200.1</v>
      </c>
      <c r="W21" s="16">
        <f t="shared" si="30"/>
        <v>231</v>
      </c>
      <c r="X21" s="15"/>
      <c r="Y21" s="15"/>
      <c r="AA21" s="14" t="s">
        <v>64</v>
      </c>
      <c r="AB21" s="13">
        <v>60.5</v>
      </c>
      <c r="AC21" s="13">
        <v>29.53</v>
      </c>
      <c r="AD21" s="13">
        <v>30.9</v>
      </c>
      <c r="AE21" s="13">
        <v>451.1</v>
      </c>
      <c r="AF21" s="13">
        <v>220.15</v>
      </c>
      <c r="AG21" s="13">
        <v>231</v>
      </c>
      <c r="AJ21">
        <v>176</v>
      </c>
      <c r="AK21">
        <v>292</v>
      </c>
      <c r="AM21" s="59" t="s">
        <v>382</v>
      </c>
      <c r="AN21" s="63">
        <v>200</v>
      </c>
      <c r="AO21" s="61">
        <v>189</v>
      </c>
      <c r="AP21" s="60">
        <v>166</v>
      </c>
      <c r="AQ21" s="60">
        <v>90</v>
      </c>
      <c r="AR21" s="60">
        <v>14</v>
      </c>
      <c r="AS21" s="60">
        <v>13</v>
      </c>
      <c r="AT21" s="60">
        <v>10</v>
      </c>
      <c r="AU21" s="60">
        <v>4</v>
      </c>
      <c r="AV21" s="64">
        <f t="shared" si="15"/>
        <v>7.9908675799086754E-2</v>
      </c>
      <c r="AW21" s="64">
        <f t="shared" si="16"/>
        <v>7.8519484912178972E-2</v>
      </c>
      <c r="AX21" s="64">
        <f t="shared" si="17"/>
        <v>6.87682235792485E-2</v>
      </c>
      <c r="AY21" s="64">
        <f t="shared" si="18"/>
        <v>5.0735667174023336E-2</v>
      </c>
      <c r="AZ21" s="66">
        <f t="shared" si="19"/>
        <v>700</v>
      </c>
      <c r="BA21" s="66">
        <f t="shared" si="20"/>
        <v>687.83068783068779</v>
      </c>
      <c r="BB21" s="66">
        <f t="shared" si="21"/>
        <v>602.40963855421683</v>
      </c>
      <c r="BC21" s="66">
        <f t="shared" si="22"/>
        <v>444.44444444444446</v>
      </c>
    </row>
    <row r="22" spans="1:55" ht="16.5" thickBot="1">
      <c r="A22" s="6" t="s">
        <v>23</v>
      </c>
      <c r="B22" s="7">
        <v>697</v>
      </c>
      <c r="C22" s="7">
        <v>371</v>
      </c>
      <c r="D22" s="7">
        <v>87</v>
      </c>
      <c r="E22" s="7">
        <v>69</v>
      </c>
      <c r="F22">
        <f t="shared" si="3"/>
        <v>326</v>
      </c>
      <c r="G22">
        <f t="shared" si="4"/>
        <v>18</v>
      </c>
      <c r="H22">
        <f t="shared" si="5"/>
        <v>610</v>
      </c>
      <c r="J22" t="s">
        <v>99</v>
      </c>
      <c r="K22">
        <f t="shared" si="6"/>
        <v>210</v>
      </c>
      <c r="L22">
        <f t="shared" si="7"/>
        <v>318</v>
      </c>
      <c r="M22" s="8">
        <f t="shared" si="23"/>
        <v>302</v>
      </c>
      <c r="N22" s="8">
        <f t="shared" si="24"/>
        <v>371</v>
      </c>
      <c r="O22" s="16">
        <f t="shared" si="25"/>
        <v>408.82</v>
      </c>
      <c r="P22" s="16">
        <f t="shared" si="26"/>
        <v>508.2</v>
      </c>
      <c r="R22" s="8">
        <v>122</v>
      </c>
      <c r="S22" s="9">
        <v>209</v>
      </c>
      <c r="T22" s="8">
        <f t="shared" si="27"/>
        <v>308</v>
      </c>
      <c r="U22" s="8">
        <f t="shared" si="28"/>
        <v>326</v>
      </c>
      <c r="V22" s="16">
        <f t="shared" si="29"/>
        <v>384.9</v>
      </c>
      <c r="W22" s="16">
        <f t="shared" si="30"/>
        <v>511.9</v>
      </c>
      <c r="X22" s="15"/>
      <c r="Y22" s="15"/>
      <c r="AA22" s="14" t="s">
        <v>74</v>
      </c>
      <c r="AB22" s="13">
        <v>226.4</v>
      </c>
      <c r="AC22" s="13">
        <v>99.38</v>
      </c>
      <c r="AD22" s="13">
        <v>127</v>
      </c>
      <c r="AE22" s="13">
        <v>1020.1</v>
      </c>
      <c r="AF22" s="13">
        <v>508.2</v>
      </c>
      <c r="AG22" s="13">
        <v>511.9</v>
      </c>
      <c r="AJ22">
        <v>332</v>
      </c>
      <c r="AK22">
        <v>527</v>
      </c>
      <c r="AM22" s="59" t="s">
        <v>383</v>
      </c>
      <c r="AN22" s="63">
        <v>385</v>
      </c>
      <c r="AO22" s="61">
        <v>256</v>
      </c>
      <c r="AP22" s="60">
        <v>209</v>
      </c>
      <c r="AQ22" s="60">
        <v>122</v>
      </c>
      <c r="AR22" s="60">
        <v>32</v>
      </c>
      <c r="AS22" s="60">
        <v>22</v>
      </c>
      <c r="AT22" s="60">
        <v>15</v>
      </c>
      <c r="AU22" s="60">
        <v>8</v>
      </c>
      <c r="AV22" s="64">
        <f t="shared" si="15"/>
        <v>9.4882286663108578E-2</v>
      </c>
      <c r="AW22" s="64">
        <f t="shared" si="16"/>
        <v>9.8102168949771695E-2</v>
      </c>
      <c r="AX22" s="64">
        <f t="shared" si="17"/>
        <v>8.1929606082453962E-2</v>
      </c>
      <c r="AY22" s="64">
        <f t="shared" si="18"/>
        <v>7.4855902387903281E-2</v>
      </c>
      <c r="AZ22" s="66">
        <f t="shared" si="19"/>
        <v>831.16883116883116</v>
      </c>
      <c r="BA22" s="66">
        <f t="shared" si="20"/>
        <v>859.375</v>
      </c>
      <c r="BB22" s="66">
        <f t="shared" si="21"/>
        <v>717.7033492822967</v>
      </c>
      <c r="BC22" s="66">
        <f t="shared" si="22"/>
        <v>655.73770491803282</v>
      </c>
    </row>
    <row r="23" spans="1:55" ht="16.5" thickBot="1">
      <c r="A23" s="6" t="s">
        <v>24</v>
      </c>
      <c r="B23" s="7">
        <v>165</v>
      </c>
      <c r="C23" s="7">
        <v>132</v>
      </c>
      <c r="D23" s="7">
        <v>30</v>
      </c>
      <c r="E23" s="7">
        <v>27</v>
      </c>
      <c r="F23">
        <f t="shared" si="3"/>
        <v>33</v>
      </c>
      <c r="G23">
        <f t="shared" si="4"/>
        <v>3</v>
      </c>
      <c r="H23">
        <f t="shared" si="5"/>
        <v>135</v>
      </c>
      <c r="J23" t="s">
        <v>100</v>
      </c>
      <c r="K23">
        <f t="shared" si="6"/>
        <v>-295</v>
      </c>
      <c r="L23">
        <f t="shared" si="7"/>
        <v>95</v>
      </c>
      <c r="M23" s="8">
        <f t="shared" si="23"/>
        <v>105</v>
      </c>
      <c r="N23" s="8">
        <f t="shared" si="24"/>
        <v>132</v>
      </c>
      <c r="O23" s="16">
        <f t="shared" si="25"/>
        <v>162.46000000000004</v>
      </c>
      <c r="P23" s="16">
        <f t="shared" si="26"/>
        <v>259.16000000000003</v>
      </c>
      <c r="R23" s="8">
        <v>373</v>
      </c>
      <c r="S23" s="9">
        <v>29</v>
      </c>
      <c r="T23" s="8">
        <f t="shared" si="27"/>
        <v>30</v>
      </c>
      <c r="U23" s="8">
        <f t="shared" si="28"/>
        <v>33</v>
      </c>
      <c r="V23" s="16">
        <f t="shared" si="29"/>
        <v>42.7</v>
      </c>
      <c r="W23" s="16">
        <f t="shared" si="30"/>
        <v>52.6</v>
      </c>
      <c r="X23" s="15"/>
      <c r="Y23" s="15"/>
      <c r="AA23" s="14" t="s">
        <v>75</v>
      </c>
      <c r="AB23" s="13">
        <v>106.6</v>
      </c>
      <c r="AC23" s="13">
        <v>96.7</v>
      </c>
      <c r="AD23" s="13">
        <v>9.9</v>
      </c>
      <c r="AE23" s="13">
        <v>311.7</v>
      </c>
      <c r="AF23" s="13">
        <v>259.16000000000003</v>
      </c>
      <c r="AG23" s="13">
        <v>52.6</v>
      </c>
      <c r="AJ23">
        <v>78</v>
      </c>
      <c r="AK23">
        <v>124</v>
      </c>
      <c r="AM23" s="59" t="s">
        <v>384</v>
      </c>
      <c r="AN23" s="63">
        <v>40</v>
      </c>
      <c r="AO23" s="61">
        <v>29</v>
      </c>
      <c r="AP23" s="60">
        <v>29</v>
      </c>
      <c r="AQ23" s="60">
        <v>373</v>
      </c>
      <c r="AR23" s="60">
        <v>3</v>
      </c>
      <c r="AS23" s="60">
        <v>2</v>
      </c>
      <c r="AT23" s="60">
        <v>1</v>
      </c>
      <c r="AU23" s="60">
        <v>1</v>
      </c>
      <c r="AV23" s="64">
        <f t="shared" si="15"/>
        <v>8.5616438356164379E-2</v>
      </c>
      <c r="AW23" s="64">
        <f t="shared" si="16"/>
        <v>7.8727759407967252E-2</v>
      </c>
      <c r="AX23" s="64">
        <f t="shared" si="17"/>
        <v>3.9363879703983626E-2</v>
      </c>
      <c r="AY23" s="64">
        <f t="shared" si="18"/>
        <v>3.0604624970925606E-3</v>
      </c>
      <c r="AZ23" s="66">
        <f t="shared" si="19"/>
        <v>750</v>
      </c>
      <c r="BA23" s="66">
        <f t="shared" si="20"/>
        <v>689.65517241379314</v>
      </c>
      <c r="BB23" s="66">
        <f t="shared" si="21"/>
        <v>344.82758620689657</v>
      </c>
      <c r="BC23" s="66">
        <f t="shared" si="22"/>
        <v>26.809651474530831</v>
      </c>
    </row>
    <row r="24" spans="1:55" ht="16.5" thickBot="1">
      <c r="A24" s="6" t="s">
        <v>25</v>
      </c>
      <c r="B24" s="7">
        <v>140</v>
      </c>
      <c r="C24" s="7">
        <v>127</v>
      </c>
      <c r="D24" s="7">
        <v>0</v>
      </c>
      <c r="E24" s="7">
        <v>0</v>
      </c>
      <c r="F24">
        <f t="shared" si="3"/>
        <v>13</v>
      </c>
      <c r="G24">
        <f t="shared" si="4"/>
        <v>0</v>
      </c>
      <c r="H24">
        <f t="shared" si="5"/>
        <v>140</v>
      </c>
      <c r="J24" t="s">
        <v>101</v>
      </c>
      <c r="K24">
        <f t="shared" si="6"/>
        <v>32</v>
      </c>
      <c r="L24">
        <f t="shared" si="7"/>
        <v>123</v>
      </c>
      <c r="M24" s="8">
        <f t="shared" si="23"/>
        <v>127</v>
      </c>
      <c r="N24" s="8">
        <f t="shared" si="24"/>
        <v>127</v>
      </c>
      <c r="O24" s="16">
        <f t="shared" si="25"/>
        <v>108.00999999999999</v>
      </c>
      <c r="P24" s="16">
        <f t="shared" si="26"/>
        <v>127.1</v>
      </c>
      <c r="R24" s="8">
        <v>11</v>
      </c>
      <c r="S24" s="9">
        <v>13</v>
      </c>
      <c r="T24" s="8">
        <f t="shared" si="27"/>
        <v>13</v>
      </c>
      <c r="U24" s="8">
        <f t="shared" si="28"/>
        <v>13</v>
      </c>
      <c r="V24" s="16">
        <f t="shared" si="29"/>
        <v>12.599999999999998</v>
      </c>
      <c r="W24" s="16">
        <f t="shared" si="30"/>
        <v>19.399999999999999</v>
      </c>
      <c r="X24" s="15"/>
      <c r="Y24" s="15"/>
      <c r="AA24" s="14" t="s">
        <v>76</v>
      </c>
      <c r="AB24" s="13">
        <v>25.9</v>
      </c>
      <c r="AC24" s="13">
        <v>19.09</v>
      </c>
      <c r="AD24" s="13">
        <v>6.8</v>
      </c>
      <c r="AE24" s="13">
        <v>146.5</v>
      </c>
      <c r="AF24" s="13">
        <v>127.1</v>
      </c>
      <c r="AG24" s="13">
        <v>19.399999999999999</v>
      </c>
      <c r="AJ24">
        <v>43</v>
      </c>
      <c r="AK24">
        <v>136</v>
      </c>
      <c r="AM24" s="59" t="s">
        <v>385</v>
      </c>
      <c r="AN24" s="63">
        <v>16</v>
      </c>
      <c r="AO24" s="61">
        <v>13</v>
      </c>
      <c r="AP24" s="60">
        <v>13</v>
      </c>
      <c r="AQ24" s="60">
        <v>11</v>
      </c>
      <c r="AR24" s="60">
        <v>1</v>
      </c>
      <c r="AS24" s="60">
        <v>1</v>
      </c>
      <c r="AT24" s="60">
        <v>1</v>
      </c>
      <c r="AU24" s="60">
        <v>0.2</v>
      </c>
      <c r="AV24" s="64">
        <f t="shared" si="15"/>
        <v>7.1347031963470323E-2</v>
      </c>
      <c r="AW24" s="64">
        <f t="shared" si="16"/>
        <v>8.7811731647348082E-2</v>
      </c>
      <c r="AX24" s="64">
        <f t="shared" si="17"/>
        <v>8.7811731647348082E-2</v>
      </c>
      <c r="AY24" s="64">
        <f t="shared" si="18"/>
        <v>2.0755500207555001E-2</v>
      </c>
      <c r="AZ24" s="66">
        <f t="shared" si="19"/>
        <v>625</v>
      </c>
      <c r="BA24" s="66">
        <f t="shared" si="20"/>
        <v>769.23076923076928</v>
      </c>
      <c r="BB24" s="66">
        <f t="shared" si="21"/>
        <v>769.23076923076928</v>
      </c>
      <c r="BC24" s="66">
        <f t="shared" si="22"/>
        <v>181.81818181818181</v>
      </c>
    </row>
    <row r="25" spans="1:55" ht="16.5" thickBot="1">
      <c r="A25" s="6" t="s">
        <v>26</v>
      </c>
      <c r="B25" s="7">
        <v>65</v>
      </c>
      <c r="C25" s="7">
        <v>58</v>
      </c>
      <c r="D25" s="7">
        <v>0</v>
      </c>
      <c r="E25" s="7">
        <v>0</v>
      </c>
      <c r="F25">
        <f t="shared" si="3"/>
        <v>7</v>
      </c>
      <c r="G25">
        <f t="shared" si="4"/>
        <v>0</v>
      </c>
      <c r="H25">
        <f t="shared" si="5"/>
        <v>65</v>
      </c>
      <c r="J25" t="s">
        <v>102</v>
      </c>
      <c r="K25">
        <f t="shared" si="6"/>
        <v>0</v>
      </c>
      <c r="L25">
        <f t="shared" si="7"/>
        <v>0</v>
      </c>
      <c r="M25" s="8">
        <f t="shared" si="23"/>
        <v>58</v>
      </c>
      <c r="N25" s="8">
        <f>C25</f>
        <v>58</v>
      </c>
      <c r="O25" s="16">
        <f>AF25-AC25</f>
        <v>49.17</v>
      </c>
      <c r="P25" s="16">
        <f t="shared" si="26"/>
        <v>54.17</v>
      </c>
      <c r="R25" s="8">
        <v>12</v>
      </c>
      <c r="S25" s="9">
        <v>43</v>
      </c>
      <c r="T25" s="8">
        <f t="shared" si="27"/>
        <v>7</v>
      </c>
      <c r="U25" s="8">
        <f t="shared" si="28"/>
        <v>7</v>
      </c>
      <c r="V25" s="16">
        <f t="shared" si="29"/>
        <v>7.3999999999999995</v>
      </c>
      <c r="W25" s="16">
        <f t="shared" si="30"/>
        <v>9.1999999999999993</v>
      </c>
      <c r="X25" s="15"/>
      <c r="Y25" s="15"/>
      <c r="AA25" s="14" t="s">
        <v>65</v>
      </c>
      <c r="AB25" s="13">
        <v>6.8</v>
      </c>
      <c r="AC25" s="13">
        <v>5</v>
      </c>
      <c r="AD25" s="13">
        <v>1.8</v>
      </c>
      <c r="AE25" s="13">
        <v>63.4</v>
      </c>
      <c r="AF25" s="13">
        <v>54.17</v>
      </c>
      <c r="AG25" s="13">
        <v>9.1999999999999993</v>
      </c>
      <c r="AJ25">
        <v>12</v>
      </c>
      <c r="AK25">
        <v>43</v>
      </c>
      <c r="AM25" s="59" t="s">
        <v>386</v>
      </c>
      <c r="AN25" s="63">
        <v>7</v>
      </c>
      <c r="AO25" s="61">
        <v>65</v>
      </c>
      <c r="AP25" s="60">
        <v>43</v>
      </c>
      <c r="AQ25" s="60">
        <v>12</v>
      </c>
      <c r="AR25" s="60">
        <v>0.4</v>
      </c>
      <c r="AS25" s="60">
        <v>3</v>
      </c>
      <c r="AT25" s="60">
        <v>2</v>
      </c>
      <c r="AU25" s="60">
        <v>0.2</v>
      </c>
      <c r="AV25" s="64">
        <f t="shared" si="15"/>
        <v>6.5231572080887146E-2</v>
      </c>
      <c r="AW25" s="64">
        <f t="shared" si="16"/>
        <v>5.2687038988408853E-2</v>
      </c>
      <c r="AX25" s="64">
        <f t="shared" si="17"/>
        <v>5.3095465647233726E-2</v>
      </c>
      <c r="AY25" s="64">
        <f t="shared" si="18"/>
        <v>1.9025875190258751E-2</v>
      </c>
      <c r="AZ25" s="66">
        <f t="shared" si="19"/>
        <v>571.42857142857144</v>
      </c>
      <c r="BA25" s="66">
        <f t="shared" si="20"/>
        <v>461.53846153846155</v>
      </c>
      <c r="BB25" s="66">
        <f t="shared" si="21"/>
        <v>465.11627906976742</v>
      </c>
      <c r="BC25" s="66">
        <f t="shared" si="22"/>
        <v>166.66666666666666</v>
      </c>
    </row>
    <row r="26" spans="1:55" ht="16.5" thickBot="1">
      <c r="A26" s="6" t="s">
        <v>27</v>
      </c>
      <c r="B26" s="7">
        <v>189</v>
      </c>
      <c r="C26" s="7">
        <v>169</v>
      </c>
      <c r="D26" s="7">
        <v>1</v>
      </c>
      <c r="E26" s="7">
        <v>0</v>
      </c>
      <c r="F26">
        <f t="shared" si="3"/>
        <v>20</v>
      </c>
      <c r="G26">
        <f t="shared" si="4"/>
        <v>1</v>
      </c>
      <c r="H26">
        <f t="shared" si="5"/>
        <v>188</v>
      </c>
      <c r="J26" t="s">
        <v>103</v>
      </c>
      <c r="K26">
        <f t="shared" si="6"/>
        <v>116</v>
      </c>
      <c r="L26">
        <f t="shared" si="7"/>
        <v>168</v>
      </c>
      <c r="M26" s="8">
        <f t="shared" si="23"/>
        <v>169</v>
      </c>
      <c r="N26" s="8">
        <f t="shared" si="24"/>
        <v>169</v>
      </c>
      <c r="O26" s="16">
        <f t="shared" si="25"/>
        <v>169.01</v>
      </c>
      <c r="P26" s="16">
        <f t="shared" si="26"/>
        <v>169.01</v>
      </c>
      <c r="R26" s="8">
        <v>19</v>
      </c>
      <c r="S26" s="9">
        <v>13</v>
      </c>
      <c r="T26" s="8">
        <f t="shared" si="27"/>
        <v>19</v>
      </c>
      <c r="U26" s="8">
        <f t="shared" si="28"/>
        <v>20</v>
      </c>
      <c r="V26" s="16">
        <f t="shared" si="29"/>
        <v>22.099999999999998</v>
      </c>
      <c r="W26" s="16">
        <f t="shared" si="30"/>
        <v>26.9</v>
      </c>
      <c r="X26" s="15"/>
      <c r="Y26" s="15"/>
      <c r="AA26" s="14" t="s">
        <v>66</v>
      </c>
      <c r="AB26" s="13">
        <v>4.8</v>
      </c>
      <c r="AC26" s="13">
        <v>0</v>
      </c>
      <c r="AD26" s="13">
        <v>4.8</v>
      </c>
      <c r="AE26" s="13">
        <v>195.9</v>
      </c>
      <c r="AF26" s="13">
        <v>169.01</v>
      </c>
      <c r="AG26" s="13">
        <v>26.9</v>
      </c>
      <c r="AJ26">
        <v>135</v>
      </c>
      <c r="AK26">
        <v>181</v>
      </c>
      <c r="AM26" s="59" t="s">
        <v>387</v>
      </c>
      <c r="AN26" s="63">
        <v>22</v>
      </c>
      <c r="AO26" s="61">
        <v>19</v>
      </c>
      <c r="AP26" s="60">
        <v>13</v>
      </c>
      <c r="AQ26" s="60">
        <v>19</v>
      </c>
      <c r="AR26" s="60">
        <v>2</v>
      </c>
      <c r="AS26" s="60">
        <v>2</v>
      </c>
      <c r="AT26" s="60">
        <v>1</v>
      </c>
      <c r="AU26" s="60">
        <v>1</v>
      </c>
      <c r="AV26" s="64">
        <f t="shared" si="15"/>
        <v>0.10377750103777501</v>
      </c>
      <c r="AW26" s="64">
        <f t="shared" si="16"/>
        <v>0.12016342225426579</v>
      </c>
      <c r="AX26" s="64">
        <f t="shared" si="17"/>
        <v>8.7811731647348082E-2</v>
      </c>
      <c r="AY26" s="64">
        <f t="shared" si="18"/>
        <v>6.0081711127132897E-2</v>
      </c>
      <c r="AZ26" s="66">
        <f t="shared" si="19"/>
        <v>909.09090909090912</v>
      </c>
      <c r="BA26" s="66">
        <f t="shared" si="20"/>
        <v>1052.6315789473683</v>
      </c>
      <c r="BB26" s="66">
        <f t="shared" si="21"/>
        <v>769.23076923076928</v>
      </c>
      <c r="BC26" s="66">
        <f t="shared" si="22"/>
        <v>526.31578947368416</v>
      </c>
    </row>
    <row r="27" spans="1:55" ht="16.5" thickBot="1">
      <c r="A27" s="6" t="s">
        <v>28</v>
      </c>
      <c r="B27" s="7">
        <v>537</v>
      </c>
      <c r="C27" s="7">
        <v>518</v>
      </c>
      <c r="D27" s="7">
        <v>27</v>
      </c>
      <c r="E27" s="7">
        <v>27</v>
      </c>
      <c r="F27">
        <f t="shared" si="3"/>
        <v>19</v>
      </c>
      <c r="G27">
        <f t="shared" si="4"/>
        <v>0</v>
      </c>
      <c r="H27">
        <f t="shared" si="5"/>
        <v>510</v>
      </c>
      <c r="J27" t="s">
        <v>104</v>
      </c>
      <c r="K27">
        <f t="shared" si="6"/>
        <v>135</v>
      </c>
      <c r="L27">
        <f t="shared" si="7"/>
        <v>161</v>
      </c>
      <c r="M27" s="8">
        <f t="shared" si="23"/>
        <v>491</v>
      </c>
      <c r="N27" s="8">
        <f t="shared" si="24"/>
        <v>518</v>
      </c>
      <c r="O27" s="16">
        <f t="shared" si="25"/>
        <v>970.66999999999985</v>
      </c>
      <c r="P27" s="16">
        <f t="shared" si="26"/>
        <v>1117.5999999999999</v>
      </c>
      <c r="S27" s="9">
        <v>17</v>
      </c>
      <c r="T27" s="8">
        <f t="shared" si="27"/>
        <v>19</v>
      </c>
      <c r="U27" s="8">
        <f t="shared" si="28"/>
        <v>19</v>
      </c>
      <c r="V27" s="16">
        <f t="shared" si="29"/>
        <v>19</v>
      </c>
      <c r="W27" s="16">
        <f t="shared" si="30"/>
        <v>19.399999999999999</v>
      </c>
      <c r="X27" s="15"/>
      <c r="Y27" s="15"/>
      <c r="AA27" s="14" t="s">
        <v>77</v>
      </c>
      <c r="AB27" s="13">
        <v>147.30000000000001</v>
      </c>
      <c r="AC27" s="13">
        <v>146.93</v>
      </c>
      <c r="AD27" s="13">
        <v>0.4</v>
      </c>
      <c r="AE27" s="13">
        <v>1137</v>
      </c>
      <c r="AF27" s="13">
        <v>1117.5999999999999</v>
      </c>
      <c r="AG27" s="13">
        <v>19.399999999999999</v>
      </c>
      <c r="AJ27">
        <v>135</v>
      </c>
      <c r="AK27">
        <v>178</v>
      </c>
      <c r="AM27" s="59" t="s">
        <v>388</v>
      </c>
      <c r="AN27" s="63">
        <v>19</v>
      </c>
      <c r="AO27" s="61">
        <v>19</v>
      </c>
      <c r="AP27" s="60">
        <v>17</v>
      </c>
      <c r="AQ27" s="61"/>
      <c r="AR27" s="61">
        <v>1</v>
      </c>
      <c r="AS27" s="61">
        <v>1</v>
      </c>
      <c r="AT27" s="60">
        <v>1</v>
      </c>
      <c r="AU27" s="61"/>
      <c r="AV27" s="64">
        <f>AR27*10000/(AN27*8760)</f>
        <v>6.0081711127132897E-2</v>
      </c>
      <c r="AW27" s="64">
        <f t="shared" si="16"/>
        <v>6.0081711127132897E-2</v>
      </c>
      <c r="AX27" s="64">
        <f t="shared" si="17"/>
        <v>6.7150147730325002E-2</v>
      </c>
      <c r="AY27" s="64"/>
      <c r="AZ27" s="66">
        <f t="shared" si="19"/>
        <v>526.31578947368416</v>
      </c>
      <c r="BA27" s="66">
        <f t="shared" si="20"/>
        <v>526.31578947368416</v>
      </c>
      <c r="BB27" s="66">
        <f t="shared" si="21"/>
        <v>588.23529411764707</v>
      </c>
      <c r="BC27" s="66"/>
    </row>
    <row r="28" spans="1:55" ht="16.5" thickBot="1">
      <c r="A28" s="6" t="s">
        <v>29</v>
      </c>
      <c r="B28" s="7">
        <v>389</v>
      </c>
      <c r="C28" s="7">
        <v>352</v>
      </c>
      <c r="D28" s="7">
        <v>14</v>
      </c>
      <c r="E28" s="7">
        <v>2</v>
      </c>
      <c r="F28">
        <f t="shared" si="3"/>
        <v>37</v>
      </c>
      <c r="G28">
        <f t="shared" si="4"/>
        <v>12</v>
      </c>
      <c r="H28">
        <f t="shared" si="5"/>
        <v>375</v>
      </c>
      <c r="J28" t="s">
        <v>105</v>
      </c>
      <c r="K28">
        <f t="shared" si="6"/>
        <v>237.5</v>
      </c>
      <c r="L28">
        <f t="shared" si="7"/>
        <v>312</v>
      </c>
      <c r="M28" s="8">
        <f t="shared" si="23"/>
        <v>350</v>
      </c>
      <c r="N28" s="8">
        <f t="shared" si="24"/>
        <v>352</v>
      </c>
      <c r="O28" s="16">
        <f t="shared" si="25"/>
        <v>295.43</v>
      </c>
      <c r="P28" s="16">
        <f t="shared" si="26"/>
        <v>349.91</v>
      </c>
      <c r="R28" s="8">
        <v>0.5</v>
      </c>
      <c r="S28" s="9">
        <v>14</v>
      </c>
      <c r="T28" s="8">
        <f t="shared" si="27"/>
        <v>25</v>
      </c>
      <c r="U28" s="8">
        <f t="shared" si="28"/>
        <v>37</v>
      </c>
      <c r="V28" s="16">
        <f t="shared" si="29"/>
        <v>38.400000000000006</v>
      </c>
      <c r="W28" s="16">
        <f t="shared" si="30"/>
        <v>47.2</v>
      </c>
      <c r="X28" s="15"/>
      <c r="Y28" s="15"/>
      <c r="AA28" s="14" t="s">
        <v>78</v>
      </c>
      <c r="AB28" s="13">
        <v>63.3</v>
      </c>
      <c r="AC28" s="13">
        <v>54.48</v>
      </c>
      <c r="AD28" s="13">
        <v>8.8000000000000007</v>
      </c>
      <c r="AE28" s="13">
        <v>397.1</v>
      </c>
      <c r="AF28" s="13">
        <v>349.91</v>
      </c>
      <c r="AG28" s="13">
        <v>47.2</v>
      </c>
      <c r="AJ28">
        <v>238</v>
      </c>
      <c r="AK28">
        <v>326</v>
      </c>
      <c r="AM28" s="59" t="s">
        <v>389</v>
      </c>
      <c r="AN28" s="63">
        <v>38</v>
      </c>
      <c r="AO28" s="61">
        <v>25</v>
      </c>
      <c r="AP28" s="60">
        <v>14</v>
      </c>
      <c r="AQ28" s="60">
        <v>0.5</v>
      </c>
      <c r="AR28" s="60">
        <v>3</v>
      </c>
      <c r="AS28" s="60">
        <v>2</v>
      </c>
      <c r="AT28" s="60">
        <v>1</v>
      </c>
      <c r="AU28" s="60">
        <v>0.3</v>
      </c>
      <c r="AV28" s="64">
        <f t="shared" ref="AV28:AV34" si="31">AR28*10000/(AN28*8760)</f>
        <v>9.0122566690699346E-2</v>
      </c>
      <c r="AW28" s="64">
        <f t="shared" ref="AW28:AW34" si="32">AS28*10000/(AO28*8760)</f>
        <v>9.1324200913242004E-2</v>
      </c>
      <c r="AX28" s="64">
        <f t="shared" ref="AX28:AX34" si="33">AT28*10000/(AP28*8760)</f>
        <v>8.1539465101108932E-2</v>
      </c>
      <c r="AY28" s="64">
        <f t="shared" ref="AY28:AY34" si="34">AU28*10000/(AQ28*8760)</f>
        <v>0.68493150684931503</v>
      </c>
      <c r="AZ28" s="66">
        <f t="shared" si="19"/>
        <v>789.47368421052636</v>
      </c>
      <c r="BA28" s="66">
        <f t="shared" si="20"/>
        <v>800</v>
      </c>
      <c r="BB28" s="66">
        <f t="shared" si="21"/>
        <v>714.28571428571433</v>
      </c>
      <c r="BC28" s="66">
        <f t="shared" si="22"/>
        <v>6000</v>
      </c>
    </row>
    <row r="29" spans="1:55" ht="16.5" thickBot="1">
      <c r="A29" s="6" t="s">
        <v>30</v>
      </c>
      <c r="B29" s="7">
        <v>128</v>
      </c>
      <c r="C29" s="7">
        <v>128</v>
      </c>
      <c r="D29" s="7">
        <v>18</v>
      </c>
      <c r="E29" s="7">
        <v>18</v>
      </c>
      <c r="F29">
        <f t="shared" si="3"/>
        <v>0</v>
      </c>
      <c r="G29">
        <f t="shared" si="4"/>
        <v>0</v>
      </c>
      <c r="H29">
        <f t="shared" si="5"/>
        <v>110</v>
      </c>
      <c r="J29" t="s">
        <v>106</v>
      </c>
      <c r="K29">
        <f t="shared" si="6"/>
        <v>79</v>
      </c>
      <c r="L29">
        <f t="shared" si="7"/>
        <v>98</v>
      </c>
      <c r="M29" s="8">
        <f t="shared" si="23"/>
        <v>110</v>
      </c>
      <c r="N29" s="8">
        <f t="shared" si="24"/>
        <v>128</v>
      </c>
      <c r="O29" s="16">
        <f t="shared" si="25"/>
        <v>136.26</v>
      </c>
      <c r="P29" s="16">
        <f t="shared" si="26"/>
        <v>136.51</v>
      </c>
      <c r="T29" s="8">
        <f t="shared" si="27"/>
        <v>0</v>
      </c>
      <c r="U29" s="8">
        <f t="shared" si="28"/>
        <v>0</v>
      </c>
      <c r="V29" s="16">
        <f t="shared" si="29"/>
        <v>0</v>
      </c>
      <c r="W29" s="16">
        <f t="shared" si="30"/>
        <v>2.2000000000000002</v>
      </c>
      <c r="X29" s="15"/>
      <c r="Y29" s="15"/>
      <c r="AA29" s="14" t="s">
        <v>73</v>
      </c>
      <c r="AB29" s="13">
        <v>2.4</v>
      </c>
      <c r="AC29" s="13">
        <v>0.25</v>
      </c>
      <c r="AD29" s="13">
        <v>2.2000000000000002</v>
      </c>
      <c r="AE29" s="13">
        <v>138.9</v>
      </c>
      <c r="AF29" s="13">
        <v>136.51</v>
      </c>
      <c r="AG29" s="13">
        <v>2.2000000000000002</v>
      </c>
      <c r="AJ29">
        <v>79</v>
      </c>
      <c r="AK29">
        <v>98</v>
      </c>
      <c r="AM29" s="59" t="s">
        <v>390</v>
      </c>
      <c r="AN29" s="63"/>
      <c r="AO29" s="62"/>
      <c r="AP29" s="62"/>
      <c r="AQ29" s="62"/>
      <c r="AR29" s="62"/>
      <c r="AS29" s="62"/>
      <c r="AT29" s="62"/>
      <c r="AU29" s="62"/>
      <c r="AV29" s="64"/>
      <c r="AW29" s="64"/>
      <c r="AX29" s="64"/>
      <c r="AY29" s="64"/>
      <c r="AZ29" s="66"/>
      <c r="BA29" s="66"/>
      <c r="BB29" s="66"/>
      <c r="BC29" s="66"/>
    </row>
    <row r="30" spans="1:55" ht="16.5" thickBot="1">
      <c r="A30" s="6" t="s">
        <v>31</v>
      </c>
      <c r="B30" s="7">
        <v>953</v>
      </c>
      <c r="C30" s="7">
        <v>781</v>
      </c>
      <c r="D30" s="7">
        <v>13</v>
      </c>
      <c r="E30" s="7">
        <v>3</v>
      </c>
      <c r="F30">
        <f t="shared" si="3"/>
        <v>172</v>
      </c>
      <c r="G30">
        <f t="shared" si="4"/>
        <v>10</v>
      </c>
      <c r="H30">
        <f t="shared" si="5"/>
        <v>940</v>
      </c>
      <c r="J30" t="s">
        <v>84</v>
      </c>
      <c r="K30">
        <f t="shared" si="6"/>
        <v>484</v>
      </c>
      <c r="L30">
        <f t="shared" si="7"/>
        <v>640</v>
      </c>
      <c r="M30" s="8">
        <f t="shared" si="23"/>
        <v>778</v>
      </c>
      <c r="N30" s="8">
        <f t="shared" si="24"/>
        <v>781</v>
      </c>
      <c r="O30" s="16">
        <f t="shared" si="25"/>
        <v>893.42</v>
      </c>
      <c r="P30" s="16">
        <f t="shared" si="26"/>
        <v>1102.82</v>
      </c>
      <c r="R30" s="8">
        <v>51</v>
      </c>
      <c r="S30" s="9">
        <v>76</v>
      </c>
      <c r="T30" s="8">
        <f t="shared" si="27"/>
        <v>162</v>
      </c>
      <c r="U30" s="8">
        <f t="shared" si="28"/>
        <v>172</v>
      </c>
      <c r="V30" s="16">
        <f t="shared" si="29"/>
        <v>190.70000000000002</v>
      </c>
      <c r="W30" s="16">
        <f t="shared" si="30"/>
        <v>210.9</v>
      </c>
      <c r="X30" s="15"/>
      <c r="Y30" s="15"/>
      <c r="AA30" s="14" t="s">
        <v>67</v>
      </c>
      <c r="AB30" s="13">
        <v>229.6</v>
      </c>
      <c r="AC30" s="13">
        <v>209.4</v>
      </c>
      <c r="AD30" s="13">
        <v>20.2</v>
      </c>
      <c r="AE30" s="13">
        <v>1313.7</v>
      </c>
      <c r="AF30" s="13">
        <v>1102.82</v>
      </c>
      <c r="AG30" s="13">
        <v>210.9</v>
      </c>
      <c r="AJ30">
        <v>535</v>
      </c>
      <c r="AK30">
        <v>716</v>
      </c>
      <c r="AM30" s="59" t="s">
        <v>391</v>
      </c>
      <c r="AN30" s="63">
        <v>194</v>
      </c>
      <c r="AO30" s="61">
        <v>102</v>
      </c>
      <c r="AP30" s="60">
        <v>76</v>
      </c>
      <c r="AQ30" s="60">
        <v>51</v>
      </c>
      <c r="AR30" s="60">
        <v>16</v>
      </c>
      <c r="AS30" s="60">
        <v>9</v>
      </c>
      <c r="AT30" s="60">
        <v>6</v>
      </c>
      <c r="AU30" s="60">
        <v>2</v>
      </c>
      <c r="AV30" s="64">
        <f t="shared" si="31"/>
        <v>9.4148660735301037E-2</v>
      </c>
      <c r="AW30" s="64">
        <f t="shared" si="32"/>
        <v>0.10072522159548751</v>
      </c>
      <c r="AX30" s="64">
        <f t="shared" si="33"/>
        <v>9.0122566690699346E-2</v>
      </c>
      <c r="AY30" s="64">
        <f t="shared" si="34"/>
        <v>4.4766765153550006E-2</v>
      </c>
      <c r="AZ30" s="66">
        <f t="shared" si="19"/>
        <v>824.74226804123714</v>
      </c>
      <c r="BA30" s="66">
        <f t="shared" si="20"/>
        <v>882.35294117647061</v>
      </c>
      <c r="BB30" s="66">
        <f t="shared" si="21"/>
        <v>789.47368421052636</v>
      </c>
      <c r="BC30" s="66">
        <f t="shared" si="22"/>
        <v>392.15686274509807</v>
      </c>
    </row>
    <row r="31" spans="1:55" ht="16.5" thickBot="1">
      <c r="A31" s="6" t="s">
        <v>32</v>
      </c>
      <c r="B31" s="7">
        <v>911</v>
      </c>
      <c r="C31" s="7">
        <v>838</v>
      </c>
      <c r="D31" s="7">
        <v>4</v>
      </c>
      <c r="E31" s="7">
        <v>2</v>
      </c>
      <c r="F31">
        <f t="shared" si="3"/>
        <v>73</v>
      </c>
      <c r="G31">
        <f t="shared" si="4"/>
        <v>2</v>
      </c>
      <c r="H31">
        <f t="shared" si="5"/>
        <v>907</v>
      </c>
      <c r="J31" t="s">
        <v>107</v>
      </c>
      <c r="K31">
        <f t="shared" si="6"/>
        <v>768</v>
      </c>
      <c r="L31">
        <f t="shared" si="7"/>
        <v>790</v>
      </c>
      <c r="M31" s="8">
        <f t="shared" si="23"/>
        <v>836</v>
      </c>
      <c r="N31" s="8">
        <f t="shared" si="24"/>
        <v>838</v>
      </c>
      <c r="O31" s="16">
        <f t="shared" si="25"/>
        <v>891.32</v>
      </c>
      <c r="P31" s="16">
        <f t="shared" si="26"/>
        <v>1047.6500000000001</v>
      </c>
      <c r="R31" s="8">
        <v>18</v>
      </c>
      <c r="S31" s="9">
        <v>49</v>
      </c>
      <c r="T31" s="8">
        <f t="shared" si="27"/>
        <v>71</v>
      </c>
      <c r="U31" s="8">
        <f t="shared" si="28"/>
        <v>73</v>
      </c>
      <c r="V31" s="16">
        <f t="shared" si="29"/>
        <v>74</v>
      </c>
      <c r="W31" s="16">
        <f t="shared" si="30"/>
        <v>77.099999999999994</v>
      </c>
      <c r="X31" s="15"/>
      <c r="Y31" s="15"/>
      <c r="AA31" s="14" t="s">
        <v>68</v>
      </c>
      <c r="AB31" s="13">
        <v>159.5</v>
      </c>
      <c r="AC31" s="13">
        <v>156.33000000000001</v>
      </c>
      <c r="AD31" s="13">
        <v>3.1</v>
      </c>
      <c r="AE31" s="13">
        <v>1124.8</v>
      </c>
      <c r="AF31" s="13">
        <v>1047.6500000000001</v>
      </c>
      <c r="AG31" s="13">
        <v>77.099999999999994</v>
      </c>
      <c r="AJ31">
        <v>786</v>
      </c>
      <c r="AK31">
        <v>839</v>
      </c>
      <c r="AM31" s="59" t="s">
        <v>392</v>
      </c>
      <c r="AN31" s="63">
        <v>74</v>
      </c>
      <c r="AO31" s="61">
        <v>71</v>
      </c>
      <c r="AP31" s="60">
        <v>49</v>
      </c>
      <c r="AQ31" s="60">
        <v>18</v>
      </c>
      <c r="AR31" s="60">
        <v>9</v>
      </c>
      <c r="AS31" s="60">
        <v>6</v>
      </c>
      <c r="AT31" s="60">
        <v>2</v>
      </c>
      <c r="AU31" s="60">
        <v>1</v>
      </c>
      <c r="AV31" s="64">
        <f t="shared" si="31"/>
        <v>0.1388374676045909</v>
      </c>
      <c r="AW31" s="64">
        <f t="shared" si="32"/>
        <v>9.6469226316804935E-2</v>
      </c>
      <c r="AX31" s="64">
        <f t="shared" si="33"/>
        <v>4.6593980057776534E-2</v>
      </c>
      <c r="AY31" s="64">
        <f t="shared" si="34"/>
        <v>6.3419583967529169E-2</v>
      </c>
      <c r="AZ31" s="66">
        <f t="shared" si="19"/>
        <v>1216.2162162162163</v>
      </c>
      <c r="BA31" s="66">
        <f t="shared" si="20"/>
        <v>845.07042253521126</v>
      </c>
      <c r="BB31" s="66">
        <f t="shared" si="21"/>
        <v>408.16326530612247</v>
      </c>
      <c r="BC31" s="66">
        <f t="shared" si="22"/>
        <v>555.55555555555554</v>
      </c>
    </row>
    <row r="32" spans="1:55" ht="16.5" thickBot="1">
      <c r="A32" s="6" t="s">
        <v>33</v>
      </c>
      <c r="B32" s="7">
        <v>1102</v>
      </c>
      <c r="C32" s="7">
        <v>1086</v>
      </c>
      <c r="D32" s="7">
        <v>1</v>
      </c>
      <c r="E32" s="7">
        <v>0</v>
      </c>
      <c r="F32">
        <f t="shared" si="3"/>
        <v>16</v>
      </c>
      <c r="G32">
        <f t="shared" si="4"/>
        <v>1</v>
      </c>
      <c r="H32">
        <f t="shared" si="5"/>
        <v>1101</v>
      </c>
      <c r="J32" t="s">
        <v>108</v>
      </c>
      <c r="K32">
        <f t="shared" si="6"/>
        <v>786</v>
      </c>
      <c r="L32">
        <f t="shared" si="7"/>
        <v>952</v>
      </c>
      <c r="M32" s="8">
        <f t="shared" si="23"/>
        <v>1086</v>
      </c>
      <c r="N32" s="8">
        <f t="shared" si="24"/>
        <v>1086</v>
      </c>
      <c r="O32" s="16">
        <f t="shared" si="25"/>
        <v>1532.09</v>
      </c>
      <c r="P32" s="16">
        <f t="shared" si="26"/>
        <v>1594.77</v>
      </c>
      <c r="R32" s="8">
        <v>5</v>
      </c>
      <c r="S32" s="9">
        <v>10</v>
      </c>
      <c r="T32" s="8">
        <f t="shared" si="27"/>
        <v>15</v>
      </c>
      <c r="U32" s="8">
        <f t="shared" si="28"/>
        <v>16</v>
      </c>
      <c r="V32" s="16">
        <f t="shared" si="29"/>
        <v>15.7</v>
      </c>
      <c r="W32" s="16">
        <f t="shared" si="30"/>
        <v>16</v>
      </c>
      <c r="X32" s="15"/>
      <c r="Y32" s="15"/>
      <c r="AA32" s="14" t="s">
        <v>69</v>
      </c>
      <c r="AB32" s="13">
        <v>63</v>
      </c>
      <c r="AC32" s="13">
        <v>62.68</v>
      </c>
      <c r="AD32" s="13">
        <v>0.3</v>
      </c>
      <c r="AE32" s="13">
        <v>1610.8</v>
      </c>
      <c r="AF32" s="13">
        <v>1594.77</v>
      </c>
      <c r="AG32" s="13">
        <v>16</v>
      </c>
      <c r="AJ32">
        <v>791</v>
      </c>
      <c r="AK32">
        <v>962</v>
      </c>
      <c r="AM32" s="59" t="s">
        <v>393</v>
      </c>
      <c r="AN32" s="63">
        <v>17</v>
      </c>
      <c r="AO32" s="61">
        <v>15</v>
      </c>
      <c r="AP32" s="60">
        <v>10</v>
      </c>
      <c r="AQ32" s="60">
        <v>5</v>
      </c>
      <c r="AR32" s="60">
        <v>2</v>
      </c>
      <c r="AS32" s="60">
        <v>2</v>
      </c>
      <c r="AT32" s="60">
        <v>1</v>
      </c>
      <c r="AU32" s="60">
        <v>0.3</v>
      </c>
      <c r="AV32" s="64">
        <f t="shared" si="31"/>
        <v>0.13430029546065</v>
      </c>
      <c r="AW32" s="64">
        <f t="shared" si="32"/>
        <v>0.15220700152207001</v>
      </c>
      <c r="AX32" s="64">
        <f t="shared" si="33"/>
        <v>0.11415525114155251</v>
      </c>
      <c r="AY32" s="64">
        <f t="shared" si="34"/>
        <v>6.8493150684931503E-2</v>
      </c>
      <c r="AZ32" s="66">
        <f t="shared" si="19"/>
        <v>1176.4705882352941</v>
      </c>
      <c r="BA32" s="66">
        <f t="shared" si="20"/>
        <v>1333.3333333333333</v>
      </c>
      <c r="BB32" s="66">
        <f t="shared" si="21"/>
        <v>1000</v>
      </c>
      <c r="BC32" s="66">
        <f t="shared" si="22"/>
        <v>600</v>
      </c>
    </row>
    <row r="33" spans="1:55" ht="16.5" thickBot="1">
      <c r="A33" s="6" t="s">
        <v>34</v>
      </c>
      <c r="B33" s="7">
        <v>983</v>
      </c>
      <c r="C33" s="7">
        <v>908</v>
      </c>
      <c r="D33" s="7">
        <v>65</v>
      </c>
      <c r="E33" s="7">
        <v>64</v>
      </c>
      <c r="F33">
        <f t="shared" si="3"/>
        <v>75</v>
      </c>
      <c r="G33">
        <f t="shared" si="4"/>
        <v>1</v>
      </c>
      <c r="H33">
        <f t="shared" si="5"/>
        <v>918</v>
      </c>
      <c r="J33" t="s">
        <v>109</v>
      </c>
      <c r="K33">
        <f t="shared" si="6"/>
        <v>587</v>
      </c>
      <c r="L33">
        <f t="shared" si="7"/>
        <v>761</v>
      </c>
      <c r="M33" s="8">
        <f t="shared" si="23"/>
        <v>844</v>
      </c>
      <c r="N33" s="8">
        <f t="shared" si="24"/>
        <v>908</v>
      </c>
      <c r="O33" s="16">
        <f t="shared" si="25"/>
        <v>1121.9599999999998</v>
      </c>
      <c r="P33" s="16">
        <f t="shared" si="26"/>
        <v>1303.3599999999999</v>
      </c>
      <c r="R33" s="8">
        <v>33</v>
      </c>
      <c r="S33" s="9">
        <v>55</v>
      </c>
      <c r="T33" s="8">
        <f t="shared" si="27"/>
        <v>74</v>
      </c>
      <c r="U33" s="8">
        <f t="shared" si="28"/>
        <v>75</v>
      </c>
      <c r="V33" s="16">
        <f t="shared" si="29"/>
        <v>75.199999999999989</v>
      </c>
      <c r="W33" s="16">
        <f t="shared" si="30"/>
        <v>80.599999999999994</v>
      </c>
      <c r="X33" s="15"/>
      <c r="Y33" s="15"/>
      <c r="AA33" s="14" t="s">
        <v>70</v>
      </c>
      <c r="AB33" s="13">
        <v>186.8</v>
      </c>
      <c r="AC33" s="13">
        <v>181.4</v>
      </c>
      <c r="AD33" s="13">
        <v>5.4</v>
      </c>
      <c r="AE33" s="13">
        <v>1384</v>
      </c>
      <c r="AF33" s="13">
        <v>1303.3599999999999</v>
      </c>
      <c r="AG33" s="13">
        <v>80.599999999999994</v>
      </c>
      <c r="AJ33">
        <v>620</v>
      </c>
      <c r="AK33">
        <v>816</v>
      </c>
      <c r="AM33" s="59" t="s">
        <v>394</v>
      </c>
      <c r="AN33" s="63">
        <v>75</v>
      </c>
      <c r="AO33" s="61">
        <v>74</v>
      </c>
      <c r="AP33" s="60">
        <v>55</v>
      </c>
      <c r="AQ33" s="60">
        <v>33</v>
      </c>
      <c r="AR33" s="60">
        <v>10</v>
      </c>
      <c r="AS33" s="60">
        <v>8</v>
      </c>
      <c r="AT33" s="60">
        <v>4</v>
      </c>
      <c r="AU33" s="60">
        <v>3</v>
      </c>
      <c r="AV33" s="64">
        <f t="shared" si="31"/>
        <v>0.15220700152207001</v>
      </c>
      <c r="AW33" s="64">
        <f t="shared" si="32"/>
        <v>0.12341108231519191</v>
      </c>
      <c r="AX33" s="64">
        <f t="shared" si="33"/>
        <v>8.3022000830220002E-2</v>
      </c>
      <c r="AY33" s="64">
        <f t="shared" si="34"/>
        <v>0.10377750103777501</v>
      </c>
      <c r="AZ33" s="66">
        <f t="shared" si="19"/>
        <v>1333.3333333333333</v>
      </c>
      <c r="BA33" s="66">
        <f t="shared" si="20"/>
        <v>1081.081081081081</v>
      </c>
      <c r="BB33" s="66">
        <f t="shared" si="21"/>
        <v>727.27272727272725</v>
      </c>
      <c r="BC33" s="66">
        <f t="shared" si="22"/>
        <v>909.09090909090912</v>
      </c>
    </row>
    <row r="34" spans="1:55" ht="29.25" thickBot="1">
      <c r="A34" s="6" t="s">
        <v>35</v>
      </c>
      <c r="B34" s="7">
        <v>1042</v>
      </c>
      <c r="C34" s="7">
        <v>1027</v>
      </c>
      <c r="D34" s="7">
        <v>1</v>
      </c>
      <c r="E34" s="7">
        <v>0</v>
      </c>
      <c r="F34">
        <f t="shared" si="3"/>
        <v>15</v>
      </c>
      <c r="G34">
        <f t="shared" si="4"/>
        <v>1</v>
      </c>
      <c r="H34">
        <f t="shared" si="5"/>
        <v>1041</v>
      </c>
      <c r="J34" t="s">
        <v>110</v>
      </c>
      <c r="K34">
        <f t="shared" si="6"/>
        <v>933</v>
      </c>
      <c r="L34">
        <f t="shared" si="7"/>
        <v>976</v>
      </c>
      <c r="M34" s="8">
        <f t="shared" si="23"/>
        <v>1027</v>
      </c>
      <c r="N34" s="8">
        <f t="shared" si="24"/>
        <v>1027</v>
      </c>
      <c r="O34" s="16">
        <f t="shared" si="25"/>
        <v>1205.48</v>
      </c>
      <c r="P34" s="16">
        <f t="shared" si="26"/>
        <v>1254.78</v>
      </c>
      <c r="R34" s="8">
        <v>1</v>
      </c>
      <c r="S34" s="9">
        <v>2</v>
      </c>
      <c r="T34" s="8">
        <f t="shared" si="27"/>
        <v>14</v>
      </c>
      <c r="U34" s="8">
        <f t="shared" si="28"/>
        <v>15</v>
      </c>
      <c r="V34" s="16">
        <f t="shared" si="29"/>
        <v>16.7</v>
      </c>
      <c r="W34" s="16">
        <f t="shared" si="30"/>
        <v>17.2</v>
      </c>
      <c r="X34" s="15"/>
      <c r="Y34" s="15"/>
      <c r="AA34" s="14" t="s">
        <v>71</v>
      </c>
      <c r="AB34" s="13">
        <v>49.8</v>
      </c>
      <c r="AC34" s="13">
        <v>49.3</v>
      </c>
      <c r="AD34" s="13">
        <v>0.5</v>
      </c>
      <c r="AE34" s="13">
        <v>1272</v>
      </c>
      <c r="AF34" s="13">
        <v>1254.78</v>
      </c>
      <c r="AG34" s="13">
        <v>17.2</v>
      </c>
      <c r="AJ34">
        <v>934</v>
      </c>
      <c r="AK34">
        <v>978</v>
      </c>
      <c r="AM34" s="59" t="s">
        <v>395</v>
      </c>
      <c r="AN34" s="63">
        <v>16</v>
      </c>
      <c r="AO34" s="61">
        <v>15</v>
      </c>
      <c r="AP34" s="60">
        <v>2</v>
      </c>
      <c r="AQ34" s="60">
        <v>1</v>
      </c>
      <c r="AR34" s="60">
        <v>2</v>
      </c>
      <c r="AS34" s="60">
        <v>1</v>
      </c>
      <c r="AT34" s="61">
        <v>0.1</v>
      </c>
      <c r="AU34" s="58">
        <v>0.01</v>
      </c>
      <c r="AV34" s="64">
        <f t="shared" si="31"/>
        <v>0.14269406392694065</v>
      </c>
      <c r="AW34" s="64">
        <f t="shared" si="32"/>
        <v>7.6103500761035003E-2</v>
      </c>
      <c r="AX34" s="64">
        <f t="shared" si="33"/>
        <v>5.7077625570776253E-2</v>
      </c>
      <c r="AY34" s="64">
        <f t="shared" si="34"/>
        <v>1.1415525114155251E-2</v>
      </c>
      <c r="AZ34" s="66">
        <f t="shared" si="19"/>
        <v>1250</v>
      </c>
      <c r="BA34" s="66">
        <f t="shared" si="20"/>
        <v>666.66666666666663</v>
      </c>
      <c r="BB34" s="66">
        <f t="shared" si="21"/>
        <v>500</v>
      </c>
      <c r="BC34" s="66">
        <f t="shared" si="22"/>
        <v>100</v>
      </c>
    </row>
    <row r="35" spans="1:55" ht="16.5" thickBot="1">
      <c r="A35" s="6" t="s">
        <v>36</v>
      </c>
      <c r="B35" s="7">
        <v>39</v>
      </c>
      <c r="C35" s="7">
        <v>39</v>
      </c>
      <c r="D35" s="7">
        <v>0</v>
      </c>
      <c r="E35" s="7">
        <v>0</v>
      </c>
      <c r="F35">
        <f t="shared" si="3"/>
        <v>0</v>
      </c>
      <c r="G35">
        <f t="shared" si="4"/>
        <v>0</v>
      </c>
      <c r="H35">
        <f t="shared" si="5"/>
        <v>39</v>
      </c>
      <c r="J35" t="s">
        <v>111</v>
      </c>
      <c r="K35">
        <f t="shared" si="6"/>
        <v>0</v>
      </c>
      <c r="L35">
        <f t="shared" si="7"/>
        <v>0</v>
      </c>
      <c r="M35" s="8">
        <f t="shared" si="23"/>
        <v>39</v>
      </c>
      <c r="N35" s="8">
        <f t="shared" si="24"/>
        <v>39</v>
      </c>
      <c r="O35" s="16">
        <f t="shared" si="25"/>
        <v>77.2</v>
      </c>
      <c r="P35" s="16">
        <f t="shared" si="26"/>
        <v>77.2</v>
      </c>
      <c r="T35" s="8">
        <f t="shared" si="27"/>
        <v>0</v>
      </c>
      <c r="U35" s="8">
        <f t="shared" si="28"/>
        <v>0</v>
      </c>
      <c r="V35" s="16">
        <f t="shared" si="29"/>
        <v>0</v>
      </c>
      <c r="W35" s="16">
        <f t="shared" si="30"/>
        <v>0</v>
      </c>
      <c r="X35" s="15"/>
      <c r="Y35" s="15"/>
      <c r="AA35" s="13" t="s">
        <v>72</v>
      </c>
      <c r="AB35" s="13">
        <v>0</v>
      </c>
      <c r="AC35" s="13">
        <v>0</v>
      </c>
      <c r="AD35" s="13">
        <v>0</v>
      </c>
      <c r="AE35" s="13">
        <v>77.2</v>
      </c>
      <c r="AF35" s="13">
        <v>77.2</v>
      </c>
      <c r="AG35" s="13">
        <v>0</v>
      </c>
    </row>
    <row r="37" spans="1:55">
      <c r="K37" s="9">
        <f t="shared" ref="K37:P37" si="35">K3-SUM(K4:K34)</f>
        <v>0.5</v>
      </c>
      <c r="L37" s="9">
        <f t="shared" si="35"/>
        <v>0</v>
      </c>
      <c r="M37" s="9">
        <f t="shared" si="35"/>
        <v>38</v>
      </c>
      <c r="N37" s="9">
        <f t="shared" si="35"/>
        <v>37</v>
      </c>
      <c r="O37" s="9">
        <f t="shared" si="35"/>
        <v>77.25</v>
      </c>
      <c r="P37" s="9">
        <f t="shared" si="35"/>
        <v>77.240000000001601</v>
      </c>
      <c r="R37" s="8">
        <f t="shared" ref="R37:W37" si="36">R3-SUM(R4:R34)</f>
        <v>1.5</v>
      </c>
      <c r="S37" s="9">
        <f t="shared" si="36"/>
        <v>0</v>
      </c>
      <c r="T37" s="9">
        <f t="shared" si="36"/>
        <v>-1</v>
      </c>
      <c r="U37" s="9">
        <f t="shared" si="36"/>
        <v>0</v>
      </c>
      <c r="V37" s="9">
        <f t="shared" si="36"/>
        <v>-0.2999999999992724</v>
      </c>
      <c r="W37" s="9">
        <f t="shared" si="36"/>
        <v>-0.10000000000218279</v>
      </c>
    </row>
  </sheetData>
  <mergeCells count="11">
    <mergeCell ref="AZ1:BC1"/>
    <mergeCell ref="AM1:AM2"/>
    <mergeCell ref="AN1:AQ1"/>
    <mergeCell ref="AR1:AU1"/>
    <mergeCell ref="AV1:AY1"/>
    <mergeCell ref="AE1:AG1"/>
    <mergeCell ref="A1:A2"/>
    <mergeCell ref="B1:C1"/>
    <mergeCell ref="D1:E1"/>
    <mergeCell ref="AA1:AA2"/>
    <mergeCell ref="AB1:AD1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CBA0-B16A-4266-A2ED-97A6CCC3E607}">
  <dimension ref="A1:AY73"/>
  <sheetViews>
    <sheetView workbookViewId="0">
      <selection activeCell="L25" sqref="L25:L26"/>
    </sheetView>
  </sheetViews>
  <sheetFormatPr defaultRowHeight="14.25"/>
  <cols>
    <col min="1" max="1" width="21.375" bestFit="1" customWidth="1"/>
    <col min="2" max="37" width="9.25" customWidth="1"/>
  </cols>
  <sheetData>
    <row r="1" spans="1:51">
      <c r="B1">
        <v>201901</v>
      </c>
      <c r="C1">
        <v>201902</v>
      </c>
      <c r="D1">
        <v>201903</v>
      </c>
      <c r="E1">
        <v>201904</v>
      </c>
      <c r="F1">
        <v>201905</v>
      </c>
      <c r="G1">
        <v>201906</v>
      </c>
      <c r="H1">
        <v>201907</v>
      </c>
      <c r="I1">
        <v>201908</v>
      </c>
      <c r="J1">
        <v>201909</v>
      </c>
      <c r="K1">
        <v>201910</v>
      </c>
      <c r="L1">
        <v>201911</v>
      </c>
      <c r="M1">
        <v>201912</v>
      </c>
      <c r="N1">
        <v>202001</v>
      </c>
      <c r="O1">
        <v>202002</v>
      </c>
      <c r="P1">
        <v>202003</v>
      </c>
      <c r="Q1">
        <v>202004</v>
      </c>
      <c r="R1">
        <v>202005</v>
      </c>
      <c r="S1">
        <v>202006</v>
      </c>
      <c r="T1">
        <v>202007</v>
      </c>
      <c r="U1">
        <v>202008</v>
      </c>
      <c r="V1">
        <v>202009</v>
      </c>
      <c r="W1">
        <v>202010</v>
      </c>
      <c r="X1">
        <v>202011</v>
      </c>
      <c r="Y1">
        <v>202012</v>
      </c>
      <c r="Z1">
        <v>202101</v>
      </c>
      <c r="AA1">
        <v>202102</v>
      </c>
      <c r="AB1">
        <v>202103</v>
      </c>
      <c r="AC1">
        <v>202104</v>
      </c>
      <c r="AD1">
        <v>202105</v>
      </c>
      <c r="AE1">
        <v>202106</v>
      </c>
      <c r="AF1">
        <v>202107</v>
      </c>
      <c r="AG1">
        <v>202108</v>
      </c>
      <c r="AH1">
        <v>202109</v>
      </c>
      <c r="AI1">
        <v>202110</v>
      </c>
      <c r="AJ1">
        <v>202111</v>
      </c>
      <c r="AK1">
        <v>202112</v>
      </c>
      <c r="AN1">
        <v>1</v>
      </c>
      <c r="AO1">
        <v>2</v>
      </c>
      <c r="AP1">
        <v>3</v>
      </c>
      <c r="AQ1">
        <v>4</v>
      </c>
      <c r="AR1">
        <v>5</v>
      </c>
      <c r="AS1">
        <v>6</v>
      </c>
      <c r="AT1">
        <v>7</v>
      </c>
      <c r="AU1">
        <v>8</v>
      </c>
      <c r="AV1">
        <v>9</v>
      </c>
      <c r="AW1">
        <v>10</v>
      </c>
      <c r="AX1">
        <v>11</v>
      </c>
      <c r="AY1">
        <v>12</v>
      </c>
    </row>
    <row r="2" spans="1:51">
      <c r="A2" t="s">
        <v>5</v>
      </c>
      <c r="B2" s="18"/>
      <c r="C2" s="18"/>
      <c r="D2" s="18"/>
      <c r="E2" s="18"/>
      <c r="F2" s="18"/>
      <c r="G2" s="18">
        <v>0.35</v>
      </c>
      <c r="H2" s="18">
        <v>6.3896999999999995E-2</v>
      </c>
      <c r="I2" s="18">
        <v>0.23173350000000001</v>
      </c>
      <c r="J2" s="18">
        <v>0.247972</v>
      </c>
      <c r="K2" s="18">
        <v>0.88824400000000003</v>
      </c>
      <c r="L2" s="18"/>
      <c r="M2" s="18"/>
      <c r="N2" s="18">
        <v>4.0062E-2</v>
      </c>
      <c r="O2" s="18">
        <v>0</v>
      </c>
      <c r="P2" s="18">
        <v>3.0690000000000001E-3</v>
      </c>
      <c r="Q2" s="18">
        <v>2.1942E-2</v>
      </c>
      <c r="R2" s="18">
        <v>5.8973999999999999E-2</v>
      </c>
      <c r="S2" s="18">
        <v>9.0848999999999999E-2</v>
      </c>
      <c r="T2" s="18">
        <v>6.5411999999999998E-2</v>
      </c>
      <c r="U2" s="18">
        <f>U38-T38</f>
        <v>0.13880100000000006</v>
      </c>
      <c r="V2" s="18">
        <v>0.1535</v>
      </c>
      <c r="W2" s="18">
        <v>0.12809999999999999</v>
      </c>
      <c r="X2" s="18">
        <v>0.21609999999999999</v>
      </c>
      <c r="Y2" s="18"/>
      <c r="Z2" s="18">
        <v>0.17860000000000001</v>
      </c>
      <c r="AA2" s="18">
        <v>7.3800000000000004E-2</v>
      </c>
      <c r="AB2" s="18">
        <v>0.1198</v>
      </c>
      <c r="AC2" s="18">
        <v>0.2117</v>
      </c>
      <c r="AD2" s="18">
        <v>0.3528</v>
      </c>
      <c r="AE2" s="18">
        <v>0.3831</v>
      </c>
      <c r="AF2" s="18">
        <v>0.83489999999999998</v>
      </c>
      <c r="AG2" s="18">
        <v>0.41289999999999999</v>
      </c>
      <c r="AH2" s="18">
        <v>0.90939999999999999</v>
      </c>
      <c r="AI2" s="18">
        <v>0.53069999999999995</v>
      </c>
      <c r="AJ2" s="18">
        <v>1.6774</v>
      </c>
      <c r="AK2" s="18">
        <v>5.2767999999999997</v>
      </c>
      <c r="AN2" s="18"/>
      <c r="AO2" s="18"/>
      <c r="AP2" s="18"/>
      <c r="AQ2" s="18"/>
      <c r="AR2" s="18"/>
      <c r="AS2" s="18">
        <v>18.520800000000001</v>
      </c>
      <c r="AT2" s="18">
        <v>19.7179</v>
      </c>
      <c r="AU2" s="18">
        <v>26.513200000000001</v>
      </c>
      <c r="AV2" s="18">
        <v>37.5837</v>
      </c>
      <c r="AW2" s="18">
        <v>44.478115099999997</v>
      </c>
      <c r="AX2" s="18"/>
      <c r="AY2" s="18"/>
    </row>
    <row r="3" spans="1:51">
      <c r="A3" t="s">
        <v>6</v>
      </c>
      <c r="B3" s="18"/>
      <c r="C3" s="18"/>
      <c r="D3" s="18"/>
      <c r="E3" s="18"/>
      <c r="F3" s="18"/>
      <c r="G3" s="18">
        <v>0.04</v>
      </c>
      <c r="H3" s="18">
        <v>0.41099999999999998</v>
      </c>
      <c r="I3" s="18">
        <v>5.6101999999999999E-2</v>
      </c>
      <c r="J3" s="18">
        <v>2.5725000000000001E-2</v>
      </c>
      <c r="K3" s="18">
        <v>0.15013599999999999</v>
      </c>
      <c r="L3" s="18"/>
      <c r="M3" s="18"/>
      <c r="N3" s="18">
        <v>8.0000000000000004E-4</v>
      </c>
      <c r="O3" s="18">
        <v>0</v>
      </c>
      <c r="P3" s="18">
        <v>0</v>
      </c>
      <c r="Q3" s="18">
        <v>3.3800000000000002E-3</v>
      </c>
      <c r="R3" s="18">
        <v>2.3999999999999998E-3</v>
      </c>
      <c r="S3" s="18">
        <v>9.5999999999999992E-3</v>
      </c>
      <c r="T3" s="18">
        <v>0.14732999999999999</v>
      </c>
      <c r="U3" s="18">
        <f t="shared" ref="U3:U35" si="0">U39-T39</f>
        <v>0.15512399999999998</v>
      </c>
      <c r="V3" s="18">
        <v>0.13730000000000001</v>
      </c>
      <c r="W3" s="18">
        <v>0.15140000000000001</v>
      </c>
      <c r="X3" s="18">
        <v>0.41849999999999998</v>
      </c>
      <c r="Y3" s="18"/>
      <c r="Z3" s="18">
        <v>4.3799999999999999E-2</v>
      </c>
      <c r="AA3" s="18">
        <v>4.8899999999999999E-2</v>
      </c>
      <c r="AB3" s="18">
        <v>6.2799999999999995E-2</v>
      </c>
      <c r="AC3" s="18">
        <v>0.15160000000000001</v>
      </c>
      <c r="AD3" s="18">
        <v>0.2041</v>
      </c>
      <c r="AE3" s="18">
        <v>0.28210000000000002</v>
      </c>
      <c r="AF3" s="18">
        <v>0.18809999999999999</v>
      </c>
      <c r="AG3" s="18">
        <v>0.29239999999999999</v>
      </c>
      <c r="AH3" s="18">
        <v>0.32129999999999997</v>
      </c>
      <c r="AI3" s="18">
        <v>0.24829999999999999</v>
      </c>
      <c r="AJ3" s="18">
        <v>0.34739999999999999</v>
      </c>
      <c r="AK3" s="18">
        <v>0.59509999999999996</v>
      </c>
      <c r="AN3">
        <v>4.7263237</v>
      </c>
      <c r="AO3">
        <v>0.42160550000000002</v>
      </c>
      <c r="AP3">
        <v>4.6102480000000003</v>
      </c>
      <c r="AQ3">
        <v>17.147776</v>
      </c>
      <c r="AR3">
        <v>25.4394065</v>
      </c>
      <c r="AS3">
        <v>32.997843899999999</v>
      </c>
      <c r="AT3">
        <v>38.548428199999996</v>
      </c>
      <c r="AU3">
        <v>45.486209670000022</v>
      </c>
      <c r="AV3">
        <v>57.950899999999997</v>
      </c>
      <c r="AW3">
        <v>56.765900000000002</v>
      </c>
      <c r="AX3">
        <v>173.20519999999999</v>
      </c>
    </row>
    <row r="4" spans="1:51">
      <c r="A4" t="s">
        <v>7</v>
      </c>
      <c r="B4" s="18"/>
      <c r="C4" s="18"/>
      <c r="D4" s="18"/>
      <c r="E4" s="18"/>
      <c r="F4" s="18"/>
      <c r="G4" s="18">
        <v>9.1087819999999997</v>
      </c>
      <c r="H4" s="18">
        <v>7.6130659999999999</v>
      </c>
      <c r="I4" s="18">
        <v>12.893203</v>
      </c>
      <c r="J4" s="18">
        <v>17.390082</v>
      </c>
      <c r="K4" s="18">
        <v>12.927215</v>
      </c>
      <c r="L4" s="18"/>
      <c r="M4" s="18"/>
      <c r="N4" s="18">
        <v>2.6241186999999999</v>
      </c>
      <c r="O4" s="18">
        <v>0.1307875</v>
      </c>
      <c r="P4" s="18">
        <v>1.5698509</v>
      </c>
      <c r="Q4" s="18">
        <v>9.6245204999999991</v>
      </c>
      <c r="R4" s="18">
        <v>12.905168</v>
      </c>
      <c r="S4" s="18">
        <v>16.837641699999999</v>
      </c>
      <c r="T4" s="18">
        <v>17.363185699999999</v>
      </c>
      <c r="U4" s="18">
        <f t="shared" si="0"/>
        <v>23.966926999999998</v>
      </c>
      <c r="V4" s="18">
        <v>31.2149</v>
      </c>
      <c r="W4" s="18">
        <v>35.116199999999999</v>
      </c>
      <c r="X4" s="18">
        <v>64.083500000000001</v>
      </c>
      <c r="Y4" s="18"/>
      <c r="Z4" s="18">
        <v>5.9675000000000002</v>
      </c>
      <c r="AA4" s="18">
        <v>4.1371000000000002</v>
      </c>
      <c r="AB4" s="18">
        <v>17.183599999999998</v>
      </c>
      <c r="AC4" s="18">
        <v>37.224400000000003</v>
      </c>
      <c r="AD4" s="18">
        <v>37.738199999999999</v>
      </c>
      <c r="AE4" s="18">
        <v>45.652299999999997</v>
      </c>
      <c r="AF4" s="18">
        <v>44.8371</v>
      </c>
      <c r="AG4" s="18">
        <v>49.7806</v>
      </c>
      <c r="AH4" s="18">
        <v>57.899900000000002</v>
      </c>
      <c r="AI4" s="18">
        <v>46.118099999999998</v>
      </c>
      <c r="AJ4" s="18">
        <v>64.477199999999996</v>
      </c>
      <c r="AK4" s="18">
        <v>123.05710000000001</v>
      </c>
      <c r="AN4">
        <v>12.035</v>
      </c>
      <c r="AO4">
        <v>13.348800000000001</v>
      </c>
      <c r="AP4">
        <v>28.145700000000001</v>
      </c>
      <c r="AQ4">
        <v>55.813600000000001</v>
      </c>
      <c r="AR4">
        <v>63.384900000000002</v>
      </c>
      <c r="AS4">
        <v>67.203400000000002</v>
      </c>
      <c r="AT4">
        <v>65.569400000000002</v>
      </c>
      <c r="AU4">
        <v>67.8232</v>
      </c>
      <c r="AV4">
        <v>69.904399999999995</v>
      </c>
      <c r="AW4">
        <v>64.360100000000003</v>
      </c>
      <c r="AX4">
        <v>88.13</v>
      </c>
      <c r="AY4">
        <v>157.9777</v>
      </c>
    </row>
    <row r="5" spans="1:51">
      <c r="A5" t="s">
        <v>112</v>
      </c>
      <c r="B5" s="18"/>
      <c r="C5" s="18"/>
      <c r="D5" s="18"/>
      <c r="E5" s="18"/>
      <c r="F5" s="18"/>
      <c r="G5" s="18">
        <v>6.9587820000000002</v>
      </c>
      <c r="H5" s="18">
        <v>7.2</v>
      </c>
      <c r="I5" s="18">
        <v>10.837400000000001</v>
      </c>
      <c r="J5" s="18">
        <v>15.113118999999999</v>
      </c>
      <c r="K5" s="18">
        <v>11.017200000000001</v>
      </c>
      <c r="L5" s="18"/>
      <c r="M5" s="18"/>
      <c r="N5" s="18">
        <v>2.5451666999999998</v>
      </c>
      <c r="O5" s="18">
        <v>0.12406250000000001</v>
      </c>
      <c r="P5" s="18">
        <v>1.3597949</v>
      </c>
      <c r="Q5" s="18">
        <v>8.960305</v>
      </c>
      <c r="R5" s="18">
        <v>11.930059</v>
      </c>
      <c r="S5" s="18">
        <v>15.475211699999999</v>
      </c>
      <c r="T5" s="18">
        <v>15.8954722</v>
      </c>
      <c r="U5" s="18">
        <f t="shared" si="0"/>
        <v>22.714627960000001</v>
      </c>
      <c r="V5" s="18">
        <v>28.750800000000002</v>
      </c>
      <c r="W5" s="18">
        <v>32.082700000000003</v>
      </c>
      <c r="X5" s="18">
        <v>55.759099999999997</v>
      </c>
      <c r="Y5" s="18"/>
      <c r="Z5" s="18">
        <v>5.4017999999999997</v>
      </c>
      <c r="AA5" s="18">
        <v>3.4495</v>
      </c>
      <c r="AB5" s="18">
        <v>16.2044</v>
      </c>
      <c r="AC5" s="18">
        <v>34.490499999999997</v>
      </c>
      <c r="AD5" s="18">
        <v>33.538200000000003</v>
      </c>
      <c r="AE5" s="18">
        <v>41.294499999999999</v>
      </c>
      <c r="AF5" s="18">
        <v>39.290799999999997</v>
      </c>
      <c r="AG5" s="18">
        <v>43.176499999999997</v>
      </c>
      <c r="AH5" s="18">
        <v>51.535299999999999</v>
      </c>
      <c r="AI5" s="18">
        <v>40.959099999999999</v>
      </c>
      <c r="AJ5" s="18">
        <v>58.085299999999997</v>
      </c>
      <c r="AK5" s="18">
        <v>109.535</v>
      </c>
    </row>
    <row r="6" spans="1:51">
      <c r="A6" t="s">
        <v>113</v>
      </c>
      <c r="B6" s="18"/>
      <c r="C6" s="18"/>
      <c r="D6" s="18"/>
      <c r="E6" s="18"/>
      <c r="F6" s="18"/>
      <c r="G6" s="18">
        <v>2.15</v>
      </c>
      <c r="H6" s="18">
        <v>0.41366199999999997</v>
      </c>
      <c r="I6" s="18">
        <v>2.055803</v>
      </c>
      <c r="J6" s="18">
        <v>2.2769629999999998</v>
      </c>
      <c r="K6" s="18">
        <v>1.910015</v>
      </c>
      <c r="L6" s="18"/>
      <c r="M6" s="18"/>
      <c r="N6" s="18">
        <v>7.8951999999999994E-2</v>
      </c>
      <c r="O6" s="18">
        <v>6.7250000000000001E-3</v>
      </c>
      <c r="P6" s="18">
        <v>0.21005599999999999</v>
      </c>
      <c r="Q6" s="18">
        <v>0.66421549999999996</v>
      </c>
      <c r="R6" s="18">
        <v>0.975109</v>
      </c>
      <c r="S6" s="18">
        <v>1.36243</v>
      </c>
      <c r="T6" s="18">
        <v>1.4677134999999999</v>
      </c>
      <c r="U6" s="18">
        <f t="shared" si="0"/>
        <v>1.2521990000000001</v>
      </c>
      <c r="V6" s="18">
        <v>2.4641999999999999</v>
      </c>
      <c r="W6" s="18">
        <v>3.0335000000000001</v>
      </c>
      <c r="X6" s="18">
        <v>8.3245000000000005</v>
      </c>
      <c r="Y6" s="18"/>
      <c r="Z6" s="18">
        <v>0.56569999999999998</v>
      </c>
      <c r="AA6" s="18">
        <v>0.6875</v>
      </c>
      <c r="AB6" s="18">
        <v>0.97919999999999996</v>
      </c>
      <c r="AC6" s="18">
        <v>2.7339000000000002</v>
      </c>
      <c r="AD6" s="18">
        <v>4.2</v>
      </c>
      <c r="AE6" s="18">
        <v>4.3578000000000001</v>
      </c>
      <c r="AF6" s="18">
        <v>5.5461999999999998</v>
      </c>
      <c r="AG6" s="18">
        <v>6.6040999999999999</v>
      </c>
      <c r="AH6" s="18">
        <v>6.3646000000000003</v>
      </c>
      <c r="AI6" s="18">
        <v>5.1589999999999998</v>
      </c>
      <c r="AJ6" s="18">
        <v>6.3917999999999999</v>
      </c>
      <c r="AK6" s="18">
        <v>13.522</v>
      </c>
    </row>
    <row r="7" spans="1:51">
      <c r="A7" t="s">
        <v>8</v>
      </c>
      <c r="B7" s="18"/>
      <c r="C7" s="18"/>
      <c r="D7" s="18"/>
      <c r="E7" s="18"/>
      <c r="F7" s="18"/>
      <c r="G7" s="18">
        <v>1.679881</v>
      </c>
      <c r="H7" s="18">
        <v>1.289771</v>
      </c>
      <c r="I7" s="18">
        <v>2.1793110000000002</v>
      </c>
      <c r="J7" s="18">
        <v>4.2711196999999999</v>
      </c>
      <c r="K7" s="18">
        <v>7.5039974999999997</v>
      </c>
      <c r="L7" s="18"/>
      <c r="M7" s="18"/>
      <c r="N7" s="18">
        <v>9.7212999999999994E-2</v>
      </c>
      <c r="O7" s="18">
        <v>3.0000000000000001E-3</v>
      </c>
      <c r="P7" s="18">
        <v>9.4661499999999996E-2</v>
      </c>
      <c r="Q7" s="18">
        <v>0.4809445</v>
      </c>
      <c r="R7" s="18">
        <v>1.5066409999999999</v>
      </c>
      <c r="S7" s="18">
        <v>2.8574449999999998</v>
      </c>
      <c r="T7" s="18">
        <v>3.8275771000000001</v>
      </c>
      <c r="U7" s="18">
        <f t="shared" si="0"/>
        <v>4.6087178999999985</v>
      </c>
      <c r="V7" s="18">
        <v>5.8826000000000001</v>
      </c>
      <c r="W7" s="18">
        <v>6.0877999999999997</v>
      </c>
      <c r="X7" s="18">
        <v>20.3292</v>
      </c>
      <c r="Y7" s="18"/>
      <c r="Z7" s="18">
        <v>0.81230000000000002</v>
      </c>
      <c r="AA7" s="18">
        <v>0.38440000000000002</v>
      </c>
      <c r="AB7" s="18">
        <v>1.0245</v>
      </c>
      <c r="AC7" s="18">
        <v>2.3393999999999999</v>
      </c>
      <c r="AD7" s="18">
        <v>4.2832999999999997</v>
      </c>
      <c r="AE7" s="18">
        <v>5.8872999999999998</v>
      </c>
      <c r="AF7" s="18">
        <v>6.7126999999999999</v>
      </c>
      <c r="AG7" s="18">
        <v>7.0305999999999997</v>
      </c>
      <c r="AH7" s="18">
        <v>7.2380000000000004</v>
      </c>
      <c r="AI7" s="18">
        <v>5.9760999999999997</v>
      </c>
      <c r="AJ7" s="18">
        <v>9.9275000000000002</v>
      </c>
      <c r="AK7" s="18">
        <v>22.6447</v>
      </c>
    </row>
    <row r="8" spans="1:51">
      <c r="A8" t="s">
        <v>9</v>
      </c>
      <c r="B8" s="18"/>
      <c r="C8" s="18"/>
      <c r="D8" s="18"/>
      <c r="E8" s="18"/>
      <c r="F8" s="18"/>
      <c r="G8" s="18">
        <v>0.20424600000000001</v>
      </c>
      <c r="H8" s="18">
        <v>0.11902</v>
      </c>
      <c r="I8" s="18">
        <v>4.4381999999999998E-2</v>
      </c>
      <c r="J8" s="18">
        <v>0.17711299999999999</v>
      </c>
      <c r="K8" s="18">
        <v>1.6970670000000001</v>
      </c>
      <c r="L8" s="18"/>
      <c r="M8" s="18"/>
      <c r="N8" s="18">
        <v>6.5763000000000002E-2</v>
      </c>
      <c r="O8" s="18">
        <v>0</v>
      </c>
      <c r="P8" s="18">
        <v>8.0000000000000004E-4</v>
      </c>
      <c r="Q8" s="18">
        <v>3.5855999999999999E-2</v>
      </c>
      <c r="R8" s="18">
        <v>1.8319999999999999E-2</v>
      </c>
      <c r="S8" s="18">
        <v>0.12870500000000001</v>
      </c>
      <c r="T8" s="18">
        <v>4.7120000000000002E-2</v>
      </c>
      <c r="U8" s="18">
        <f t="shared" si="0"/>
        <v>9.2936000000000019E-2</v>
      </c>
      <c r="V8" s="18">
        <v>0.34129999999999999</v>
      </c>
      <c r="W8" s="18">
        <v>0.15609999999999999</v>
      </c>
      <c r="X8" s="18">
        <v>1.0987</v>
      </c>
      <c r="Y8" s="18"/>
      <c r="Z8" s="18">
        <v>7.2599999999999998E-2</v>
      </c>
      <c r="AA8" s="18">
        <v>0.106</v>
      </c>
      <c r="AB8" s="18">
        <v>8.6999999999999994E-3</v>
      </c>
      <c r="AC8" s="18">
        <v>0.1003</v>
      </c>
      <c r="AD8" s="18">
        <v>0.11749999999999999</v>
      </c>
      <c r="AE8" s="18">
        <v>6.3399999999999998E-2</v>
      </c>
      <c r="AF8" s="18">
        <v>0.2646</v>
      </c>
      <c r="AG8" s="18">
        <v>0.14910000000000001</v>
      </c>
      <c r="AH8" s="18">
        <v>0.1323</v>
      </c>
      <c r="AI8" s="18">
        <v>0.55200000000000005</v>
      </c>
      <c r="AJ8" s="18">
        <v>0.79059999999999997</v>
      </c>
      <c r="AK8" s="18">
        <v>2.9517000000000002</v>
      </c>
    </row>
    <row r="9" spans="1:51">
      <c r="A9" t="s">
        <v>114</v>
      </c>
      <c r="B9" s="18"/>
      <c r="C9" s="18"/>
      <c r="D9" s="18"/>
      <c r="E9" s="18"/>
      <c r="F9" s="18"/>
      <c r="G9" s="18">
        <v>1.6000000000000001E-3</v>
      </c>
      <c r="H9" s="18">
        <v>3.0000000000000001E-3</v>
      </c>
      <c r="I9" s="18">
        <v>8.3999999999999995E-3</v>
      </c>
      <c r="J9" s="18">
        <v>1.5E-3</v>
      </c>
      <c r="K9" s="18">
        <v>2.6671E-2</v>
      </c>
      <c r="L9" s="18"/>
      <c r="M9" s="18"/>
      <c r="N9" s="18">
        <v>5.3499999999999999E-2</v>
      </c>
      <c r="O9" s="18">
        <v>0</v>
      </c>
      <c r="P9" s="18">
        <v>0</v>
      </c>
      <c r="Q9" s="18">
        <v>9.1000000000000004E-3</v>
      </c>
      <c r="R9" s="18">
        <v>1.0499999999999999E-3</v>
      </c>
      <c r="S9" s="18">
        <v>5.8560000000000001E-2</v>
      </c>
      <c r="T9" s="18">
        <v>8.2699999999999996E-3</v>
      </c>
      <c r="U9" s="18">
        <f t="shared" si="0"/>
        <v>1.591999999999999E-2</v>
      </c>
      <c r="V9" s="18">
        <v>9.6799999999999997E-2</v>
      </c>
      <c r="W9" s="18">
        <v>2.8500000000000001E-2</v>
      </c>
      <c r="X9" s="18">
        <v>0.48380000000000001</v>
      </c>
      <c r="Y9" s="18"/>
      <c r="Z9" s="18">
        <v>6.1600000000000002E-2</v>
      </c>
      <c r="AA9" s="18">
        <v>7.0499999999999993E-2</v>
      </c>
      <c r="AB9" s="18">
        <v>6.4999999999999997E-3</v>
      </c>
      <c r="AC9" s="18">
        <v>8.7999999999999995E-2</v>
      </c>
      <c r="AD9" s="18">
        <v>1.6299999999999999E-2</v>
      </c>
      <c r="AE9" s="18">
        <v>4.0599999999999997E-2</v>
      </c>
      <c r="AF9" s="18">
        <v>0.23710000000000001</v>
      </c>
      <c r="AG9" s="18">
        <v>3.2500000000000001E-2</v>
      </c>
      <c r="AH9" s="18">
        <v>6.54E-2</v>
      </c>
      <c r="AI9" s="18">
        <v>0.1404</v>
      </c>
      <c r="AJ9" s="18">
        <v>0.19819999999999999</v>
      </c>
      <c r="AK9" s="18">
        <v>0.28100000000000003</v>
      </c>
    </row>
    <row r="10" spans="1:51">
      <c r="A10" t="s">
        <v>115</v>
      </c>
      <c r="B10" s="18"/>
      <c r="C10" s="18"/>
      <c r="D10" s="18"/>
      <c r="E10" s="18"/>
      <c r="F10" s="18"/>
      <c r="G10" s="18">
        <v>0.20264599999999999</v>
      </c>
      <c r="H10" s="18">
        <v>0.11602</v>
      </c>
      <c r="I10" s="18">
        <v>3.5982E-2</v>
      </c>
      <c r="J10" s="18">
        <v>0.17561299999999999</v>
      </c>
      <c r="K10" s="18">
        <v>1.670396</v>
      </c>
      <c r="L10" s="18"/>
      <c r="M10" s="18"/>
      <c r="N10" s="18">
        <v>1.2263E-2</v>
      </c>
      <c r="O10" s="18">
        <v>0</v>
      </c>
      <c r="P10" s="18">
        <v>8.0000000000000004E-4</v>
      </c>
      <c r="Q10" s="18">
        <v>2.6755999999999999E-2</v>
      </c>
      <c r="R10" s="18">
        <v>1.7270000000000001E-2</v>
      </c>
      <c r="S10" s="18">
        <v>7.0144999999999999E-2</v>
      </c>
      <c r="T10" s="18">
        <v>3.8850000000000003E-2</v>
      </c>
      <c r="U10" s="18">
        <f t="shared" si="0"/>
        <v>7.7015999999999973E-2</v>
      </c>
      <c r="V10" s="18">
        <v>0.2445</v>
      </c>
      <c r="W10" s="18">
        <v>0.12759999999999999</v>
      </c>
      <c r="X10" s="18">
        <v>0.6149</v>
      </c>
      <c r="Y10" s="18"/>
      <c r="Z10" s="18">
        <v>1.0999999999999999E-2</v>
      </c>
      <c r="AA10" s="18">
        <v>3.5499999999999997E-2</v>
      </c>
      <c r="AB10" s="18">
        <v>2.2000000000000001E-3</v>
      </c>
      <c r="AC10" s="18">
        <v>1.23E-2</v>
      </c>
      <c r="AD10" s="18">
        <v>0.1013</v>
      </c>
      <c r="AE10" s="18">
        <v>2.2800000000000001E-2</v>
      </c>
      <c r="AF10" s="18">
        <v>2.7400000000000001E-2</v>
      </c>
      <c r="AG10" s="18">
        <v>0.1166</v>
      </c>
      <c r="AH10" s="18">
        <v>6.6900000000000001E-2</v>
      </c>
      <c r="AI10" s="18">
        <v>0.41160000000000002</v>
      </c>
      <c r="AJ10" s="18">
        <v>0.59240000000000004</v>
      </c>
      <c r="AK10" s="18">
        <v>2.6707000000000001</v>
      </c>
    </row>
    <row r="11" spans="1:51">
      <c r="A11" t="s">
        <v>10</v>
      </c>
      <c r="B11" s="18"/>
      <c r="C11" s="18"/>
      <c r="D11" s="18"/>
      <c r="E11" s="18"/>
      <c r="F11" s="18"/>
      <c r="G11" s="18">
        <v>0.87580000000000002</v>
      </c>
      <c r="H11" s="18">
        <v>0.40550000000000003</v>
      </c>
      <c r="I11" s="18">
        <v>0.701206</v>
      </c>
      <c r="J11" s="18">
        <v>1.007487</v>
      </c>
      <c r="K11" s="18">
        <v>1.3574550000000001</v>
      </c>
      <c r="L11" s="18"/>
      <c r="M11" s="18"/>
      <c r="N11" s="18">
        <v>1.1195E-2</v>
      </c>
      <c r="O11" s="18">
        <v>4.1700000000000001E-3</v>
      </c>
      <c r="P11" s="18">
        <v>7.4900000000000001E-3</v>
      </c>
      <c r="Q11" s="18">
        <v>7.8299999999999995E-2</v>
      </c>
      <c r="R11" s="18">
        <v>0.25486500000000001</v>
      </c>
      <c r="S11" s="18">
        <v>0.79390150000000004</v>
      </c>
      <c r="T11" s="18">
        <v>1.488858</v>
      </c>
      <c r="U11" s="18">
        <f t="shared" si="0"/>
        <v>1.3783204999999992</v>
      </c>
      <c r="V11" s="18">
        <v>1.7547999999999999</v>
      </c>
      <c r="W11" s="18">
        <v>2.3567</v>
      </c>
      <c r="X11" s="18">
        <v>6.5392999999999999</v>
      </c>
      <c r="Y11" s="18"/>
      <c r="Z11" s="18">
        <v>0.10100000000000001</v>
      </c>
      <c r="AA11" s="18">
        <v>7.1099999999999997E-2</v>
      </c>
      <c r="AB11" s="18">
        <v>6.8500000000000005E-2</v>
      </c>
      <c r="AC11" s="18">
        <v>0.56110000000000004</v>
      </c>
      <c r="AD11" s="18">
        <v>4.2</v>
      </c>
      <c r="AE11" s="18">
        <v>2.0447000000000002</v>
      </c>
      <c r="AF11" s="18">
        <v>1.847</v>
      </c>
      <c r="AG11" s="18">
        <v>2.5360999999999998</v>
      </c>
      <c r="AH11" s="18">
        <v>3.14</v>
      </c>
      <c r="AI11" s="18">
        <v>1.028</v>
      </c>
      <c r="AJ11" s="18">
        <v>4.1059000000000001</v>
      </c>
      <c r="AK11" s="18">
        <v>11.6456</v>
      </c>
    </row>
    <row r="12" spans="1:51">
      <c r="A12" t="s">
        <v>11</v>
      </c>
      <c r="B12" s="18"/>
      <c r="C12" s="18"/>
      <c r="D12" s="18"/>
      <c r="E12" s="18"/>
      <c r="F12" s="18"/>
      <c r="G12" s="18">
        <v>0.41360799999999998</v>
      </c>
      <c r="H12" s="18">
        <v>0.133081</v>
      </c>
      <c r="I12" s="18">
        <v>0.31049399999999999</v>
      </c>
      <c r="J12" s="18">
        <v>0.61711400000000005</v>
      </c>
      <c r="K12" s="18">
        <v>0.78738399999999997</v>
      </c>
      <c r="L12" s="18"/>
      <c r="M12" s="18"/>
      <c r="N12" s="18">
        <v>3.64E-3</v>
      </c>
      <c r="O12" s="18">
        <v>0.145563</v>
      </c>
      <c r="P12" s="18">
        <v>1.9536000000000001E-2</v>
      </c>
      <c r="Q12" s="18">
        <v>7.3165999999999995E-2</v>
      </c>
      <c r="R12" s="18">
        <v>0.42522199999999999</v>
      </c>
      <c r="S12" s="18">
        <v>0.13702900000000001</v>
      </c>
      <c r="T12" s="18">
        <v>0.34655249999999999</v>
      </c>
      <c r="U12" s="18">
        <f t="shared" si="0"/>
        <v>0.60619149999999999</v>
      </c>
      <c r="V12" s="18">
        <v>0.68259999999999998</v>
      </c>
      <c r="W12" s="18">
        <v>0.66139999999999999</v>
      </c>
      <c r="X12" s="18">
        <v>2.9643000000000002</v>
      </c>
      <c r="Y12" s="18"/>
      <c r="Z12" s="18">
        <v>5.5899999999999998E-2</v>
      </c>
      <c r="AA12" s="18">
        <v>2.6800000000000001E-2</v>
      </c>
      <c r="AB12" s="18">
        <v>2.0400000000000001E-2</v>
      </c>
      <c r="AC12" s="18">
        <v>0.1176</v>
      </c>
      <c r="AD12" s="18">
        <v>8.5599999999999996E-2</v>
      </c>
      <c r="AE12" s="18">
        <v>0.24529999999999999</v>
      </c>
      <c r="AF12" s="18">
        <v>0.314</v>
      </c>
      <c r="AG12" s="18">
        <v>0.40639999999999998</v>
      </c>
      <c r="AH12" s="18">
        <v>0.37740000000000001</v>
      </c>
      <c r="AI12" s="18">
        <v>0.35039999999999999</v>
      </c>
      <c r="AJ12" s="18">
        <v>0.38490000000000002</v>
      </c>
      <c r="AK12" s="18">
        <v>2.6021999999999998</v>
      </c>
    </row>
    <row r="13" spans="1:51">
      <c r="A13" t="s">
        <v>12</v>
      </c>
      <c r="B13" s="18"/>
      <c r="C13" s="18"/>
      <c r="D13" s="18"/>
      <c r="E13" s="18"/>
      <c r="F13" s="18"/>
      <c r="G13" s="18">
        <v>6.8000000000000005E-2</v>
      </c>
      <c r="H13" s="18">
        <v>3.8399999999999997E-2</v>
      </c>
      <c r="I13" s="18">
        <v>0.12909999999999999</v>
      </c>
      <c r="J13" s="18">
        <v>0.51954599999999995</v>
      </c>
      <c r="K13" s="18">
        <v>0.3276</v>
      </c>
      <c r="L13" s="18"/>
      <c r="M13" s="18"/>
      <c r="N13" s="18">
        <v>1.2E-2</v>
      </c>
      <c r="O13" s="18">
        <v>8.9999999999999998E-4</v>
      </c>
      <c r="P13" s="18">
        <v>5.0000000000000001E-4</v>
      </c>
      <c r="Q13" s="18">
        <v>5.4260000000000003E-2</v>
      </c>
      <c r="R13" s="18">
        <v>4.3027999999999997E-2</v>
      </c>
      <c r="S13" s="18">
        <v>5.1908000000000003E-2</v>
      </c>
      <c r="T13" s="18">
        <v>6.8205000000000002E-2</v>
      </c>
      <c r="U13" s="18">
        <f t="shared" si="0"/>
        <v>0.10361900000000002</v>
      </c>
      <c r="V13" s="18">
        <v>6.0100000000000001E-2</v>
      </c>
      <c r="W13" s="18">
        <v>0.2</v>
      </c>
      <c r="X13" s="18">
        <v>1.0297000000000001</v>
      </c>
      <c r="Y13" s="18"/>
      <c r="Z13" s="18">
        <v>2.7799999999999998E-2</v>
      </c>
      <c r="AA13" s="18">
        <v>0</v>
      </c>
      <c r="AB13" s="18">
        <v>4.4999999999999998E-2</v>
      </c>
      <c r="AC13" s="18">
        <v>3.1099999999999999E-2</v>
      </c>
      <c r="AD13" s="18">
        <v>4.1200000000000001E-2</v>
      </c>
      <c r="AE13" s="18">
        <v>6.9400000000000003E-2</v>
      </c>
      <c r="AF13" s="18">
        <v>7.1800000000000003E-2</v>
      </c>
      <c r="AG13" s="18">
        <v>0.13100000000000001</v>
      </c>
      <c r="AH13" s="18">
        <v>9.1499999999999998E-2</v>
      </c>
      <c r="AI13" s="18">
        <v>0.21709999999999999</v>
      </c>
      <c r="AJ13" s="18">
        <v>0.26619999999999999</v>
      </c>
      <c r="AK13" s="18">
        <v>1.1843999999999999</v>
      </c>
    </row>
    <row r="14" spans="1:51">
      <c r="A14" t="s">
        <v>13</v>
      </c>
      <c r="B14" s="18"/>
      <c r="C14" s="18"/>
      <c r="D14" s="18"/>
      <c r="E14" s="18"/>
      <c r="F14" s="18"/>
      <c r="G14" s="18">
        <v>0.22</v>
      </c>
      <c r="H14" s="18">
        <v>0.20549999999999999</v>
      </c>
      <c r="I14" s="18">
        <v>0.22720000000000001</v>
      </c>
      <c r="J14" s="18">
        <v>0.15060000000000001</v>
      </c>
      <c r="K14" s="18">
        <v>0.33450000000000002</v>
      </c>
      <c r="L14" s="18"/>
      <c r="M14" s="18"/>
      <c r="N14" s="18">
        <v>4.6544000000000002E-2</v>
      </c>
      <c r="O14" s="18">
        <v>0</v>
      </c>
      <c r="P14" s="18">
        <v>1.8565000000000002E-2</v>
      </c>
      <c r="Q14" s="18">
        <v>4.5902199999999997E-2</v>
      </c>
      <c r="R14" s="18">
        <v>7.2679499999999994E-2</v>
      </c>
      <c r="S14" s="18">
        <v>0.1440565</v>
      </c>
      <c r="T14" s="18">
        <v>0.16416230000000001</v>
      </c>
      <c r="U14" s="18">
        <f t="shared" si="0"/>
        <v>0.14909050000000001</v>
      </c>
      <c r="V14" s="18">
        <v>0.184</v>
      </c>
      <c r="W14" s="18">
        <v>0.12039999999999999</v>
      </c>
      <c r="X14" s="18">
        <v>0.34350000000000003</v>
      </c>
      <c r="Y14" s="18"/>
      <c r="Z14" s="18">
        <v>6.1699999999999998E-2</v>
      </c>
      <c r="AA14" s="18">
        <v>3.6499999999999998E-2</v>
      </c>
      <c r="AB14" s="18">
        <v>4.53E-2</v>
      </c>
      <c r="AC14" s="18">
        <v>0.10829999999999999</v>
      </c>
      <c r="AD14" s="18">
        <v>0.13750000000000001</v>
      </c>
      <c r="AE14" s="18">
        <v>0.13289999999999999</v>
      </c>
      <c r="AF14" s="18">
        <v>0.14949999999999999</v>
      </c>
      <c r="AG14" s="18">
        <v>0.1676</v>
      </c>
      <c r="AH14" s="18">
        <v>0.18759999999999999</v>
      </c>
      <c r="AI14" s="18">
        <v>7.1599999999999997E-2</v>
      </c>
      <c r="AJ14" s="18">
        <v>0.27060000000000001</v>
      </c>
      <c r="AK14" s="18">
        <v>0.47170000000000001</v>
      </c>
    </row>
    <row r="15" spans="1:51">
      <c r="A15" t="s">
        <v>14</v>
      </c>
      <c r="B15" s="18"/>
      <c r="C15" s="18"/>
      <c r="D15" s="18"/>
      <c r="E15" s="18"/>
      <c r="F15" s="18"/>
      <c r="G15" s="18">
        <v>2.0777600000000001</v>
      </c>
      <c r="H15" s="18">
        <v>1.8031638999999999</v>
      </c>
      <c r="I15" s="18">
        <v>3.4270960000000001</v>
      </c>
      <c r="J15" s="18">
        <v>3.6969945000000002</v>
      </c>
      <c r="K15" s="18">
        <v>3.6943895000000002</v>
      </c>
      <c r="L15" s="18"/>
      <c r="M15" s="18"/>
      <c r="N15" s="18">
        <v>0.33230559999999998</v>
      </c>
      <c r="O15" s="18">
        <v>9.6380000000000007E-3</v>
      </c>
      <c r="P15" s="18">
        <v>0.386241</v>
      </c>
      <c r="Q15" s="18">
        <v>1.3082674999999999</v>
      </c>
      <c r="R15" s="18">
        <v>1.754988</v>
      </c>
      <c r="S15" s="18">
        <v>1.9712099999999999</v>
      </c>
      <c r="T15" s="18">
        <v>2.2841789000000001</v>
      </c>
      <c r="U15" s="18">
        <f t="shared" si="0"/>
        <v>2.2189055</v>
      </c>
      <c r="V15" s="18">
        <v>3.0691000000000002</v>
      </c>
      <c r="W15" s="18">
        <v>2.9262999999999999</v>
      </c>
      <c r="X15" s="18">
        <v>6.9188000000000001</v>
      </c>
      <c r="Y15" s="18"/>
      <c r="Z15" s="18">
        <v>0.30549999999999999</v>
      </c>
      <c r="AA15" s="18">
        <v>0.6522</v>
      </c>
      <c r="AB15" s="18">
        <v>1.891</v>
      </c>
      <c r="AC15" s="18">
        <v>3.0392999999999999</v>
      </c>
      <c r="AD15" s="18">
        <v>2.6703999999999999</v>
      </c>
      <c r="AE15" s="18">
        <v>2.859</v>
      </c>
      <c r="AF15" s="18">
        <v>4.0384000000000002</v>
      </c>
      <c r="AG15" s="18">
        <v>3.0402</v>
      </c>
      <c r="AH15" s="18">
        <v>3.6080000000000001</v>
      </c>
      <c r="AI15" s="18">
        <v>3.6764000000000001</v>
      </c>
      <c r="AJ15" s="18">
        <v>4.9271000000000003</v>
      </c>
      <c r="AK15" s="18">
        <v>13.068099999999999</v>
      </c>
    </row>
    <row r="16" spans="1:51">
      <c r="A16" t="s">
        <v>15</v>
      </c>
      <c r="B16" s="18"/>
      <c r="C16" s="18"/>
      <c r="D16" s="18"/>
      <c r="E16" s="18"/>
      <c r="F16" s="18"/>
      <c r="G16" s="18">
        <v>3.8210199999999999</v>
      </c>
      <c r="H16" s="18">
        <v>2.9891999999999999</v>
      </c>
      <c r="I16" s="18">
        <v>3.4746000000000001</v>
      </c>
      <c r="J16" s="18">
        <v>4.1094999999999997</v>
      </c>
      <c r="K16" s="18">
        <v>5.3719999999999999</v>
      </c>
      <c r="L16" s="18"/>
      <c r="M16" s="18"/>
      <c r="N16" s="18">
        <v>1.0887465000000001</v>
      </c>
      <c r="O16" s="18">
        <v>1.36165E-2</v>
      </c>
      <c r="P16" s="18">
        <v>0.77632350000000006</v>
      </c>
      <c r="Q16" s="18">
        <v>1.7573965</v>
      </c>
      <c r="R16" s="18">
        <v>2.0520770000000002</v>
      </c>
      <c r="S16" s="18">
        <v>2.6506145000000001</v>
      </c>
      <c r="T16" s="18">
        <v>2.5063612000000002</v>
      </c>
      <c r="U16" s="18">
        <f t="shared" si="0"/>
        <v>2.7453643000000003</v>
      </c>
      <c r="V16" s="18">
        <v>2.2441</v>
      </c>
      <c r="W16" s="18">
        <v>2.2235</v>
      </c>
      <c r="X16" s="18">
        <v>5.7008999999999999</v>
      </c>
      <c r="Y16" s="18"/>
      <c r="Z16" s="18">
        <v>0.87390000000000001</v>
      </c>
      <c r="AA16" s="18">
        <v>0.33639999999999998</v>
      </c>
      <c r="AB16" s="18">
        <v>0.74509999999999998</v>
      </c>
      <c r="AC16" s="18">
        <v>1.7078</v>
      </c>
      <c r="AD16" s="18">
        <v>1.3472999999999999</v>
      </c>
      <c r="AE16" s="18">
        <v>1.7208000000000001</v>
      </c>
      <c r="AF16" s="18">
        <v>1.6720999999999999</v>
      </c>
      <c r="AG16" s="18">
        <v>1.7316</v>
      </c>
      <c r="AH16" s="18">
        <v>2.7864</v>
      </c>
      <c r="AI16" s="18">
        <v>1.1857</v>
      </c>
      <c r="AJ16" s="18">
        <v>1.5615000000000001</v>
      </c>
      <c r="AK16" s="18">
        <v>2.6349</v>
      </c>
    </row>
    <row r="17" spans="1:37">
      <c r="A17" t="s">
        <v>16</v>
      </c>
      <c r="B17" s="18"/>
      <c r="C17" s="18"/>
      <c r="D17" s="18"/>
      <c r="E17" s="18"/>
      <c r="F17" s="18"/>
      <c r="G17" s="18">
        <v>1.59</v>
      </c>
      <c r="H17" s="18">
        <v>1.6172200000000001</v>
      </c>
      <c r="I17" s="18">
        <v>2.2410700000000001</v>
      </c>
      <c r="J17" s="18">
        <v>3.8033730000000001</v>
      </c>
      <c r="K17" s="18">
        <v>2.5986530000000001</v>
      </c>
      <c r="L17" s="18"/>
      <c r="M17" s="18"/>
      <c r="N17" s="18">
        <v>0.53263700000000003</v>
      </c>
      <c r="O17" s="18">
        <v>2.6502999999999999E-2</v>
      </c>
      <c r="P17" s="18">
        <v>0.82397799999999999</v>
      </c>
      <c r="Q17" s="18">
        <v>2.1780105000000001</v>
      </c>
      <c r="R17" s="18">
        <v>2.6608900000000002</v>
      </c>
      <c r="S17" s="18">
        <v>2.6506145000000001</v>
      </c>
      <c r="T17" s="18">
        <v>2.9103995</v>
      </c>
      <c r="U17" s="18">
        <f t="shared" si="0"/>
        <v>3.2159675000000032</v>
      </c>
      <c r="V17" s="18">
        <v>4.0095000000000001</v>
      </c>
      <c r="W17" s="18">
        <v>5.3841999999999999</v>
      </c>
      <c r="X17" s="18">
        <v>10.5205</v>
      </c>
      <c r="Y17" s="18"/>
      <c r="Z17" s="18">
        <v>1.7242</v>
      </c>
      <c r="AA17" s="18">
        <v>1.6981999999999999</v>
      </c>
      <c r="AB17" s="18">
        <v>3.6326000000000001</v>
      </c>
      <c r="AC17" s="18">
        <v>6.6353999999999997</v>
      </c>
      <c r="AD17" s="18">
        <v>7.1125999999999996</v>
      </c>
      <c r="AE17" s="18">
        <v>8.1016999999999992</v>
      </c>
      <c r="AF17" s="18">
        <v>7.9333999999999998</v>
      </c>
      <c r="AG17" s="18">
        <v>10.480399999999999</v>
      </c>
      <c r="AH17" s="18">
        <v>14.612399999999999</v>
      </c>
      <c r="AI17" s="18">
        <v>15.6656</v>
      </c>
      <c r="AJ17" s="18">
        <v>24.484500000000001</v>
      </c>
      <c r="AK17" s="18">
        <v>35.286200000000001</v>
      </c>
    </row>
    <row r="18" spans="1:37">
      <c r="A18" t="s">
        <v>17</v>
      </c>
      <c r="B18" s="18"/>
      <c r="C18" s="18"/>
      <c r="D18" s="18"/>
      <c r="E18" s="18"/>
      <c r="F18" s="18"/>
      <c r="G18" s="18">
        <v>0.47948099999999999</v>
      </c>
      <c r="H18" s="18">
        <v>0.78269999999999995</v>
      </c>
      <c r="I18" s="18">
        <v>1.2474000000000001</v>
      </c>
      <c r="J18" s="18">
        <v>2.3031999999999999</v>
      </c>
      <c r="K18" s="18">
        <v>2.2728000000000002</v>
      </c>
      <c r="L18" s="18"/>
      <c r="M18" s="18"/>
      <c r="N18" s="18">
        <v>0.1916311</v>
      </c>
      <c r="O18" s="18">
        <v>2.0213499999999999E-2</v>
      </c>
      <c r="P18" s="18">
        <v>0.24569949999999999</v>
      </c>
      <c r="Q18" s="18">
        <v>0.6455225</v>
      </c>
      <c r="R18" s="18">
        <v>1.0073624999999999</v>
      </c>
      <c r="S18" s="18">
        <v>1.6177569999999999</v>
      </c>
      <c r="T18" s="18">
        <v>2.3501230999999998</v>
      </c>
      <c r="U18" s="18">
        <f t="shared" si="0"/>
        <v>2.4115068000000006</v>
      </c>
      <c r="V18" s="18">
        <v>2.8574000000000002</v>
      </c>
      <c r="W18" s="18">
        <v>2.4506000000000001</v>
      </c>
      <c r="X18" s="18">
        <v>5.9550000000000001</v>
      </c>
      <c r="Y18" s="18"/>
      <c r="Z18" s="18">
        <v>0.3664</v>
      </c>
      <c r="AA18" s="18">
        <v>0.50729999999999997</v>
      </c>
      <c r="AB18" s="18">
        <v>0.66910000000000003</v>
      </c>
      <c r="AC18" s="18">
        <v>1.5960000000000001</v>
      </c>
      <c r="AD18" s="18">
        <v>2.1213000000000002</v>
      </c>
      <c r="AE18" s="18">
        <v>3.0150999999999999</v>
      </c>
      <c r="AF18" s="18">
        <v>4.9699</v>
      </c>
      <c r="AG18" s="18">
        <v>5.0143000000000004</v>
      </c>
      <c r="AH18" s="18">
        <v>6.3034999999999997</v>
      </c>
      <c r="AI18" s="18">
        <v>4.8906000000000001</v>
      </c>
      <c r="AJ18" s="18">
        <v>6.3266999999999998</v>
      </c>
      <c r="AK18" s="18">
        <v>11.6806</v>
      </c>
    </row>
    <row r="19" spans="1:37">
      <c r="A19" t="s">
        <v>18</v>
      </c>
      <c r="B19" s="18"/>
      <c r="C19" s="18"/>
      <c r="D19" s="18"/>
      <c r="E19" s="18"/>
      <c r="F19" s="18"/>
      <c r="G19" s="18">
        <v>0.85</v>
      </c>
      <c r="H19" s="18">
        <v>0.49490000000000001</v>
      </c>
      <c r="I19" s="18">
        <v>1.2746999999999999</v>
      </c>
      <c r="J19" s="18">
        <v>1.3528</v>
      </c>
      <c r="K19" s="18">
        <v>2.1524999999999999</v>
      </c>
      <c r="L19" s="18"/>
      <c r="M19" s="18"/>
      <c r="N19" s="18">
        <v>0.263909</v>
      </c>
      <c r="O19" s="18">
        <v>2.988E-2</v>
      </c>
      <c r="P19" s="18">
        <v>0.148262</v>
      </c>
      <c r="Q19" s="18">
        <v>0.47405799999999998</v>
      </c>
      <c r="R19" s="18">
        <v>0.84870900000000005</v>
      </c>
      <c r="S19" s="18">
        <v>1.0493385</v>
      </c>
      <c r="T19" s="18">
        <v>1.566737</v>
      </c>
      <c r="U19" s="18">
        <f t="shared" si="0"/>
        <v>1.4013665</v>
      </c>
      <c r="V19" s="18">
        <v>1.6899</v>
      </c>
      <c r="W19" s="18">
        <v>1.6598999999999999</v>
      </c>
      <c r="X19" s="18">
        <v>5.6977000000000002</v>
      </c>
      <c r="Y19" s="18"/>
      <c r="Z19" s="18">
        <v>0.53129999999999999</v>
      </c>
      <c r="AA19" s="18">
        <v>0.49020000000000002</v>
      </c>
      <c r="AB19" s="18">
        <v>0.92020000000000002</v>
      </c>
      <c r="AC19" s="18">
        <v>2.1099000000000001</v>
      </c>
      <c r="AD19" s="18">
        <v>2.3317000000000001</v>
      </c>
      <c r="AE19" s="18">
        <v>3.6781000000000001</v>
      </c>
      <c r="AF19" s="18">
        <v>4.1882999999999999</v>
      </c>
      <c r="AG19" s="18">
        <v>4.6162000000000001</v>
      </c>
      <c r="AH19" s="18">
        <v>5.5831</v>
      </c>
      <c r="AI19" s="18">
        <v>5.0449000000000002</v>
      </c>
      <c r="AJ19" s="18">
        <v>6.03</v>
      </c>
      <c r="AK19" s="18">
        <v>13.4564</v>
      </c>
    </row>
    <row r="20" spans="1:37">
      <c r="A20" t="s">
        <v>19</v>
      </c>
      <c r="B20" s="18"/>
      <c r="C20" s="18"/>
      <c r="D20" s="18"/>
      <c r="E20" s="18"/>
      <c r="F20" s="18"/>
      <c r="G20" s="18">
        <v>18.520800000000001</v>
      </c>
      <c r="H20" s="18">
        <v>19.7179</v>
      </c>
      <c r="I20" s="18">
        <v>26.513200000000001</v>
      </c>
      <c r="J20" s="18">
        <v>37.5837</v>
      </c>
      <c r="K20" s="18">
        <v>44.478115099999997</v>
      </c>
      <c r="L20" s="21"/>
      <c r="M20" s="21"/>
      <c r="N20" s="18">
        <v>4.7263237</v>
      </c>
      <c r="O20" s="18">
        <v>0.42160550000000002</v>
      </c>
      <c r="P20" s="18">
        <v>4.6102480000000003</v>
      </c>
      <c r="Q20" s="18">
        <v>17.147776</v>
      </c>
      <c r="R20" s="18">
        <v>25.4394065</v>
      </c>
      <c r="S20" s="18">
        <v>32.997843899999999</v>
      </c>
      <c r="T20" s="18">
        <v>38.548428199999996</v>
      </c>
      <c r="U20" s="18">
        <f t="shared" si="0"/>
        <v>45.486209670000022</v>
      </c>
      <c r="V20" s="18">
        <v>57.950899999999997</v>
      </c>
      <c r="W20" s="18">
        <v>56.765900000000002</v>
      </c>
      <c r="X20" s="18">
        <v>173.20519999999999</v>
      </c>
      <c r="Y20" s="18"/>
      <c r="Z20" s="18">
        <v>12.035</v>
      </c>
      <c r="AA20" s="18">
        <v>13.348800000000001</v>
      </c>
      <c r="AB20" s="18">
        <v>28.145700000000001</v>
      </c>
      <c r="AC20" s="18">
        <v>55.813600000000001</v>
      </c>
      <c r="AD20" s="18">
        <v>63.384900000000002</v>
      </c>
      <c r="AE20" s="18">
        <v>67.203400000000002</v>
      </c>
      <c r="AF20" s="18">
        <v>65.569400000000002</v>
      </c>
      <c r="AG20" s="18">
        <v>67.8232</v>
      </c>
      <c r="AH20" s="18">
        <v>69.904399999999995</v>
      </c>
      <c r="AI20" s="18">
        <v>64.360100000000003</v>
      </c>
      <c r="AJ20" s="18">
        <v>88.13</v>
      </c>
      <c r="AK20" s="18">
        <v>157.9777</v>
      </c>
    </row>
    <row r="21" spans="1:37">
      <c r="A21" t="s">
        <v>20</v>
      </c>
      <c r="B21" s="18"/>
      <c r="C21" s="18"/>
      <c r="D21" s="18"/>
      <c r="E21" s="18"/>
      <c r="F21" s="18"/>
      <c r="G21" s="18">
        <v>3.9899110000000002</v>
      </c>
      <c r="H21" s="18">
        <v>6.1993</v>
      </c>
      <c r="I21" s="18">
        <v>7.2633000000000001</v>
      </c>
      <c r="J21" s="18">
        <v>10.139699999999999</v>
      </c>
      <c r="K21" s="18">
        <v>7.0479000000000003</v>
      </c>
      <c r="L21" s="18"/>
      <c r="M21" s="18"/>
      <c r="N21" s="18">
        <v>2.0353965000000001</v>
      </c>
      <c r="O21" s="18">
        <v>0.1361685</v>
      </c>
      <c r="P21" s="18">
        <v>2.3036127</v>
      </c>
      <c r="Q21" s="18">
        <v>5.1021979999999996</v>
      </c>
      <c r="R21" s="18">
        <v>8.1400053000000003</v>
      </c>
      <c r="S21" s="18">
        <v>9.1970828000000004</v>
      </c>
      <c r="T21" s="18">
        <v>11.2035825</v>
      </c>
      <c r="U21" s="18">
        <f t="shared" si="0"/>
        <v>10.374053700000005</v>
      </c>
      <c r="V21" s="18">
        <v>13.3619</v>
      </c>
      <c r="W21" s="18">
        <v>12.2759</v>
      </c>
      <c r="X21" s="18">
        <v>30.814599999999999</v>
      </c>
      <c r="Y21" s="18"/>
      <c r="Z21" s="18">
        <v>5.1143999999999998</v>
      </c>
      <c r="AA21" s="18">
        <v>4.8555999999999999</v>
      </c>
      <c r="AB21" s="18">
        <v>10.9216</v>
      </c>
      <c r="AC21" s="18">
        <v>19.512499999999999</v>
      </c>
      <c r="AD21" s="18">
        <v>23.942299999999999</v>
      </c>
      <c r="AE21" s="18">
        <v>25.599900000000002</v>
      </c>
      <c r="AF21" s="18">
        <v>25.758900000000001</v>
      </c>
      <c r="AG21" s="18">
        <v>23.664999999999999</v>
      </c>
      <c r="AH21" s="18">
        <v>32.304200000000002</v>
      </c>
      <c r="AI21" s="18">
        <v>36.179099999999998</v>
      </c>
      <c r="AJ21" s="18">
        <v>60.134300000000003</v>
      </c>
      <c r="AK21" s="18">
        <v>81.358500000000006</v>
      </c>
    </row>
    <row r="22" spans="1:37">
      <c r="A22" t="s">
        <v>21</v>
      </c>
      <c r="B22" s="18"/>
      <c r="C22" s="18"/>
      <c r="D22" s="18"/>
      <c r="E22" s="18"/>
      <c r="F22" s="18"/>
      <c r="G22" s="18">
        <v>7.0000000000000007E-2</v>
      </c>
      <c r="H22" s="18">
        <v>0.37</v>
      </c>
      <c r="I22" s="18">
        <v>0.66774500000000003</v>
      </c>
      <c r="J22" s="18">
        <v>0.75208059999999999</v>
      </c>
      <c r="K22" s="18">
        <v>0.7861515</v>
      </c>
      <c r="L22" s="18"/>
      <c r="M22" s="18"/>
      <c r="N22" s="18">
        <v>9.1981999999999994E-2</v>
      </c>
      <c r="O22" s="18">
        <v>0</v>
      </c>
      <c r="P22" s="18">
        <v>3.725E-3</v>
      </c>
      <c r="Q22" s="18">
        <v>8.0893499999999993E-2</v>
      </c>
      <c r="R22" s="18">
        <v>0.17787600000000001</v>
      </c>
      <c r="S22" s="18">
        <v>0.22573199999999999</v>
      </c>
      <c r="T22" s="18">
        <v>0.2498435</v>
      </c>
      <c r="U22" s="18">
        <f t="shared" si="0"/>
        <v>0.32843599999999995</v>
      </c>
      <c r="V22" s="18">
        <v>0.6532</v>
      </c>
      <c r="W22" s="18">
        <v>0.23769999999999999</v>
      </c>
      <c r="X22" s="18">
        <v>0.93469999999999998</v>
      </c>
      <c r="Y22" s="18"/>
      <c r="Z22" s="18">
        <v>0.38879999999999998</v>
      </c>
      <c r="AA22" s="18">
        <v>0.13</v>
      </c>
      <c r="AB22" s="18">
        <v>0.21490000000000001</v>
      </c>
      <c r="AC22" s="18">
        <v>0.20219999999999999</v>
      </c>
      <c r="AD22" s="18">
        <v>0.43269999999999997</v>
      </c>
      <c r="AE22" s="18">
        <v>0.51980000000000004</v>
      </c>
      <c r="AF22" s="18">
        <v>0.51880000000000004</v>
      </c>
      <c r="AG22" s="18">
        <v>0.52129999999999999</v>
      </c>
      <c r="AH22" s="18">
        <v>0.66149999999999998</v>
      </c>
      <c r="AI22" s="18">
        <v>0.52529999999999999</v>
      </c>
      <c r="AJ22" s="18">
        <v>0.82609999999999995</v>
      </c>
      <c r="AK22" s="18">
        <v>2.1848999999999998</v>
      </c>
    </row>
    <row r="23" spans="1:37">
      <c r="A23" t="s">
        <v>22</v>
      </c>
      <c r="B23" s="18"/>
      <c r="C23" s="18"/>
      <c r="D23" s="18"/>
      <c r="E23" s="18"/>
      <c r="F23" s="18"/>
      <c r="G23" s="18">
        <v>0.57760800000000001</v>
      </c>
      <c r="H23" s="18">
        <v>1.3045</v>
      </c>
      <c r="I23" s="18">
        <v>0.46820000000000001</v>
      </c>
      <c r="J23" s="18">
        <v>0.56859999999999999</v>
      </c>
      <c r="K23" s="18">
        <v>1.1127625000000001</v>
      </c>
      <c r="L23" s="18"/>
      <c r="M23" s="18"/>
      <c r="N23" s="18">
        <v>0.18729999999999999</v>
      </c>
      <c r="O23" s="18">
        <v>3.2899999999999999E-2</v>
      </c>
      <c r="P23" s="18">
        <v>0.12039999999999999</v>
      </c>
      <c r="Q23" s="18">
        <v>0.2969</v>
      </c>
      <c r="R23" s="18">
        <v>0.54000999999999999</v>
      </c>
      <c r="S23" s="18">
        <v>0.43930000000000002</v>
      </c>
      <c r="T23" s="18">
        <v>0.73140000000000005</v>
      </c>
      <c r="U23" s="18">
        <f t="shared" si="0"/>
        <v>0.69248999999999983</v>
      </c>
      <c r="V23" s="18">
        <v>0.58450000000000002</v>
      </c>
      <c r="W23" s="18">
        <v>0.7641</v>
      </c>
      <c r="X23" s="18">
        <v>2.9051</v>
      </c>
      <c r="Y23" s="18"/>
      <c r="Z23" s="18">
        <v>0.39500000000000002</v>
      </c>
      <c r="AA23" s="18">
        <v>0.2492</v>
      </c>
      <c r="AB23" s="18">
        <v>0.46289999999999998</v>
      </c>
      <c r="AC23" s="18">
        <v>0.7853</v>
      </c>
      <c r="AD23" s="18">
        <v>0.84279999999999999</v>
      </c>
      <c r="AE23" s="18">
        <v>1.3031999999999999</v>
      </c>
      <c r="AF23" s="18">
        <v>1.4451000000000001</v>
      </c>
      <c r="AG23" s="18">
        <v>1.5876999999999999</v>
      </c>
      <c r="AH23" s="18">
        <v>2.3338999999999999</v>
      </c>
      <c r="AI23" s="18">
        <v>1.8666</v>
      </c>
      <c r="AJ23" s="18">
        <v>2.2483</v>
      </c>
      <c r="AK23" s="18">
        <v>5.4855</v>
      </c>
    </row>
    <row r="24" spans="1:37">
      <c r="A24" t="s">
        <v>26</v>
      </c>
      <c r="B24" s="18"/>
      <c r="C24" s="18"/>
      <c r="D24" s="18"/>
      <c r="E24" s="18"/>
      <c r="F24" s="18"/>
      <c r="G24" s="18">
        <v>2.9790000000000001E-2</v>
      </c>
      <c r="H24" s="18">
        <v>1.0244E-2</v>
      </c>
      <c r="I24" s="18">
        <v>6.6333000000000003E-2</v>
      </c>
      <c r="J24" s="18">
        <v>4.0599999999999997E-2</v>
      </c>
      <c r="K24" s="18">
        <v>2.6010999999999999E-2</v>
      </c>
      <c r="L24" s="18"/>
      <c r="M24" s="18"/>
      <c r="N24" s="18">
        <v>1.918E-3</v>
      </c>
      <c r="O24" s="18">
        <v>0</v>
      </c>
      <c r="P24" s="18">
        <v>5.6259999999999999E-3</v>
      </c>
      <c r="Q24" s="18">
        <v>1.9723999999999998E-2</v>
      </c>
      <c r="R24" s="18">
        <v>5.3090000000000004E-3</v>
      </c>
      <c r="S24" s="18">
        <v>2.8344000000000001E-2</v>
      </c>
      <c r="T24" s="18">
        <v>2.2388999999999999E-2</v>
      </c>
      <c r="U24" s="18">
        <f t="shared" si="0"/>
        <v>3.2476999999999978E-2</v>
      </c>
      <c r="V24" s="18">
        <v>6.1999999999999998E-3</v>
      </c>
      <c r="W24" s="18">
        <v>2.18E-2</v>
      </c>
      <c r="X24" s="18">
        <v>1.4E-2</v>
      </c>
      <c r="Y24" s="18"/>
      <c r="Z24" s="18">
        <v>1.5800000000000002E-2</v>
      </c>
      <c r="AA24" s="18">
        <v>2.3999999999999998E-3</v>
      </c>
      <c r="AB24" s="18">
        <v>9.5999999999999992E-3</v>
      </c>
      <c r="AC24" s="18">
        <v>1.78E-2</v>
      </c>
      <c r="AD24" s="18">
        <v>2.5899999999999999E-2</v>
      </c>
      <c r="AE24" s="18">
        <v>1.8200000000000001E-2</v>
      </c>
      <c r="AF24" s="18">
        <v>3.3399999999999999E-2</v>
      </c>
      <c r="AG24" s="18">
        <v>2.2700000000000001E-2</v>
      </c>
      <c r="AH24" s="18">
        <v>2.1399999999999999E-2</v>
      </c>
      <c r="AI24" s="18">
        <v>3.2899999999999999E-2</v>
      </c>
      <c r="AJ24" s="18">
        <v>4.2700000000000002E-2</v>
      </c>
      <c r="AK24" s="18">
        <v>7.5399999999999995E-2</v>
      </c>
    </row>
    <row r="25" spans="1:37">
      <c r="A25" t="s">
        <v>27</v>
      </c>
      <c r="B25" s="18"/>
      <c r="C25" s="18"/>
      <c r="D25" s="18"/>
      <c r="E25" s="18"/>
      <c r="F25" s="18"/>
      <c r="G25" s="18">
        <v>4.5100000000000001E-2</v>
      </c>
      <c r="H25" s="18">
        <v>0.39269150000000003</v>
      </c>
      <c r="I25" s="18">
        <v>6.7653000000000005E-2</v>
      </c>
      <c r="J25" s="18">
        <v>0.13931099999999999</v>
      </c>
      <c r="K25" s="18">
        <v>0.24292</v>
      </c>
      <c r="L25" s="18"/>
      <c r="M25" s="18"/>
      <c r="N25" s="18">
        <v>5.2872000000000002E-2</v>
      </c>
      <c r="O25" s="18">
        <v>2.8E-3</v>
      </c>
      <c r="P25" s="18">
        <v>1.729E-2</v>
      </c>
      <c r="Q25" s="18">
        <v>5.3574999999999998E-2</v>
      </c>
      <c r="R25" s="18">
        <v>9.3432000000000001E-2</v>
      </c>
      <c r="S25" s="18">
        <v>0.161192</v>
      </c>
      <c r="T25" s="18">
        <v>0.16961999999999999</v>
      </c>
      <c r="U25" s="18">
        <f t="shared" si="0"/>
        <v>0.1814690000000001</v>
      </c>
      <c r="V25" s="18">
        <v>0.1158</v>
      </c>
      <c r="W25" s="18">
        <v>7.6799999999999993E-2</v>
      </c>
      <c r="X25" s="18">
        <v>0.65380000000000005</v>
      </c>
      <c r="Y25" s="18"/>
      <c r="Z25" s="18">
        <v>4.1099999999999998E-2</v>
      </c>
      <c r="AA25" s="18">
        <v>6.1699999999999998E-2</v>
      </c>
      <c r="AB25" s="18">
        <v>0.1096</v>
      </c>
      <c r="AC25" s="18">
        <v>0.31590000000000001</v>
      </c>
      <c r="AD25" s="18">
        <v>0.24690000000000001</v>
      </c>
      <c r="AE25" s="18">
        <v>0.1794</v>
      </c>
      <c r="AF25" s="18">
        <v>0.25519999999999998</v>
      </c>
      <c r="AG25" s="18">
        <v>0.37130000000000002</v>
      </c>
      <c r="AH25" s="18">
        <v>0.27410000000000001</v>
      </c>
      <c r="AI25" s="18">
        <v>0.1777</v>
      </c>
      <c r="AJ25" s="18">
        <v>0.87880000000000003</v>
      </c>
      <c r="AK25" s="18">
        <v>0.6633</v>
      </c>
    </row>
    <row r="26" spans="1:37">
      <c r="A26" t="s">
        <v>31</v>
      </c>
      <c r="B26" s="18"/>
      <c r="C26" s="18"/>
      <c r="D26" s="18"/>
      <c r="E26" s="18"/>
      <c r="F26" s="18"/>
      <c r="G26" s="18">
        <v>0.522532</v>
      </c>
      <c r="H26" s="18">
        <v>0.69259700000000002</v>
      </c>
      <c r="I26" s="18">
        <v>0.96323599999999998</v>
      </c>
      <c r="J26" s="18">
        <v>1.0876034999999999</v>
      </c>
      <c r="K26" s="18">
        <v>1.3524769999999999</v>
      </c>
      <c r="L26" s="18"/>
      <c r="M26" s="18"/>
      <c r="N26" s="18">
        <v>6.9535E-2</v>
      </c>
      <c r="O26" s="18">
        <v>1.7766000000000001E-2</v>
      </c>
      <c r="P26" s="18">
        <v>2.3517E-2</v>
      </c>
      <c r="Q26" s="18">
        <v>0.244308</v>
      </c>
      <c r="R26" s="18">
        <v>0.91848700000000005</v>
      </c>
      <c r="S26" s="18">
        <v>1.5463317999999999</v>
      </c>
      <c r="T26" s="18">
        <v>1.3042016999999999</v>
      </c>
      <c r="U26" s="18">
        <f t="shared" si="0"/>
        <v>2.0667651999999999</v>
      </c>
      <c r="V26" s="18">
        <v>1.4907999999999999</v>
      </c>
      <c r="W26" s="18">
        <v>1.3628</v>
      </c>
      <c r="X26" s="18">
        <v>4.1326999999999998</v>
      </c>
      <c r="Y26" s="18"/>
      <c r="Z26" s="18">
        <v>4.4699999999999997E-2</v>
      </c>
      <c r="AA26" s="18">
        <v>4.4400000000000002E-2</v>
      </c>
      <c r="AB26" s="18">
        <v>0.28149999999999997</v>
      </c>
      <c r="AC26" s="18">
        <v>0.70489999999999997</v>
      </c>
      <c r="AD26" s="18">
        <v>1.0837000000000001</v>
      </c>
      <c r="AE26" s="18">
        <v>1.7690999999999999</v>
      </c>
      <c r="AF26" s="18">
        <v>1.4676</v>
      </c>
      <c r="AG26" s="18">
        <v>1.623</v>
      </c>
      <c r="AH26" s="18">
        <v>1.7329000000000001</v>
      </c>
      <c r="AI26" s="18">
        <v>1.3692</v>
      </c>
      <c r="AJ26" s="18">
        <v>2.4459</v>
      </c>
      <c r="AK26" s="18">
        <v>4.7523999999999997</v>
      </c>
    </row>
    <row r="27" spans="1:37">
      <c r="A27" t="s">
        <v>32</v>
      </c>
      <c r="B27" s="18"/>
      <c r="C27" s="18"/>
      <c r="D27" s="18"/>
      <c r="E27" s="18"/>
      <c r="F27" s="18"/>
      <c r="G27" s="18">
        <v>0.114453</v>
      </c>
      <c r="H27" s="18">
        <v>6.1310000000000003E-2</v>
      </c>
      <c r="I27" s="18">
        <v>0.11790050000000001</v>
      </c>
      <c r="J27" s="18">
        <v>0.162048</v>
      </c>
      <c r="K27" s="18">
        <v>0.67823900000000004</v>
      </c>
      <c r="L27" s="18"/>
      <c r="M27" s="18"/>
      <c r="N27" s="18">
        <v>5.3600000000000002E-3</v>
      </c>
      <c r="O27" s="18">
        <v>0</v>
      </c>
      <c r="P27" s="18">
        <v>9.1999999999999998E-3</v>
      </c>
      <c r="Q27" s="18">
        <v>1.2456E-2</v>
      </c>
      <c r="R27" s="18">
        <v>2.9318E-2</v>
      </c>
      <c r="S27" s="18">
        <v>3.6549999999999999E-2</v>
      </c>
      <c r="T27" s="18">
        <v>5.2658000000000003E-2</v>
      </c>
      <c r="U27" s="18">
        <f t="shared" si="0"/>
        <v>7.9357999999999984E-2</v>
      </c>
      <c r="V27" s="18">
        <v>5.4399999999999997E-2</v>
      </c>
      <c r="W27" s="18">
        <v>0.14910000000000001</v>
      </c>
      <c r="X27" s="18">
        <v>0.29909999999999998</v>
      </c>
      <c r="Y27" s="18"/>
      <c r="Z27" s="18">
        <v>2.35E-2</v>
      </c>
      <c r="AA27" s="18">
        <v>3.0000000000000001E-3</v>
      </c>
      <c r="AB27" s="18">
        <v>2.6800000000000001E-2</v>
      </c>
      <c r="AC27" s="18">
        <v>8.3000000000000004E-2</v>
      </c>
      <c r="AD27" s="18">
        <v>3.8100000000000002E-2</v>
      </c>
      <c r="AE27" s="18">
        <v>5.3699999999999998E-2</v>
      </c>
      <c r="AF27" s="18">
        <v>9.9199999999999997E-2</v>
      </c>
      <c r="AG27" s="18">
        <v>0.1176</v>
      </c>
      <c r="AH27" s="18">
        <v>8.8800000000000004E-2</v>
      </c>
      <c r="AI27" s="18">
        <v>6.5000000000000002E-2</v>
      </c>
      <c r="AJ27" s="18">
        <v>0.16109999999999999</v>
      </c>
      <c r="AK27" s="18">
        <v>0.29509999999999997</v>
      </c>
    </row>
    <row r="28" spans="1:37">
      <c r="A28" t="s">
        <v>33</v>
      </c>
      <c r="B28" s="18"/>
      <c r="C28" s="18"/>
      <c r="D28" s="18"/>
      <c r="E28" s="18"/>
      <c r="F28" s="18"/>
      <c r="G28" s="18">
        <v>0.1711</v>
      </c>
      <c r="H28" s="18">
        <v>2.8000000000000001E-2</v>
      </c>
      <c r="I28" s="18">
        <v>1.5E-3</v>
      </c>
      <c r="J28" s="18">
        <v>1.9E-2</v>
      </c>
      <c r="K28" s="18">
        <v>6.676E-2</v>
      </c>
      <c r="L28" s="18"/>
      <c r="M28" s="18"/>
      <c r="N28" s="18">
        <v>0</v>
      </c>
      <c r="O28" s="18">
        <v>1.1999999999999999E-3</v>
      </c>
      <c r="P28" s="18">
        <v>0.31895499999999999</v>
      </c>
      <c r="Q28" s="18">
        <v>1.3823999999999999E-2</v>
      </c>
      <c r="R28" s="18">
        <v>8.3099999999999997E-3</v>
      </c>
      <c r="S28" s="18">
        <v>1.7066000000000001E-2</v>
      </c>
      <c r="T28" s="18">
        <v>8.8819999999999993E-3</v>
      </c>
      <c r="U28" s="18">
        <f t="shared" si="0"/>
        <v>6.4629999999999965E-3</v>
      </c>
      <c r="V28" s="18">
        <v>2.1700000000000001E-2</v>
      </c>
      <c r="W28" s="18">
        <v>7.4000000000000003E-3</v>
      </c>
      <c r="X28" s="18">
        <v>0.10979999999999999</v>
      </c>
      <c r="Y28" s="18"/>
      <c r="Z28" s="18">
        <v>1.1999999999999999E-3</v>
      </c>
      <c r="AA28" s="18">
        <v>5.0000000000000001E-4</v>
      </c>
      <c r="AB28" s="18">
        <v>1.0500000000000001E-2</v>
      </c>
      <c r="AC28" s="18">
        <v>1.35E-2</v>
      </c>
      <c r="AD28" s="18">
        <v>1.35E-2</v>
      </c>
      <c r="AE28" s="18">
        <v>3.7900000000000003E-2</v>
      </c>
      <c r="AF28" s="18">
        <v>4.2500000000000003E-2</v>
      </c>
      <c r="AG28" s="18">
        <v>6.1800000000000001E-2</v>
      </c>
      <c r="AH28" s="18">
        <v>3.1699999999999999E-2</v>
      </c>
      <c r="AI28" s="18">
        <v>4.3499999999999997E-2</v>
      </c>
      <c r="AJ28" s="18">
        <v>3.1300000000000001E-2</v>
      </c>
      <c r="AK28" s="18">
        <v>6.3899999999999998E-2</v>
      </c>
    </row>
    <row r="29" spans="1:37">
      <c r="A29" t="s">
        <v>34</v>
      </c>
      <c r="B29" s="18"/>
      <c r="C29" s="18"/>
      <c r="D29" s="18"/>
      <c r="E29" s="18"/>
      <c r="F29" s="18"/>
      <c r="G29" s="18">
        <v>7.3982000000000006E-2</v>
      </c>
      <c r="H29" s="18">
        <v>3.0200000000000001E-2</v>
      </c>
      <c r="I29" s="18">
        <v>3.4770000000000002E-2</v>
      </c>
      <c r="J29" s="18">
        <v>5.8749999999999997E-2</v>
      </c>
      <c r="K29" s="18">
        <v>0.23844000000000001</v>
      </c>
      <c r="L29" s="18"/>
      <c r="M29" s="18"/>
      <c r="N29" s="18">
        <v>2E-3</v>
      </c>
      <c r="O29" s="18">
        <v>0</v>
      </c>
      <c r="P29" s="18">
        <v>9.4000000000000004E-3</v>
      </c>
      <c r="Q29" s="18">
        <v>1.1999999999999999E-3</v>
      </c>
      <c r="R29" s="18">
        <v>0</v>
      </c>
      <c r="S29" s="18">
        <v>2.3033999999999999E-2</v>
      </c>
      <c r="T29" s="18">
        <v>4.4630000000000003E-2</v>
      </c>
      <c r="U29" s="18">
        <f t="shared" si="0"/>
        <v>3.9735999999999994E-2</v>
      </c>
      <c r="V29" s="18">
        <v>1.89E-2</v>
      </c>
      <c r="W29" s="18">
        <v>4.6100000000000002E-2</v>
      </c>
      <c r="X29" s="18">
        <v>0.14749999999999999</v>
      </c>
      <c r="Y29" s="18"/>
      <c r="Z29" s="18">
        <v>1.5E-3</v>
      </c>
      <c r="AA29" s="18">
        <v>1.4E-3</v>
      </c>
      <c r="AB29" s="18">
        <v>4.0000000000000001E-3</v>
      </c>
      <c r="AC29" s="18">
        <v>1.6999999999999999E-3</v>
      </c>
      <c r="AD29" s="18">
        <v>2.18E-2</v>
      </c>
      <c r="AE29" s="18">
        <v>1.18E-2</v>
      </c>
      <c r="AF29" s="18">
        <v>2.5000000000000001E-2</v>
      </c>
      <c r="AG29" s="18">
        <v>7.7000000000000002E-3</v>
      </c>
      <c r="AH29" s="18">
        <v>2.6499999999999999E-2</v>
      </c>
      <c r="AI29" s="18">
        <v>4.2500000000000003E-2</v>
      </c>
      <c r="AJ29" s="18">
        <v>0.48799999999999999</v>
      </c>
      <c r="AK29" s="18">
        <v>0.1128</v>
      </c>
    </row>
    <row r="30" spans="1:37">
      <c r="A30" t="s">
        <v>116</v>
      </c>
      <c r="B30" s="18"/>
      <c r="C30" s="18"/>
      <c r="D30" s="18"/>
      <c r="E30" s="18"/>
      <c r="F30" s="18"/>
      <c r="G30" s="18">
        <v>1.9300000000000001E-2</v>
      </c>
      <c r="H30" s="18">
        <v>1.2500000000000001E-2</v>
      </c>
      <c r="I30" s="18">
        <v>2.4500000000000001E-2</v>
      </c>
      <c r="J30" s="18">
        <v>1.4999999999999999E-2</v>
      </c>
      <c r="K30" s="18">
        <v>2.8156E-2</v>
      </c>
      <c r="L30" s="18"/>
      <c r="M30" s="18"/>
      <c r="N30" s="18">
        <v>1.2999999999999999E-3</v>
      </c>
      <c r="O30" s="18">
        <v>0</v>
      </c>
      <c r="P30" s="18">
        <v>0</v>
      </c>
      <c r="Q30" s="18">
        <v>0</v>
      </c>
      <c r="R30" s="18">
        <v>2.2599999999999999E-2</v>
      </c>
      <c r="S30" s="18">
        <v>0</v>
      </c>
      <c r="T30" s="18">
        <v>8.9800000000000001E-3</v>
      </c>
      <c r="U30" s="18">
        <f t="shared" si="0"/>
        <v>0.23072000000000001</v>
      </c>
      <c r="V30" s="18">
        <v>1.9099999999999999E-2</v>
      </c>
      <c r="W30" s="18">
        <v>0.1348</v>
      </c>
      <c r="X30" s="18">
        <v>0.18</v>
      </c>
      <c r="Y30" s="18"/>
      <c r="Z30" s="18">
        <v>0.1515</v>
      </c>
      <c r="AA30" s="18">
        <v>0</v>
      </c>
      <c r="AB30" s="18">
        <v>0</v>
      </c>
      <c r="AC30" s="18">
        <v>1.1000000000000001E-3</v>
      </c>
      <c r="AD30" s="18">
        <v>3.0000000000000001E-3</v>
      </c>
      <c r="AE30" s="18">
        <v>0</v>
      </c>
      <c r="AF30" s="18">
        <v>1.4E-2</v>
      </c>
      <c r="AG30" s="18">
        <v>4.0000000000000001E-3</v>
      </c>
      <c r="AH30" s="18">
        <v>0</v>
      </c>
      <c r="AI30" s="18">
        <v>4.0000000000000001E-3</v>
      </c>
      <c r="AJ30" s="18">
        <v>1.4500000000000001E-2</v>
      </c>
      <c r="AK30" s="18">
        <v>0.20860000000000001</v>
      </c>
    </row>
    <row r="31" spans="1:37">
      <c r="A31" t="s">
        <v>23</v>
      </c>
      <c r="B31" s="18"/>
      <c r="C31" s="18"/>
      <c r="D31" s="18"/>
      <c r="E31" s="18"/>
      <c r="F31" s="18"/>
      <c r="G31" s="18">
        <v>1.3559000000000001</v>
      </c>
      <c r="H31" s="18">
        <v>0.87790000000000001</v>
      </c>
      <c r="I31" s="18">
        <v>1.1134999999999999</v>
      </c>
      <c r="J31" s="18">
        <v>1.3995</v>
      </c>
      <c r="K31" s="18">
        <v>2.5939999999999999</v>
      </c>
      <c r="L31" s="18"/>
      <c r="M31" s="18"/>
      <c r="N31" s="18">
        <v>0.40441850000000001</v>
      </c>
      <c r="O31" s="18">
        <v>3.4647999999999998E-2</v>
      </c>
      <c r="P31" s="18">
        <v>0.25046400000000002</v>
      </c>
      <c r="Q31" s="18">
        <v>0.41432950000000002</v>
      </c>
      <c r="R31" s="18">
        <v>0.53866199999999997</v>
      </c>
      <c r="S31" s="18">
        <v>0.94012799999999996</v>
      </c>
      <c r="T31" s="18">
        <v>1.0618125</v>
      </c>
      <c r="U31" s="18">
        <f t="shared" si="0"/>
        <v>1.2222755000000003</v>
      </c>
      <c r="V31" s="18">
        <v>1.3488</v>
      </c>
      <c r="W31" s="18">
        <v>1.6452</v>
      </c>
      <c r="X31" s="18">
        <v>3.5468000000000002</v>
      </c>
      <c r="Y31" s="18"/>
      <c r="Z31" s="18">
        <v>1.3471</v>
      </c>
      <c r="AA31" s="18">
        <v>0.65900000000000003</v>
      </c>
      <c r="AB31" s="18">
        <v>0.76770000000000005</v>
      </c>
      <c r="AC31" s="18">
        <v>1.3387</v>
      </c>
      <c r="AD31" s="18">
        <v>1.3959999999999999</v>
      </c>
      <c r="AE31" s="18">
        <v>1.7292000000000001</v>
      </c>
      <c r="AF31" s="18">
        <v>2.3342000000000001</v>
      </c>
      <c r="AG31" s="18">
        <v>2.5655999999999999</v>
      </c>
      <c r="AH31" s="18">
        <v>3.1139000000000001</v>
      </c>
      <c r="AI31" s="18">
        <v>2.6278000000000001</v>
      </c>
      <c r="AJ31" s="18">
        <v>4.4317000000000002</v>
      </c>
      <c r="AK31" s="18">
        <v>7.7104999999999997</v>
      </c>
    </row>
    <row r="32" spans="1:37">
      <c r="A32" t="s">
        <v>24</v>
      </c>
      <c r="B32" s="18"/>
      <c r="C32" s="18"/>
      <c r="D32" s="18"/>
      <c r="E32" s="18"/>
      <c r="F32" s="18"/>
      <c r="G32" s="18">
        <v>7.0349999999999996E-2</v>
      </c>
      <c r="H32" s="18">
        <v>0.17580000000000001</v>
      </c>
      <c r="I32" s="18">
        <v>0.46279999999999999</v>
      </c>
      <c r="J32" s="18">
        <v>0.21990000000000001</v>
      </c>
      <c r="K32" s="18">
        <v>0.30874800000000002</v>
      </c>
      <c r="L32" s="18"/>
      <c r="M32" s="18"/>
      <c r="N32" s="18">
        <v>5.0226E-2</v>
      </c>
      <c r="O32" s="18">
        <v>1.09E-2</v>
      </c>
      <c r="P32" s="18">
        <v>2.6780499999999999E-2</v>
      </c>
      <c r="Q32" s="18">
        <v>7.8228000000000006E-2</v>
      </c>
      <c r="R32" s="18">
        <v>6.2392999999999997E-2</v>
      </c>
      <c r="S32" s="18">
        <v>5.4774999999999997E-2</v>
      </c>
      <c r="T32" s="18">
        <v>7.1300000000000002E-2</v>
      </c>
      <c r="U32" s="18">
        <f t="shared" si="0"/>
        <v>6.5483499999999972E-2</v>
      </c>
      <c r="V32" s="18">
        <v>0.14180000000000001</v>
      </c>
      <c r="W32" s="18">
        <v>0.14119999999999999</v>
      </c>
      <c r="X32" s="18">
        <v>0.36309999999999998</v>
      </c>
      <c r="Y32" s="18"/>
      <c r="Z32" s="18">
        <v>0.1082</v>
      </c>
      <c r="AA32" s="18">
        <v>5.2900000000000003E-2</v>
      </c>
      <c r="AB32" s="18">
        <v>6.3799999999999996E-2</v>
      </c>
      <c r="AC32" s="18">
        <v>0.1244</v>
      </c>
      <c r="AD32" s="18">
        <v>0.1353</v>
      </c>
      <c r="AE32" s="18">
        <v>0.1517</v>
      </c>
      <c r="AF32" s="18">
        <v>0.2331</v>
      </c>
      <c r="AG32" s="18">
        <v>0.23019999999999999</v>
      </c>
      <c r="AH32" s="18">
        <v>0.28520000000000001</v>
      </c>
      <c r="AI32" s="18">
        <v>0.22409999999999999</v>
      </c>
      <c r="AJ32" s="18">
        <v>0.32329999999999998</v>
      </c>
      <c r="AK32" s="18">
        <v>0.60140000000000005</v>
      </c>
    </row>
    <row r="33" spans="1:37">
      <c r="A33" t="s">
        <v>29</v>
      </c>
      <c r="B33" s="18"/>
      <c r="C33" s="18"/>
      <c r="D33" s="18"/>
      <c r="E33" s="18"/>
      <c r="F33" s="18"/>
      <c r="G33" s="18">
        <v>3.73E-2</v>
      </c>
      <c r="H33" s="18">
        <v>0.15640000000000001</v>
      </c>
      <c r="I33" s="18">
        <v>3.9600000000000003E-2</v>
      </c>
      <c r="J33" s="18">
        <v>3.85E-2</v>
      </c>
      <c r="K33" s="18">
        <v>0.1217</v>
      </c>
      <c r="L33" s="18"/>
      <c r="M33" s="18"/>
      <c r="N33" s="18">
        <v>2.5399999999999999E-2</v>
      </c>
      <c r="O33" s="18">
        <v>7.8700000000000003E-3</v>
      </c>
      <c r="P33" s="18">
        <v>1.9400000000000001E-2</v>
      </c>
      <c r="Q33" s="18">
        <v>7.3499999999999998E-3</v>
      </c>
      <c r="R33" s="18">
        <v>2.7179999999999999E-2</v>
      </c>
      <c r="S33" s="18">
        <v>6.2350000000000003E-2</v>
      </c>
      <c r="T33" s="18">
        <v>9.1999999999999998E-3</v>
      </c>
      <c r="U33" s="18">
        <f t="shared" si="0"/>
        <v>-0.30104500000000001</v>
      </c>
      <c r="V33" s="18">
        <v>4.7000000000000002E-3</v>
      </c>
      <c r="W33" s="18">
        <v>5.1700000000000003E-2</v>
      </c>
      <c r="X33" s="18">
        <v>0.1358</v>
      </c>
      <c r="Y33" s="18"/>
      <c r="Z33" s="18">
        <v>2.29E-2</v>
      </c>
      <c r="AA33" s="18">
        <v>4.6800000000000001E-2</v>
      </c>
      <c r="AB33" s="18">
        <v>8.3000000000000001E-3</v>
      </c>
      <c r="AC33" s="18">
        <v>6.2399999999999997E-2</v>
      </c>
      <c r="AD33" s="18">
        <v>1.04E-2</v>
      </c>
      <c r="AE33" s="18">
        <v>8.9399999999999993E-2</v>
      </c>
      <c r="AF33" s="18">
        <v>6.8699999999999997E-2</v>
      </c>
      <c r="AG33" s="18">
        <v>9.4299999999999995E-2</v>
      </c>
      <c r="AH33" s="18">
        <v>0.15559999999999999</v>
      </c>
      <c r="AI33" s="18">
        <v>7.9100000000000004E-2</v>
      </c>
      <c r="AJ33" s="18">
        <v>0.13170000000000001</v>
      </c>
      <c r="AK33" s="18">
        <v>0.27560000000000001</v>
      </c>
    </row>
    <row r="34" spans="1:37">
      <c r="A34" t="s">
        <v>28</v>
      </c>
      <c r="B34" s="18"/>
      <c r="C34" s="18"/>
      <c r="D34" s="18"/>
      <c r="E34" s="18"/>
      <c r="F34" s="18"/>
      <c r="G34" s="18">
        <v>1.6160000000000001E-2</v>
      </c>
      <c r="H34" s="18">
        <v>8.4220000000000007E-3</v>
      </c>
      <c r="I34" s="18">
        <v>1.49E-3</v>
      </c>
      <c r="J34" s="18">
        <v>4.0000000000000001E-3</v>
      </c>
      <c r="K34" s="18">
        <v>8.2400000000000008E-3</v>
      </c>
      <c r="L34" s="18"/>
      <c r="M34" s="18"/>
      <c r="N34" s="18">
        <v>9.7999999999999997E-3</v>
      </c>
      <c r="O34" s="18">
        <v>0</v>
      </c>
      <c r="P34" s="18">
        <v>2.8E-3</v>
      </c>
      <c r="Q34" s="18">
        <v>5.0000000000000002E-5</v>
      </c>
      <c r="R34" s="18">
        <v>6.1999999999999998E-3</v>
      </c>
      <c r="S34" s="18">
        <v>1E-3</v>
      </c>
      <c r="T34" s="18">
        <v>1.3310000000000001E-2</v>
      </c>
      <c r="U34" s="18">
        <f t="shared" si="0"/>
        <v>3.7529999999999994E-3</v>
      </c>
      <c r="V34" s="18">
        <v>5.7999999999999996E-3</v>
      </c>
      <c r="W34" s="18">
        <v>0.03</v>
      </c>
      <c r="X34" s="18">
        <v>6.1000000000000004E-3</v>
      </c>
      <c r="Y34" s="18"/>
      <c r="Z34" s="18">
        <v>2.1899999999999999E-2</v>
      </c>
      <c r="AA34" s="18">
        <v>0</v>
      </c>
      <c r="AB34" s="18">
        <v>6.1000000000000004E-3</v>
      </c>
      <c r="AC34" s="18">
        <v>1.9900000000000001E-2</v>
      </c>
      <c r="AD34" s="18">
        <v>2.2700000000000001E-2</v>
      </c>
      <c r="AE34" s="18">
        <v>2.1399999999999999E-2</v>
      </c>
      <c r="AF34" s="18">
        <v>1.4E-2</v>
      </c>
      <c r="AG34" s="18">
        <v>2.98E-2</v>
      </c>
      <c r="AH34" s="18">
        <v>1.0800000000000001E-2</v>
      </c>
      <c r="AI34" s="18">
        <v>5.3E-3</v>
      </c>
      <c r="AJ34" s="18">
        <v>2.7E-2</v>
      </c>
      <c r="AK34" s="18">
        <v>4.7500000000000001E-2</v>
      </c>
    </row>
    <row r="35" spans="1:37">
      <c r="A35" t="s">
        <v>25</v>
      </c>
      <c r="B35" s="18"/>
      <c r="C35" s="18"/>
      <c r="D35" s="18"/>
      <c r="E35" s="18"/>
      <c r="F35" s="18"/>
      <c r="G35" s="18">
        <v>1.2713E-2</v>
      </c>
      <c r="H35" s="18">
        <v>0.387322</v>
      </c>
      <c r="I35" s="18">
        <v>3.5334499999999998E-2</v>
      </c>
      <c r="J35" s="18">
        <v>0.12593699999999999</v>
      </c>
      <c r="K35" s="18">
        <v>0.28097549999999999</v>
      </c>
      <c r="L35" s="18"/>
      <c r="M35" s="18"/>
      <c r="N35" s="18">
        <v>1.6884E-2</v>
      </c>
      <c r="O35" s="18">
        <v>2.3E-2</v>
      </c>
      <c r="P35" s="18">
        <v>1.4303E-2</v>
      </c>
      <c r="Q35" s="18">
        <v>6.0200000000000002E-3</v>
      </c>
      <c r="R35" s="18">
        <v>1.9539000000000001E-2</v>
      </c>
      <c r="S35" s="18">
        <v>2.9770000000000001E-2</v>
      </c>
      <c r="T35" s="18">
        <v>3.8793000000000001E-2</v>
      </c>
      <c r="U35" s="18">
        <f t="shared" si="0"/>
        <v>8.5791000000000034E-2</v>
      </c>
      <c r="V35" s="18">
        <v>4.0899999999999999E-2</v>
      </c>
      <c r="W35" s="18">
        <v>0.10340000000000001</v>
      </c>
      <c r="X35" s="18">
        <v>0.45660000000000001</v>
      </c>
      <c r="Y35" s="18"/>
      <c r="Z35" s="18">
        <v>2.7199999999999998E-2</v>
      </c>
      <c r="AA35" s="18">
        <v>8.6300000000000002E-2</v>
      </c>
      <c r="AB35" s="18">
        <v>1.61E-2</v>
      </c>
      <c r="AC35" s="18">
        <v>4.24E-2</v>
      </c>
      <c r="AD35" s="18">
        <v>6.6799999999999998E-2</v>
      </c>
      <c r="AE35" s="18">
        <v>3.3300000000000003E-2</v>
      </c>
      <c r="AF35" s="18">
        <v>3.1800000000000002E-2</v>
      </c>
      <c r="AG35" s="18">
        <v>7.4899999999999994E-2</v>
      </c>
      <c r="AH35" s="18">
        <v>9.0800000000000006E-2</v>
      </c>
      <c r="AI35" s="18">
        <v>0.10879999999999999</v>
      </c>
      <c r="AJ35" s="18">
        <v>0.11260000000000001</v>
      </c>
      <c r="AK35" s="18">
        <v>0.61280000000000001</v>
      </c>
    </row>
    <row r="37" spans="1:37">
      <c r="B37">
        <v>201901</v>
      </c>
      <c r="C37">
        <v>201902</v>
      </c>
      <c r="D37">
        <v>201903</v>
      </c>
      <c r="E37">
        <v>201904</v>
      </c>
      <c r="F37">
        <v>201905</v>
      </c>
      <c r="G37">
        <v>201906</v>
      </c>
      <c r="H37">
        <v>201907</v>
      </c>
      <c r="I37">
        <v>201908</v>
      </c>
      <c r="J37">
        <v>201909</v>
      </c>
      <c r="K37">
        <v>201910</v>
      </c>
      <c r="L37">
        <v>201911</v>
      </c>
      <c r="M37">
        <v>201912</v>
      </c>
      <c r="N37">
        <v>202001</v>
      </c>
      <c r="O37">
        <v>202002</v>
      </c>
      <c r="P37">
        <v>202003</v>
      </c>
      <c r="Q37">
        <v>202004</v>
      </c>
      <c r="R37">
        <v>202005</v>
      </c>
      <c r="S37">
        <v>202006</v>
      </c>
      <c r="T37">
        <v>202007</v>
      </c>
      <c r="U37">
        <v>202008</v>
      </c>
      <c r="V37">
        <v>202009</v>
      </c>
      <c r="W37">
        <v>202010</v>
      </c>
      <c r="X37">
        <v>202011</v>
      </c>
      <c r="Y37">
        <v>202012</v>
      </c>
      <c r="Z37">
        <v>202101</v>
      </c>
      <c r="AA37">
        <v>202102</v>
      </c>
      <c r="AB37">
        <v>202103</v>
      </c>
      <c r="AC37">
        <v>202104</v>
      </c>
      <c r="AD37">
        <v>202105</v>
      </c>
      <c r="AE37">
        <v>202106</v>
      </c>
      <c r="AF37">
        <v>202107</v>
      </c>
      <c r="AG37">
        <v>202108</v>
      </c>
      <c r="AH37">
        <v>202109</v>
      </c>
      <c r="AI37">
        <v>202110</v>
      </c>
      <c r="AJ37">
        <v>202111</v>
      </c>
      <c r="AK37">
        <v>202112</v>
      </c>
    </row>
    <row r="38" spans="1:37">
      <c r="A38" t="s">
        <v>5</v>
      </c>
      <c r="B38" s="18"/>
      <c r="C38" s="18"/>
      <c r="D38" s="18"/>
      <c r="E38" s="18"/>
      <c r="F38" s="18">
        <v>3.15</v>
      </c>
      <c r="G38" s="18">
        <f t="shared" ref="G38:G71" si="1">H38-H2</f>
        <v>3.5005269999999999</v>
      </c>
      <c r="H38" s="18">
        <v>3.5644239999999998</v>
      </c>
      <c r="I38" s="18">
        <v>4.0771135000000003</v>
      </c>
      <c r="J38" s="18">
        <f t="shared" ref="J38:K57" si="2">I38+J2</f>
        <v>4.3250855000000001</v>
      </c>
      <c r="K38" s="18">
        <f t="shared" si="2"/>
        <v>5.2133295000000004</v>
      </c>
      <c r="L38" s="18"/>
      <c r="M38" s="18"/>
      <c r="N38" s="18">
        <f t="shared" ref="N38:P57" si="3">M38+N2</f>
        <v>4.0062E-2</v>
      </c>
      <c r="O38" s="18">
        <f t="shared" si="3"/>
        <v>4.0062E-2</v>
      </c>
      <c r="P38" s="18">
        <f t="shared" si="3"/>
        <v>4.3131000000000003E-2</v>
      </c>
      <c r="Q38" s="18">
        <v>6.5073000000000006E-2</v>
      </c>
      <c r="R38" s="18">
        <v>0.124047</v>
      </c>
      <c r="S38" s="18">
        <v>0.21648700000000001</v>
      </c>
      <c r="T38" s="18">
        <v>0.284999</v>
      </c>
      <c r="U38" s="18">
        <f t="shared" ref="U38:U71" si="4">V38-V2</f>
        <v>0.42380000000000007</v>
      </c>
      <c r="V38" s="18">
        <v>0.57730000000000004</v>
      </c>
      <c r="W38" s="18">
        <v>0.70530000000000004</v>
      </c>
      <c r="X38" s="18">
        <v>0.9214</v>
      </c>
      <c r="Y38" s="18"/>
      <c r="Z38" s="18">
        <f>Z2</f>
        <v>0.17860000000000001</v>
      </c>
      <c r="AA38" s="18">
        <f t="shared" ref="AA38:AD57" si="5">Z38+AA2</f>
        <v>0.25240000000000001</v>
      </c>
      <c r="AB38" s="18">
        <f t="shared" si="5"/>
        <v>0.37220000000000003</v>
      </c>
      <c r="AC38" s="18">
        <f t="shared" si="5"/>
        <v>0.58390000000000009</v>
      </c>
      <c r="AD38" s="18">
        <f t="shared" si="5"/>
        <v>0.93670000000000009</v>
      </c>
      <c r="AE38" s="18">
        <v>1.3199000000000001</v>
      </c>
      <c r="AF38" s="18">
        <v>2.1547999999999998</v>
      </c>
      <c r="AG38" s="18">
        <v>2.5676999999999999</v>
      </c>
      <c r="AH38" s="18">
        <v>3.4891000000000001</v>
      </c>
      <c r="AI38" s="18">
        <v>4.0625999999999998</v>
      </c>
      <c r="AJ38" s="18">
        <v>5.8045</v>
      </c>
      <c r="AK38" s="18">
        <v>11.526400000000001</v>
      </c>
    </row>
    <row r="39" spans="1:37">
      <c r="A39" t="s">
        <v>6</v>
      </c>
      <c r="B39" s="18"/>
      <c r="C39" s="18"/>
      <c r="D39" s="18"/>
      <c r="E39" s="18"/>
      <c r="F39" s="18">
        <v>0.13</v>
      </c>
      <c r="G39" s="18">
        <f t="shared" si="1"/>
        <v>0.16899999999999998</v>
      </c>
      <c r="H39" s="18">
        <v>0.57999999999999996</v>
      </c>
      <c r="I39" s="18">
        <v>0.63547750000000003</v>
      </c>
      <c r="J39" s="18">
        <f t="shared" si="2"/>
        <v>0.66120250000000003</v>
      </c>
      <c r="K39" s="18">
        <f t="shared" si="2"/>
        <v>0.81133849999999996</v>
      </c>
      <c r="L39" s="18"/>
      <c r="M39" s="18"/>
      <c r="N39" s="18">
        <f t="shared" si="3"/>
        <v>8.0000000000000004E-4</v>
      </c>
      <c r="O39" s="18">
        <f t="shared" si="3"/>
        <v>8.0000000000000004E-4</v>
      </c>
      <c r="P39" s="18">
        <f t="shared" si="3"/>
        <v>8.0000000000000004E-4</v>
      </c>
      <c r="Q39" s="18">
        <v>6.2750000000000002E-3</v>
      </c>
      <c r="R39" s="18">
        <v>8.6750000000000004E-3</v>
      </c>
      <c r="S39" s="18">
        <v>3.5075000000000002E-2</v>
      </c>
      <c r="T39" s="18">
        <v>0.33877600000000002</v>
      </c>
      <c r="U39" s="18">
        <f t="shared" si="4"/>
        <v>0.49390000000000001</v>
      </c>
      <c r="V39" s="18">
        <v>0.63119999999999998</v>
      </c>
      <c r="W39" s="18">
        <v>0.78259999999999996</v>
      </c>
      <c r="X39" s="18">
        <v>1.2011000000000001</v>
      </c>
      <c r="Y39" s="18"/>
      <c r="Z39" s="18">
        <f t="shared" ref="Z39:Z71" si="6">Z3</f>
        <v>4.3799999999999999E-2</v>
      </c>
      <c r="AA39" s="18">
        <f t="shared" si="5"/>
        <v>9.2700000000000005E-2</v>
      </c>
      <c r="AB39" s="18">
        <f t="shared" si="5"/>
        <v>0.1555</v>
      </c>
      <c r="AC39" s="18">
        <f t="shared" si="5"/>
        <v>0.30710000000000004</v>
      </c>
      <c r="AD39" s="18">
        <f t="shared" si="5"/>
        <v>0.5112000000000001</v>
      </c>
      <c r="AE39" s="18">
        <v>0.79330000000000001</v>
      </c>
      <c r="AF39" s="18">
        <v>0.98150000000000004</v>
      </c>
      <c r="AG39" s="18">
        <v>1.2739</v>
      </c>
      <c r="AH39" s="18">
        <v>1.5951</v>
      </c>
      <c r="AI39" s="18">
        <v>1.8434999999999999</v>
      </c>
      <c r="AJ39" s="18">
        <v>2.1909000000000001</v>
      </c>
      <c r="AK39" s="18">
        <v>2.7858999999999998</v>
      </c>
    </row>
    <row r="40" spans="1:37">
      <c r="A40" t="s">
        <v>7</v>
      </c>
      <c r="B40" s="18"/>
      <c r="C40" s="18"/>
      <c r="D40" s="18"/>
      <c r="E40" s="18"/>
      <c r="F40" s="18">
        <v>23.748840000000001</v>
      </c>
      <c r="G40" s="18">
        <f t="shared" si="1"/>
        <v>32.856579999999994</v>
      </c>
      <c r="H40" s="18">
        <v>40.469645999999997</v>
      </c>
      <c r="I40" s="18">
        <v>53.362828</v>
      </c>
      <c r="J40" s="18">
        <f t="shared" si="2"/>
        <v>70.75291</v>
      </c>
      <c r="K40" s="18">
        <f t="shared" si="2"/>
        <v>83.680125000000004</v>
      </c>
      <c r="L40" s="18"/>
      <c r="M40" s="18"/>
      <c r="N40" s="18">
        <f t="shared" si="3"/>
        <v>2.6241186999999999</v>
      </c>
      <c r="O40" s="18">
        <f t="shared" si="3"/>
        <v>2.7549061999999997</v>
      </c>
      <c r="P40" s="18">
        <f t="shared" si="3"/>
        <v>4.3247570999999994</v>
      </c>
      <c r="Q40" s="18">
        <v>13.9492776</v>
      </c>
      <c r="R40" s="18">
        <v>26.854445599999998</v>
      </c>
      <c r="S40" s="18">
        <v>43.692087299999997</v>
      </c>
      <c r="T40" s="18">
        <v>61.055273</v>
      </c>
      <c r="U40" s="18">
        <f t="shared" si="4"/>
        <v>85.022199999999998</v>
      </c>
      <c r="V40" s="18">
        <v>116.2371</v>
      </c>
      <c r="W40" s="18">
        <v>151.35339999999999</v>
      </c>
      <c r="X40" s="18">
        <v>215.44749999999999</v>
      </c>
      <c r="Y40" s="18"/>
      <c r="Z40" s="18">
        <f t="shared" si="6"/>
        <v>5.9675000000000002</v>
      </c>
      <c r="AA40" s="18">
        <f t="shared" si="5"/>
        <v>10.104600000000001</v>
      </c>
      <c r="AB40" s="18">
        <f t="shared" si="5"/>
        <v>27.2882</v>
      </c>
      <c r="AC40" s="18">
        <f t="shared" si="5"/>
        <v>64.512600000000006</v>
      </c>
      <c r="AD40" s="18">
        <f t="shared" si="5"/>
        <v>102.2508</v>
      </c>
      <c r="AE40" s="18">
        <v>147.90309999999999</v>
      </c>
      <c r="AF40" s="18">
        <v>192.74010000000001</v>
      </c>
      <c r="AG40" s="18">
        <v>242.5224</v>
      </c>
      <c r="AH40" s="18">
        <v>300.42230000000001</v>
      </c>
      <c r="AI40" s="18">
        <v>346.54039999999998</v>
      </c>
      <c r="AJ40" s="18">
        <v>411.01760000000002</v>
      </c>
      <c r="AK40" s="18">
        <v>534.07460000000003</v>
      </c>
    </row>
    <row r="41" spans="1:37">
      <c r="A41" t="s">
        <v>112</v>
      </c>
      <c r="B41" s="18"/>
      <c r="C41" s="18"/>
      <c r="D41" s="18"/>
      <c r="E41" s="18"/>
      <c r="F41" s="18">
        <v>19.008839999999999</v>
      </c>
      <c r="G41" s="18">
        <f t="shared" si="1"/>
        <v>25.970000000000002</v>
      </c>
      <c r="H41" s="18">
        <v>33.17</v>
      </c>
      <c r="I41" s="18">
        <v>44.004399999999997</v>
      </c>
      <c r="J41" s="18">
        <f t="shared" si="2"/>
        <v>59.117518999999994</v>
      </c>
      <c r="K41" s="18">
        <f t="shared" si="2"/>
        <v>70.13471899999999</v>
      </c>
      <c r="L41" s="18"/>
      <c r="M41" s="18"/>
      <c r="N41" s="18">
        <f t="shared" si="3"/>
        <v>2.5451666999999998</v>
      </c>
      <c r="O41" s="18">
        <f t="shared" si="3"/>
        <v>2.6692291999999997</v>
      </c>
      <c r="P41" s="18">
        <f t="shared" si="3"/>
        <v>4.0290241</v>
      </c>
      <c r="Q41" s="18">
        <v>12.989329100000001</v>
      </c>
      <c r="R41" s="18">
        <v>24.919388099999999</v>
      </c>
      <c r="S41" s="18">
        <v>40.394599839999998</v>
      </c>
      <c r="T41" s="18">
        <v>56.290072039999998</v>
      </c>
      <c r="U41" s="18">
        <f t="shared" si="4"/>
        <v>79.0047</v>
      </c>
      <c r="V41" s="18">
        <v>107.7555</v>
      </c>
      <c r="W41" s="18">
        <v>139.8382</v>
      </c>
      <c r="X41" s="18">
        <v>195.6079</v>
      </c>
      <c r="Y41" s="18"/>
      <c r="Z41" s="18">
        <f t="shared" si="6"/>
        <v>5.4017999999999997</v>
      </c>
      <c r="AA41" s="18">
        <f t="shared" si="5"/>
        <v>8.8513000000000002</v>
      </c>
      <c r="AB41" s="18">
        <f t="shared" si="5"/>
        <v>25.055700000000002</v>
      </c>
      <c r="AC41" s="18">
        <f t="shared" si="5"/>
        <v>59.546199999999999</v>
      </c>
      <c r="AD41" s="18">
        <f t="shared" si="5"/>
        <v>93.084400000000002</v>
      </c>
      <c r="AE41" s="18">
        <v>134.37889999999999</v>
      </c>
      <c r="AF41" s="18">
        <v>173.66970000000001</v>
      </c>
      <c r="AG41" s="18">
        <v>216.84790000000001</v>
      </c>
      <c r="AH41" s="18">
        <v>268.38319999999999</v>
      </c>
      <c r="AI41" s="18">
        <v>309.34230000000002</v>
      </c>
      <c r="AJ41" s="18">
        <v>367.42770000000002</v>
      </c>
      <c r="AK41" s="18">
        <v>476.96269999999998</v>
      </c>
    </row>
    <row r="42" spans="1:37">
      <c r="A42" t="s">
        <v>113</v>
      </c>
      <c r="B42" s="18"/>
      <c r="C42" s="18"/>
      <c r="D42" s="18"/>
      <c r="E42" s="18"/>
      <c r="F42" s="18">
        <v>4.74</v>
      </c>
      <c r="G42" s="18">
        <f t="shared" si="1"/>
        <v>6.8889630000000004</v>
      </c>
      <c r="H42" s="18">
        <v>7.3026249999999999</v>
      </c>
      <c r="I42" s="18">
        <v>9.358428</v>
      </c>
      <c r="J42" s="18">
        <f t="shared" si="2"/>
        <v>11.635391</v>
      </c>
      <c r="K42" s="18">
        <f t="shared" si="2"/>
        <v>13.545406</v>
      </c>
      <c r="L42" s="18"/>
      <c r="M42" s="18"/>
      <c r="N42" s="18">
        <f t="shared" si="3"/>
        <v>7.8951999999999994E-2</v>
      </c>
      <c r="O42" s="18">
        <f t="shared" si="3"/>
        <v>8.5676999999999989E-2</v>
      </c>
      <c r="P42" s="18">
        <f t="shared" si="3"/>
        <v>0.29573299999999997</v>
      </c>
      <c r="Q42" s="18">
        <v>0.95994849999999998</v>
      </c>
      <c r="R42" s="18">
        <v>1.9350575000000001</v>
      </c>
      <c r="S42" s="18">
        <v>3.2974874999999999</v>
      </c>
      <c r="T42" s="18">
        <v>4.7652010000000002</v>
      </c>
      <c r="U42" s="18">
        <f t="shared" si="4"/>
        <v>6.0174000000000003</v>
      </c>
      <c r="V42" s="18">
        <v>8.4816000000000003</v>
      </c>
      <c r="W42" s="18">
        <v>11.5151</v>
      </c>
      <c r="X42" s="18">
        <v>19.839600000000001</v>
      </c>
      <c r="Y42" s="18"/>
      <c r="Z42" s="18">
        <f t="shared" si="6"/>
        <v>0.56569999999999998</v>
      </c>
      <c r="AA42" s="18">
        <f t="shared" si="5"/>
        <v>1.2532000000000001</v>
      </c>
      <c r="AB42" s="18">
        <f t="shared" si="5"/>
        <v>2.2324000000000002</v>
      </c>
      <c r="AC42" s="18">
        <f t="shared" si="5"/>
        <v>4.9663000000000004</v>
      </c>
      <c r="AD42" s="18">
        <f t="shared" si="5"/>
        <v>9.1662999999999997</v>
      </c>
      <c r="AE42" s="18">
        <v>13.5242</v>
      </c>
      <c r="AF42" s="18">
        <v>19.070399999999999</v>
      </c>
      <c r="AG42" s="18">
        <v>25.674499999999998</v>
      </c>
      <c r="AH42" s="18">
        <v>32.039099999999998</v>
      </c>
      <c r="AI42" s="18">
        <v>37.198099999999997</v>
      </c>
      <c r="AJ42" s="18">
        <v>43.5899</v>
      </c>
      <c r="AK42" s="18">
        <v>57.111899999999999</v>
      </c>
    </row>
    <row r="43" spans="1:37">
      <c r="A43" t="s">
        <v>8</v>
      </c>
      <c r="B43" s="18"/>
      <c r="C43" s="18"/>
      <c r="D43" s="18"/>
      <c r="E43" s="18"/>
      <c r="F43" s="18">
        <v>10.160970000000001</v>
      </c>
      <c r="G43" s="18">
        <f t="shared" si="1"/>
        <v>11.8408505</v>
      </c>
      <c r="H43" s="18">
        <v>13.1306215</v>
      </c>
      <c r="I43" s="18">
        <v>15.4142875</v>
      </c>
      <c r="J43" s="18">
        <f t="shared" si="2"/>
        <v>19.6854072</v>
      </c>
      <c r="K43" s="18">
        <f t="shared" si="2"/>
        <v>27.189404700000001</v>
      </c>
      <c r="L43" s="18"/>
      <c r="M43" s="18"/>
      <c r="N43" s="18">
        <f t="shared" si="3"/>
        <v>9.7212999999999994E-2</v>
      </c>
      <c r="O43" s="18">
        <f t="shared" si="3"/>
        <v>0.100213</v>
      </c>
      <c r="P43" s="18">
        <f t="shared" si="3"/>
        <v>0.19487450000000001</v>
      </c>
      <c r="Q43" s="18">
        <v>0.67581899999999995</v>
      </c>
      <c r="R43" s="18">
        <v>2.1824599999999998</v>
      </c>
      <c r="S43" s="18">
        <v>5.0399050000000001</v>
      </c>
      <c r="T43" s="18">
        <v>8.8674821000000001</v>
      </c>
      <c r="U43" s="18">
        <f t="shared" si="4"/>
        <v>13.476199999999999</v>
      </c>
      <c r="V43" s="18">
        <v>19.358799999999999</v>
      </c>
      <c r="W43" s="18">
        <v>25.475999999999999</v>
      </c>
      <c r="X43" s="18">
        <v>45.805199999999999</v>
      </c>
      <c r="Y43" s="18"/>
      <c r="Z43" s="18">
        <f t="shared" si="6"/>
        <v>0.81230000000000002</v>
      </c>
      <c r="AA43" s="18">
        <f t="shared" si="5"/>
        <v>1.1967000000000001</v>
      </c>
      <c r="AB43" s="18">
        <f t="shared" si="5"/>
        <v>2.2212000000000001</v>
      </c>
      <c r="AC43" s="18">
        <f t="shared" si="5"/>
        <v>4.5606</v>
      </c>
      <c r="AD43" s="18">
        <f t="shared" si="5"/>
        <v>8.8438999999999997</v>
      </c>
      <c r="AE43" s="18">
        <v>14.731299999999999</v>
      </c>
      <c r="AF43" s="18">
        <v>21.443899999999999</v>
      </c>
      <c r="AG43" s="18">
        <v>28.474499999999999</v>
      </c>
      <c r="AH43" s="18">
        <v>35.712499999999999</v>
      </c>
      <c r="AI43" s="18">
        <v>41.688600000000001</v>
      </c>
      <c r="AJ43" s="18">
        <v>51.616100000000003</v>
      </c>
      <c r="AK43" s="18">
        <v>74.291499999999999</v>
      </c>
    </row>
    <row r="44" spans="1:37">
      <c r="A44" t="s">
        <v>9</v>
      </c>
      <c r="B44" s="18"/>
      <c r="C44" s="18"/>
      <c r="D44" s="18"/>
      <c r="E44" s="18"/>
      <c r="F44" s="18">
        <v>1.7025840000000001</v>
      </c>
      <c r="G44" s="18">
        <f t="shared" si="1"/>
        <v>1.9068300000000002</v>
      </c>
      <c r="H44" s="18">
        <v>2.0258500000000002</v>
      </c>
      <c r="I44" s="18">
        <v>2.0702319999999999</v>
      </c>
      <c r="J44" s="18">
        <f t="shared" si="2"/>
        <v>2.2473449999999997</v>
      </c>
      <c r="K44" s="18">
        <f t="shared" si="2"/>
        <v>3.9444119999999998</v>
      </c>
      <c r="L44" s="18"/>
      <c r="M44" s="18"/>
      <c r="N44" s="18">
        <f t="shared" si="3"/>
        <v>6.5763000000000002E-2</v>
      </c>
      <c r="O44" s="18">
        <f t="shared" si="3"/>
        <v>6.5763000000000002E-2</v>
      </c>
      <c r="P44" s="18">
        <f t="shared" si="3"/>
        <v>6.6562999999999997E-2</v>
      </c>
      <c r="Q44" s="18">
        <v>0.102419</v>
      </c>
      <c r="R44" s="18">
        <v>0.120739</v>
      </c>
      <c r="S44" s="18">
        <v>0.25124400000000002</v>
      </c>
      <c r="T44" s="18">
        <v>0.29836400000000002</v>
      </c>
      <c r="U44" s="18">
        <f t="shared" si="4"/>
        <v>0.39130000000000004</v>
      </c>
      <c r="V44" s="18">
        <v>0.73260000000000003</v>
      </c>
      <c r="W44" s="18">
        <v>0.89080000000000004</v>
      </c>
      <c r="X44" s="18">
        <v>1.9903999999999999</v>
      </c>
      <c r="Y44" s="18"/>
      <c r="Z44" s="18">
        <f t="shared" si="6"/>
        <v>7.2599999999999998E-2</v>
      </c>
      <c r="AA44" s="18">
        <f t="shared" si="5"/>
        <v>0.17859999999999998</v>
      </c>
      <c r="AB44" s="18">
        <f t="shared" si="5"/>
        <v>0.18729999999999997</v>
      </c>
      <c r="AC44" s="18">
        <f t="shared" si="5"/>
        <v>0.28759999999999997</v>
      </c>
      <c r="AD44" s="18">
        <f t="shared" si="5"/>
        <v>0.40509999999999996</v>
      </c>
      <c r="AE44" s="18">
        <v>0.46860000000000002</v>
      </c>
      <c r="AF44" s="18">
        <v>0.74490000000000001</v>
      </c>
      <c r="AG44" s="18">
        <v>0.89529999999999998</v>
      </c>
      <c r="AH44" s="18">
        <v>1.0376000000000001</v>
      </c>
      <c r="AI44" s="18">
        <v>1.6026</v>
      </c>
      <c r="AJ44" s="18">
        <v>2.3984000000000001</v>
      </c>
      <c r="AK44" s="18">
        <v>5.3501000000000003</v>
      </c>
    </row>
    <row r="45" spans="1:37">
      <c r="A45" t="s">
        <v>114</v>
      </c>
      <c r="B45" s="18"/>
      <c r="C45" s="18"/>
      <c r="D45" s="18"/>
      <c r="E45" s="18"/>
      <c r="F45" s="18">
        <v>0.12918299999999999</v>
      </c>
      <c r="G45" s="18">
        <f t="shared" si="1"/>
        <v>0.13078300000000001</v>
      </c>
      <c r="H45" s="18">
        <v>0.13378300000000001</v>
      </c>
      <c r="I45" s="18">
        <v>0.142183</v>
      </c>
      <c r="J45" s="18">
        <f t="shared" si="2"/>
        <v>0.14368300000000001</v>
      </c>
      <c r="K45" s="18">
        <f t="shared" si="2"/>
        <v>0.17035400000000001</v>
      </c>
      <c r="L45" s="18"/>
      <c r="M45" s="18"/>
      <c r="N45" s="18">
        <f t="shared" si="3"/>
        <v>5.3499999999999999E-2</v>
      </c>
      <c r="O45" s="18">
        <f t="shared" si="3"/>
        <v>5.3499999999999999E-2</v>
      </c>
      <c r="P45" s="18">
        <f t="shared" si="3"/>
        <v>5.3499999999999999E-2</v>
      </c>
      <c r="Q45" s="18">
        <v>6.2600000000000003E-2</v>
      </c>
      <c r="R45" s="18">
        <v>6.3649999999999998E-2</v>
      </c>
      <c r="S45" s="18">
        <v>0.12401</v>
      </c>
      <c r="T45" s="18">
        <v>0.13228000000000001</v>
      </c>
      <c r="U45" s="18">
        <f t="shared" si="4"/>
        <v>0.1482</v>
      </c>
      <c r="V45" s="18">
        <v>0.245</v>
      </c>
      <c r="W45" s="18">
        <v>0.27560000000000001</v>
      </c>
      <c r="X45" s="18">
        <v>0.75939999999999996</v>
      </c>
      <c r="Y45" s="18"/>
      <c r="Z45" s="18">
        <f t="shared" si="6"/>
        <v>6.1600000000000002E-2</v>
      </c>
      <c r="AA45" s="18">
        <f t="shared" si="5"/>
        <v>0.1321</v>
      </c>
      <c r="AB45" s="18">
        <f t="shared" si="5"/>
        <v>0.1386</v>
      </c>
      <c r="AC45" s="18">
        <f t="shared" si="5"/>
        <v>0.2266</v>
      </c>
      <c r="AD45" s="18">
        <f t="shared" si="5"/>
        <v>0.2429</v>
      </c>
      <c r="AE45" s="18">
        <v>0.28349999999999997</v>
      </c>
      <c r="AF45" s="18">
        <v>0.5323</v>
      </c>
      <c r="AG45" s="18">
        <v>0.56610000000000005</v>
      </c>
      <c r="AH45" s="18">
        <v>0.64159999999999995</v>
      </c>
      <c r="AI45" s="18">
        <v>0.79500000000000004</v>
      </c>
      <c r="AJ45" s="18">
        <v>0.99619999999999997</v>
      </c>
      <c r="AK45" s="18">
        <v>1.2771999999999999</v>
      </c>
    </row>
    <row r="46" spans="1:37">
      <c r="A46" t="s">
        <v>115</v>
      </c>
      <c r="B46" s="18"/>
      <c r="C46" s="18"/>
      <c r="D46" s="18"/>
      <c r="E46" s="18"/>
      <c r="F46" s="18">
        <v>1.573401</v>
      </c>
      <c r="G46" s="18">
        <f t="shared" si="1"/>
        <v>1.7760469999999999</v>
      </c>
      <c r="H46" s="18">
        <v>1.8920669999999999</v>
      </c>
      <c r="I46" s="18">
        <v>1.9280489999999999</v>
      </c>
      <c r="J46" s="18">
        <f t="shared" si="2"/>
        <v>2.1036619999999999</v>
      </c>
      <c r="K46" s="18">
        <f t="shared" si="2"/>
        <v>3.7740580000000001</v>
      </c>
      <c r="L46" s="18"/>
      <c r="M46" s="18"/>
      <c r="N46" s="18">
        <f t="shared" si="3"/>
        <v>1.2263E-2</v>
      </c>
      <c r="O46" s="18">
        <f t="shared" si="3"/>
        <v>1.2263E-2</v>
      </c>
      <c r="P46" s="18">
        <f t="shared" si="3"/>
        <v>1.3063E-2</v>
      </c>
      <c r="Q46" s="18">
        <v>3.9819E-2</v>
      </c>
      <c r="R46" s="18">
        <v>5.7089000000000001E-2</v>
      </c>
      <c r="S46" s="18">
        <v>0.12723400000000001</v>
      </c>
      <c r="T46" s="18">
        <v>0.16608400000000001</v>
      </c>
      <c r="U46" s="18">
        <f t="shared" si="4"/>
        <v>0.24309999999999998</v>
      </c>
      <c r="V46" s="18">
        <v>0.48759999999999998</v>
      </c>
      <c r="W46" s="18">
        <v>0.61519999999999997</v>
      </c>
      <c r="X46" s="18">
        <v>1.2310000000000001</v>
      </c>
      <c r="Y46" s="18"/>
      <c r="Z46" s="18">
        <f t="shared" si="6"/>
        <v>1.0999999999999999E-2</v>
      </c>
      <c r="AA46" s="18">
        <f t="shared" si="5"/>
        <v>4.65E-2</v>
      </c>
      <c r="AB46" s="18">
        <f t="shared" si="5"/>
        <v>4.87E-2</v>
      </c>
      <c r="AC46" s="18">
        <f t="shared" si="5"/>
        <v>6.0999999999999999E-2</v>
      </c>
      <c r="AD46" s="18">
        <f t="shared" si="5"/>
        <v>0.1623</v>
      </c>
      <c r="AE46" s="18">
        <v>0.18509999999999999</v>
      </c>
      <c r="AF46" s="18">
        <v>0.21260000000000001</v>
      </c>
      <c r="AG46" s="18">
        <v>0.3291</v>
      </c>
      <c r="AH46" s="18">
        <v>0.39600000000000002</v>
      </c>
      <c r="AI46" s="18">
        <v>0.80759999999999998</v>
      </c>
      <c r="AJ46" s="18">
        <v>1.4021999999999999</v>
      </c>
      <c r="AK46" s="18">
        <v>4.0728999999999997</v>
      </c>
    </row>
    <row r="47" spans="1:37">
      <c r="A47" t="s">
        <v>10</v>
      </c>
      <c r="B47" s="18"/>
      <c r="C47" s="18"/>
      <c r="D47" s="18"/>
      <c r="E47" s="18"/>
      <c r="F47" s="18">
        <v>2.4834999999999998</v>
      </c>
      <c r="G47" s="18">
        <f t="shared" si="1"/>
        <v>3.3593000000000002</v>
      </c>
      <c r="H47" s="18">
        <v>3.7648000000000001</v>
      </c>
      <c r="I47" s="18">
        <v>4.4659630000000003</v>
      </c>
      <c r="J47" s="18">
        <f t="shared" si="2"/>
        <v>5.4734500000000006</v>
      </c>
      <c r="K47" s="18">
        <f t="shared" si="2"/>
        <v>6.8309050000000004</v>
      </c>
      <c r="L47" s="18"/>
      <c r="M47" s="18"/>
      <c r="N47" s="18">
        <f t="shared" si="3"/>
        <v>1.1195E-2</v>
      </c>
      <c r="O47" s="18">
        <f t="shared" si="3"/>
        <v>1.5365E-2</v>
      </c>
      <c r="P47" s="18">
        <f t="shared" si="3"/>
        <v>2.2855E-2</v>
      </c>
      <c r="Q47" s="18">
        <v>0.10115499999999999</v>
      </c>
      <c r="R47" s="18">
        <v>0.35602</v>
      </c>
      <c r="S47" s="18">
        <v>1.1499215</v>
      </c>
      <c r="T47" s="18">
        <v>2.6387795000000001</v>
      </c>
      <c r="U47" s="18">
        <f t="shared" si="4"/>
        <v>4.0170999999999992</v>
      </c>
      <c r="V47" s="18">
        <v>5.7718999999999996</v>
      </c>
      <c r="W47" s="18">
        <v>8.1286000000000005</v>
      </c>
      <c r="X47" s="18">
        <v>14.667899999999999</v>
      </c>
      <c r="Y47" s="18"/>
      <c r="Z47" s="18">
        <f t="shared" si="6"/>
        <v>0.10100000000000001</v>
      </c>
      <c r="AA47" s="18">
        <f t="shared" si="5"/>
        <v>0.1721</v>
      </c>
      <c r="AB47" s="18">
        <f t="shared" si="5"/>
        <v>0.24060000000000001</v>
      </c>
      <c r="AC47" s="18">
        <f t="shared" si="5"/>
        <v>0.80170000000000008</v>
      </c>
      <c r="AD47" s="18">
        <f t="shared" si="5"/>
        <v>5.0017000000000005</v>
      </c>
      <c r="AE47" s="18">
        <v>3.7160000000000002</v>
      </c>
      <c r="AF47" s="18">
        <v>5.5629999999999997</v>
      </c>
      <c r="AG47" s="18">
        <v>8.1308000000000007</v>
      </c>
      <c r="AH47" s="18">
        <v>11.270799999999999</v>
      </c>
      <c r="AI47" s="18">
        <v>12.2988</v>
      </c>
      <c r="AJ47" s="18">
        <v>16.404699999999998</v>
      </c>
      <c r="AK47" s="18">
        <v>29.1297</v>
      </c>
    </row>
    <row r="48" spans="1:37">
      <c r="A48" t="s">
        <v>11</v>
      </c>
      <c r="B48" s="18"/>
      <c r="C48" s="18"/>
      <c r="D48" s="18"/>
      <c r="E48" s="18"/>
      <c r="F48" s="18">
        <v>0.75617100000000004</v>
      </c>
      <c r="G48" s="18">
        <f t="shared" si="1"/>
        <v>1.2282322999999999</v>
      </c>
      <c r="H48" s="18">
        <v>1.3613132999999999</v>
      </c>
      <c r="I48" s="18">
        <v>1.5922069999999999</v>
      </c>
      <c r="J48" s="18">
        <f t="shared" si="2"/>
        <v>2.2093210000000001</v>
      </c>
      <c r="K48" s="18">
        <f t="shared" si="2"/>
        <v>2.996705</v>
      </c>
      <c r="L48" s="18"/>
      <c r="M48" s="18"/>
      <c r="N48" s="18">
        <f t="shared" si="3"/>
        <v>3.64E-3</v>
      </c>
      <c r="O48" s="18">
        <f t="shared" si="3"/>
        <v>0.149203</v>
      </c>
      <c r="P48" s="18">
        <f t="shared" si="3"/>
        <v>0.168739</v>
      </c>
      <c r="Q48" s="18">
        <v>0.24190500000000001</v>
      </c>
      <c r="R48" s="18">
        <v>0.66712700000000003</v>
      </c>
      <c r="S48" s="18">
        <v>0.80415599999999998</v>
      </c>
      <c r="T48" s="18">
        <v>1.1507084999999999</v>
      </c>
      <c r="U48" s="18">
        <f t="shared" si="4"/>
        <v>1.7568999999999999</v>
      </c>
      <c r="V48" s="18">
        <v>2.4394999999999998</v>
      </c>
      <c r="W48" s="18">
        <v>3.1038999999999999</v>
      </c>
      <c r="X48" s="18">
        <v>6.0682</v>
      </c>
      <c r="Y48" s="18"/>
      <c r="Z48" s="18">
        <f t="shared" si="6"/>
        <v>5.5899999999999998E-2</v>
      </c>
      <c r="AA48" s="18">
        <f t="shared" si="5"/>
        <v>8.2699999999999996E-2</v>
      </c>
      <c r="AB48" s="18">
        <f t="shared" si="5"/>
        <v>0.1031</v>
      </c>
      <c r="AC48" s="18">
        <f t="shared" si="5"/>
        <v>0.22070000000000001</v>
      </c>
      <c r="AD48" s="18">
        <f t="shared" si="5"/>
        <v>0.30630000000000002</v>
      </c>
      <c r="AE48" s="18">
        <v>0.55169999999999997</v>
      </c>
      <c r="AF48" s="18">
        <v>0.86570000000000003</v>
      </c>
      <c r="AG48" s="18">
        <v>1.2721</v>
      </c>
      <c r="AH48" s="18">
        <v>1.6495</v>
      </c>
      <c r="AI48" s="18">
        <v>1.9998</v>
      </c>
      <c r="AJ48" s="18">
        <v>2.3877999999999999</v>
      </c>
      <c r="AK48" s="18">
        <v>4.9920999999999998</v>
      </c>
    </row>
    <row r="49" spans="1:37">
      <c r="A49" t="s">
        <v>12</v>
      </c>
      <c r="B49" s="18"/>
      <c r="C49" s="18"/>
      <c r="D49" s="18"/>
      <c r="E49" s="18"/>
      <c r="F49" s="18">
        <v>0.82820000000000005</v>
      </c>
      <c r="G49" s="18">
        <f t="shared" si="1"/>
        <v>0.82250000000000001</v>
      </c>
      <c r="H49" s="18">
        <v>0.8609</v>
      </c>
      <c r="I49" s="18">
        <v>0.9899</v>
      </c>
      <c r="J49" s="18">
        <f t="shared" si="2"/>
        <v>1.5094460000000001</v>
      </c>
      <c r="K49" s="18">
        <f t="shared" si="2"/>
        <v>1.837046</v>
      </c>
      <c r="L49" s="18"/>
      <c r="M49" s="18"/>
      <c r="N49" s="18">
        <f t="shared" si="3"/>
        <v>1.2E-2</v>
      </c>
      <c r="O49" s="18">
        <f t="shared" si="3"/>
        <v>1.29E-2</v>
      </c>
      <c r="P49" s="18">
        <f t="shared" si="3"/>
        <v>1.34E-2</v>
      </c>
      <c r="Q49" s="18">
        <v>6.7659999999999998E-2</v>
      </c>
      <c r="R49" s="18">
        <v>0.11068799999999999</v>
      </c>
      <c r="S49" s="18">
        <v>0.20957600000000001</v>
      </c>
      <c r="T49" s="18">
        <v>0.277781</v>
      </c>
      <c r="U49" s="18">
        <f t="shared" si="4"/>
        <v>0.38140000000000002</v>
      </c>
      <c r="V49" s="18">
        <v>0.4415</v>
      </c>
      <c r="W49" s="18">
        <v>0.64149999999999996</v>
      </c>
      <c r="X49" s="18">
        <v>1.6807000000000001</v>
      </c>
      <c r="Y49" s="18"/>
      <c r="Z49" s="18">
        <f t="shared" si="6"/>
        <v>2.7799999999999998E-2</v>
      </c>
      <c r="AA49" s="18">
        <f t="shared" si="5"/>
        <v>2.7799999999999998E-2</v>
      </c>
      <c r="AB49" s="18">
        <f t="shared" si="5"/>
        <v>7.2800000000000004E-2</v>
      </c>
      <c r="AC49" s="18">
        <f t="shared" si="5"/>
        <v>0.10390000000000001</v>
      </c>
      <c r="AD49" s="18">
        <f t="shared" si="5"/>
        <v>0.14510000000000001</v>
      </c>
      <c r="AE49" s="18">
        <v>0.2145</v>
      </c>
      <c r="AF49" s="18">
        <v>0.2863</v>
      </c>
      <c r="AG49" s="18">
        <v>0.4173</v>
      </c>
      <c r="AH49" s="18">
        <v>0.50890000000000002</v>
      </c>
      <c r="AI49" s="18">
        <v>0.72599999999999998</v>
      </c>
      <c r="AJ49" s="18">
        <v>1.018</v>
      </c>
      <c r="AK49" s="18">
        <v>2.2025000000000001</v>
      </c>
    </row>
    <row r="50" spans="1:37">
      <c r="A50" t="s">
        <v>13</v>
      </c>
      <c r="B50" s="18"/>
      <c r="C50" s="18"/>
      <c r="D50" s="18"/>
      <c r="E50" s="18"/>
      <c r="F50" s="18">
        <v>3.23</v>
      </c>
      <c r="G50" s="18">
        <f t="shared" si="1"/>
        <v>3.4394</v>
      </c>
      <c r="H50" s="18">
        <v>3.6448999999999998</v>
      </c>
      <c r="I50" s="18">
        <v>3.8717000000000001</v>
      </c>
      <c r="J50" s="18">
        <f t="shared" si="2"/>
        <v>4.0223000000000004</v>
      </c>
      <c r="K50" s="18">
        <f t="shared" si="2"/>
        <v>4.3568000000000007</v>
      </c>
      <c r="L50" s="18"/>
      <c r="M50" s="18"/>
      <c r="N50" s="18">
        <f t="shared" si="3"/>
        <v>4.6544000000000002E-2</v>
      </c>
      <c r="O50" s="18">
        <f t="shared" si="3"/>
        <v>4.6544000000000002E-2</v>
      </c>
      <c r="P50" s="18">
        <f t="shared" si="3"/>
        <v>6.5109E-2</v>
      </c>
      <c r="Q50" s="18">
        <v>0.1110112</v>
      </c>
      <c r="R50" s="18">
        <v>0.18369070000000001</v>
      </c>
      <c r="S50" s="18">
        <v>0.32774720000000002</v>
      </c>
      <c r="T50" s="18">
        <v>0.4919095</v>
      </c>
      <c r="U50" s="18">
        <f t="shared" si="4"/>
        <v>0.64100000000000001</v>
      </c>
      <c r="V50" s="18">
        <v>0.82499999999999996</v>
      </c>
      <c r="W50" s="18">
        <v>0.94540000000000002</v>
      </c>
      <c r="X50" s="18">
        <v>1.2888999999999999</v>
      </c>
      <c r="Y50" s="18"/>
      <c r="Z50" s="18">
        <f t="shared" si="6"/>
        <v>6.1699999999999998E-2</v>
      </c>
      <c r="AA50" s="18">
        <f t="shared" si="5"/>
        <v>9.8199999999999996E-2</v>
      </c>
      <c r="AB50" s="18">
        <f t="shared" si="5"/>
        <v>0.14349999999999999</v>
      </c>
      <c r="AC50" s="18">
        <f t="shared" si="5"/>
        <v>0.25179999999999997</v>
      </c>
      <c r="AD50" s="18">
        <f t="shared" si="5"/>
        <v>0.38929999999999998</v>
      </c>
      <c r="AE50" s="18">
        <v>0.52439999999999998</v>
      </c>
      <c r="AF50" s="18">
        <v>0.67759999999999998</v>
      </c>
      <c r="AG50" s="18">
        <v>0.84519999999999995</v>
      </c>
      <c r="AH50" s="18">
        <v>1.0343</v>
      </c>
      <c r="AI50" s="18">
        <v>1.1142000000000001</v>
      </c>
      <c r="AJ50" s="18">
        <v>1.3872</v>
      </c>
      <c r="AK50" s="18">
        <v>1.8567</v>
      </c>
    </row>
    <row r="51" spans="1:37">
      <c r="A51" t="s">
        <v>14</v>
      </c>
      <c r="B51" s="18"/>
      <c r="C51" s="18"/>
      <c r="D51" s="18"/>
      <c r="E51" s="18"/>
      <c r="F51" s="18">
        <v>7.2784110000000002</v>
      </c>
      <c r="G51" s="18">
        <f t="shared" si="1"/>
        <v>9.3561705000000011</v>
      </c>
      <c r="H51" s="18">
        <v>11.159334400000001</v>
      </c>
      <c r="I51" s="18">
        <v>14.586430399999999</v>
      </c>
      <c r="J51" s="18">
        <f t="shared" si="2"/>
        <v>18.2834249</v>
      </c>
      <c r="K51" s="18">
        <f t="shared" si="2"/>
        <v>21.9778144</v>
      </c>
      <c r="L51" s="18"/>
      <c r="M51" s="18"/>
      <c r="N51" s="18">
        <f t="shared" si="3"/>
        <v>0.33230559999999998</v>
      </c>
      <c r="O51" s="18">
        <f t="shared" si="3"/>
        <v>0.34194359999999996</v>
      </c>
      <c r="P51" s="18">
        <f t="shared" si="3"/>
        <v>0.72818459999999996</v>
      </c>
      <c r="Q51" s="18">
        <v>2.0376520999999999</v>
      </c>
      <c r="R51" s="18">
        <v>3.7997716000000001</v>
      </c>
      <c r="S51" s="18">
        <v>5.7709815999999998</v>
      </c>
      <c r="T51" s="18">
        <v>8.0899944999999995</v>
      </c>
      <c r="U51" s="18">
        <f t="shared" si="4"/>
        <v>10.3089</v>
      </c>
      <c r="V51" s="18">
        <v>13.378</v>
      </c>
      <c r="W51" s="18">
        <v>16.3522</v>
      </c>
      <c r="X51" s="18">
        <v>23.282399999999999</v>
      </c>
      <c r="Y51" s="18"/>
      <c r="Z51" s="18">
        <f t="shared" si="6"/>
        <v>0.30549999999999999</v>
      </c>
      <c r="AA51" s="18">
        <f t="shared" si="5"/>
        <v>0.9577</v>
      </c>
      <c r="AB51" s="18">
        <f t="shared" si="5"/>
        <v>2.8487</v>
      </c>
      <c r="AC51" s="18">
        <f t="shared" si="5"/>
        <v>5.8879999999999999</v>
      </c>
      <c r="AD51" s="18">
        <f t="shared" si="5"/>
        <v>8.5583999999999989</v>
      </c>
      <c r="AE51" s="18">
        <v>11.475199999999999</v>
      </c>
      <c r="AF51" s="18">
        <v>15.5237</v>
      </c>
      <c r="AG51" s="18">
        <v>18.582100000000001</v>
      </c>
      <c r="AH51" s="18">
        <v>22.232500000000002</v>
      </c>
      <c r="AI51" s="18">
        <v>25.939599999999999</v>
      </c>
      <c r="AJ51" s="18">
        <v>30.884699999999999</v>
      </c>
      <c r="AK51" s="18">
        <v>43.974600000000002</v>
      </c>
    </row>
    <row r="52" spans="1:37">
      <c r="A52" t="s">
        <v>15</v>
      </c>
      <c r="B52" s="18"/>
      <c r="C52" s="18"/>
      <c r="D52" s="18"/>
      <c r="E52" s="18"/>
      <c r="F52" s="18">
        <v>19.61599</v>
      </c>
      <c r="G52" s="18">
        <f t="shared" si="1"/>
        <v>23.437000000000001</v>
      </c>
      <c r="H52" s="18">
        <v>26.426200000000001</v>
      </c>
      <c r="I52" s="18">
        <v>29.465599999999998</v>
      </c>
      <c r="J52" s="18">
        <f t="shared" si="2"/>
        <v>33.575099999999999</v>
      </c>
      <c r="K52" s="18">
        <f t="shared" si="2"/>
        <v>38.947099999999999</v>
      </c>
      <c r="L52" s="18"/>
      <c r="M52" s="18"/>
      <c r="N52" s="18">
        <f t="shared" si="3"/>
        <v>1.0887465000000001</v>
      </c>
      <c r="O52" s="18">
        <f t="shared" si="3"/>
        <v>1.102363</v>
      </c>
      <c r="P52" s="18">
        <f t="shared" si="3"/>
        <v>1.8786865000000001</v>
      </c>
      <c r="Q52" s="18">
        <v>3.6360830000000002</v>
      </c>
      <c r="R52" s="18">
        <v>5.6881599999999999</v>
      </c>
      <c r="S52" s="18">
        <v>8.3387744999999995</v>
      </c>
      <c r="T52" s="18">
        <v>10.8451357</v>
      </c>
      <c r="U52" s="18">
        <f t="shared" si="4"/>
        <v>13.5905</v>
      </c>
      <c r="V52" s="18">
        <v>15.8346</v>
      </c>
      <c r="W52" s="18">
        <v>18.0581</v>
      </c>
      <c r="X52" s="18">
        <v>23.759</v>
      </c>
      <c r="Y52" s="18"/>
      <c r="Z52" s="18">
        <f t="shared" si="6"/>
        <v>0.87390000000000001</v>
      </c>
      <c r="AA52" s="18">
        <f t="shared" si="5"/>
        <v>1.2102999999999999</v>
      </c>
      <c r="AB52" s="18">
        <f t="shared" si="5"/>
        <v>1.9554</v>
      </c>
      <c r="AC52" s="18">
        <f t="shared" si="5"/>
        <v>3.6631999999999998</v>
      </c>
      <c r="AD52" s="18">
        <f t="shared" si="5"/>
        <v>5.0104999999999995</v>
      </c>
      <c r="AE52" s="18">
        <v>6.7312000000000003</v>
      </c>
      <c r="AF52" s="18">
        <v>8.4032999999999998</v>
      </c>
      <c r="AG52" s="18">
        <v>10.135</v>
      </c>
      <c r="AH52" s="18">
        <v>12.9213</v>
      </c>
      <c r="AI52" s="18">
        <v>13.0427</v>
      </c>
      <c r="AJ52" s="18">
        <v>14.604200000000001</v>
      </c>
      <c r="AK52" s="18">
        <v>17.258800000000001</v>
      </c>
    </row>
    <row r="53" spans="1:37">
      <c r="A53" t="s">
        <v>16</v>
      </c>
      <c r="B53" s="18"/>
      <c r="C53" s="18"/>
      <c r="D53" s="18"/>
      <c r="E53" s="18"/>
      <c r="F53" s="18">
        <v>6.43</v>
      </c>
      <c r="G53" s="18">
        <f t="shared" si="1"/>
        <v>8.02</v>
      </c>
      <c r="H53" s="18">
        <v>9.6372199999999992</v>
      </c>
      <c r="I53" s="18">
        <v>11.874874999999999</v>
      </c>
      <c r="J53" s="18">
        <f t="shared" si="2"/>
        <v>15.678248</v>
      </c>
      <c r="K53" s="18">
        <f t="shared" si="2"/>
        <v>18.276900999999999</v>
      </c>
      <c r="L53" s="18"/>
      <c r="M53" s="18"/>
      <c r="N53" s="18">
        <f t="shared" si="3"/>
        <v>0.53263700000000003</v>
      </c>
      <c r="O53" s="18">
        <f t="shared" si="3"/>
        <v>0.55913999999999997</v>
      </c>
      <c r="P53" s="18">
        <f t="shared" si="3"/>
        <v>1.3831180000000001</v>
      </c>
      <c r="Q53" s="18">
        <v>3.5611285000000001</v>
      </c>
      <c r="R53" s="18">
        <v>6.2220184999999999</v>
      </c>
      <c r="S53" s="18">
        <v>8.8726330000000004</v>
      </c>
      <c r="T53" s="18">
        <v>11.783032499999999</v>
      </c>
      <c r="U53" s="18">
        <f t="shared" si="4"/>
        <v>14.999000000000002</v>
      </c>
      <c r="V53" s="18">
        <v>19.008500000000002</v>
      </c>
      <c r="W53" s="18">
        <v>24.392700000000001</v>
      </c>
      <c r="X53" s="18">
        <v>34.913200000000003</v>
      </c>
      <c r="Y53" s="18"/>
      <c r="Z53" s="18">
        <f t="shared" si="6"/>
        <v>1.7242</v>
      </c>
      <c r="AA53" s="18">
        <f t="shared" si="5"/>
        <v>3.4223999999999997</v>
      </c>
      <c r="AB53" s="18">
        <f t="shared" si="5"/>
        <v>7.0549999999999997</v>
      </c>
      <c r="AC53" s="18">
        <f t="shared" si="5"/>
        <v>13.6904</v>
      </c>
      <c r="AD53" s="18">
        <f t="shared" si="5"/>
        <v>20.803000000000001</v>
      </c>
      <c r="AE53" s="18">
        <v>28.9222</v>
      </c>
      <c r="AF53" s="18">
        <v>36.613900000000001</v>
      </c>
      <c r="AG53" s="18">
        <v>47.113100000000003</v>
      </c>
      <c r="AH53" s="18">
        <v>61.725499999999997</v>
      </c>
      <c r="AI53" s="18">
        <v>77.394900000000007</v>
      </c>
      <c r="AJ53" s="18">
        <v>101.94029999999999</v>
      </c>
      <c r="AK53" s="18">
        <v>137.238</v>
      </c>
    </row>
    <row r="54" spans="1:37">
      <c r="A54" t="s">
        <v>17</v>
      </c>
      <c r="B54" s="18"/>
      <c r="C54" s="18"/>
      <c r="D54" s="18"/>
      <c r="E54" s="18"/>
      <c r="F54" s="18">
        <v>3.24837</v>
      </c>
      <c r="G54" s="18">
        <f t="shared" si="1"/>
        <v>3.7279</v>
      </c>
      <c r="H54" s="18">
        <v>4.5106000000000002</v>
      </c>
      <c r="I54" s="18">
        <v>5.758</v>
      </c>
      <c r="J54" s="18">
        <f t="shared" si="2"/>
        <v>8.0611999999999995</v>
      </c>
      <c r="K54" s="18">
        <f t="shared" si="2"/>
        <v>10.334</v>
      </c>
      <c r="L54" s="18"/>
      <c r="M54" s="18"/>
      <c r="N54" s="18">
        <f t="shared" si="3"/>
        <v>0.1916311</v>
      </c>
      <c r="O54" s="18">
        <f t="shared" si="3"/>
        <v>0.21184459999999999</v>
      </c>
      <c r="P54" s="18">
        <f t="shared" si="3"/>
        <v>0.45754410000000001</v>
      </c>
      <c r="Q54" s="18">
        <v>1.1030666</v>
      </c>
      <c r="R54" s="18">
        <v>2.1104291000000002</v>
      </c>
      <c r="S54" s="18">
        <v>3.7281860999999998</v>
      </c>
      <c r="T54" s="18">
        <v>6.0798931999999999</v>
      </c>
      <c r="U54" s="18">
        <f t="shared" si="4"/>
        <v>8.4914000000000005</v>
      </c>
      <c r="V54" s="18">
        <v>11.348800000000001</v>
      </c>
      <c r="W54" s="18">
        <v>13.7994</v>
      </c>
      <c r="X54" s="18">
        <v>19.759699999999999</v>
      </c>
      <c r="Y54" s="18"/>
      <c r="Z54" s="18">
        <f t="shared" si="6"/>
        <v>0.3664</v>
      </c>
      <c r="AA54" s="18">
        <f t="shared" si="5"/>
        <v>0.87369999999999992</v>
      </c>
      <c r="AB54" s="18">
        <f t="shared" si="5"/>
        <v>1.5427999999999999</v>
      </c>
      <c r="AC54" s="18">
        <f t="shared" si="5"/>
        <v>3.1387999999999998</v>
      </c>
      <c r="AD54" s="18">
        <f t="shared" si="5"/>
        <v>5.2600999999999996</v>
      </c>
      <c r="AE54" s="18">
        <v>8.2751000000000001</v>
      </c>
      <c r="AF54" s="18">
        <v>13.244999999999999</v>
      </c>
      <c r="AG54" s="18">
        <v>18.259399999999999</v>
      </c>
      <c r="AH54" s="18">
        <v>24.562799999999999</v>
      </c>
      <c r="AI54" s="18">
        <v>29.453399999999998</v>
      </c>
      <c r="AJ54" s="18">
        <v>35.780099999999997</v>
      </c>
      <c r="AK54" s="18">
        <v>47.428800000000003</v>
      </c>
    </row>
    <row r="55" spans="1:37">
      <c r="A55" t="s">
        <v>18</v>
      </c>
      <c r="B55" s="18"/>
      <c r="C55" s="18"/>
      <c r="D55" s="18"/>
      <c r="E55" s="18"/>
      <c r="F55" s="18">
        <v>3.86</v>
      </c>
      <c r="G55" s="18">
        <f t="shared" si="1"/>
        <v>4.7122999999999999</v>
      </c>
      <c r="H55" s="18">
        <v>5.2072000000000003</v>
      </c>
      <c r="I55" s="18">
        <v>6.3192000000000004</v>
      </c>
      <c r="J55" s="18">
        <f t="shared" si="2"/>
        <v>7.6720000000000006</v>
      </c>
      <c r="K55" s="18">
        <f t="shared" si="2"/>
        <v>9.8245000000000005</v>
      </c>
      <c r="L55" s="18"/>
      <c r="M55" s="18"/>
      <c r="N55" s="18">
        <f t="shared" si="3"/>
        <v>0.263909</v>
      </c>
      <c r="O55" s="18">
        <f t="shared" si="3"/>
        <v>0.29378900000000002</v>
      </c>
      <c r="P55" s="18">
        <f t="shared" si="3"/>
        <v>0.44205100000000003</v>
      </c>
      <c r="Q55" s="18">
        <v>0.91610899999999995</v>
      </c>
      <c r="R55" s="18">
        <v>1.7667580000000001</v>
      </c>
      <c r="S55" s="18">
        <v>2.8160965</v>
      </c>
      <c r="T55" s="18">
        <v>4.3828335000000003</v>
      </c>
      <c r="U55" s="18">
        <f t="shared" si="4"/>
        <v>5.7842000000000002</v>
      </c>
      <c r="V55" s="18">
        <v>7.4741</v>
      </c>
      <c r="W55" s="18">
        <v>9.1340000000000003</v>
      </c>
      <c r="X55" s="18">
        <v>14.832700000000001</v>
      </c>
      <c r="Y55" s="18"/>
      <c r="Z55" s="18">
        <f t="shared" si="6"/>
        <v>0.53129999999999999</v>
      </c>
      <c r="AA55" s="18">
        <f t="shared" si="5"/>
        <v>1.0215000000000001</v>
      </c>
      <c r="AB55" s="18">
        <f t="shared" si="5"/>
        <v>1.9417</v>
      </c>
      <c r="AC55" s="18">
        <f t="shared" si="5"/>
        <v>4.0516000000000005</v>
      </c>
      <c r="AD55" s="18">
        <f t="shared" si="5"/>
        <v>6.3833000000000002</v>
      </c>
      <c r="AE55" s="18">
        <v>10.076700000000001</v>
      </c>
      <c r="AF55" s="18">
        <v>14.265000000000001</v>
      </c>
      <c r="AG55" s="18">
        <v>18.8812</v>
      </c>
      <c r="AH55" s="18">
        <v>24.465299999999999</v>
      </c>
      <c r="AI55" s="18">
        <v>29.510200000000001</v>
      </c>
      <c r="AJ55" s="18">
        <v>35.559699999999999</v>
      </c>
      <c r="AK55" s="18">
        <v>49.024099999999997</v>
      </c>
    </row>
    <row r="56" spans="1:37">
      <c r="A56" t="s">
        <v>19</v>
      </c>
      <c r="B56" s="18"/>
      <c r="C56" s="18"/>
      <c r="D56" s="18"/>
      <c r="E56" s="18"/>
      <c r="F56" s="18">
        <v>42.913499999999999</v>
      </c>
      <c r="G56" s="18">
        <f t="shared" si="1"/>
        <v>61.434299999999993</v>
      </c>
      <c r="H56" s="18">
        <v>81.152199999999993</v>
      </c>
      <c r="I56" s="18">
        <v>107.66500000000001</v>
      </c>
      <c r="J56" s="18">
        <f t="shared" si="2"/>
        <v>145.24870000000001</v>
      </c>
      <c r="K56" s="18">
        <f t="shared" si="2"/>
        <v>189.72681510000001</v>
      </c>
      <c r="L56" s="18"/>
      <c r="M56" s="18"/>
      <c r="N56" s="18">
        <f t="shared" si="3"/>
        <v>4.7263237</v>
      </c>
      <c r="O56" s="18">
        <f t="shared" si="3"/>
        <v>5.1479292000000001</v>
      </c>
      <c r="P56" s="18">
        <f t="shared" si="3"/>
        <v>9.7581772000000004</v>
      </c>
      <c r="Q56" s="18">
        <v>26.905953199999999</v>
      </c>
      <c r="R56" s="18">
        <v>52.345359700000003</v>
      </c>
      <c r="S56" s="18">
        <v>85.583762129999997</v>
      </c>
      <c r="T56" s="18">
        <v>124.13249033</v>
      </c>
      <c r="U56" s="18">
        <f t="shared" si="4"/>
        <v>169.61870000000002</v>
      </c>
      <c r="V56" s="18">
        <v>227.56960000000001</v>
      </c>
      <c r="W56" s="18">
        <v>284.33550000000002</v>
      </c>
      <c r="X56" s="18">
        <v>457.54070000000002</v>
      </c>
      <c r="Y56" s="18">
        <v>466</v>
      </c>
      <c r="Z56" s="18">
        <f t="shared" si="6"/>
        <v>12.035</v>
      </c>
      <c r="AA56" s="18">
        <f t="shared" si="5"/>
        <v>25.383800000000001</v>
      </c>
      <c r="AB56" s="18">
        <f t="shared" si="5"/>
        <v>53.529499999999999</v>
      </c>
      <c r="AC56" s="18">
        <f t="shared" si="5"/>
        <v>109.34309999999999</v>
      </c>
      <c r="AD56" s="18">
        <f t="shared" si="5"/>
        <v>172.72800000000001</v>
      </c>
      <c r="AE56" s="18">
        <v>240.47450000000001</v>
      </c>
      <c r="AF56" s="18">
        <v>309.91899999999998</v>
      </c>
      <c r="AG56" s="18">
        <v>378.16590000000002</v>
      </c>
      <c r="AH56" s="18">
        <v>448.21069999999997</v>
      </c>
      <c r="AI56" s="18">
        <v>512.61239999999998</v>
      </c>
      <c r="AJ56" s="18">
        <v>600.80179999999996</v>
      </c>
      <c r="AK56" s="18">
        <v>763.2183</v>
      </c>
    </row>
    <row r="57" spans="1:37">
      <c r="A57" t="s">
        <v>20</v>
      </c>
      <c r="B57" s="18"/>
      <c r="C57" s="18"/>
      <c r="D57" s="18"/>
      <c r="E57" s="18"/>
      <c r="F57" s="18">
        <v>13.639340000000001</v>
      </c>
      <c r="G57" s="18">
        <f t="shared" si="1"/>
        <v>17.629300000000001</v>
      </c>
      <c r="H57" s="18">
        <v>23.828600000000002</v>
      </c>
      <c r="I57" s="18">
        <v>31.091899999999999</v>
      </c>
      <c r="J57" s="18">
        <f t="shared" si="2"/>
        <v>41.2316</v>
      </c>
      <c r="K57" s="18">
        <f t="shared" si="2"/>
        <v>48.279499999999999</v>
      </c>
      <c r="L57" s="18"/>
      <c r="M57" s="18"/>
      <c r="N57" s="18">
        <f t="shared" si="3"/>
        <v>2.0353965000000001</v>
      </c>
      <c r="O57" s="18">
        <f t="shared" si="3"/>
        <v>2.1715650000000002</v>
      </c>
      <c r="P57" s="18">
        <f t="shared" si="3"/>
        <v>4.4751776999999997</v>
      </c>
      <c r="Q57" s="18">
        <v>9.5836757000000006</v>
      </c>
      <c r="R57" s="18">
        <v>17.728380999999999</v>
      </c>
      <c r="S57" s="18">
        <v>26.990063800000001</v>
      </c>
      <c r="T57" s="18">
        <v>38.199446299999998</v>
      </c>
      <c r="U57" s="18">
        <f t="shared" si="4"/>
        <v>48.573500000000003</v>
      </c>
      <c r="V57" s="18">
        <v>61.935400000000001</v>
      </c>
      <c r="W57" s="18">
        <v>74.260199999999998</v>
      </c>
      <c r="X57" s="18">
        <v>105.3314</v>
      </c>
      <c r="Y57" s="18"/>
      <c r="Z57" s="18">
        <f t="shared" si="6"/>
        <v>5.1143999999999998</v>
      </c>
      <c r="AA57" s="18">
        <f t="shared" si="5"/>
        <v>9.9699999999999989</v>
      </c>
      <c r="AB57" s="18">
        <f t="shared" si="5"/>
        <v>20.891599999999997</v>
      </c>
      <c r="AC57" s="18">
        <f t="shared" si="5"/>
        <v>40.4041</v>
      </c>
      <c r="AD57" s="18">
        <f t="shared" si="5"/>
        <v>64.346400000000003</v>
      </c>
      <c r="AE57" s="18">
        <v>89.946399999999997</v>
      </c>
      <c r="AF57" s="18">
        <v>115.70529999999999</v>
      </c>
      <c r="AG57" s="18">
        <v>139.37029999999999</v>
      </c>
      <c r="AH57" s="18">
        <v>171.67449999999999</v>
      </c>
      <c r="AI57" s="18">
        <v>207.8536</v>
      </c>
      <c r="AJ57" s="18">
        <v>267.98790000000002</v>
      </c>
      <c r="AK57" s="18">
        <v>343.22719999999998</v>
      </c>
    </row>
    <row r="58" spans="1:37">
      <c r="A58" t="s">
        <v>21</v>
      </c>
      <c r="B58" s="18"/>
      <c r="C58" s="18"/>
      <c r="D58" s="18"/>
      <c r="E58" s="18"/>
      <c r="F58" s="18">
        <v>2.44</v>
      </c>
      <c r="G58" s="18">
        <f t="shared" si="1"/>
        <v>2.5099999999999998</v>
      </c>
      <c r="H58" s="18">
        <v>2.88</v>
      </c>
      <c r="I58" s="18">
        <v>3.5501355000000001</v>
      </c>
      <c r="J58" s="18">
        <f t="shared" ref="J58:K71" si="7">I58+J22</f>
        <v>4.3022160999999999</v>
      </c>
      <c r="K58" s="18">
        <f t="shared" si="7"/>
        <v>5.0883675999999998</v>
      </c>
      <c r="L58" s="18"/>
      <c r="M58" s="18"/>
      <c r="N58" s="18">
        <f t="shared" ref="N58:P71" si="8">M58+N22</f>
        <v>9.1981999999999994E-2</v>
      </c>
      <c r="O58" s="18">
        <f t="shared" si="8"/>
        <v>9.1981999999999994E-2</v>
      </c>
      <c r="P58" s="18">
        <f t="shared" si="8"/>
        <v>9.5707E-2</v>
      </c>
      <c r="Q58" s="18">
        <v>0.17660049999999999</v>
      </c>
      <c r="R58" s="18">
        <v>0.35447650000000003</v>
      </c>
      <c r="S58" s="18">
        <v>0.58058650000000001</v>
      </c>
      <c r="T58" s="18">
        <v>0.83966399999999997</v>
      </c>
      <c r="U58" s="18">
        <f t="shared" si="4"/>
        <v>1.1680999999999999</v>
      </c>
      <c r="V58" s="18">
        <v>1.8212999999999999</v>
      </c>
      <c r="W58" s="18">
        <v>2.0703</v>
      </c>
      <c r="X58" s="18">
        <v>3.0049999999999999</v>
      </c>
      <c r="Y58" s="18"/>
      <c r="Z58" s="18">
        <f t="shared" si="6"/>
        <v>0.38879999999999998</v>
      </c>
      <c r="AA58" s="18">
        <f t="shared" ref="AA58:AD71" si="9">Z58+AA22</f>
        <v>0.51879999999999993</v>
      </c>
      <c r="AB58" s="18">
        <f t="shared" si="9"/>
        <v>0.73369999999999991</v>
      </c>
      <c r="AC58" s="18">
        <f t="shared" si="9"/>
        <v>0.93589999999999995</v>
      </c>
      <c r="AD58" s="18">
        <f t="shared" si="9"/>
        <v>1.3685999999999998</v>
      </c>
      <c r="AE58" s="18">
        <v>1.5429999999999999</v>
      </c>
      <c r="AF58" s="18">
        <v>2.0678000000000001</v>
      </c>
      <c r="AG58" s="18">
        <v>2.5983000000000001</v>
      </c>
      <c r="AH58" s="18">
        <v>3.3159000000000001</v>
      </c>
      <c r="AI58" s="18">
        <v>3.8932000000000002</v>
      </c>
      <c r="AJ58" s="18">
        <v>4.9036999999999997</v>
      </c>
      <c r="AK58" s="18">
        <v>7.3506</v>
      </c>
    </row>
    <row r="59" spans="1:37">
      <c r="A59" t="s">
        <v>22</v>
      </c>
      <c r="B59" s="18"/>
      <c r="C59" s="18"/>
      <c r="D59" s="18"/>
      <c r="E59" s="18"/>
      <c r="F59" s="18">
        <v>5.8510629999999999</v>
      </c>
      <c r="G59" s="18">
        <f t="shared" si="1"/>
        <v>6.4286000000000003</v>
      </c>
      <c r="H59" s="18">
        <v>7.7331000000000003</v>
      </c>
      <c r="I59" s="18">
        <v>8.2012999999999998</v>
      </c>
      <c r="J59" s="18">
        <f t="shared" si="7"/>
        <v>8.7698999999999998</v>
      </c>
      <c r="K59" s="18">
        <f t="shared" si="7"/>
        <v>9.8826625000000003</v>
      </c>
      <c r="L59" s="18"/>
      <c r="M59" s="18"/>
      <c r="N59" s="18">
        <f t="shared" si="8"/>
        <v>0.18729999999999999</v>
      </c>
      <c r="O59" s="18">
        <f t="shared" si="8"/>
        <v>0.22020000000000001</v>
      </c>
      <c r="P59" s="18">
        <f t="shared" si="8"/>
        <v>0.34060000000000001</v>
      </c>
      <c r="Q59" s="18">
        <v>0.63749999999999996</v>
      </c>
      <c r="R59" s="18">
        <v>1.1775100000000001</v>
      </c>
      <c r="S59" s="18">
        <v>1.61731</v>
      </c>
      <c r="T59" s="18">
        <v>2.3487100000000001</v>
      </c>
      <c r="U59" s="18">
        <f t="shared" si="4"/>
        <v>3.0411999999999999</v>
      </c>
      <c r="V59" s="18">
        <v>3.6257000000000001</v>
      </c>
      <c r="W59" s="18">
        <v>4.3898000000000001</v>
      </c>
      <c r="X59" s="18">
        <v>7.2949000000000002</v>
      </c>
      <c r="Y59" s="18"/>
      <c r="Z59" s="18">
        <f t="shared" si="6"/>
        <v>0.39500000000000002</v>
      </c>
      <c r="AA59" s="18">
        <f t="shared" si="9"/>
        <v>0.64419999999999999</v>
      </c>
      <c r="AB59" s="18">
        <f t="shared" si="9"/>
        <v>1.1071</v>
      </c>
      <c r="AC59" s="18">
        <f t="shared" si="9"/>
        <v>1.8923999999999999</v>
      </c>
      <c r="AD59" s="18">
        <f t="shared" si="9"/>
        <v>2.7351999999999999</v>
      </c>
      <c r="AE59" s="18">
        <v>4.0384000000000002</v>
      </c>
      <c r="AF59" s="18">
        <v>5.4836</v>
      </c>
      <c r="AG59" s="18">
        <v>7.0712999999999999</v>
      </c>
      <c r="AH59" s="18">
        <v>9.4154</v>
      </c>
      <c r="AI59" s="18">
        <v>11.2964</v>
      </c>
      <c r="AJ59" s="18">
        <v>13.555899999999999</v>
      </c>
      <c r="AK59" s="18">
        <v>19.044799999999999</v>
      </c>
    </row>
    <row r="60" spans="1:37">
      <c r="A60" t="s">
        <v>26</v>
      </c>
      <c r="B60" s="18"/>
      <c r="C60" s="18"/>
      <c r="D60" s="18"/>
      <c r="E60" s="18"/>
      <c r="F60" s="18">
        <v>0.218251</v>
      </c>
      <c r="G60" s="18">
        <f t="shared" si="1"/>
        <v>0.24804099999999998</v>
      </c>
      <c r="H60" s="18">
        <v>0.25828499999999999</v>
      </c>
      <c r="I60" s="18">
        <v>0.32461800000000002</v>
      </c>
      <c r="J60" s="18">
        <f t="shared" si="7"/>
        <v>0.36521800000000004</v>
      </c>
      <c r="K60" s="18">
        <f t="shared" si="7"/>
        <v>0.39122900000000005</v>
      </c>
      <c r="L60" s="18"/>
      <c r="M60" s="18"/>
      <c r="N60" s="18">
        <f t="shared" si="8"/>
        <v>1.918E-3</v>
      </c>
      <c r="O60" s="18">
        <f t="shared" si="8"/>
        <v>1.918E-3</v>
      </c>
      <c r="P60" s="18">
        <f t="shared" si="8"/>
        <v>7.5440000000000004E-3</v>
      </c>
      <c r="Q60" s="18">
        <v>2.7268000000000001E-2</v>
      </c>
      <c r="R60" s="18">
        <v>3.5389999999999998E-2</v>
      </c>
      <c r="S60" s="18">
        <v>6.3733999999999999E-2</v>
      </c>
      <c r="T60" s="18">
        <v>9.4223000000000001E-2</v>
      </c>
      <c r="U60" s="18">
        <f t="shared" si="4"/>
        <v>0.12669999999999998</v>
      </c>
      <c r="V60" s="18">
        <v>0.13289999999999999</v>
      </c>
      <c r="W60" s="18">
        <v>0.16200000000000001</v>
      </c>
      <c r="X60" s="18">
        <v>0.17599999999999999</v>
      </c>
      <c r="Y60" s="18"/>
      <c r="Z60" s="18">
        <f t="shared" si="6"/>
        <v>1.5800000000000002E-2</v>
      </c>
      <c r="AA60" s="18">
        <f t="shared" si="9"/>
        <v>1.8200000000000001E-2</v>
      </c>
      <c r="AB60" s="18">
        <f t="shared" si="9"/>
        <v>2.7799999999999998E-2</v>
      </c>
      <c r="AC60" s="18">
        <f t="shared" si="9"/>
        <v>4.5600000000000002E-2</v>
      </c>
      <c r="AD60" s="18">
        <f t="shared" si="9"/>
        <v>7.1500000000000008E-2</v>
      </c>
      <c r="AE60" s="18">
        <v>8.9700000000000002E-2</v>
      </c>
      <c r="AF60" s="18">
        <v>0.1231</v>
      </c>
      <c r="AG60" s="18">
        <v>0.1517</v>
      </c>
      <c r="AH60" s="18">
        <v>0.1731</v>
      </c>
      <c r="AI60" s="18">
        <v>0.2097</v>
      </c>
      <c r="AJ60" s="18">
        <v>0.25850000000000001</v>
      </c>
      <c r="AK60" s="18">
        <v>0.34589999999999999</v>
      </c>
    </row>
    <row r="61" spans="1:37">
      <c r="A61" t="s">
        <v>27</v>
      </c>
      <c r="B61" s="18"/>
      <c r="C61" s="18"/>
      <c r="D61" s="18"/>
      <c r="E61" s="18"/>
      <c r="F61" s="18">
        <v>0.45350000000000001</v>
      </c>
      <c r="G61" s="18">
        <f t="shared" si="1"/>
        <v>0.45210499999999992</v>
      </c>
      <c r="H61" s="18">
        <v>0.84479649999999995</v>
      </c>
      <c r="I61" s="18">
        <v>0.91244950000000002</v>
      </c>
      <c r="J61" s="18">
        <f t="shared" si="7"/>
        <v>1.0517605000000001</v>
      </c>
      <c r="K61" s="18">
        <f t="shared" si="7"/>
        <v>1.2946805000000001</v>
      </c>
      <c r="L61" s="18"/>
      <c r="M61" s="18"/>
      <c r="N61" s="18">
        <f t="shared" si="8"/>
        <v>5.2872000000000002E-2</v>
      </c>
      <c r="O61" s="18">
        <f t="shared" si="8"/>
        <v>5.5671999999999999E-2</v>
      </c>
      <c r="P61" s="18">
        <f t="shared" si="8"/>
        <v>7.2961999999999999E-2</v>
      </c>
      <c r="Q61" s="18">
        <v>0.12653700000000001</v>
      </c>
      <c r="R61" s="18">
        <v>0.219969</v>
      </c>
      <c r="S61" s="18">
        <v>0.49966100000000002</v>
      </c>
      <c r="T61" s="18">
        <v>0.76453099999999996</v>
      </c>
      <c r="U61" s="18">
        <f t="shared" si="4"/>
        <v>0.94600000000000006</v>
      </c>
      <c r="V61" s="18">
        <v>1.0618000000000001</v>
      </c>
      <c r="W61" s="18">
        <v>1.1988000000000001</v>
      </c>
      <c r="X61" s="18">
        <v>1.9801</v>
      </c>
      <c r="Y61" s="18"/>
      <c r="Z61" s="18">
        <f t="shared" si="6"/>
        <v>4.1099999999999998E-2</v>
      </c>
      <c r="AA61" s="18">
        <f t="shared" si="9"/>
        <v>0.1028</v>
      </c>
      <c r="AB61" s="18">
        <f t="shared" si="9"/>
        <v>0.21240000000000001</v>
      </c>
      <c r="AC61" s="18">
        <f t="shared" si="9"/>
        <v>0.52829999999999999</v>
      </c>
      <c r="AD61" s="18">
        <f t="shared" si="9"/>
        <v>0.7752</v>
      </c>
      <c r="AE61" s="18">
        <v>0.96619999999999995</v>
      </c>
      <c r="AF61" s="18">
        <v>1.2242999999999999</v>
      </c>
      <c r="AG61" s="18">
        <v>1.7283999999999999</v>
      </c>
      <c r="AH61" s="18">
        <v>2.0112000000000001</v>
      </c>
      <c r="AI61" s="18">
        <v>2.2019000000000002</v>
      </c>
      <c r="AJ61" s="18">
        <v>3.1059999999999999</v>
      </c>
      <c r="AK61" s="18">
        <v>3.8123</v>
      </c>
    </row>
    <row r="62" spans="1:37">
      <c r="A62" t="s">
        <v>31</v>
      </c>
      <c r="B62" s="18"/>
      <c r="C62" s="18"/>
      <c r="D62" s="18"/>
      <c r="E62" s="18"/>
      <c r="F62" s="18">
        <v>2.2077770000000001</v>
      </c>
      <c r="G62" s="18">
        <f t="shared" si="1"/>
        <v>2.5846359999999997</v>
      </c>
      <c r="H62" s="18">
        <v>3.2772329999999998</v>
      </c>
      <c r="I62" s="18">
        <v>4.240469</v>
      </c>
      <c r="J62" s="18">
        <f t="shared" si="7"/>
        <v>5.3280725000000002</v>
      </c>
      <c r="K62" s="18">
        <f t="shared" si="7"/>
        <v>6.6805494999999997</v>
      </c>
      <c r="L62" s="18"/>
      <c r="M62" s="18"/>
      <c r="N62" s="18">
        <f t="shared" si="8"/>
        <v>6.9535E-2</v>
      </c>
      <c r="O62" s="18">
        <f t="shared" si="8"/>
        <v>8.7301000000000004E-2</v>
      </c>
      <c r="P62" s="18">
        <f t="shared" si="8"/>
        <v>0.110818</v>
      </c>
      <c r="Q62" s="18">
        <v>0.35928399999999999</v>
      </c>
      <c r="R62" s="18">
        <v>1.277771</v>
      </c>
      <c r="S62" s="18">
        <v>2.9671330999999999</v>
      </c>
      <c r="T62" s="18">
        <v>4.2713348</v>
      </c>
      <c r="U62" s="18">
        <f t="shared" si="4"/>
        <v>6.3380999999999998</v>
      </c>
      <c r="V62" s="18">
        <v>7.8289</v>
      </c>
      <c r="W62" s="18">
        <v>9.2297999999999991</v>
      </c>
      <c r="X62" s="18">
        <v>13.501799999999999</v>
      </c>
      <c r="Y62" s="18"/>
      <c r="Z62" s="18">
        <f t="shared" si="6"/>
        <v>4.4699999999999997E-2</v>
      </c>
      <c r="AA62" s="18">
        <f t="shared" si="9"/>
        <v>8.9099999999999999E-2</v>
      </c>
      <c r="AB62" s="18">
        <f t="shared" si="9"/>
        <v>0.37059999999999998</v>
      </c>
      <c r="AC62" s="18">
        <f t="shared" si="9"/>
        <v>1.0754999999999999</v>
      </c>
      <c r="AD62" s="18">
        <f t="shared" si="9"/>
        <v>2.1592000000000002</v>
      </c>
      <c r="AE62" s="18">
        <v>4.2138999999999998</v>
      </c>
      <c r="AF62" s="18">
        <v>5.9321999999999999</v>
      </c>
      <c r="AG62" s="18">
        <v>8.3187999999999995</v>
      </c>
      <c r="AH62" s="18">
        <v>10.509499999999999</v>
      </c>
      <c r="AI62" s="18">
        <v>12.647</v>
      </c>
      <c r="AJ62" s="18">
        <v>16.034800000000001</v>
      </c>
      <c r="AK62" s="18">
        <v>21.7042</v>
      </c>
    </row>
    <row r="63" spans="1:37">
      <c r="A63" t="s">
        <v>32</v>
      </c>
      <c r="B63" s="18"/>
      <c r="C63" s="18"/>
      <c r="D63" s="18"/>
      <c r="E63" s="18"/>
      <c r="F63" s="18">
        <v>2.1179329999999998</v>
      </c>
      <c r="G63" s="18">
        <f t="shared" si="1"/>
        <v>2.2323854999999999</v>
      </c>
      <c r="H63" s="18">
        <v>2.2936955000000001</v>
      </c>
      <c r="I63" s="18">
        <v>2.4115959999999999</v>
      </c>
      <c r="J63" s="18">
        <f t="shared" si="7"/>
        <v>2.5736439999999998</v>
      </c>
      <c r="K63" s="18">
        <f t="shared" si="7"/>
        <v>3.2518829999999999</v>
      </c>
      <c r="L63" s="18"/>
      <c r="M63" s="18"/>
      <c r="N63" s="18">
        <f t="shared" si="8"/>
        <v>5.3600000000000002E-3</v>
      </c>
      <c r="O63" s="18">
        <f t="shared" si="8"/>
        <v>5.3600000000000002E-3</v>
      </c>
      <c r="P63" s="18">
        <f t="shared" si="8"/>
        <v>1.456E-2</v>
      </c>
      <c r="Q63" s="18">
        <v>2.7015999999999998E-2</v>
      </c>
      <c r="R63" s="18">
        <v>5.6334000000000002E-2</v>
      </c>
      <c r="S63" s="18">
        <v>9.2883999999999994E-2</v>
      </c>
      <c r="T63" s="18">
        <v>0.145542</v>
      </c>
      <c r="U63" s="18">
        <f t="shared" si="4"/>
        <v>0.22489999999999999</v>
      </c>
      <c r="V63" s="18">
        <v>0.27929999999999999</v>
      </c>
      <c r="W63" s="18">
        <v>0.4284</v>
      </c>
      <c r="X63" s="18">
        <v>0.72750000000000004</v>
      </c>
      <c r="Y63" s="18"/>
      <c r="Z63" s="18">
        <f t="shared" si="6"/>
        <v>2.35E-2</v>
      </c>
      <c r="AA63" s="18">
        <f t="shared" si="9"/>
        <v>2.6499999999999999E-2</v>
      </c>
      <c r="AB63" s="18">
        <f t="shared" si="9"/>
        <v>5.33E-2</v>
      </c>
      <c r="AC63" s="18">
        <f t="shared" si="9"/>
        <v>0.1363</v>
      </c>
      <c r="AD63" s="18">
        <f t="shared" si="9"/>
        <v>0.1744</v>
      </c>
      <c r="AE63" s="18">
        <v>0.22819999999999999</v>
      </c>
      <c r="AF63" s="18">
        <v>0.32740000000000002</v>
      </c>
      <c r="AG63" s="18">
        <v>0.44500000000000001</v>
      </c>
      <c r="AH63" s="18">
        <v>0.53490000000000004</v>
      </c>
      <c r="AI63" s="18">
        <v>0.59150000000000003</v>
      </c>
      <c r="AJ63" s="18">
        <v>0.75260000000000005</v>
      </c>
      <c r="AK63" s="18">
        <v>1.0777000000000001</v>
      </c>
    </row>
    <row r="64" spans="1:37">
      <c r="A64" t="s">
        <v>33</v>
      </c>
      <c r="B64" s="18"/>
      <c r="C64" s="18"/>
      <c r="D64" s="18"/>
      <c r="E64" s="18"/>
      <c r="F64" s="18">
        <v>0.22143399999999999</v>
      </c>
      <c r="G64" s="18">
        <f t="shared" si="1"/>
        <v>0.39253349999999998</v>
      </c>
      <c r="H64" s="18">
        <v>0.4205335</v>
      </c>
      <c r="I64" s="18">
        <v>0.42203350000000001</v>
      </c>
      <c r="J64" s="18">
        <f t="shared" si="7"/>
        <v>0.44103350000000002</v>
      </c>
      <c r="K64" s="18">
        <f t="shared" si="7"/>
        <v>0.50779350000000001</v>
      </c>
      <c r="L64" s="18"/>
      <c r="M64" s="18"/>
      <c r="N64" s="18">
        <f t="shared" si="8"/>
        <v>0</v>
      </c>
      <c r="O64" s="18">
        <f t="shared" si="8"/>
        <v>1.1999999999999999E-3</v>
      </c>
      <c r="P64" s="18">
        <f t="shared" si="8"/>
        <v>0.32015499999999997</v>
      </c>
      <c r="Q64" s="18">
        <v>0.33397900000000003</v>
      </c>
      <c r="R64" s="18">
        <v>0.34228900000000001</v>
      </c>
      <c r="S64" s="18">
        <v>0.35935499999999998</v>
      </c>
      <c r="T64" s="18">
        <v>0.36823699999999998</v>
      </c>
      <c r="U64" s="18">
        <f t="shared" si="4"/>
        <v>0.37469999999999998</v>
      </c>
      <c r="V64" s="18">
        <v>0.39639999999999997</v>
      </c>
      <c r="W64" s="18">
        <v>0.40379999999999999</v>
      </c>
      <c r="X64" s="18">
        <v>0.51359999999999995</v>
      </c>
      <c r="Y64" s="18"/>
      <c r="Z64" s="18">
        <f t="shared" si="6"/>
        <v>1.1999999999999999E-3</v>
      </c>
      <c r="AA64" s="18">
        <f t="shared" si="9"/>
        <v>1.6999999999999999E-3</v>
      </c>
      <c r="AB64" s="18">
        <f t="shared" si="9"/>
        <v>1.2200000000000001E-2</v>
      </c>
      <c r="AC64" s="18">
        <f t="shared" si="9"/>
        <v>2.5700000000000001E-2</v>
      </c>
      <c r="AD64" s="18">
        <f t="shared" si="9"/>
        <v>3.9199999999999999E-2</v>
      </c>
      <c r="AE64" s="18">
        <v>7.6999999999999999E-2</v>
      </c>
      <c r="AF64" s="18">
        <v>0.1195</v>
      </c>
      <c r="AG64" s="18">
        <v>0.18129999999999999</v>
      </c>
      <c r="AH64" s="18">
        <v>0.21299999999999999</v>
      </c>
      <c r="AI64" s="18">
        <v>0.25650000000000001</v>
      </c>
      <c r="AJ64" s="18">
        <v>0.2878</v>
      </c>
      <c r="AK64" s="18">
        <v>0.35170000000000001</v>
      </c>
    </row>
    <row r="65" spans="1:37">
      <c r="A65" t="s">
        <v>34</v>
      </c>
      <c r="B65" s="18"/>
      <c r="C65" s="18"/>
      <c r="D65" s="18"/>
      <c r="E65" s="18"/>
      <c r="F65" s="18">
        <v>0.37123899999999999</v>
      </c>
      <c r="G65" s="18">
        <f t="shared" si="1"/>
        <v>0.44529999999999997</v>
      </c>
      <c r="H65" s="18">
        <v>0.47549999999999998</v>
      </c>
      <c r="I65" s="18">
        <v>0.51022999999999996</v>
      </c>
      <c r="J65" s="18">
        <f t="shared" si="7"/>
        <v>0.56897999999999993</v>
      </c>
      <c r="K65" s="18">
        <f t="shared" si="7"/>
        <v>0.80741999999999992</v>
      </c>
      <c r="L65" s="18"/>
      <c r="M65" s="18"/>
      <c r="N65" s="18">
        <f t="shared" si="8"/>
        <v>2E-3</v>
      </c>
      <c r="O65" s="18">
        <f t="shared" si="8"/>
        <v>2E-3</v>
      </c>
      <c r="P65" s="18">
        <f t="shared" si="8"/>
        <v>1.14E-2</v>
      </c>
      <c r="Q65" s="18">
        <v>1.26E-2</v>
      </c>
      <c r="R65" s="18">
        <v>1.26E-2</v>
      </c>
      <c r="S65" s="18">
        <v>3.5633999999999999E-2</v>
      </c>
      <c r="T65" s="18">
        <v>8.0264000000000002E-2</v>
      </c>
      <c r="U65" s="18">
        <f t="shared" si="4"/>
        <v>0.12</v>
      </c>
      <c r="V65" s="18">
        <v>0.1389</v>
      </c>
      <c r="W65" s="18">
        <v>0.185</v>
      </c>
      <c r="X65" s="18">
        <v>0.33250000000000002</v>
      </c>
      <c r="Y65" s="18"/>
      <c r="Z65" s="18">
        <f t="shared" si="6"/>
        <v>1.5E-3</v>
      </c>
      <c r="AA65" s="18">
        <f t="shared" si="9"/>
        <v>2.8999999999999998E-3</v>
      </c>
      <c r="AB65" s="18">
        <f t="shared" si="9"/>
        <v>6.8999999999999999E-3</v>
      </c>
      <c r="AC65" s="18">
        <f t="shared" si="9"/>
        <v>8.6E-3</v>
      </c>
      <c r="AD65" s="18">
        <f t="shared" si="9"/>
        <v>3.04E-2</v>
      </c>
      <c r="AE65" s="18">
        <v>4.2200000000000001E-2</v>
      </c>
      <c r="AF65" s="18">
        <v>6.7199999999999996E-2</v>
      </c>
      <c r="AG65" s="18">
        <v>7.4899999999999994E-2</v>
      </c>
      <c r="AH65" s="18">
        <v>0.1014</v>
      </c>
      <c r="AI65" s="18">
        <v>0.1439</v>
      </c>
      <c r="AJ65" s="18">
        <v>0.63190000000000002</v>
      </c>
      <c r="AK65" s="18">
        <v>0.4052</v>
      </c>
    </row>
    <row r="66" spans="1:37">
      <c r="A66" t="s">
        <v>116</v>
      </c>
      <c r="B66" s="18"/>
      <c r="C66" s="18"/>
      <c r="D66" s="18"/>
      <c r="E66" s="18"/>
      <c r="F66" s="18">
        <v>8.4699999999999998E-2</v>
      </c>
      <c r="G66" s="18">
        <f t="shared" si="1"/>
        <v>0.10400000000000001</v>
      </c>
      <c r="H66" s="18">
        <v>0.11650000000000001</v>
      </c>
      <c r="I66" s="18">
        <v>0.14099999999999999</v>
      </c>
      <c r="J66" s="18">
        <f t="shared" si="7"/>
        <v>0.15599999999999997</v>
      </c>
      <c r="K66" s="18">
        <f t="shared" si="7"/>
        <v>0.18415599999999999</v>
      </c>
      <c r="L66" s="18"/>
      <c r="M66" s="18"/>
      <c r="N66" s="18">
        <f t="shared" si="8"/>
        <v>1.2999999999999999E-3</v>
      </c>
      <c r="O66" s="18">
        <f t="shared" si="8"/>
        <v>1.2999999999999999E-3</v>
      </c>
      <c r="P66" s="18">
        <f t="shared" si="8"/>
        <v>1.2999999999999999E-3</v>
      </c>
      <c r="Q66" s="18">
        <v>1.2999999999999999E-3</v>
      </c>
      <c r="R66" s="18">
        <v>2.3900000000000001E-2</v>
      </c>
      <c r="S66" s="18">
        <v>2.3900000000000001E-2</v>
      </c>
      <c r="T66" s="18">
        <v>3.288E-2</v>
      </c>
      <c r="U66" s="18">
        <f t="shared" si="4"/>
        <v>0.2636</v>
      </c>
      <c r="V66" s="18">
        <v>0.28270000000000001</v>
      </c>
      <c r="W66" s="18">
        <v>0.41749999999999998</v>
      </c>
      <c r="X66" s="18">
        <v>0.59740000000000004</v>
      </c>
      <c r="Y66" s="18"/>
      <c r="Z66" s="18">
        <f t="shared" si="6"/>
        <v>0.1515</v>
      </c>
      <c r="AA66" s="18">
        <f t="shared" si="9"/>
        <v>0.1515</v>
      </c>
      <c r="AB66" s="18">
        <f t="shared" si="9"/>
        <v>0.1515</v>
      </c>
      <c r="AC66" s="18">
        <f t="shared" si="9"/>
        <v>0.15259999999999999</v>
      </c>
      <c r="AD66" s="18">
        <f t="shared" si="9"/>
        <v>0.15559999999999999</v>
      </c>
      <c r="AE66" s="18">
        <v>0.15559999999999999</v>
      </c>
      <c r="AF66" s="18">
        <v>0.1696</v>
      </c>
      <c r="AG66" s="18">
        <v>0.17349999999999999</v>
      </c>
      <c r="AH66" s="18">
        <v>0.17349999999999999</v>
      </c>
      <c r="AI66" s="18">
        <v>0.17749999999999999</v>
      </c>
      <c r="AJ66" s="18">
        <v>0.192</v>
      </c>
      <c r="AK66" s="18">
        <v>0.40050000000000002</v>
      </c>
    </row>
    <row r="67" spans="1:37">
      <c r="A67" t="s">
        <v>23</v>
      </c>
      <c r="B67" s="18"/>
      <c r="C67" s="18"/>
      <c r="D67" s="18"/>
      <c r="E67" s="18"/>
      <c r="F67" s="18">
        <v>13.5746</v>
      </c>
      <c r="G67" s="18">
        <f t="shared" si="1"/>
        <v>14.9305</v>
      </c>
      <c r="H67" s="18">
        <v>15.808400000000001</v>
      </c>
      <c r="I67" s="18">
        <v>16.921900000000001</v>
      </c>
      <c r="J67" s="18">
        <f t="shared" si="7"/>
        <v>18.321400000000001</v>
      </c>
      <c r="K67" s="18">
        <f t="shared" si="7"/>
        <v>20.915400000000002</v>
      </c>
      <c r="L67" s="18"/>
      <c r="M67" s="18"/>
      <c r="N67" s="18">
        <f t="shared" si="8"/>
        <v>0.40441850000000001</v>
      </c>
      <c r="O67" s="18">
        <f t="shared" si="8"/>
        <v>0.43906650000000003</v>
      </c>
      <c r="P67" s="18">
        <f t="shared" si="8"/>
        <v>0.68953050000000005</v>
      </c>
      <c r="Q67" s="18">
        <v>1.1345019999999999</v>
      </c>
      <c r="R67" s="18">
        <v>1.6731640000000001</v>
      </c>
      <c r="S67" s="18">
        <v>2.727325</v>
      </c>
      <c r="T67" s="18">
        <v>3.8691244999999999</v>
      </c>
      <c r="U67" s="18">
        <f t="shared" si="4"/>
        <v>5.0914000000000001</v>
      </c>
      <c r="V67" s="18">
        <v>6.4401999999999999</v>
      </c>
      <c r="W67" s="18">
        <v>8.4176000000000002</v>
      </c>
      <c r="X67" s="18">
        <v>12.441800000000001</v>
      </c>
      <c r="Y67" s="18"/>
      <c r="Z67" s="18">
        <f t="shared" si="6"/>
        <v>1.3471</v>
      </c>
      <c r="AA67" s="18">
        <f t="shared" si="9"/>
        <v>2.0061</v>
      </c>
      <c r="AB67" s="18">
        <f t="shared" si="9"/>
        <v>2.7738</v>
      </c>
      <c r="AC67" s="18">
        <f t="shared" si="9"/>
        <v>4.1124999999999998</v>
      </c>
      <c r="AD67" s="18">
        <f t="shared" si="9"/>
        <v>5.5084999999999997</v>
      </c>
      <c r="AE67" s="18">
        <v>7.3231000000000002</v>
      </c>
      <c r="AF67" s="18">
        <v>9.7363999999999997</v>
      </c>
      <c r="AG67" s="18">
        <v>12.4123</v>
      </c>
      <c r="AH67" s="18">
        <v>15.5939</v>
      </c>
      <c r="AI67" s="18">
        <v>18.3569</v>
      </c>
      <c r="AJ67" s="18">
        <v>22.925599999999999</v>
      </c>
      <c r="AK67" s="18">
        <v>31.155799999999999</v>
      </c>
    </row>
    <row r="68" spans="1:37">
      <c r="A68" t="s">
        <v>24</v>
      </c>
      <c r="B68" s="18"/>
      <c r="C68" s="18"/>
      <c r="D68" s="18"/>
      <c r="E68" s="18"/>
      <c r="F68" s="18">
        <v>3.048305</v>
      </c>
      <c r="G68" s="18">
        <f t="shared" si="1"/>
        <v>1.9831000000000001</v>
      </c>
      <c r="H68" s="18">
        <v>2.1589</v>
      </c>
      <c r="I68" s="18">
        <v>2.6216884999999999</v>
      </c>
      <c r="J68" s="18">
        <f t="shared" si="7"/>
        <v>2.8415884999999999</v>
      </c>
      <c r="K68" s="18">
        <f t="shared" si="7"/>
        <v>3.1503364999999999</v>
      </c>
      <c r="L68" s="18"/>
      <c r="M68" s="18"/>
      <c r="N68" s="18">
        <f t="shared" si="8"/>
        <v>5.0226E-2</v>
      </c>
      <c r="O68" s="18">
        <f t="shared" si="8"/>
        <v>6.1126E-2</v>
      </c>
      <c r="P68" s="18">
        <f t="shared" si="8"/>
        <v>8.7906499999999999E-2</v>
      </c>
      <c r="Q68" s="18">
        <v>0.17537449999999999</v>
      </c>
      <c r="R68" s="18">
        <v>0.24020949999999999</v>
      </c>
      <c r="S68" s="18">
        <v>0.30068450000000002</v>
      </c>
      <c r="T68" s="18">
        <v>0.40961649999999999</v>
      </c>
      <c r="U68" s="18">
        <f t="shared" si="4"/>
        <v>0.47509999999999997</v>
      </c>
      <c r="V68" s="18">
        <v>0.6169</v>
      </c>
      <c r="W68" s="18">
        <v>0.7581</v>
      </c>
      <c r="X68" s="18">
        <v>1.1213</v>
      </c>
      <c r="Y68" s="18"/>
      <c r="Z68" s="18">
        <f t="shared" si="6"/>
        <v>0.1082</v>
      </c>
      <c r="AA68" s="18">
        <f t="shared" si="9"/>
        <v>0.16110000000000002</v>
      </c>
      <c r="AB68" s="18">
        <f t="shared" si="9"/>
        <v>0.22490000000000002</v>
      </c>
      <c r="AC68" s="18">
        <f t="shared" si="9"/>
        <v>0.3493</v>
      </c>
      <c r="AD68" s="18">
        <f t="shared" si="9"/>
        <v>0.48460000000000003</v>
      </c>
      <c r="AE68" s="18">
        <v>0.64239999999999997</v>
      </c>
      <c r="AF68" s="18">
        <v>0.89290000000000003</v>
      </c>
      <c r="AG68" s="18">
        <v>1.1483000000000001</v>
      </c>
      <c r="AH68" s="18">
        <v>1.4629000000000001</v>
      </c>
      <c r="AI68" s="18">
        <v>1.7408999999999999</v>
      </c>
      <c r="AJ68" s="18">
        <v>2.1516999999999999</v>
      </c>
      <c r="AK68" s="18">
        <v>2.8014000000000001</v>
      </c>
    </row>
    <row r="69" spans="1:37">
      <c r="A69" t="s">
        <v>29</v>
      </c>
      <c r="B69" s="18"/>
      <c r="C69" s="18"/>
      <c r="D69" s="18"/>
      <c r="E69" s="18"/>
      <c r="F69" s="18">
        <v>1.1825000000000001</v>
      </c>
      <c r="G69" s="18">
        <f t="shared" si="1"/>
        <v>1.2198</v>
      </c>
      <c r="H69" s="18">
        <v>1.3762000000000001</v>
      </c>
      <c r="I69" s="18">
        <v>1.4157999999999999</v>
      </c>
      <c r="J69" s="18">
        <f t="shared" si="7"/>
        <v>1.4542999999999999</v>
      </c>
      <c r="K69" s="18">
        <f t="shared" si="7"/>
        <v>1.5759999999999998</v>
      </c>
      <c r="L69" s="18"/>
      <c r="M69" s="18"/>
      <c r="N69" s="18">
        <f t="shared" si="8"/>
        <v>2.5399999999999999E-2</v>
      </c>
      <c r="O69" s="18">
        <f t="shared" si="8"/>
        <v>3.3270000000000001E-2</v>
      </c>
      <c r="P69" s="18">
        <f t="shared" si="8"/>
        <v>5.2670000000000002E-2</v>
      </c>
      <c r="Q69" s="18">
        <v>6.7046999999999995E-2</v>
      </c>
      <c r="R69" s="18">
        <v>0.137295</v>
      </c>
      <c r="S69" s="18">
        <v>0.70239499999999999</v>
      </c>
      <c r="T69" s="18">
        <v>1.180245</v>
      </c>
      <c r="U69" s="18">
        <f t="shared" si="4"/>
        <v>0.87919999999999998</v>
      </c>
      <c r="V69" s="18">
        <v>0.88390000000000002</v>
      </c>
      <c r="W69" s="18">
        <v>0.93559999999999999</v>
      </c>
      <c r="X69" s="18">
        <v>1.1013999999999999</v>
      </c>
      <c r="Y69" s="18"/>
      <c r="Z69" s="18">
        <f t="shared" si="6"/>
        <v>2.29E-2</v>
      </c>
      <c r="AA69" s="18">
        <f t="shared" si="9"/>
        <v>6.9699999999999998E-2</v>
      </c>
      <c r="AB69" s="18">
        <f t="shared" si="9"/>
        <v>7.8E-2</v>
      </c>
      <c r="AC69" s="18">
        <f t="shared" si="9"/>
        <v>0.1404</v>
      </c>
      <c r="AD69" s="18">
        <f t="shared" si="9"/>
        <v>0.15079999999999999</v>
      </c>
      <c r="AE69" s="18">
        <v>0.32900000000000001</v>
      </c>
      <c r="AF69" s="18">
        <v>0.43809999999999999</v>
      </c>
      <c r="AG69" s="18">
        <v>0.60819999999999996</v>
      </c>
      <c r="AH69" s="18">
        <v>0.87739999999999996</v>
      </c>
      <c r="AI69" s="18">
        <v>1.0212000000000001</v>
      </c>
      <c r="AJ69" s="18">
        <v>1.2516</v>
      </c>
      <c r="AK69" s="18">
        <v>1.7673000000000001</v>
      </c>
    </row>
    <row r="70" spans="1:37">
      <c r="A70" t="s">
        <v>28</v>
      </c>
      <c r="B70" s="18"/>
      <c r="C70" s="18"/>
      <c r="D70" s="18"/>
      <c r="E70" s="18"/>
      <c r="F70" s="18">
        <v>7.145E-2</v>
      </c>
      <c r="G70" s="18">
        <f t="shared" si="1"/>
        <v>8.7610000000000007E-2</v>
      </c>
      <c r="H70" s="18">
        <v>9.6032000000000006E-2</v>
      </c>
      <c r="I70" s="18">
        <v>9.7521999999999998E-2</v>
      </c>
      <c r="J70" s="18">
        <f t="shared" si="7"/>
        <v>0.101522</v>
      </c>
      <c r="K70" s="18">
        <f t="shared" si="7"/>
        <v>0.109762</v>
      </c>
      <c r="L70" s="18"/>
      <c r="M70" s="18"/>
      <c r="N70" s="18">
        <f t="shared" si="8"/>
        <v>9.7999999999999997E-3</v>
      </c>
      <c r="O70" s="18">
        <f t="shared" si="8"/>
        <v>9.7999999999999997E-3</v>
      </c>
      <c r="P70" s="18">
        <f t="shared" si="8"/>
        <v>1.26E-2</v>
      </c>
      <c r="Q70" s="18">
        <v>1.4175E-2</v>
      </c>
      <c r="R70" s="18">
        <v>2.0875000000000001E-2</v>
      </c>
      <c r="S70" s="18">
        <v>2.5537000000000001E-2</v>
      </c>
      <c r="T70" s="18">
        <v>3.8847E-2</v>
      </c>
      <c r="U70" s="18">
        <f t="shared" si="4"/>
        <v>4.2599999999999999E-2</v>
      </c>
      <c r="V70" s="18">
        <v>4.8399999999999999E-2</v>
      </c>
      <c r="W70" s="18">
        <v>8.7800000000000003E-2</v>
      </c>
      <c r="X70" s="18">
        <v>9.9500000000000005E-2</v>
      </c>
      <c r="Y70" s="18"/>
      <c r="Z70" s="18">
        <f t="shared" si="6"/>
        <v>2.1899999999999999E-2</v>
      </c>
      <c r="AA70" s="18">
        <f t="shared" si="9"/>
        <v>2.1899999999999999E-2</v>
      </c>
      <c r="AB70" s="18">
        <f t="shared" si="9"/>
        <v>2.8000000000000001E-2</v>
      </c>
      <c r="AC70" s="18">
        <f t="shared" si="9"/>
        <v>4.7899999999999998E-2</v>
      </c>
      <c r="AD70" s="18">
        <f t="shared" si="9"/>
        <v>7.0599999999999996E-2</v>
      </c>
      <c r="AE70" s="18">
        <v>9.1899999999999996E-2</v>
      </c>
      <c r="AF70" s="18">
        <v>0.11020000000000001</v>
      </c>
      <c r="AG70" s="18">
        <v>0.14299999999999999</v>
      </c>
      <c r="AH70" s="18">
        <v>0.1547</v>
      </c>
      <c r="AI70" s="18">
        <v>0.18329999999999999</v>
      </c>
      <c r="AJ70" s="18">
        <v>0.2198</v>
      </c>
      <c r="AK70" s="18">
        <v>0.30399999999999999</v>
      </c>
    </row>
    <row r="71" spans="1:37">
      <c r="A71" t="s">
        <v>25</v>
      </c>
      <c r="B71" s="18"/>
      <c r="C71" s="18"/>
      <c r="D71" s="18"/>
      <c r="E71" s="18"/>
      <c r="F71" s="18">
        <v>0.26171299999999997</v>
      </c>
      <c r="G71" s="18">
        <f t="shared" si="1"/>
        <v>0.27442499999999997</v>
      </c>
      <c r="H71" s="18">
        <v>0.66174699999999997</v>
      </c>
      <c r="I71" s="18">
        <v>0.69708150000000002</v>
      </c>
      <c r="J71" s="18">
        <f t="shared" si="7"/>
        <v>0.82301849999999999</v>
      </c>
      <c r="K71" s="18">
        <f t="shared" si="7"/>
        <v>1.1039939999999999</v>
      </c>
      <c r="L71" s="18"/>
      <c r="M71" s="18"/>
      <c r="N71" s="18">
        <f t="shared" si="8"/>
        <v>1.6884E-2</v>
      </c>
      <c r="O71" s="18">
        <f t="shared" si="8"/>
        <v>3.9884000000000003E-2</v>
      </c>
      <c r="P71" s="18">
        <f t="shared" si="8"/>
        <v>5.4186999999999999E-2</v>
      </c>
      <c r="Q71" s="18">
        <v>6.0206999999999997E-2</v>
      </c>
      <c r="R71" s="18">
        <v>7.9745999999999997E-2</v>
      </c>
      <c r="S71" s="18">
        <v>0.109516</v>
      </c>
      <c r="T71" s="18">
        <v>0.148309</v>
      </c>
      <c r="U71" s="18">
        <f t="shared" si="4"/>
        <v>0.23410000000000003</v>
      </c>
      <c r="V71" s="18">
        <v>0.27500000000000002</v>
      </c>
      <c r="W71" s="18">
        <v>0.39240000000000003</v>
      </c>
      <c r="X71" s="18">
        <v>0.87509999999999999</v>
      </c>
      <c r="Y71" s="18"/>
      <c r="Z71" s="18">
        <f t="shared" si="6"/>
        <v>2.7199999999999998E-2</v>
      </c>
      <c r="AA71" s="18">
        <f t="shared" si="9"/>
        <v>0.1135</v>
      </c>
      <c r="AB71" s="18">
        <f t="shared" si="9"/>
        <v>0.12959999999999999</v>
      </c>
      <c r="AC71" s="18">
        <f t="shared" si="9"/>
        <v>0.17199999999999999</v>
      </c>
      <c r="AD71" s="18">
        <f t="shared" si="9"/>
        <v>0.23879999999999998</v>
      </c>
      <c r="AE71" s="18">
        <v>0.2752</v>
      </c>
      <c r="AF71" s="18">
        <v>0.30980000000000002</v>
      </c>
      <c r="AG71" s="18">
        <v>0.39079999999999998</v>
      </c>
      <c r="AH71" s="18">
        <v>0.53680000000000005</v>
      </c>
      <c r="AI71" s="18">
        <v>0.69030000000000002</v>
      </c>
      <c r="AJ71" s="18">
        <v>0.80910000000000004</v>
      </c>
      <c r="AK71" s="18">
        <v>1.5194000000000001</v>
      </c>
    </row>
    <row r="73" spans="1:37" ht="20.25">
      <c r="A73" s="19" t="s">
        <v>117</v>
      </c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8D5D-177B-4C59-9D46-A26072A6A2B8}">
  <dimension ref="A1:AT33"/>
  <sheetViews>
    <sheetView topLeftCell="Z1" workbookViewId="0">
      <selection activeCell="P30" sqref="P30"/>
    </sheetView>
  </sheetViews>
  <sheetFormatPr defaultRowHeight="14.25"/>
  <cols>
    <col min="4" max="4" width="10.125" bestFit="1" customWidth="1"/>
    <col min="5" max="46" width="11" customWidth="1"/>
  </cols>
  <sheetData>
    <row r="1" spans="1:46">
      <c r="A1" t="s">
        <v>142</v>
      </c>
      <c r="B1">
        <f>911/51.3</f>
        <v>17.758284600389864</v>
      </c>
      <c r="C1" t="s">
        <v>143</v>
      </c>
      <c r="D1">
        <v>2.78</v>
      </c>
      <c r="E1" t="s">
        <v>144</v>
      </c>
      <c r="F1">
        <v>2.74</v>
      </c>
      <c r="G1" t="s">
        <v>166</v>
      </c>
      <c r="H1" s="32">
        <v>0.2</v>
      </c>
      <c r="I1" t="s">
        <v>167</v>
      </c>
      <c r="J1" s="32">
        <v>0.05</v>
      </c>
    </row>
    <row r="3" spans="1:46">
      <c r="A3" t="s">
        <v>140</v>
      </c>
      <c r="B3">
        <v>2016</v>
      </c>
      <c r="C3">
        <v>2017</v>
      </c>
      <c r="D3">
        <v>2018</v>
      </c>
      <c r="E3">
        <v>2019</v>
      </c>
      <c r="F3">
        <v>2020</v>
      </c>
      <c r="G3">
        <v>2021</v>
      </c>
      <c r="H3">
        <v>2022</v>
      </c>
      <c r="I3">
        <v>2023</v>
      </c>
      <c r="J3">
        <v>2024</v>
      </c>
      <c r="K3">
        <v>2025</v>
      </c>
      <c r="L3">
        <v>2026</v>
      </c>
      <c r="M3">
        <v>2027</v>
      </c>
      <c r="N3">
        <v>2028</v>
      </c>
      <c r="O3">
        <v>2029</v>
      </c>
      <c r="P3">
        <v>2030</v>
      </c>
      <c r="Q3">
        <v>2031</v>
      </c>
      <c r="R3">
        <v>2032</v>
      </c>
      <c r="S3">
        <v>2033</v>
      </c>
      <c r="T3">
        <v>2034</v>
      </c>
      <c r="U3">
        <v>2035</v>
      </c>
      <c r="V3">
        <v>2036</v>
      </c>
      <c r="W3">
        <v>2037</v>
      </c>
      <c r="X3">
        <v>2038</v>
      </c>
      <c r="Y3">
        <v>2039</v>
      </c>
      <c r="Z3">
        <v>2040</v>
      </c>
      <c r="AA3">
        <v>2041</v>
      </c>
      <c r="AB3">
        <v>2042</v>
      </c>
      <c r="AC3">
        <v>2043</v>
      </c>
      <c r="AD3">
        <v>2044</v>
      </c>
      <c r="AE3">
        <v>2045</v>
      </c>
      <c r="AF3">
        <v>2046</v>
      </c>
      <c r="AG3">
        <v>2047</v>
      </c>
      <c r="AH3">
        <v>2048</v>
      </c>
      <c r="AI3">
        <v>2049</v>
      </c>
      <c r="AJ3">
        <v>2050</v>
      </c>
      <c r="AK3">
        <v>2051</v>
      </c>
      <c r="AL3">
        <v>2052</v>
      </c>
      <c r="AM3">
        <v>2053</v>
      </c>
      <c r="AN3">
        <v>2054</v>
      </c>
      <c r="AO3">
        <v>2055</v>
      </c>
      <c r="AP3">
        <v>2056</v>
      </c>
      <c r="AQ3">
        <v>2057</v>
      </c>
      <c r="AR3">
        <v>2058</v>
      </c>
      <c r="AS3">
        <v>2059</v>
      </c>
      <c r="AT3">
        <v>2060</v>
      </c>
    </row>
    <row r="4" spans="1:46" s="29" customFormat="1" ht="15.75">
      <c r="A4" s="28" t="s">
        <v>146</v>
      </c>
      <c r="B4" s="27"/>
      <c r="C4" s="27"/>
      <c r="E4" s="26">
        <v>9124789</v>
      </c>
      <c r="F4" s="26">
        <v>9201490</v>
      </c>
      <c r="G4" s="26">
        <v>9266483</v>
      </c>
      <c r="H4" s="26">
        <v>9320566</v>
      </c>
      <c r="I4" s="26">
        <v>9364509</v>
      </c>
      <c r="J4" s="26">
        <v>9399053</v>
      </c>
      <c r="K4" s="26">
        <v>9424908</v>
      </c>
      <c r="L4" s="26">
        <v>9442756</v>
      </c>
      <c r="M4" s="26">
        <v>9453249</v>
      </c>
      <c r="N4" s="26">
        <v>9457010</v>
      </c>
      <c r="O4" s="26">
        <v>9454632</v>
      </c>
      <c r="P4" s="26">
        <v>9446679</v>
      </c>
      <c r="Q4" s="26">
        <v>9433686</v>
      </c>
      <c r="R4" s="26">
        <v>9416158</v>
      </c>
      <c r="S4" s="26">
        <v>9394571</v>
      </c>
      <c r="T4" s="26">
        <v>9369372</v>
      </c>
      <c r="U4" s="26">
        <v>9340977</v>
      </c>
      <c r="V4" s="26">
        <v>9309775</v>
      </c>
      <c r="W4" s="26">
        <v>9276123</v>
      </c>
      <c r="X4" s="26">
        <v>9240351</v>
      </c>
      <c r="Y4" s="26">
        <v>9202758</v>
      </c>
      <c r="Z4" s="26">
        <v>9163614</v>
      </c>
      <c r="AA4" s="26">
        <v>9123161</v>
      </c>
      <c r="AB4" s="26">
        <v>9081609</v>
      </c>
      <c r="AC4" s="26">
        <v>9039142</v>
      </c>
      <c r="AD4" s="26">
        <v>8995911</v>
      </c>
      <c r="AE4" s="26">
        <v>8952040</v>
      </c>
      <c r="AF4" s="26">
        <v>8907623</v>
      </c>
      <c r="AG4" s="26">
        <v>8862724</v>
      </c>
      <c r="AH4" s="26">
        <v>8817379</v>
      </c>
      <c r="AI4" s="26">
        <v>8771593</v>
      </c>
      <c r="AJ4" s="26">
        <v>8725344</v>
      </c>
      <c r="AK4" s="26">
        <v>8678577</v>
      </c>
      <c r="AL4" s="26">
        <v>8631211</v>
      </c>
      <c r="AM4" s="26">
        <v>8583134</v>
      </c>
      <c r="AN4" s="26">
        <v>8534204</v>
      </c>
      <c r="AO4" s="26">
        <v>8484252</v>
      </c>
      <c r="AP4" s="26">
        <v>8433078</v>
      </c>
      <c r="AQ4" s="26">
        <v>8380452</v>
      </c>
      <c r="AR4" s="26">
        <v>8326116</v>
      </c>
      <c r="AS4" s="26">
        <v>8269781</v>
      </c>
      <c r="AT4" s="26">
        <v>8211131</v>
      </c>
    </row>
    <row r="5" spans="1:46" s="29" customFormat="1" ht="15.75">
      <c r="A5" s="28" t="s">
        <v>147</v>
      </c>
      <c r="B5" s="27"/>
      <c r="C5" s="27"/>
      <c r="E5" s="26">
        <v>10004648</v>
      </c>
      <c r="F5" s="26">
        <v>10070342</v>
      </c>
      <c r="G5" s="26">
        <v>10125262</v>
      </c>
      <c r="H5" s="26">
        <v>10170056</v>
      </c>
      <c r="I5" s="26">
        <v>10205351</v>
      </c>
      <c r="J5" s="26">
        <v>10231753</v>
      </c>
      <c r="K5" s="26">
        <v>10249849</v>
      </c>
      <c r="L5" s="26">
        <v>10260204</v>
      </c>
      <c r="M5" s="26">
        <v>10263363</v>
      </c>
      <c r="N5" s="26">
        <v>10259848</v>
      </c>
      <c r="O5" s="26">
        <v>10250163</v>
      </c>
      <c r="P5" s="26">
        <v>10234790</v>
      </c>
      <c r="Q5" s="26">
        <v>10214192</v>
      </c>
      <c r="R5" s="26">
        <v>10188808</v>
      </c>
      <c r="S5" s="26">
        <v>10159060</v>
      </c>
      <c r="T5" s="26">
        <v>10125346</v>
      </c>
      <c r="U5" s="26">
        <v>10088046</v>
      </c>
      <c r="V5" s="26">
        <v>10047517</v>
      </c>
      <c r="W5" s="26">
        <v>10004098</v>
      </c>
      <c r="X5" s="26">
        <v>9958105</v>
      </c>
      <c r="Y5" s="26">
        <v>9909833</v>
      </c>
      <c r="Z5" s="26">
        <v>9859559</v>
      </c>
      <c r="AA5" s="26">
        <v>9807537</v>
      </c>
      <c r="AB5" s="26">
        <v>9754000</v>
      </c>
      <c r="AC5" s="26">
        <v>9699163</v>
      </c>
      <c r="AD5" s="26">
        <v>9643217</v>
      </c>
      <c r="AE5" s="26">
        <v>9586335</v>
      </c>
      <c r="AF5" s="26">
        <v>9528667</v>
      </c>
      <c r="AG5" s="26">
        <v>9470344</v>
      </c>
      <c r="AH5" s="26">
        <v>9411477</v>
      </c>
      <c r="AI5" s="26">
        <v>9352153</v>
      </c>
      <c r="AJ5" s="26">
        <v>9292441</v>
      </c>
      <c r="AK5" s="26">
        <v>9232388</v>
      </c>
      <c r="AL5" s="26">
        <v>9172023</v>
      </c>
      <c r="AM5" s="26">
        <v>9111351</v>
      </c>
      <c r="AN5" s="26">
        <v>9050357</v>
      </c>
      <c r="AO5" s="26">
        <v>8989006</v>
      </c>
      <c r="AP5" s="26">
        <v>8927242</v>
      </c>
      <c r="AQ5" s="26">
        <v>8864990</v>
      </c>
      <c r="AR5" s="26">
        <v>8802151</v>
      </c>
      <c r="AS5" s="26">
        <v>8738608</v>
      </c>
      <c r="AT5" s="26">
        <v>8674222</v>
      </c>
    </row>
    <row r="6" spans="1:46" s="29" customFormat="1" ht="15.75">
      <c r="A6" s="28" t="s">
        <v>148</v>
      </c>
      <c r="B6" s="27"/>
      <c r="C6" s="27"/>
      <c r="E6" s="26">
        <v>4681060</v>
      </c>
      <c r="F6" s="26">
        <v>4703603</v>
      </c>
      <c r="G6" s="26">
        <v>4722676</v>
      </c>
      <c r="H6" s="26">
        <v>4738360</v>
      </c>
      <c r="I6" s="26">
        <v>4750739</v>
      </c>
      <c r="J6" s="26">
        <v>4759897</v>
      </c>
      <c r="K6" s="26">
        <v>4765924</v>
      </c>
      <c r="L6" s="26">
        <v>4768912</v>
      </c>
      <c r="M6" s="26">
        <v>4768955</v>
      </c>
      <c r="N6" s="26">
        <v>4766151</v>
      </c>
      <c r="O6" s="26">
        <v>4760600</v>
      </c>
      <c r="P6" s="26">
        <v>4752406</v>
      </c>
      <c r="Q6" s="26">
        <v>4741674</v>
      </c>
      <c r="R6" s="26">
        <v>4728514</v>
      </c>
      <c r="S6" s="26">
        <v>4713037</v>
      </c>
      <c r="T6" s="26">
        <v>4695359</v>
      </c>
      <c r="U6" s="26">
        <v>4675596</v>
      </c>
      <c r="V6" s="26">
        <v>4653869</v>
      </c>
      <c r="W6" s="26">
        <v>4630301</v>
      </c>
      <c r="X6" s="26">
        <v>4605020</v>
      </c>
      <c r="Y6" s="26">
        <v>4578153</v>
      </c>
      <c r="Z6" s="26">
        <v>4549833</v>
      </c>
      <c r="AA6" s="26">
        <v>4520194</v>
      </c>
      <c r="AB6" s="26">
        <v>4489375</v>
      </c>
      <c r="AC6" s="26">
        <v>4457515</v>
      </c>
      <c r="AD6" s="26">
        <v>4424759</v>
      </c>
      <c r="AE6" s="26">
        <v>4391252</v>
      </c>
      <c r="AF6" s="26">
        <v>4357143</v>
      </c>
      <c r="AG6" s="26">
        <v>4322585</v>
      </c>
      <c r="AH6" s="26">
        <v>4287733</v>
      </c>
      <c r="AI6" s="26">
        <v>4252744</v>
      </c>
      <c r="AJ6" s="26">
        <v>4217779</v>
      </c>
      <c r="AK6" s="26">
        <v>4183001</v>
      </c>
      <c r="AL6" s="26">
        <v>4148578</v>
      </c>
      <c r="AM6" s="26">
        <v>4114677</v>
      </c>
      <c r="AN6" s="26">
        <v>4081471</v>
      </c>
      <c r="AO6" s="26">
        <v>4049136</v>
      </c>
      <c r="AP6" s="26">
        <v>4017848</v>
      </c>
      <c r="AQ6" s="26">
        <v>3987790</v>
      </c>
      <c r="AR6" s="26">
        <v>3959143</v>
      </c>
      <c r="AS6" s="26">
        <v>3932096</v>
      </c>
      <c r="AT6" s="26">
        <v>3906836</v>
      </c>
    </row>
    <row r="7" spans="1:46" s="29" customFormat="1" ht="15.75">
      <c r="A7" s="28" t="s">
        <v>149</v>
      </c>
      <c r="B7" s="27"/>
      <c r="C7" s="27"/>
      <c r="E7" s="26">
        <v>3828414</v>
      </c>
      <c r="F7" s="26">
        <v>3855201</v>
      </c>
      <c r="G7" s="26">
        <v>3879651</v>
      </c>
      <c r="H7" s="26">
        <v>3901786</v>
      </c>
      <c r="I7" s="26">
        <v>3921634</v>
      </c>
      <c r="J7" s="26">
        <v>3939224</v>
      </c>
      <c r="K7" s="26">
        <v>3954589</v>
      </c>
      <c r="L7" s="26">
        <v>3967767</v>
      </c>
      <c r="M7" s="26">
        <v>3978797</v>
      </c>
      <c r="N7" s="26">
        <v>3987722</v>
      </c>
      <c r="O7" s="26">
        <v>3994588</v>
      </c>
      <c r="P7" s="26">
        <v>3999445</v>
      </c>
      <c r="Q7" s="26">
        <v>4002346</v>
      </c>
      <c r="R7" s="26">
        <v>4003348</v>
      </c>
      <c r="S7" s="26">
        <v>4002509</v>
      </c>
      <c r="T7" s="26">
        <v>3999893</v>
      </c>
      <c r="U7" s="26">
        <v>3995565</v>
      </c>
      <c r="V7" s="26">
        <v>3989596</v>
      </c>
      <c r="W7" s="26">
        <v>3982057</v>
      </c>
      <c r="X7" s="26">
        <v>3973024</v>
      </c>
      <c r="Y7" s="26">
        <v>3962578</v>
      </c>
      <c r="Z7" s="26">
        <v>3950800</v>
      </c>
      <c r="AA7" s="26">
        <v>3937776</v>
      </c>
      <c r="AB7" s="26">
        <v>3923595</v>
      </c>
      <c r="AC7" s="26">
        <v>3908350</v>
      </c>
      <c r="AD7" s="26">
        <v>3892136</v>
      </c>
      <c r="AE7" s="26">
        <v>3875053</v>
      </c>
      <c r="AF7" s="26">
        <v>3857202</v>
      </c>
      <c r="AG7" s="26">
        <v>3838689</v>
      </c>
      <c r="AH7" s="26">
        <v>3819623</v>
      </c>
      <c r="AI7" s="26">
        <v>3800116</v>
      </c>
      <c r="AJ7" s="26">
        <v>3780283</v>
      </c>
      <c r="AK7" s="26">
        <v>3760243</v>
      </c>
      <c r="AL7" s="26">
        <v>3740118</v>
      </c>
      <c r="AM7" s="26">
        <v>3720033</v>
      </c>
      <c r="AN7" s="26">
        <v>3700117</v>
      </c>
      <c r="AO7" s="26">
        <v>3680501</v>
      </c>
      <c r="AP7" s="26">
        <v>3661320</v>
      </c>
      <c r="AQ7" s="26">
        <v>3642714</v>
      </c>
      <c r="AR7" s="26">
        <v>3624823</v>
      </c>
      <c r="AS7" s="26">
        <v>3607793</v>
      </c>
      <c r="AT7" s="26">
        <v>3591771</v>
      </c>
    </row>
    <row r="8" spans="1:46" s="29" customFormat="1" ht="15.75">
      <c r="A8" s="28" t="s">
        <v>150</v>
      </c>
      <c r="B8" s="27"/>
      <c r="C8" s="27"/>
      <c r="E8" s="26">
        <v>2181073</v>
      </c>
      <c r="F8" s="26">
        <v>2193342</v>
      </c>
      <c r="G8" s="26">
        <v>2203929</v>
      </c>
      <c r="H8" s="26">
        <v>2212897</v>
      </c>
      <c r="I8" s="26">
        <v>2220309</v>
      </c>
      <c r="J8" s="26">
        <v>2226225</v>
      </c>
      <c r="K8" s="26">
        <v>2230707</v>
      </c>
      <c r="L8" s="26">
        <v>2233814</v>
      </c>
      <c r="M8" s="26">
        <v>2235605</v>
      </c>
      <c r="N8" s="26">
        <v>2236138</v>
      </c>
      <c r="O8" s="26">
        <v>2235472</v>
      </c>
      <c r="P8" s="26">
        <v>2233662</v>
      </c>
      <c r="Q8" s="26">
        <v>2230764</v>
      </c>
      <c r="R8" s="26">
        <v>2226835</v>
      </c>
      <c r="S8" s="26">
        <v>2221927</v>
      </c>
      <c r="T8" s="26">
        <v>2216095</v>
      </c>
      <c r="U8" s="26">
        <v>2209392</v>
      </c>
      <c r="V8" s="26">
        <v>2201870</v>
      </c>
      <c r="W8" s="26">
        <v>2193579</v>
      </c>
      <c r="X8" s="26">
        <v>2184571</v>
      </c>
      <c r="Y8" s="26">
        <v>2174895</v>
      </c>
      <c r="Z8" s="26">
        <v>2164600</v>
      </c>
      <c r="AA8" s="26">
        <v>2153734</v>
      </c>
      <c r="AB8" s="26">
        <v>2142346</v>
      </c>
      <c r="AC8" s="26">
        <v>2130480</v>
      </c>
      <c r="AD8" s="26">
        <v>2118184</v>
      </c>
      <c r="AE8" s="26">
        <v>2105503</v>
      </c>
      <c r="AF8" s="26">
        <v>2092480</v>
      </c>
      <c r="AG8" s="26">
        <v>2079160</v>
      </c>
      <c r="AH8" s="26">
        <v>2065584</v>
      </c>
      <c r="AI8" s="26">
        <v>2051796</v>
      </c>
      <c r="AJ8" s="26">
        <v>2037836</v>
      </c>
      <c r="AK8" s="26">
        <v>2023745</v>
      </c>
      <c r="AL8" s="26">
        <v>2009563</v>
      </c>
      <c r="AM8" s="26">
        <v>1995328</v>
      </c>
      <c r="AN8" s="26">
        <v>1981078</v>
      </c>
      <c r="AO8" s="26">
        <v>1966852</v>
      </c>
      <c r="AP8" s="26">
        <v>1952685</v>
      </c>
      <c r="AQ8" s="26">
        <v>1938613</v>
      </c>
      <c r="AR8" s="26">
        <v>1924672</v>
      </c>
      <c r="AS8" s="26">
        <v>1910895</v>
      </c>
      <c r="AT8" s="26">
        <v>1897317</v>
      </c>
    </row>
    <row r="9" spans="1:46" s="29" customFormat="1" ht="15.75">
      <c r="A9" s="28" t="s">
        <v>151</v>
      </c>
      <c r="B9" s="27"/>
      <c r="C9" s="27"/>
      <c r="E9" s="26">
        <v>7061298</v>
      </c>
      <c r="F9" s="26">
        <v>7101116</v>
      </c>
      <c r="G9" s="26">
        <v>7131386</v>
      </c>
      <c r="H9" s="26">
        <v>7152720</v>
      </c>
      <c r="I9" s="26">
        <v>7165713</v>
      </c>
      <c r="J9" s="26">
        <v>7170939</v>
      </c>
      <c r="K9" s="26">
        <v>7168958</v>
      </c>
      <c r="L9" s="26">
        <v>7160307</v>
      </c>
      <c r="M9" s="26">
        <v>7145508</v>
      </c>
      <c r="N9" s="26">
        <v>7125064</v>
      </c>
      <c r="O9" s="26">
        <v>7099459</v>
      </c>
      <c r="P9" s="26">
        <v>7069158</v>
      </c>
      <c r="Q9" s="26">
        <v>7034610</v>
      </c>
      <c r="R9" s="26">
        <v>6996243</v>
      </c>
      <c r="S9" s="26">
        <v>6954468</v>
      </c>
      <c r="T9" s="26">
        <v>6909677</v>
      </c>
      <c r="U9" s="26">
        <v>6862246</v>
      </c>
      <c r="V9" s="26">
        <v>6812529</v>
      </c>
      <c r="W9" s="26">
        <v>6760864</v>
      </c>
      <c r="X9" s="26">
        <v>6707570</v>
      </c>
      <c r="Y9" s="26">
        <v>6652948</v>
      </c>
      <c r="Z9" s="26">
        <v>6597281</v>
      </c>
      <c r="AA9" s="26">
        <v>6540832</v>
      </c>
      <c r="AB9" s="26">
        <v>6483847</v>
      </c>
      <c r="AC9" s="26">
        <v>6426553</v>
      </c>
      <c r="AD9" s="26">
        <v>6369161</v>
      </c>
      <c r="AE9" s="26">
        <v>6311859</v>
      </c>
      <c r="AF9" s="26">
        <v>6254821</v>
      </c>
      <c r="AG9" s="26">
        <v>6198200</v>
      </c>
      <c r="AH9" s="26">
        <v>6142133</v>
      </c>
      <c r="AI9" s="26">
        <v>6086736</v>
      </c>
      <c r="AJ9" s="26">
        <v>6032108</v>
      </c>
      <c r="AK9" s="26">
        <v>5978331</v>
      </c>
      <c r="AL9" s="26">
        <v>5925466</v>
      </c>
      <c r="AM9" s="26">
        <v>5873557</v>
      </c>
      <c r="AN9" s="26">
        <v>5822630</v>
      </c>
      <c r="AO9" s="26">
        <v>5772692</v>
      </c>
      <c r="AP9" s="26">
        <v>5723732</v>
      </c>
      <c r="AQ9" s="26">
        <v>5675720</v>
      </c>
      <c r="AR9" s="26">
        <v>5628609</v>
      </c>
      <c r="AS9" s="26">
        <v>5582333</v>
      </c>
      <c r="AT9" s="26">
        <v>5536807</v>
      </c>
    </row>
    <row r="10" spans="1:46" s="29" customFormat="1" ht="15.75">
      <c r="A10" s="28" t="s">
        <v>152</v>
      </c>
      <c r="B10" s="27"/>
      <c r="C10" s="27"/>
      <c r="E10" s="26">
        <v>9338971</v>
      </c>
      <c r="F10" s="26">
        <v>9385514</v>
      </c>
      <c r="G10" s="26">
        <v>9425574</v>
      </c>
      <c r="H10" s="26">
        <v>9459303</v>
      </c>
      <c r="I10" s="26">
        <v>9486859</v>
      </c>
      <c r="J10" s="26">
        <v>9508405</v>
      </c>
      <c r="K10" s="26">
        <v>9524107</v>
      </c>
      <c r="L10" s="26">
        <v>9534139</v>
      </c>
      <c r="M10" s="26">
        <v>9538675</v>
      </c>
      <c r="N10" s="26">
        <v>9537899</v>
      </c>
      <c r="O10" s="26">
        <v>9531996</v>
      </c>
      <c r="P10" s="26">
        <v>9521158</v>
      </c>
      <c r="Q10" s="26">
        <v>9505580</v>
      </c>
      <c r="R10" s="26">
        <v>9485464</v>
      </c>
      <c r="S10" s="26">
        <v>9461014</v>
      </c>
      <c r="T10" s="26">
        <v>9432441</v>
      </c>
      <c r="U10" s="26">
        <v>9399961</v>
      </c>
      <c r="V10" s="26">
        <v>9363792</v>
      </c>
      <c r="W10" s="26">
        <v>9324161</v>
      </c>
      <c r="X10" s="26">
        <v>9281295</v>
      </c>
      <c r="Y10" s="26">
        <v>9235430</v>
      </c>
      <c r="Z10" s="26">
        <v>9186805</v>
      </c>
      <c r="AA10" s="26">
        <v>9135663</v>
      </c>
      <c r="AB10" s="26">
        <v>9082252</v>
      </c>
      <c r="AC10" s="26">
        <v>9026828</v>
      </c>
      <c r="AD10" s="26">
        <v>8969646</v>
      </c>
      <c r="AE10" s="26">
        <v>8910972</v>
      </c>
      <c r="AF10" s="26">
        <v>8851072</v>
      </c>
      <c r="AG10" s="26">
        <v>8790219</v>
      </c>
      <c r="AH10" s="26">
        <v>8728690</v>
      </c>
      <c r="AI10" s="26">
        <v>8666767</v>
      </c>
      <c r="AJ10" s="26">
        <v>8604738</v>
      </c>
      <c r="AK10" s="26">
        <v>8542894</v>
      </c>
      <c r="AL10" s="26">
        <v>8481532</v>
      </c>
      <c r="AM10" s="26">
        <v>8420953</v>
      </c>
      <c r="AN10" s="26">
        <v>8361463</v>
      </c>
      <c r="AO10" s="26">
        <v>8303373</v>
      </c>
      <c r="AP10" s="26">
        <v>8246999</v>
      </c>
      <c r="AQ10" s="26">
        <v>8192661</v>
      </c>
      <c r="AR10" s="26">
        <v>8140684</v>
      </c>
      <c r="AS10" s="26">
        <v>8091399</v>
      </c>
      <c r="AT10" s="26">
        <v>8045140</v>
      </c>
    </row>
    <row r="11" spans="1:46" s="29" customFormat="1" ht="15.75">
      <c r="A11" s="28" t="s">
        <v>153</v>
      </c>
      <c r="B11" s="27"/>
      <c r="C11" s="27"/>
      <c r="E11" s="26">
        <v>8319940</v>
      </c>
      <c r="F11" s="26">
        <v>8356958</v>
      </c>
      <c r="G11" s="26">
        <v>8391066</v>
      </c>
      <c r="H11" s="26">
        <v>8422171</v>
      </c>
      <c r="I11" s="26">
        <v>8450190</v>
      </c>
      <c r="J11" s="26">
        <v>8475052</v>
      </c>
      <c r="K11" s="26">
        <v>8496696</v>
      </c>
      <c r="L11" s="26">
        <v>8515074</v>
      </c>
      <c r="M11" s="26">
        <v>8530148</v>
      </c>
      <c r="N11" s="26">
        <v>8541892</v>
      </c>
      <c r="O11" s="26">
        <v>8550288</v>
      </c>
      <c r="P11" s="26">
        <v>8555335</v>
      </c>
      <c r="Q11" s="26">
        <v>8557037</v>
      </c>
      <c r="R11" s="26">
        <v>8555413</v>
      </c>
      <c r="S11" s="26">
        <v>8550493</v>
      </c>
      <c r="T11" s="26">
        <v>8542315</v>
      </c>
      <c r="U11" s="26">
        <v>8530932</v>
      </c>
      <c r="V11" s="26">
        <v>8516406</v>
      </c>
      <c r="W11" s="26">
        <v>8498811</v>
      </c>
      <c r="X11" s="26">
        <v>8478231</v>
      </c>
      <c r="Y11" s="26">
        <v>8454762</v>
      </c>
      <c r="Z11" s="26">
        <v>8428512</v>
      </c>
      <c r="AA11" s="26">
        <v>8399598</v>
      </c>
      <c r="AB11" s="26">
        <v>8368150</v>
      </c>
      <c r="AC11" s="26">
        <v>8334309</v>
      </c>
      <c r="AD11" s="26">
        <v>8298226</v>
      </c>
      <c r="AE11" s="26">
        <v>8260064</v>
      </c>
      <c r="AF11" s="26">
        <v>8219996</v>
      </c>
      <c r="AG11" s="26">
        <v>8178209</v>
      </c>
      <c r="AH11" s="26">
        <v>8134897</v>
      </c>
      <c r="AI11" s="26">
        <v>8090269</v>
      </c>
      <c r="AJ11" s="26">
        <v>8044543</v>
      </c>
      <c r="AK11" s="26">
        <v>7997949</v>
      </c>
      <c r="AL11" s="26">
        <v>7950727</v>
      </c>
      <c r="AM11" s="26">
        <v>7903130</v>
      </c>
      <c r="AN11" s="26">
        <v>7855420</v>
      </c>
      <c r="AO11" s="26">
        <v>7807872</v>
      </c>
      <c r="AP11" s="26">
        <v>7760772</v>
      </c>
      <c r="AQ11" s="26">
        <v>7714415</v>
      </c>
      <c r="AR11" s="26">
        <v>7669109</v>
      </c>
      <c r="AS11" s="26">
        <v>7625174</v>
      </c>
      <c r="AT11" s="26">
        <v>7582939</v>
      </c>
    </row>
    <row r="12" spans="1:46" s="29" customFormat="1" ht="15.75">
      <c r="A12" s="28" t="s">
        <v>154</v>
      </c>
      <c r="B12" s="27"/>
      <c r="C12" s="27"/>
      <c r="E12" s="26">
        <v>5450865</v>
      </c>
      <c r="F12" s="26">
        <v>5471633</v>
      </c>
      <c r="G12" s="26">
        <v>5488885</v>
      </c>
      <c r="H12" s="26">
        <v>5502735</v>
      </c>
      <c r="I12" s="26">
        <v>5513301</v>
      </c>
      <c r="J12" s="26">
        <v>5520697</v>
      </c>
      <c r="K12" s="26">
        <v>5525037</v>
      </c>
      <c r="L12" s="26">
        <v>5526435</v>
      </c>
      <c r="M12" s="26">
        <v>5525005</v>
      </c>
      <c r="N12" s="26">
        <v>5520859</v>
      </c>
      <c r="O12" s="26">
        <v>5514108</v>
      </c>
      <c r="P12" s="26">
        <v>5504865</v>
      </c>
      <c r="Q12" s="26">
        <v>5493240</v>
      </c>
      <c r="R12" s="26">
        <v>5479343</v>
      </c>
      <c r="S12" s="26">
        <v>5463284</v>
      </c>
      <c r="T12" s="26">
        <v>5445172</v>
      </c>
      <c r="U12" s="26">
        <v>5425115</v>
      </c>
      <c r="V12" s="26">
        <v>5403221</v>
      </c>
      <c r="W12" s="26">
        <v>5379598</v>
      </c>
      <c r="X12" s="26">
        <v>5354351</v>
      </c>
      <c r="Y12" s="26">
        <v>5327587</v>
      </c>
      <c r="Z12" s="26">
        <v>5299412</v>
      </c>
      <c r="AA12" s="26">
        <v>5269929</v>
      </c>
      <c r="AB12" s="26">
        <v>5239244</v>
      </c>
      <c r="AC12" s="26">
        <v>5207459</v>
      </c>
      <c r="AD12" s="26">
        <v>5174678</v>
      </c>
      <c r="AE12" s="26">
        <v>5141003</v>
      </c>
      <c r="AF12" s="26">
        <v>5106537</v>
      </c>
      <c r="AG12" s="26">
        <v>5071379</v>
      </c>
      <c r="AH12" s="26">
        <v>5035631</v>
      </c>
      <c r="AI12" s="26">
        <v>4999393</v>
      </c>
      <c r="AJ12" s="26">
        <v>4962765</v>
      </c>
      <c r="AK12" s="26">
        <v>4925844</v>
      </c>
      <c r="AL12" s="26">
        <v>4888729</v>
      </c>
      <c r="AM12" s="26">
        <v>4851518</v>
      </c>
      <c r="AN12" s="26">
        <v>4814308</v>
      </c>
      <c r="AO12" s="26">
        <v>4777195</v>
      </c>
      <c r="AP12" s="26">
        <v>4740275</v>
      </c>
      <c r="AQ12" s="26">
        <v>4703643</v>
      </c>
      <c r="AR12" s="26">
        <v>4667394</v>
      </c>
      <c r="AS12" s="26">
        <v>4631621</v>
      </c>
      <c r="AT12" s="26">
        <v>4596419</v>
      </c>
    </row>
    <row r="13" spans="1:46" s="29" customFormat="1" ht="15.75">
      <c r="A13" s="28" t="s">
        <v>155</v>
      </c>
      <c r="B13" s="27"/>
      <c r="C13" s="27"/>
      <c r="E13" s="26">
        <v>2888794</v>
      </c>
      <c r="F13" s="26">
        <v>2906105</v>
      </c>
      <c r="G13" s="26">
        <v>2919006</v>
      </c>
      <c r="H13" s="26">
        <v>2927801</v>
      </c>
      <c r="I13" s="26">
        <v>2932786</v>
      </c>
      <c r="J13" s="26">
        <v>2934246</v>
      </c>
      <c r="K13" s="26">
        <v>2932455</v>
      </c>
      <c r="L13" s="26">
        <v>2927679</v>
      </c>
      <c r="M13" s="26">
        <v>2920174</v>
      </c>
      <c r="N13" s="26">
        <v>2910185</v>
      </c>
      <c r="O13" s="26">
        <v>2897948</v>
      </c>
      <c r="P13" s="26">
        <v>2883691</v>
      </c>
      <c r="Q13" s="26">
        <v>2867628</v>
      </c>
      <c r="R13" s="26">
        <v>2849966</v>
      </c>
      <c r="S13" s="26">
        <v>2830904</v>
      </c>
      <c r="T13" s="26">
        <v>2810626</v>
      </c>
      <c r="U13" s="26">
        <v>2789311</v>
      </c>
      <c r="V13" s="26">
        <v>2767127</v>
      </c>
      <c r="W13" s="26">
        <v>2744230</v>
      </c>
      <c r="X13" s="26">
        <v>2720768</v>
      </c>
      <c r="Y13" s="26">
        <v>2696880</v>
      </c>
      <c r="Z13" s="26">
        <v>2672694</v>
      </c>
      <c r="AA13" s="26">
        <v>2648328</v>
      </c>
      <c r="AB13" s="26">
        <v>2623891</v>
      </c>
      <c r="AC13" s="26">
        <v>2599481</v>
      </c>
      <c r="AD13" s="26">
        <v>2575189</v>
      </c>
      <c r="AE13" s="26">
        <v>2551092</v>
      </c>
      <c r="AF13" s="26">
        <v>2527260</v>
      </c>
      <c r="AG13" s="26">
        <v>2503754</v>
      </c>
      <c r="AH13" s="26">
        <v>2480622</v>
      </c>
      <c r="AI13" s="26">
        <v>2457905</v>
      </c>
      <c r="AJ13" s="26">
        <v>2435634</v>
      </c>
      <c r="AK13" s="26">
        <v>2413828</v>
      </c>
      <c r="AL13" s="26">
        <v>2392498</v>
      </c>
      <c r="AM13" s="26">
        <v>2371646</v>
      </c>
      <c r="AN13" s="26">
        <v>2351262</v>
      </c>
      <c r="AO13" s="26">
        <v>2331327</v>
      </c>
      <c r="AP13" s="26">
        <v>2311814</v>
      </c>
      <c r="AQ13" s="26">
        <v>2292683</v>
      </c>
      <c r="AR13" s="26">
        <v>2273886</v>
      </c>
      <c r="AS13" s="26">
        <v>2255366</v>
      </c>
      <c r="AT13" s="26">
        <v>2237055</v>
      </c>
    </row>
    <row r="14" spans="1:46" s="29" customFormat="1" ht="15.75">
      <c r="A14" s="28" t="s">
        <v>156</v>
      </c>
      <c r="B14" s="27"/>
      <c r="C14" s="27"/>
      <c r="E14" s="26">
        <v>2957601</v>
      </c>
      <c r="F14" s="26">
        <v>2967964</v>
      </c>
      <c r="G14" s="26">
        <v>2977190</v>
      </c>
      <c r="H14" s="26">
        <v>2985231</v>
      </c>
      <c r="I14" s="26">
        <v>2992046</v>
      </c>
      <c r="J14" s="26">
        <v>2997598</v>
      </c>
      <c r="K14" s="26">
        <v>3001857</v>
      </c>
      <c r="L14" s="26">
        <v>3004801</v>
      </c>
      <c r="M14" s="26">
        <v>3006410</v>
      </c>
      <c r="N14" s="26">
        <v>3006673</v>
      </c>
      <c r="O14" s="26">
        <v>3005585</v>
      </c>
      <c r="P14" s="26">
        <v>3003146</v>
      </c>
      <c r="Q14" s="26">
        <v>2999363</v>
      </c>
      <c r="R14" s="26">
        <v>2994247</v>
      </c>
      <c r="S14" s="26">
        <v>2987818</v>
      </c>
      <c r="T14" s="26">
        <v>2980100</v>
      </c>
      <c r="U14" s="26">
        <v>2971123</v>
      </c>
      <c r="V14" s="26">
        <v>2960925</v>
      </c>
      <c r="W14" s="26">
        <v>2949547</v>
      </c>
      <c r="X14" s="26">
        <v>2937040</v>
      </c>
      <c r="Y14" s="26">
        <v>2923457</v>
      </c>
      <c r="Z14" s="26">
        <v>2908859</v>
      </c>
      <c r="AA14" s="26">
        <v>2893314</v>
      </c>
      <c r="AB14" s="26">
        <v>2876893</v>
      </c>
      <c r="AC14" s="26">
        <v>2859677</v>
      </c>
      <c r="AD14" s="26">
        <v>2841750</v>
      </c>
      <c r="AE14" s="26">
        <v>2823203</v>
      </c>
      <c r="AF14" s="26">
        <v>2804133</v>
      </c>
      <c r="AG14" s="26">
        <v>2784644</v>
      </c>
      <c r="AH14" s="26">
        <v>2764844</v>
      </c>
      <c r="AI14" s="26">
        <v>2744849</v>
      </c>
      <c r="AJ14" s="26">
        <v>2724780</v>
      </c>
      <c r="AK14" s="26">
        <v>2704765</v>
      </c>
      <c r="AL14" s="26">
        <v>2684937</v>
      </c>
      <c r="AM14" s="26">
        <v>2665434</v>
      </c>
      <c r="AN14" s="26">
        <v>2646403</v>
      </c>
      <c r="AO14" s="26">
        <v>2627996</v>
      </c>
      <c r="AP14" s="26">
        <v>2610369</v>
      </c>
      <c r="AQ14" s="26">
        <v>2593686</v>
      </c>
      <c r="AR14" s="26">
        <v>2578118</v>
      </c>
      <c r="AS14" s="26">
        <v>2563839</v>
      </c>
      <c r="AT14" s="26">
        <v>2551031</v>
      </c>
    </row>
    <row r="15" spans="1:46" s="29" customFormat="1" ht="15.75">
      <c r="A15" s="28" t="s">
        <v>157</v>
      </c>
      <c r="B15" s="27"/>
      <c r="C15" s="27"/>
      <c r="E15" s="26">
        <v>10982491</v>
      </c>
      <c r="F15" s="26">
        <v>11017081</v>
      </c>
      <c r="G15" s="26">
        <v>11050803</v>
      </c>
      <c r="H15" s="26">
        <v>11083213</v>
      </c>
      <c r="I15" s="26">
        <v>11113899</v>
      </c>
      <c r="J15" s="26">
        <v>11142479</v>
      </c>
      <c r="K15" s="26">
        <v>11168600</v>
      </c>
      <c r="L15" s="26">
        <v>11191943</v>
      </c>
      <c r="M15" s="26">
        <v>11212215</v>
      </c>
      <c r="N15" s="26">
        <v>11229157</v>
      </c>
      <c r="O15" s="26">
        <v>11242538</v>
      </c>
      <c r="P15" s="26">
        <v>11252160</v>
      </c>
      <c r="Q15" s="26">
        <v>11257852</v>
      </c>
      <c r="R15" s="26">
        <v>11259476</v>
      </c>
      <c r="S15" s="26">
        <v>11256924</v>
      </c>
      <c r="T15" s="26">
        <v>11250118</v>
      </c>
      <c r="U15" s="26">
        <v>11239010</v>
      </c>
      <c r="V15" s="26">
        <v>11223583</v>
      </c>
      <c r="W15" s="26">
        <v>11203851</v>
      </c>
      <c r="X15" s="26">
        <v>11179857</v>
      </c>
      <c r="Y15" s="26">
        <v>11151675</v>
      </c>
      <c r="Z15" s="26">
        <v>11119411</v>
      </c>
      <c r="AA15" s="26">
        <v>11083198</v>
      </c>
      <c r="AB15" s="26">
        <v>11043203</v>
      </c>
      <c r="AC15" s="26">
        <v>10999621</v>
      </c>
      <c r="AD15" s="26">
        <v>10952678</v>
      </c>
      <c r="AE15" s="26">
        <v>10902632</v>
      </c>
      <c r="AF15" s="26">
        <v>10849768</v>
      </c>
      <c r="AG15" s="26">
        <v>10794406</v>
      </c>
      <c r="AH15" s="26">
        <v>10736892</v>
      </c>
      <c r="AI15" s="26">
        <v>10677605</v>
      </c>
      <c r="AJ15" s="26">
        <v>10616953</v>
      </c>
      <c r="AK15" s="26">
        <v>10555376</v>
      </c>
      <c r="AL15" s="26">
        <v>10493344</v>
      </c>
      <c r="AM15" s="26">
        <v>10431356</v>
      </c>
      <c r="AN15" s="26">
        <v>10369943</v>
      </c>
      <c r="AO15" s="26">
        <v>10309665</v>
      </c>
      <c r="AP15" s="26">
        <v>10251114</v>
      </c>
      <c r="AQ15" s="26">
        <v>10194912</v>
      </c>
      <c r="AR15" s="26">
        <v>10141710</v>
      </c>
      <c r="AS15" s="26">
        <v>10092191</v>
      </c>
      <c r="AT15" s="26">
        <v>10047068</v>
      </c>
    </row>
    <row r="16" spans="1:46" s="29" customFormat="1" ht="15.75">
      <c r="A16" s="28" t="s">
        <v>158</v>
      </c>
      <c r="B16" s="27"/>
      <c r="C16" s="27"/>
      <c r="E16" s="26">
        <v>5589820</v>
      </c>
      <c r="F16" s="26">
        <v>5610690</v>
      </c>
      <c r="G16" s="26">
        <v>5629458</v>
      </c>
      <c r="H16" s="26">
        <v>5646084</v>
      </c>
      <c r="I16" s="26">
        <v>5660533</v>
      </c>
      <c r="J16" s="26">
        <v>5672777</v>
      </c>
      <c r="K16" s="26">
        <v>5682794</v>
      </c>
      <c r="L16" s="26">
        <v>5690569</v>
      </c>
      <c r="M16" s="26">
        <v>5696092</v>
      </c>
      <c r="N16" s="26">
        <v>5699361</v>
      </c>
      <c r="O16" s="26">
        <v>5700379</v>
      </c>
      <c r="P16" s="26">
        <v>5699158</v>
      </c>
      <c r="Q16" s="26">
        <v>5695714</v>
      </c>
      <c r="R16" s="26">
        <v>5690070</v>
      </c>
      <c r="S16" s="26">
        <v>5682254</v>
      </c>
      <c r="T16" s="26">
        <v>5672304</v>
      </c>
      <c r="U16" s="26">
        <v>5660261</v>
      </c>
      <c r="V16" s="26">
        <v>5646174</v>
      </c>
      <c r="W16" s="26">
        <v>5630098</v>
      </c>
      <c r="X16" s="26">
        <v>5612094</v>
      </c>
      <c r="Y16" s="26">
        <v>5592231</v>
      </c>
      <c r="Z16" s="26">
        <v>5570582</v>
      </c>
      <c r="AA16" s="26">
        <v>5547229</v>
      </c>
      <c r="AB16" s="26">
        <v>5522258</v>
      </c>
      <c r="AC16" s="26">
        <v>5495764</v>
      </c>
      <c r="AD16" s="26">
        <v>5467845</v>
      </c>
      <c r="AE16" s="26">
        <v>5438608</v>
      </c>
      <c r="AF16" s="26">
        <v>5408166</v>
      </c>
      <c r="AG16" s="26">
        <v>5376638</v>
      </c>
      <c r="AH16" s="26">
        <v>5344150</v>
      </c>
      <c r="AI16" s="26">
        <v>5310833</v>
      </c>
      <c r="AJ16" s="26">
        <v>5276826</v>
      </c>
      <c r="AK16" s="26">
        <v>5242273</v>
      </c>
      <c r="AL16" s="26">
        <v>5207327</v>
      </c>
      <c r="AM16" s="26">
        <v>5172143</v>
      </c>
      <c r="AN16" s="26">
        <v>5136887</v>
      </c>
      <c r="AO16" s="26">
        <v>5101728</v>
      </c>
      <c r="AP16" s="26">
        <v>5066844</v>
      </c>
      <c r="AQ16" s="26">
        <v>5032418</v>
      </c>
      <c r="AR16" s="26">
        <v>4998638</v>
      </c>
      <c r="AS16" s="26">
        <v>4965702</v>
      </c>
      <c r="AT16" s="26">
        <v>4933811</v>
      </c>
    </row>
    <row r="17" spans="1:46" s="29" customFormat="1" ht="15.75">
      <c r="A17" s="28" t="s">
        <v>159</v>
      </c>
      <c r="B17" s="27"/>
      <c r="C17" s="27"/>
      <c r="E17" s="26">
        <v>5924990</v>
      </c>
      <c r="F17" s="26">
        <v>5951569</v>
      </c>
      <c r="G17" s="26">
        <v>5975991</v>
      </c>
      <c r="H17" s="26">
        <v>5998226</v>
      </c>
      <c r="I17" s="26">
        <v>6018247</v>
      </c>
      <c r="J17" s="26">
        <v>6036033</v>
      </c>
      <c r="K17" s="26">
        <v>6051569</v>
      </c>
      <c r="L17" s="26">
        <v>6064845</v>
      </c>
      <c r="M17" s="26">
        <v>6075856</v>
      </c>
      <c r="N17" s="26">
        <v>6084601</v>
      </c>
      <c r="O17" s="26">
        <v>6091088</v>
      </c>
      <c r="P17" s="26">
        <v>6095327</v>
      </c>
      <c r="Q17" s="26">
        <v>6097335</v>
      </c>
      <c r="R17" s="26">
        <v>6097133</v>
      </c>
      <c r="S17" s="26">
        <v>6094748</v>
      </c>
      <c r="T17" s="26">
        <v>6090213</v>
      </c>
      <c r="U17" s="26">
        <v>6083566</v>
      </c>
      <c r="V17" s="26">
        <v>6074849</v>
      </c>
      <c r="W17" s="26">
        <v>6064112</v>
      </c>
      <c r="X17" s="26">
        <v>6051407</v>
      </c>
      <c r="Y17" s="26">
        <v>6036795</v>
      </c>
      <c r="Z17" s="26">
        <v>6020338</v>
      </c>
      <c r="AA17" s="26">
        <v>6002108</v>
      </c>
      <c r="AB17" s="26">
        <v>5982178</v>
      </c>
      <c r="AC17" s="26">
        <v>5960630</v>
      </c>
      <c r="AD17" s="26">
        <v>5937549</v>
      </c>
      <c r="AE17" s="26">
        <v>5913026</v>
      </c>
      <c r="AF17" s="26">
        <v>5887157</v>
      </c>
      <c r="AG17" s="26">
        <v>5860045</v>
      </c>
      <c r="AH17" s="26">
        <v>5831795</v>
      </c>
      <c r="AI17" s="26">
        <v>5802521</v>
      </c>
      <c r="AJ17" s="26">
        <v>5772340</v>
      </c>
      <c r="AK17" s="26">
        <v>5741374</v>
      </c>
      <c r="AL17" s="26">
        <v>5709753</v>
      </c>
      <c r="AM17" s="26">
        <v>5677611</v>
      </c>
      <c r="AN17" s="26">
        <v>5645084</v>
      </c>
      <c r="AO17" s="26">
        <v>5612319</v>
      </c>
      <c r="AP17" s="26">
        <v>5579465</v>
      </c>
      <c r="AQ17" s="26">
        <v>5546677</v>
      </c>
      <c r="AR17" s="26">
        <v>5514114</v>
      </c>
      <c r="AS17" s="26">
        <v>5481943</v>
      </c>
      <c r="AT17" s="26">
        <v>5450335</v>
      </c>
    </row>
    <row r="18" spans="1:46" s="29" customFormat="1" ht="15.75">
      <c r="A18" s="28" t="s">
        <v>160</v>
      </c>
      <c r="B18" s="27"/>
      <c r="C18" s="27"/>
      <c r="E18" s="26">
        <v>3913234</v>
      </c>
      <c r="F18" s="26">
        <v>3928160</v>
      </c>
      <c r="G18" s="26">
        <v>3941117</v>
      </c>
      <c r="H18" s="26">
        <v>3952112</v>
      </c>
      <c r="I18" s="26">
        <v>3961153</v>
      </c>
      <c r="J18" s="26">
        <v>3968253</v>
      </c>
      <c r="K18" s="26">
        <v>3973430</v>
      </c>
      <c r="L18" s="26">
        <v>3976705</v>
      </c>
      <c r="M18" s="26">
        <v>3978102</v>
      </c>
      <c r="N18" s="26">
        <v>3977650</v>
      </c>
      <c r="O18" s="26">
        <v>3975383</v>
      </c>
      <c r="P18" s="26">
        <v>3971338</v>
      </c>
      <c r="Q18" s="26">
        <v>3965555</v>
      </c>
      <c r="R18" s="26">
        <v>3958079</v>
      </c>
      <c r="S18" s="26">
        <v>3948960</v>
      </c>
      <c r="T18" s="26">
        <v>3938251</v>
      </c>
      <c r="U18" s="26">
        <v>3926007</v>
      </c>
      <c r="V18" s="26">
        <v>3912290</v>
      </c>
      <c r="W18" s="26">
        <v>3897165</v>
      </c>
      <c r="X18" s="26">
        <v>3880700</v>
      </c>
      <c r="Y18" s="26">
        <v>3862969</v>
      </c>
      <c r="Z18" s="26">
        <v>3844048</v>
      </c>
      <c r="AA18" s="26">
        <v>3824018</v>
      </c>
      <c r="AB18" s="26">
        <v>3802963</v>
      </c>
      <c r="AC18" s="26">
        <v>3780973</v>
      </c>
      <c r="AD18" s="26">
        <v>3758139</v>
      </c>
      <c r="AE18" s="26">
        <v>3734560</v>
      </c>
      <c r="AF18" s="26">
        <v>3710334</v>
      </c>
      <c r="AG18" s="26">
        <v>3685567</v>
      </c>
      <c r="AH18" s="26">
        <v>3660367</v>
      </c>
      <c r="AI18" s="26">
        <v>3634847</v>
      </c>
      <c r="AJ18" s="26">
        <v>3609124</v>
      </c>
      <c r="AK18" s="26">
        <v>3583318</v>
      </c>
      <c r="AL18" s="26">
        <v>3557553</v>
      </c>
      <c r="AM18" s="26">
        <v>3531958</v>
      </c>
      <c r="AN18" s="26">
        <v>3506666</v>
      </c>
      <c r="AO18" s="26">
        <v>3481812</v>
      </c>
      <c r="AP18" s="26">
        <v>3457538</v>
      </c>
      <c r="AQ18" s="26">
        <v>3433987</v>
      </c>
      <c r="AR18" s="26">
        <v>3411308</v>
      </c>
      <c r="AS18" s="26">
        <v>3389653</v>
      </c>
      <c r="AT18" s="26">
        <v>3369180</v>
      </c>
    </row>
    <row r="19" spans="1:46" s="29" customFormat="1" ht="15.75">
      <c r="A19" s="28" t="s">
        <v>161</v>
      </c>
      <c r="B19" s="27"/>
      <c r="C19" s="27"/>
      <c r="E19" s="26">
        <v>8780329</v>
      </c>
      <c r="F19" s="26">
        <v>8794781</v>
      </c>
      <c r="G19" s="26">
        <v>8813631</v>
      </c>
      <c r="H19" s="26">
        <v>8835977</v>
      </c>
      <c r="I19" s="26">
        <v>8860965</v>
      </c>
      <c r="J19" s="26">
        <v>8887791</v>
      </c>
      <c r="K19" s="26">
        <v>8915703</v>
      </c>
      <c r="L19" s="26">
        <v>8943995</v>
      </c>
      <c r="M19" s="26">
        <v>8972013</v>
      </c>
      <c r="N19" s="26">
        <v>8999151</v>
      </c>
      <c r="O19" s="26">
        <v>9024854</v>
      </c>
      <c r="P19" s="26">
        <v>9048616</v>
      </c>
      <c r="Q19" s="26">
        <v>9069980</v>
      </c>
      <c r="R19" s="26">
        <v>9088538</v>
      </c>
      <c r="S19" s="26">
        <v>9103935</v>
      </c>
      <c r="T19" s="26">
        <v>9115861</v>
      </c>
      <c r="U19" s="26">
        <v>9124059</v>
      </c>
      <c r="V19" s="26">
        <v>9128320</v>
      </c>
      <c r="W19" s="26">
        <v>9128484</v>
      </c>
      <c r="X19" s="26">
        <v>9124443</v>
      </c>
      <c r="Y19" s="26">
        <v>9116135</v>
      </c>
      <c r="Z19" s="26">
        <v>9103551</v>
      </c>
      <c r="AA19" s="26">
        <v>9086729</v>
      </c>
      <c r="AB19" s="26">
        <v>9065759</v>
      </c>
      <c r="AC19" s="26">
        <v>9040778</v>
      </c>
      <c r="AD19" s="26">
        <v>9011975</v>
      </c>
      <c r="AE19" s="26">
        <v>8979586</v>
      </c>
      <c r="AF19" s="26">
        <v>8943899</v>
      </c>
      <c r="AG19" s="26">
        <v>8905249</v>
      </c>
      <c r="AH19" s="26">
        <v>8864024</v>
      </c>
      <c r="AI19" s="26">
        <v>8820659</v>
      </c>
      <c r="AJ19" s="26">
        <v>8775638</v>
      </c>
      <c r="AK19" s="26">
        <v>8729497</v>
      </c>
      <c r="AL19" s="26">
        <v>8682820</v>
      </c>
      <c r="AM19" s="26">
        <v>8636241</v>
      </c>
      <c r="AN19" s="26">
        <v>8590443</v>
      </c>
      <c r="AO19" s="26">
        <v>8546160</v>
      </c>
      <c r="AP19" s="26">
        <v>8504173</v>
      </c>
      <c r="AQ19" s="26">
        <v>8465315</v>
      </c>
      <c r="AR19" s="26">
        <v>8430468</v>
      </c>
      <c r="AS19" s="26">
        <v>8400563</v>
      </c>
      <c r="AT19" s="26">
        <v>8376580</v>
      </c>
    </row>
    <row r="20" spans="1:46">
      <c r="B20" s="30">
        <v>-6.8494969999999999E-5</v>
      </c>
      <c r="C20" s="30">
        <v>0.28318700000000002</v>
      </c>
      <c r="D20" s="30">
        <v>-291.88900000000001</v>
      </c>
    </row>
    <row r="21" spans="1:46" s="15" customFormat="1">
      <c r="A21" s="15" t="s">
        <v>164</v>
      </c>
      <c r="E21" s="15">
        <f>SUM(E4:E19)/10000</f>
        <v>10102.831700000001</v>
      </c>
      <c r="F21" s="15">
        <f t="shared" ref="F21:AT21" si="0">SUM(F4:F19)/10000</f>
        <v>10151.554899999999</v>
      </c>
      <c r="G21" s="15">
        <f t="shared" si="0"/>
        <v>10194.210800000001</v>
      </c>
      <c r="H21" s="15">
        <f t="shared" si="0"/>
        <v>10230.9238</v>
      </c>
      <c r="I21" s="15">
        <f t="shared" si="0"/>
        <v>10261.823399999999</v>
      </c>
      <c r="J21" s="15">
        <f t="shared" si="0"/>
        <v>10287.0422</v>
      </c>
      <c r="K21" s="15">
        <f t="shared" si="0"/>
        <v>10306.7183</v>
      </c>
      <c r="L21" s="15">
        <f t="shared" si="0"/>
        <v>10320.994500000001</v>
      </c>
      <c r="M21" s="15">
        <f t="shared" si="0"/>
        <v>10330.0167</v>
      </c>
      <c r="N21" s="15">
        <f t="shared" si="0"/>
        <v>10333.936100000001</v>
      </c>
      <c r="O21" s="15">
        <f t="shared" si="0"/>
        <v>10332.908100000001</v>
      </c>
      <c r="P21" s="15">
        <f t="shared" si="0"/>
        <v>10327.0934</v>
      </c>
      <c r="Q21" s="15">
        <f t="shared" si="0"/>
        <v>10316.6556</v>
      </c>
      <c r="R21" s="15">
        <f t="shared" si="0"/>
        <v>10301.763499999999</v>
      </c>
      <c r="S21" s="15">
        <f t="shared" si="0"/>
        <v>10282.5906</v>
      </c>
      <c r="T21" s="15">
        <f t="shared" si="0"/>
        <v>10259.3143</v>
      </c>
      <c r="U21" s="15">
        <f t="shared" si="0"/>
        <v>10232.1167</v>
      </c>
      <c r="V21" s="15">
        <f t="shared" si="0"/>
        <v>10201.184300000001</v>
      </c>
      <c r="W21" s="15">
        <f t="shared" si="0"/>
        <v>10166.707899999999</v>
      </c>
      <c r="X21" s="15">
        <f t="shared" si="0"/>
        <v>10128.8827</v>
      </c>
      <c r="Y21" s="15">
        <f t="shared" si="0"/>
        <v>10087.908600000001</v>
      </c>
      <c r="Z21" s="15">
        <f t="shared" si="0"/>
        <v>10043.9899</v>
      </c>
      <c r="AA21" s="15">
        <f t="shared" si="0"/>
        <v>9997.3348000000005</v>
      </c>
      <c r="AB21" s="15">
        <f t="shared" si="0"/>
        <v>9948.1563000000006</v>
      </c>
      <c r="AC21" s="15">
        <f t="shared" si="0"/>
        <v>9896.6723000000002</v>
      </c>
      <c r="AD21" s="15">
        <f t="shared" si="0"/>
        <v>9843.1043000000009</v>
      </c>
      <c r="AE21" s="15">
        <f t="shared" si="0"/>
        <v>9787.6787999999997</v>
      </c>
      <c r="AF21" s="15">
        <f t="shared" si="0"/>
        <v>9730.6257999999998</v>
      </c>
      <c r="AG21" s="15">
        <f t="shared" si="0"/>
        <v>9672.1812000000009</v>
      </c>
      <c r="AH21" s="15">
        <f t="shared" si="0"/>
        <v>9612.5841</v>
      </c>
      <c r="AI21" s="15">
        <f t="shared" si="0"/>
        <v>9552.0786000000007</v>
      </c>
      <c r="AJ21" s="15">
        <f t="shared" si="0"/>
        <v>9490.9132000000009</v>
      </c>
      <c r="AK21" s="15">
        <f t="shared" si="0"/>
        <v>9429.3402999999998</v>
      </c>
      <c r="AL21" s="15">
        <f t="shared" si="0"/>
        <v>9367.6178999999993</v>
      </c>
      <c r="AM21" s="15">
        <f t="shared" si="0"/>
        <v>9306.0069999999996</v>
      </c>
      <c r="AN21" s="15">
        <f t="shared" si="0"/>
        <v>9244.7736000000004</v>
      </c>
      <c r="AO21" s="15">
        <f t="shared" si="0"/>
        <v>9184.1885999999995</v>
      </c>
      <c r="AP21" s="15">
        <f t="shared" si="0"/>
        <v>9124.5267999999996</v>
      </c>
      <c r="AQ21" s="15">
        <f t="shared" si="0"/>
        <v>9066.0676000000003</v>
      </c>
      <c r="AR21" s="15">
        <f t="shared" si="0"/>
        <v>9009.0943000000007</v>
      </c>
      <c r="AS21" s="15">
        <f t="shared" si="0"/>
        <v>8953.8956999999991</v>
      </c>
      <c r="AT21" s="15">
        <f t="shared" si="0"/>
        <v>8900.7641999999996</v>
      </c>
    </row>
    <row r="22" spans="1:46">
      <c r="A22" t="s">
        <v>141</v>
      </c>
      <c r="B22" s="31">
        <f t="shared" ref="B22:D22" si="1">$B$20*B$3^2+$C$20*B$3+$D$20</f>
        <v>0.63489920768000729</v>
      </c>
      <c r="C22" s="31">
        <f t="shared" si="1"/>
        <v>0.64184599366996054</v>
      </c>
      <c r="D22" s="31">
        <f t="shared" si="1"/>
        <v>0.64865578972001003</v>
      </c>
      <c r="E22" s="31">
        <f>$B$20*E$3^2+$C$20*E$3+$D$20</f>
        <v>0.65532859583009895</v>
      </c>
      <c r="F22" s="31">
        <f t="shared" ref="F22:U22" si="2">$B$20*F$3^2+$C$20*F$3+$D$20</f>
        <v>0.66186441200011359</v>
      </c>
      <c r="G22" s="31">
        <f t="shared" si="2"/>
        <v>0.6682632382301108</v>
      </c>
      <c r="H22" s="31">
        <f t="shared" si="2"/>
        <v>0.67452507452009058</v>
      </c>
      <c r="I22" s="31">
        <f t="shared" si="2"/>
        <v>0.68064992087010978</v>
      </c>
      <c r="J22" s="31">
        <f t="shared" si="2"/>
        <v>0.68663777728011155</v>
      </c>
      <c r="K22" s="31">
        <f t="shared" si="2"/>
        <v>0.69248864375009589</v>
      </c>
      <c r="L22" s="31">
        <f t="shared" si="2"/>
        <v>0.6982025202800628</v>
      </c>
      <c r="M22" s="31">
        <f t="shared" si="2"/>
        <v>0.70377940687006912</v>
      </c>
      <c r="N22" s="31">
        <f t="shared" si="2"/>
        <v>0.70921930352005802</v>
      </c>
      <c r="O22" s="31">
        <f t="shared" si="2"/>
        <v>0.71452221023008633</v>
      </c>
      <c r="P22" s="31">
        <f t="shared" si="2"/>
        <v>0.71968812700009721</v>
      </c>
      <c r="Q22" s="31">
        <f t="shared" si="2"/>
        <v>0.72471705383009066</v>
      </c>
      <c r="R22" s="31">
        <f t="shared" si="2"/>
        <v>0.72960899072006669</v>
      </c>
      <c r="S22" s="31">
        <f t="shared" si="2"/>
        <v>0.73436393767008212</v>
      </c>
      <c r="T22" s="31">
        <f t="shared" si="2"/>
        <v>0.73898189468008013</v>
      </c>
      <c r="U22" s="31">
        <f t="shared" si="2"/>
        <v>0.74346286175006071</v>
      </c>
      <c r="V22" s="31">
        <f t="shared" ref="V22:AT22" si="3">$B$20*V$3^2+$C$20*V$3+$D$20</f>
        <v>0.7478068388800807</v>
      </c>
      <c r="W22" s="31">
        <f t="shared" si="3"/>
        <v>0.75201382607008327</v>
      </c>
      <c r="X22" s="31">
        <f t="shared" si="3"/>
        <v>0.7560838233200684</v>
      </c>
      <c r="Y22" s="31">
        <f t="shared" si="3"/>
        <v>0.76001683063003611</v>
      </c>
      <c r="Z22" s="31">
        <f t="shared" si="3"/>
        <v>0.76381284800004323</v>
      </c>
      <c r="AA22" s="31">
        <f t="shared" si="3"/>
        <v>0.76747187543003292</v>
      </c>
      <c r="AB22" s="31">
        <f t="shared" si="3"/>
        <v>0.77099391292006203</v>
      </c>
      <c r="AC22" s="31">
        <f t="shared" si="3"/>
        <v>0.77437896047007371</v>
      </c>
      <c r="AD22" s="31">
        <f t="shared" si="3"/>
        <v>0.77762701808006796</v>
      </c>
      <c r="AE22" s="31">
        <f t="shared" si="3"/>
        <v>0.78073808575004477</v>
      </c>
      <c r="AF22" s="31">
        <f t="shared" si="3"/>
        <v>0.78371216348006101</v>
      </c>
      <c r="AG22" s="31">
        <f t="shared" si="3"/>
        <v>0.78654925127005981</v>
      </c>
      <c r="AH22" s="31">
        <f t="shared" si="3"/>
        <v>0.78924934912004119</v>
      </c>
      <c r="AI22" s="31">
        <f t="shared" si="3"/>
        <v>0.79181245703006198</v>
      </c>
      <c r="AJ22" s="31">
        <f t="shared" si="3"/>
        <v>0.79423857500006534</v>
      </c>
      <c r="AK22" s="31">
        <f t="shared" si="3"/>
        <v>0.79652770303005127</v>
      </c>
      <c r="AL22" s="31">
        <f t="shared" si="3"/>
        <v>0.79867984112001977</v>
      </c>
      <c r="AM22" s="31">
        <f t="shared" si="3"/>
        <v>0.80069498927002769</v>
      </c>
      <c r="AN22" s="31">
        <f t="shared" si="3"/>
        <v>0.80257314748001818</v>
      </c>
      <c r="AO22" s="31">
        <f t="shared" si="3"/>
        <v>0.80431431575004808</v>
      </c>
      <c r="AP22" s="31">
        <f t="shared" si="3"/>
        <v>0.80591849408000371</v>
      </c>
      <c r="AQ22" s="31">
        <f t="shared" si="3"/>
        <v>0.80738568246999876</v>
      </c>
      <c r="AR22" s="31">
        <f t="shared" si="3"/>
        <v>0.80871588092003321</v>
      </c>
      <c r="AS22" s="31">
        <f t="shared" si="3"/>
        <v>0.8099090894299934</v>
      </c>
      <c r="AT22" s="31">
        <f t="shared" si="3"/>
        <v>0.810965307999993</v>
      </c>
    </row>
    <row r="23" spans="1:46" s="15" customFormat="1">
      <c r="A23" s="15" t="s">
        <v>138</v>
      </c>
      <c r="E23" s="15">
        <f>E21*E22</f>
        <v>6620.6745118688123</v>
      </c>
      <c r="F23" s="15">
        <f t="shared" ref="F23:AT23" si="4">F21*F22</f>
        <v>6718.952914775371</v>
      </c>
      <c r="G23" s="15">
        <f t="shared" si="4"/>
        <v>6812.4163204083688</v>
      </c>
      <c r="H23" s="15">
        <f t="shared" si="4"/>
        <v>6901.0146386043689</v>
      </c>
      <c r="I23" s="15">
        <f t="shared" si="4"/>
        <v>6984.7092851930402</v>
      </c>
      <c r="J23" s="15">
        <f t="shared" si="4"/>
        <v>7063.4717909947085</v>
      </c>
      <c r="K23" s="15">
        <f t="shared" si="4"/>
        <v>7137.2853770812944</v>
      </c>
      <c r="L23" s="15">
        <f t="shared" si="4"/>
        <v>7206.1443716966669</v>
      </c>
      <c r="M23" s="15">
        <f t="shared" si="4"/>
        <v>7270.0530260839087</v>
      </c>
      <c r="N23" s="15">
        <f t="shared" si="4"/>
        <v>7329.0269634627848</v>
      </c>
      <c r="O23" s="15">
        <f t="shared" si="4"/>
        <v>7383.0923337163622</v>
      </c>
      <c r="P23" s="15">
        <f t="shared" si="4"/>
        <v>7432.2865064010657</v>
      </c>
      <c r="Q23" s="15">
        <f t="shared" si="4"/>
        <v>7476.6562518117062</v>
      </c>
      <c r="R23" s="15">
        <f t="shared" si="4"/>
        <v>7516.2592698718208</v>
      </c>
      <c r="S23" s="15">
        <f t="shared" si="4"/>
        <v>7551.1637224653723</v>
      </c>
      <c r="T23" s="15">
        <f t="shared" si="4"/>
        <v>7581.4475195324403</v>
      </c>
      <c r="U23" s="15">
        <f t="shared" si="4"/>
        <v>7607.1987635425876</v>
      </c>
      <c r="V23" s="15">
        <f t="shared" si="4"/>
        <v>7628.5153842161099</v>
      </c>
      <c r="W23" s="15">
        <f t="shared" si="4"/>
        <v>7645.5049064159412</v>
      </c>
      <c r="X23" s="15">
        <f t="shared" si="4"/>
        <v>7658.2843577764979</v>
      </c>
      <c r="Y23" s="15">
        <f t="shared" si="4"/>
        <v>7666.9803218574853</v>
      </c>
      <c r="Z23" s="15">
        <f t="shared" si="4"/>
        <v>7671.7285308026694</v>
      </c>
      <c r="AA23" s="15">
        <f t="shared" si="4"/>
        <v>7672.6732882579336</v>
      </c>
      <c r="AB23" s="15">
        <f t="shared" si="4"/>
        <v>7669.967952077367</v>
      </c>
      <c r="AC23" s="15">
        <f t="shared" si="4"/>
        <v>7663.7748077869737</v>
      </c>
      <c r="AD23" s="15">
        <f t="shared" si="4"/>
        <v>7654.2638454600956</v>
      </c>
      <c r="AE23" s="15">
        <f t="shared" si="4"/>
        <v>7641.6136102482951</v>
      </c>
      <c r="AF23" s="15">
        <f t="shared" si="4"/>
        <v>7626.0097977328996</v>
      </c>
      <c r="AG23" s="15">
        <f t="shared" si="4"/>
        <v>7607.6468810083497</v>
      </c>
      <c r="AH23" s="15">
        <f t="shared" si="4"/>
        <v>7586.7257442866567</v>
      </c>
      <c r="AI23" s="15">
        <f t="shared" si="4"/>
        <v>7563.4548260102756</v>
      </c>
      <c r="AJ23" s="15">
        <f t="shared" si="4"/>
        <v>7538.0493754173112</v>
      </c>
      <c r="AK23" s="15">
        <f t="shared" si="4"/>
        <v>7510.7307702476946</v>
      </c>
      <c r="AL23" s="15">
        <f t="shared" si="4"/>
        <v>7481.727576045053</v>
      </c>
      <c r="AM23" s="15">
        <f t="shared" si="4"/>
        <v>7451.2731750118019</v>
      </c>
      <c r="AN23" s="15">
        <f t="shared" si="4"/>
        <v>7419.6070458921786</v>
      </c>
      <c r="AO23" s="15">
        <f t="shared" si="4"/>
        <v>7386.9743695283914</v>
      </c>
      <c r="AP23" s="15">
        <f t="shared" si="4"/>
        <v>7353.6248978486346</v>
      </c>
      <c r="AQ23" s="15">
        <f t="shared" si="4"/>
        <v>7319.8131765451435</v>
      </c>
      <c r="AR23" s="15">
        <f t="shared" si="4"/>
        <v>7285.7976331161508</v>
      </c>
      <c r="AS23" s="15">
        <f t="shared" si="4"/>
        <v>7251.8415132381324</v>
      </c>
      <c r="AT23" s="15">
        <f t="shared" si="4"/>
        <v>7218.2109808883106</v>
      </c>
    </row>
    <row r="24" spans="1:46" s="15" customFormat="1">
      <c r="A24" s="15" t="s">
        <v>139</v>
      </c>
      <c r="E24" s="15">
        <f>E21-E23</f>
        <v>3482.1571881311884</v>
      </c>
      <c r="F24" s="15">
        <f t="shared" ref="F24:AT24" si="5">F21-F23</f>
        <v>3432.6019852246282</v>
      </c>
      <c r="G24" s="15">
        <f t="shared" si="5"/>
        <v>3381.7944795916319</v>
      </c>
      <c r="H24" s="15">
        <f t="shared" si="5"/>
        <v>3329.9091613956316</v>
      </c>
      <c r="I24" s="15">
        <f t="shared" si="5"/>
        <v>3277.1141148069592</v>
      </c>
      <c r="J24" s="15">
        <f t="shared" si="5"/>
        <v>3223.5704090052914</v>
      </c>
      <c r="K24" s="15">
        <f t="shared" si="5"/>
        <v>3169.432922918706</v>
      </c>
      <c r="L24" s="15">
        <f t="shared" si="5"/>
        <v>3114.8501283033338</v>
      </c>
      <c r="M24" s="15">
        <f t="shared" si="5"/>
        <v>3059.9636739160915</v>
      </c>
      <c r="N24" s="15">
        <f t="shared" si="5"/>
        <v>3004.909136537216</v>
      </c>
      <c r="O24" s="15">
        <f t="shared" si="5"/>
        <v>2949.8157662836384</v>
      </c>
      <c r="P24" s="15">
        <f t="shared" si="5"/>
        <v>2894.806893598934</v>
      </c>
      <c r="Q24" s="15">
        <f t="shared" si="5"/>
        <v>2839.9993481882939</v>
      </c>
      <c r="R24" s="15">
        <f t="shared" si="5"/>
        <v>2785.5042301281783</v>
      </c>
      <c r="S24" s="15">
        <f t="shared" si="5"/>
        <v>2731.4268775346272</v>
      </c>
      <c r="T24" s="15">
        <f t="shared" si="5"/>
        <v>2677.8667804675597</v>
      </c>
      <c r="U24" s="15">
        <f t="shared" si="5"/>
        <v>2624.9179364574129</v>
      </c>
      <c r="V24" s="15">
        <f t="shared" si="5"/>
        <v>2572.668915783891</v>
      </c>
      <c r="W24" s="15">
        <f t="shared" si="5"/>
        <v>2521.2029935840583</v>
      </c>
      <c r="X24" s="15">
        <f t="shared" si="5"/>
        <v>2470.5983422235022</v>
      </c>
      <c r="Y24" s="15">
        <f t="shared" si="5"/>
        <v>2420.9282781425154</v>
      </c>
      <c r="Z24" s="15">
        <f t="shared" si="5"/>
        <v>2372.2613691973311</v>
      </c>
      <c r="AA24" s="15">
        <f t="shared" si="5"/>
        <v>2324.661511742067</v>
      </c>
      <c r="AB24" s="15">
        <f t="shared" si="5"/>
        <v>2278.1883479226335</v>
      </c>
      <c r="AC24" s="15">
        <f t="shared" si="5"/>
        <v>2232.8974922130265</v>
      </c>
      <c r="AD24" s="15">
        <f t="shared" si="5"/>
        <v>2188.8404545399053</v>
      </c>
      <c r="AE24" s="15">
        <f t="shared" si="5"/>
        <v>2146.0651897517046</v>
      </c>
      <c r="AF24" s="15">
        <f t="shared" si="5"/>
        <v>2104.6160022671002</v>
      </c>
      <c r="AG24" s="15">
        <f t="shared" si="5"/>
        <v>2064.5343189916512</v>
      </c>
      <c r="AH24" s="15">
        <f t="shared" si="5"/>
        <v>2025.8583557133434</v>
      </c>
      <c r="AI24" s="15">
        <f t="shared" si="5"/>
        <v>1988.6237739897251</v>
      </c>
      <c r="AJ24" s="15">
        <f t="shared" si="5"/>
        <v>1952.8638245826896</v>
      </c>
      <c r="AK24" s="15">
        <f t="shared" si="5"/>
        <v>1918.6095297523052</v>
      </c>
      <c r="AL24" s="15">
        <f t="shared" si="5"/>
        <v>1885.8903239549463</v>
      </c>
      <c r="AM24" s="15">
        <f t="shared" si="5"/>
        <v>1854.7338249881977</v>
      </c>
      <c r="AN24" s="15">
        <f t="shared" si="5"/>
        <v>1825.1665541078219</v>
      </c>
      <c r="AO24" s="15">
        <f t="shared" si="5"/>
        <v>1797.2142304716081</v>
      </c>
      <c r="AP24" s="15">
        <f t="shared" si="5"/>
        <v>1770.901902151365</v>
      </c>
      <c r="AQ24" s="15">
        <f t="shared" si="5"/>
        <v>1746.2544234548568</v>
      </c>
      <c r="AR24" s="15">
        <f t="shared" si="5"/>
        <v>1723.2966668838499</v>
      </c>
      <c r="AS24" s="15">
        <f t="shared" si="5"/>
        <v>1702.0541867618667</v>
      </c>
      <c r="AT24" s="15">
        <f t="shared" si="5"/>
        <v>1682.553219111689</v>
      </c>
    </row>
    <row r="26" spans="1:46">
      <c r="A26" s="15" t="s">
        <v>162</v>
      </c>
      <c r="B26" t="s">
        <v>165</v>
      </c>
      <c r="E26" s="15">
        <f>E23/$F$1</f>
        <v>2416.3045663754788</v>
      </c>
      <c r="F26" s="15">
        <f t="shared" ref="F26:AT26" si="6">F23/$F$1</f>
        <v>2452.172596633347</v>
      </c>
      <c r="G26" s="15">
        <f t="shared" si="6"/>
        <v>2486.2833286161926</v>
      </c>
      <c r="H26" s="15">
        <f t="shared" si="6"/>
        <v>2518.6184812424704</v>
      </c>
      <c r="I26" s="15">
        <f t="shared" si="6"/>
        <v>2549.1639726981898</v>
      </c>
      <c r="J26" s="15">
        <f t="shared" si="6"/>
        <v>2577.9094127717913</v>
      </c>
      <c r="K26" s="15">
        <f t="shared" si="6"/>
        <v>2604.8486777668954</v>
      </c>
      <c r="L26" s="15">
        <f t="shared" si="6"/>
        <v>2629.9796976995131</v>
      </c>
      <c r="M26" s="15">
        <f t="shared" si="6"/>
        <v>2653.3040241182148</v>
      </c>
      <c r="N26" s="15">
        <f t="shared" si="6"/>
        <v>2674.8273589280234</v>
      </c>
      <c r="O26" s="15">
        <f t="shared" si="6"/>
        <v>2694.5592458818837</v>
      </c>
      <c r="P26" s="15">
        <f t="shared" si="6"/>
        <v>2712.5133235040385</v>
      </c>
      <c r="Q26" s="15">
        <f t="shared" si="6"/>
        <v>2728.7066612451481</v>
      </c>
      <c r="R26" s="15">
        <f t="shared" si="6"/>
        <v>2743.1603174714674</v>
      </c>
      <c r="S26" s="15">
        <f t="shared" si="6"/>
        <v>2755.8991687829825</v>
      </c>
      <c r="T26" s="15">
        <f t="shared" si="6"/>
        <v>2766.951649464394</v>
      </c>
      <c r="U26" s="15">
        <f t="shared" si="6"/>
        <v>2776.3499137016743</v>
      </c>
      <c r="V26" s="15">
        <f t="shared" si="6"/>
        <v>2784.1297022686531</v>
      </c>
      <c r="W26" s="15">
        <f t="shared" si="6"/>
        <v>2790.3302578160369</v>
      </c>
      <c r="X26" s="15">
        <f t="shared" si="6"/>
        <v>2794.9942911593057</v>
      </c>
      <c r="Y26" s="15">
        <f t="shared" si="6"/>
        <v>2798.1680006779143</v>
      </c>
      <c r="Z26" s="15">
        <f t="shared" si="6"/>
        <v>2799.900923650609</v>
      </c>
      <c r="AA26" s="15">
        <f t="shared" si="6"/>
        <v>2800.2457256415814</v>
      </c>
      <c r="AB26" s="15">
        <f t="shared" si="6"/>
        <v>2799.2583766705716</v>
      </c>
      <c r="AC26" s="15">
        <f t="shared" si="6"/>
        <v>2796.9981050317419</v>
      </c>
      <c r="AD26" s="15">
        <f t="shared" si="6"/>
        <v>2793.5269508978449</v>
      </c>
      <c r="AE26" s="15">
        <f t="shared" si="6"/>
        <v>2788.9100767329542</v>
      </c>
      <c r="AF26" s="15">
        <f t="shared" si="6"/>
        <v>2783.2152546470434</v>
      </c>
      <c r="AG26" s="15">
        <f t="shared" si="6"/>
        <v>2776.5134602220251</v>
      </c>
      <c r="AH26" s="15">
        <f t="shared" si="6"/>
        <v>2768.8780088637432</v>
      </c>
      <c r="AI26" s="15">
        <f t="shared" si="6"/>
        <v>2760.3849729964509</v>
      </c>
      <c r="AJ26" s="15">
        <f t="shared" si="6"/>
        <v>2751.1129107362449</v>
      </c>
      <c r="AK26" s="15">
        <f t="shared" si="6"/>
        <v>2741.1426168787207</v>
      </c>
      <c r="AL26" s="15">
        <f t="shared" si="6"/>
        <v>2730.5575095054937</v>
      </c>
      <c r="AM26" s="15">
        <f t="shared" si="6"/>
        <v>2719.4427646028471</v>
      </c>
      <c r="AN26" s="15">
        <f t="shared" si="6"/>
        <v>2707.8857831723276</v>
      </c>
      <c r="AO26" s="15">
        <f t="shared" si="6"/>
        <v>2695.9760472731355</v>
      </c>
      <c r="AP26" s="15">
        <f t="shared" si="6"/>
        <v>2683.8047072440272</v>
      </c>
      <c r="AQ26" s="15">
        <f t="shared" si="6"/>
        <v>2671.4646629726799</v>
      </c>
      <c r="AR26" s="15">
        <f t="shared" si="6"/>
        <v>2659.0502310642883</v>
      </c>
      <c r="AS26" s="15">
        <f t="shared" si="6"/>
        <v>2646.6574865832599</v>
      </c>
      <c r="AT26" s="15">
        <f t="shared" si="6"/>
        <v>2634.3835696672663</v>
      </c>
    </row>
    <row r="27" spans="1:46">
      <c r="A27" s="15" t="s">
        <v>163</v>
      </c>
      <c r="B27" t="s">
        <v>165</v>
      </c>
      <c r="E27" s="15">
        <f>E24/$D$1</f>
        <v>1252.5745281047441</v>
      </c>
      <c r="F27" s="15">
        <f t="shared" ref="F27:AT27" si="7">F24/$D$1</f>
        <v>1234.7489155484275</v>
      </c>
      <c r="G27" s="15">
        <f t="shared" si="7"/>
        <v>1216.4728343854792</v>
      </c>
      <c r="H27" s="15">
        <f t="shared" si="7"/>
        <v>1197.8090508617381</v>
      </c>
      <c r="I27" s="15">
        <f t="shared" si="7"/>
        <v>1178.8180269089783</v>
      </c>
      <c r="J27" s="15">
        <f t="shared" si="7"/>
        <v>1159.5577010810402</v>
      </c>
      <c r="K27" s="15">
        <f t="shared" si="7"/>
        <v>1140.0837852225561</v>
      </c>
      <c r="L27" s="15">
        <f t="shared" si="7"/>
        <v>1120.4496864400483</v>
      </c>
      <c r="M27" s="15">
        <f t="shared" si="7"/>
        <v>1100.7063575237739</v>
      </c>
      <c r="N27" s="15">
        <f t="shared" si="7"/>
        <v>1080.902567099718</v>
      </c>
      <c r="O27" s="15">
        <f t="shared" si="7"/>
        <v>1061.0848080156973</v>
      </c>
      <c r="P27" s="15">
        <f t="shared" si="7"/>
        <v>1041.2974437406237</v>
      </c>
      <c r="Q27" s="15">
        <f t="shared" si="7"/>
        <v>1021.5824993483072</v>
      </c>
      <c r="R27" s="15">
        <f t="shared" si="7"/>
        <v>1001.9799388950282</v>
      </c>
      <c r="S27" s="15">
        <f t="shared" si="7"/>
        <v>982.52765378943434</v>
      </c>
      <c r="T27" s="15">
        <f t="shared" si="7"/>
        <v>963.2614318228633</v>
      </c>
      <c r="U27" s="15">
        <f t="shared" si="7"/>
        <v>944.21508505662337</v>
      </c>
      <c r="V27" s="15">
        <f t="shared" si="7"/>
        <v>925.42047330355797</v>
      </c>
      <c r="W27" s="15">
        <f t="shared" si="7"/>
        <v>906.90755164894188</v>
      </c>
      <c r="X27" s="15">
        <f t="shared" si="7"/>
        <v>888.70443964874187</v>
      </c>
      <c r="Y27" s="15">
        <f t="shared" si="7"/>
        <v>870.83751012320704</v>
      </c>
      <c r="Z27" s="15">
        <f t="shared" si="7"/>
        <v>853.33142776882414</v>
      </c>
      <c r="AA27" s="15">
        <f t="shared" si="7"/>
        <v>836.20917688563566</v>
      </c>
      <c r="AB27" s="15">
        <f t="shared" si="7"/>
        <v>819.49221148296181</v>
      </c>
      <c r="AC27" s="15">
        <f t="shared" si="7"/>
        <v>803.20053676727571</v>
      </c>
      <c r="AD27" s="15">
        <f t="shared" si="7"/>
        <v>787.35268148917464</v>
      </c>
      <c r="AE27" s="15">
        <f t="shared" si="7"/>
        <v>771.96589559413837</v>
      </c>
      <c r="AF27" s="15">
        <f t="shared" si="7"/>
        <v>757.05611592341734</v>
      </c>
      <c r="AG27" s="15">
        <f t="shared" si="7"/>
        <v>742.63824424160123</v>
      </c>
      <c r="AH27" s="15">
        <f t="shared" si="7"/>
        <v>728.72602723501564</v>
      </c>
      <c r="AI27" s="15">
        <f t="shared" si="7"/>
        <v>715.33229280205944</v>
      </c>
      <c r="AJ27" s="15">
        <f t="shared" si="7"/>
        <v>702.46900164844953</v>
      </c>
      <c r="AK27" s="15">
        <f t="shared" si="7"/>
        <v>690.14731286054143</v>
      </c>
      <c r="AL27" s="15">
        <f t="shared" si="7"/>
        <v>678.37781437228284</v>
      </c>
      <c r="AM27" s="15">
        <f t="shared" si="7"/>
        <v>667.17044064323659</v>
      </c>
      <c r="AN27" s="15">
        <f t="shared" si="7"/>
        <v>656.53473169346114</v>
      </c>
      <c r="AO27" s="15">
        <f t="shared" si="7"/>
        <v>646.4799390185641</v>
      </c>
      <c r="AP27" s="15">
        <f t="shared" si="7"/>
        <v>637.0150727163184</v>
      </c>
      <c r="AQ27" s="15">
        <f t="shared" si="7"/>
        <v>628.14907318520034</v>
      </c>
      <c r="AR27" s="15">
        <f t="shared" si="7"/>
        <v>619.89088736829137</v>
      </c>
      <c r="AS27" s="15">
        <f t="shared" si="7"/>
        <v>612.2497074682974</v>
      </c>
      <c r="AT27" s="15">
        <f t="shared" si="7"/>
        <v>605.2349709034853</v>
      </c>
    </row>
    <row r="29" spans="1:46">
      <c r="A29" s="15" t="s">
        <v>168</v>
      </c>
      <c r="C29" t="s">
        <v>170</v>
      </c>
      <c r="E29" s="15">
        <f>E26*$J$1*$B$1*10</f>
        <v>21454.712085458686</v>
      </c>
      <c r="F29" s="15">
        <f t="shared" ref="F29:AT29" si="8">F26*$J$1*$B$1*10</f>
        <v>21773.189430145998</v>
      </c>
      <c r="G29" s="15">
        <f t="shared" si="8"/>
        <v>22076.063473385493</v>
      </c>
      <c r="H29" s="15">
        <f t="shared" si="8"/>
        <v>22363.171894852734</v>
      </c>
      <c r="I29" s="15">
        <f t="shared" si="8"/>
        <v>22634.389660117457</v>
      </c>
      <c r="J29" s="15">
        <f t="shared" si="8"/>
        <v>22889.624513012684</v>
      </c>
      <c r="K29" s="15">
        <f t="shared" si="8"/>
        <v>23128.822080366881</v>
      </c>
      <c r="L29" s="15">
        <f t="shared" si="8"/>
        <v>23351.963982497626</v>
      </c>
      <c r="M29" s="15">
        <f t="shared" si="8"/>
        <v>23559.063995825472</v>
      </c>
      <c r="N29" s="15">
        <f t="shared" si="8"/>
        <v>23750.172748376503</v>
      </c>
      <c r="O29" s="15">
        <f t="shared" si="8"/>
        <v>23925.374980491193</v>
      </c>
      <c r="P29" s="15">
        <f t="shared" si="8"/>
        <v>24084.791790567047</v>
      </c>
      <c r="Q29" s="15">
        <f t="shared" si="8"/>
        <v>24228.574740685475</v>
      </c>
      <c r="R29" s="15">
        <f t="shared" si="8"/>
        <v>24356.910811077065</v>
      </c>
      <c r="S29" s="15">
        <f t="shared" si="8"/>
        <v>24470.020884613034</v>
      </c>
      <c r="T29" s="15">
        <f t="shared" si="8"/>
        <v>24568.157433353445</v>
      </c>
      <c r="U29" s="15">
        <f t="shared" si="8"/>
        <v>24651.605958891087</v>
      </c>
      <c r="V29" s="15">
        <f t="shared" si="8"/>
        <v>24720.683808642716</v>
      </c>
      <c r="W29" s="15">
        <f t="shared" si="8"/>
        <v>24775.739423688206</v>
      </c>
      <c r="X29" s="15">
        <f t="shared" si="8"/>
        <v>24817.15203943594</v>
      </c>
      <c r="Y29" s="15">
        <f t="shared" si="8"/>
        <v>24845.331857871151</v>
      </c>
      <c r="Z29" s="15">
        <f t="shared" si="8"/>
        <v>24860.718727540981</v>
      </c>
      <c r="AA29" s="15">
        <f t="shared" si="8"/>
        <v>24863.780273484223</v>
      </c>
      <c r="AB29" s="15">
        <f t="shared" si="8"/>
        <v>24855.013461470669</v>
      </c>
      <c r="AC29" s="15">
        <f t="shared" si="8"/>
        <v>24834.944187952406</v>
      </c>
      <c r="AD29" s="15">
        <f t="shared" si="8"/>
        <v>24804.123316451627</v>
      </c>
      <c r="AE29" s="15">
        <f t="shared" si="8"/>
        <v>24763.129433759463</v>
      </c>
      <c r="AF29" s="15">
        <f t="shared" si="8"/>
        <v>24712.56429808437</v>
      </c>
      <c r="AG29" s="15">
        <f t="shared" si="8"/>
        <v>24653.058111717983</v>
      </c>
      <c r="AH29" s="15">
        <f t="shared" si="8"/>
        <v>24585.261852581585</v>
      </c>
      <c r="AI29" s="15">
        <f t="shared" si="8"/>
        <v>24509.850978555231</v>
      </c>
      <c r="AJ29" s="15">
        <f t="shared" si="8"/>
        <v>24427.523018330598</v>
      </c>
      <c r="AK29" s="15">
        <f t="shared" si="8"/>
        <v>24338.995360394882</v>
      </c>
      <c r="AL29" s="15">
        <f t="shared" si="8"/>
        <v>24245.008685765155</v>
      </c>
      <c r="AM29" s="15">
        <f t="shared" si="8"/>
        <v>24146.319284144189</v>
      </c>
      <c r="AN29" s="15">
        <f t="shared" si="8"/>
        <v>24043.703201461896</v>
      </c>
      <c r="AO29" s="15">
        <f t="shared" si="8"/>
        <v>23937.954961655232</v>
      </c>
      <c r="AP29" s="15">
        <f t="shared" si="8"/>
        <v>23829.883901552719</v>
      </c>
      <c r="AQ29" s="15">
        <f t="shared" si="8"/>
        <v>23720.314892476716</v>
      </c>
      <c r="AR29" s="15">
        <f t="shared" si="8"/>
        <v>23610.085384986029</v>
      </c>
      <c r="AS29" s="15">
        <f t="shared" si="8"/>
        <v>23500.048443249027</v>
      </c>
      <c r="AT29" s="15">
        <f t="shared" si="8"/>
        <v>23391.066588371148</v>
      </c>
    </row>
    <row r="30" spans="1:46">
      <c r="A30" s="15" t="s">
        <v>169</v>
      </c>
      <c r="C30" t="s">
        <v>170</v>
      </c>
      <c r="E30" s="15">
        <f>E27*$H$1*$B$1*10</f>
        <v>44487.149906566156</v>
      </c>
      <c r="F30" s="15">
        <f t="shared" ref="F30:AT30" si="9">F27*$H$1*$B$1*10</f>
        <v>43854.04530466345</v>
      </c>
      <c r="G30" s="15">
        <f t="shared" si="9"/>
        <v>43204.941603320534</v>
      </c>
      <c r="H30" s="15">
        <f t="shared" si="9"/>
        <v>42542.068044251209</v>
      </c>
      <c r="I30" s="15">
        <f t="shared" si="9"/>
        <v>41867.572027839342</v>
      </c>
      <c r="J30" s="15">
        <f t="shared" si="9"/>
        <v>41183.511332741822</v>
      </c>
      <c r="K30" s="15">
        <f t="shared" si="9"/>
        <v>40491.864652543802</v>
      </c>
      <c r="L30" s="15">
        <f t="shared" si="9"/>
        <v>39794.52882443992</v>
      </c>
      <c r="M30" s="15">
        <f t="shared" si="9"/>
        <v>39093.313516731308</v>
      </c>
      <c r="N30" s="15">
        <f t="shared" si="9"/>
        <v>38389.950823697589</v>
      </c>
      <c r="O30" s="15">
        <f t="shared" si="9"/>
        <v>37686.092011785586</v>
      </c>
      <c r="P30" s="15">
        <f t="shared" si="9"/>
        <v>36983.312719208901</v>
      </c>
      <c r="Q30" s="15">
        <f t="shared" si="9"/>
        <v>36283.105532409667</v>
      </c>
      <c r="R30" s="15">
        <f t="shared" si="9"/>
        <v>35586.889837558316</v>
      </c>
      <c r="S30" s="15">
        <f t="shared" si="9"/>
        <v>34896.011407492195</v>
      </c>
      <c r="T30" s="15">
        <f t="shared" si="9"/>
        <v>34211.741301778886</v>
      </c>
      <c r="U30" s="15">
        <f t="shared" si="9"/>
        <v>33535.280408833685</v>
      </c>
      <c r="V30" s="15">
        <f t="shared" si="9"/>
        <v>32867.760279904149</v>
      </c>
      <c r="W30" s="15">
        <f t="shared" si="9"/>
        <v>32210.244816849365</v>
      </c>
      <c r="X30" s="15">
        <f t="shared" si="9"/>
        <v>31563.732729824715</v>
      </c>
      <c r="Y30" s="15">
        <f t="shared" si="9"/>
        <v>30929.160690925601</v>
      </c>
      <c r="Z30" s="15">
        <f t="shared" si="9"/>
        <v>30307.404705551613</v>
      </c>
      <c r="AA30" s="15">
        <f t="shared" si="9"/>
        <v>29699.281097185736</v>
      </c>
      <c r="AB30" s="15">
        <f t="shared" si="9"/>
        <v>29105.551838634634</v>
      </c>
      <c r="AC30" s="15">
        <f t="shared" si="9"/>
        <v>28526.927446198373</v>
      </c>
      <c r="AD30" s="15">
        <f t="shared" si="9"/>
        <v>27964.065997529753</v>
      </c>
      <c r="AE30" s="15">
        <f t="shared" si="9"/>
        <v>27417.580151511116</v>
      </c>
      <c r="AF30" s="15">
        <f t="shared" si="9"/>
        <v>26888.03593006757</v>
      </c>
      <c r="AG30" s="15">
        <f t="shared" si="9"/>
        <v>26375.962592752385</v>
      </c>
      <c r="AH30" s="15">
        <f t="shared" si="9"/>
        <v>25881.848374701727</v>
      </c>
      <c r="AI30" s="15">
        <f t="shared" si="9"/>
        <v>25406.148878856769</v>
      </c>
      <c r="AJ30" s="15">
        <f t="shared" si="9"/>
        <v>24949.288908449809</v>
      </c>
      <c r="AK30" s="15">
        <f t="shared" si="9"/>
        <v>24511.664795943598</v>
      </c>
      <c r="AL30" s="15">
        <f t="shared" si="9"/>
        <v>24093.652588426889</v>
      </c>
      <c r="AM30" s="15">
        <f t="shared" si="9"/>
        <v>23695.605123820213</v>
      </c>
      <c r="AN30" s="15">
        <f t="shared" si="9"/>
        <v>23317.861230906165</v>
      </c>
      <c r="AO30" s="15">
        <f t="shared" si="9"/>
        <v>22960.749491068691</v>
      </c>
      <c r="AP30" s="15">
        <f t="shared" si="9"/>
        <v>22624.589912068855</v>
      </c>
      <c r="AQ30" s="15">
        <f t="shared" si="9"/>
        <v>22309.700026187817</v>
      </c>
      <c r="AR30" s="15">
        <f t="shared" si="9"/>
        <v>22016.397598148673</v>
      </c>
      <c r="AS30" s="15">
        <f t="shared" si="9"/>
        <v>21745.009103454933</v>
      </c>
      <c r="AT30" s="15">
        <f t="shared" si="9"/>
        <v>21495.869726825542</v>
      </c>
    </row>
    <row r="32" spans="1:46">
      <c r="E32" s="15">
        <f>E29+E30</f>
        <v>65941.861992024846</v>
      </c>
      <c r="F32" s="15">
        <f t="shared" ref="F32:AT32" si="10">F29+F30</f>
        <v>65627.234734809448</v>
      </c>
      <c r="G32" s="15">
        <f t="shared" si="10"/>
        <v>65281.005076706031</v>
      </c>
      <c r="H32" s="15">
        <f t="shared" si="10"/>
        <v>64905.239939103943</v>
      </c>
      <c r="I32" s="15">
        <f t="shared" si="10"/>
        <v>64501.961687956798</v>
      </c>
      <c r="J32" s="15">
        <f t="shared" si="10"/>
        <v>64073.135845754507</v>
      </c>
      <c r="K32" s="15">
        <f t="shared" si="10"/>
        <v>63620.686732910683</v>
      </c>
      <c r="L32" s="15">
        <f t="shared" si="10"/>
        <v>63146.492806937546</v>
      </c>
      <c r="M32" s="15">
        <f t="shared" si="10"/>
        <v>62652.377512556777</v>
      </c>
      <c r="N32" s="15">
        <f t="shared" si="10"/>
        <v>62140.123572074095</v>
      </c>
      <c r="O32" s="15">
        <f t="shared" si="10"/>
        <v>61611.466992276779</v>
      </c>
      <c r="P32" s="15">
        <f t="shared" si="10"/>
        <v>61068.104509775949</v>
      </c>
      <c r="Q32" s="15">
        <f t="shared" si="10"/>
        <v>60511.680273095146</v>
      </c>
      <c r="R32" s="15">
        <f t="shared" si="10"/>
        <v>59943.800648635384</v>
      </c>
      <c r="S32" s="15">
        <f t="shared" si="10"/>
        <v>59366.032292105228</v>
      </c>
      <c r="T32" s="15">
        <f t="shared" si="10"/>
        <v>58779.89873513233</v>
      </c>
      <c r="U32" s="15">
        <f t="shared" si="10"/>
        <v>58186.886367724772</v>
      </c>
      <c r="V32" s="15">
        <f t="shared" si="10"/>
        <v>57588.444088546865</v>
      </c>
      <c r="W32" s="15">
        <f t="shared" si="10"/>
        <v>56985.984240537568</v>
      </c>
      <c r="X32" s="15">
        <f t="shared" si="10"/>
        <v>56380.884769260651</v>
      </c>
      <c r="Y32" s="15">
        <f t="shared" si="10"/>
        <v>55774.492548796756</v>
      </c>
      <c r="Z32" s="15">
        <f t="shared" si="10"/>
        <v>55168.123433092594</v>
      </c>
      <c r="AA32" s="15">
        <f t="shared" si="10"/>
        <v>54563.061370669959</v>
      </c>
      <c r="AB32" s="15">
        <f t="shared" si="10"/>
        <v>53960.5653001053</v>
      </c>
      <c r="AC32" s="15">
        <f t="shared" si="10"/>
        <v>53361.871634150782</v>
      </c>
      <c r="AD32" s="15">
        <f t="shared" si="10"/>
        <v>52768.189313981376</v>
      </c>
      <c r="AE32" s="15">
        <f t="shared" si="10"/>
        <v>52180.709585270582</v>
      </c>
      <c r="AF32" s="15">
        <f t="shared" si="10"/>
        <v>51600.60022815194</v>
      </c>
      <c r="AG32" s="15">
        <f t="shared" si="10"/>
        <v>51029.020704470371</v>
      </c>
      <c r="AH32" s="15">
        <f t="shared" si="10"/>
        <v>50467.110227283309</v>
      </c>
      <c r="AI32" s="15">
        <f t="shared" si="10"/>
        <v>49915.999857411996</v>
      </c>
      <c r="AJ32" s="15">
        <f t="shared" si="10"/>
        <v>49376.811926780407</v>
      </c>
      <c r="AK32" s="15">
        <f t="shared" si="10"/>
        <v>48850.660156338476</v>
      </c>
      <c r="AL32" s="15">
        <f t="shared" si="10"/>
        <v>48338.66127419204</v>
      </c>
      <c r="AM32" s="15">
        <f t="shared" si="10"/>
        <v>47841.924407964398</v>
      </c>
      <c r="AN32" s="15">
        <f t="shared" si="10"/>
        <v>47361.564432368061</v>
      </c>
      <c r="AO32" s="15">
        <f t="shared" si="10"/>
        <v>46898.70445272392</v>
      </c>
      <c r="AP32" s="15">
        <f t="shared" si="10"/>
        <v>46454.473813621575</v>
      </c>
      <c r="AQ32" s="15">
        <f t="shared" si="10"/>
        <v>46030.014918664529</v>
      </c>
      <c r="AR32" s="15">
        <f t="shared" si="10"/>
        <v>45626.482983134701</v>
      </c>
      <c r="AS32" s="15">
        <f t="shared" si="10"/>
        <v>45245.05754670396</v>
      </c>
      <c r="AT32" s="15">
        <f t="shared" si="10"/>
        <v>44886.93631519669</v>
      </c>
    </row>
    <row r="33" spans="5:11" s="15" customFormat="1">
      <c r="E33" s="15">
        <f>山东光伏数据!O24*10</f>
        <v>3356.5999999999995</v>
      </c>
      <c r="F33" s="15">
        <f>山东光伏数据!P24*10</f>
        <v>8016.5999999999995</v>
      </c>
      <c r="G33" s="15">
        <f>山东光伏数据!Q24*10</f>
        <v>15648.800000000001</v>
      </c>
      <c r="K33" s="15">
        <f>F33+15000</f>
        <v>23016.6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8318-E2D3-4F30-BF5C-F0C936D2EE00}">
  <dimension ref="A1:K32"/>
  <sheetViews>
    <sheetView workbookViewId="0">
      <selection activeCell="I31" sqref="I31"/>
    </sheetView>
  </sheetViews>
  <sheetFormatPr defaultRowHeight="14.25"/>
  <cols>
    <col min="1" max="1" width="14" bestFit="1" customWidth="1"/>
    <col min="2" max="2" width="12.875" bestFit="1" customWidth="1"/>
    <col min="3" max="3" width="14" bestFit="1" customWidth="1"/>
    <col min="4" max="4" width="12.875" bestFit="1" customWidth="1"/>
    <col min="5" max="5" width="14" bestFit="1" customWidth="1"/>
    <col min="6" max="10" width="12.875" bestFit="1" customWidth="1"/>
  </cols>
  <sheetData>
    <row r="1" spans="1:10">
      <c r="A1">
        <v>2020</v>
      </c>
      <c r="C1">
        <v>2030</v>
      </c>
      <c r="E1">
        <v>2040</v>
      </c>
      <c r="G1">
        <v>2050</v>
      </c>
      <c r="I1">
        <v>2060</v>
      </c>
    </row>
    <row r="2" spans="1:10">
      <c r="A2" s="25">
        <v>9201490</v>
      </c>
      <c r="B2" s="25">
        <v>7928794.2078599967</v>
      </c>
      <c r="C2" s="25">
        <v>9446679</v>
      </c>
      <c r="D2" s="25">
        <v>8991701.5485753436</v>
      </c>
      <c r="E2" s="25">
        <v>9163614</v>
      </c>
      <c r="F2" s="25">
        <v>9163614</v>
      </c>
      <c r="G2" s="25">
        <v>8725344</v>
      </c>
      <c r="H2" s="25">
        <v>8725344</v>
      </c>
      <c r="I2" s="25">
        <v>8211131</v>
      </c>
      <c r="J2" s="25">
        <v>8211131</v>
      </c>
    </row>
    <row r="3" spans="1:10">
      <c r="A3" s="25">
        <v>10070342</v>
      </c>
      <c r="B3" s="25">
        <v>7852632.1555775544</v>
      </c>
      <c r="C3" s="25">
        <v>10234790</v>
      </c>
      <c r="D3" s="25">
        <v>8815840.1745067872</v>
      </c>
      <c r="E3" s="25">
        <v>9859559</v>
      </c>
      <c r="F3" s="25">
        <v>8926945.4250377882</v>
      </c>
      <c r="G3" s="25">
        <v>9292441</v>
      </c>
      <c r="H3" s="25">
        <v>8736401.5773190241</v>
      </c>
      <c r="I3" s="25">
        <v>8674222</v>
      </c>
      <c r="J3" s="25">
        <v>8468191.9924709946</v>
      </c>
    </row>
    <row r="4" spans="1:10">
      <c r="A4" s="25">
        <v>4703603</v>
      </c>
      <c r="B4" s="25">
        <v>3545987.5386224589</v>
      </c>
      <c r="C4" s="25">
        <v>4752406</v>
      </c>
      <c r="D4" s="25">
        <v>3957617.5178969861</v>
      </c>
      <c r="E4" s="25">
        <v>4549833</v>
      </c>
      <c r="F4" s="25">
        <v>3982688.6654312583</v>
      </c>
      <c r="G4" s="25">
        <v>4217779</v>
      </c>
      <c r="H4" s="25">
        <v>3833735.1667393139</v>
      </c>
      <c r="I4" s="25">
        <v>3906836</v>
      </c>
      <c r="J4" s="25">
        <v>3687405.1348933927</v>
      </c>
    </row>
    <row r="5" spans="1:10">
      <c r="A5" s="25">
        <v>3855201</v>
      </c>
      <c r="B5" s="25">
        <v>2343863.9192663762</v>
      </c>
      <c r="C5" s="25">
        <v>3999445</v>
      </c>
      <c r="D5" s="25">
        <v>2685955.6311356081</v>
      </c>
      <c r="E5" s="25">
        <v>3950800</v>
      </c>
      <c r="F5" s="25">
        <v>2788975.9433714855</v>
      </c>
      <c r="G5" s="25">
        <v>3780283</v>
      </c>
      <c r="H5" s="25">
        <v>2771031.2473977609</v>
      </c>
      <c r="I5" s="25">
        <v>3591771</v>
      </c>
      <c r="J5" s="25">
        <v>2733903.2180788377</v>
      </c>
    </row>
    <row r="6" spans="1:10">
      <c r="A6" s="25">
        <v>2193342</v>
      </c>
      <c r="B6" s="25">
        <v>1596319.9609765674</v>
      </c>
      <c r="C6" s="25">
        <v>2233662</v>
      </c>
      <c r="D6" s="25">
        <v>1795745.4843181542</v>
      </c>
      <c r="E6" s="25">
        <v>2164600</v>
      </c>
      <c r="F6" s="25">
        <v>1829218.5581097831</v>
      </c>
      <c r="G6" s="25">
        <v>2037836</v>
      </c>
      <c r="H6" s="25">
        <v>1788193.7044165174</v>
      </c>
      <c r="I6" s="25">
        <v>1897317</v>
      </c>
      <c r="J6" s="25">
        <v>1728791.4904125929</v>
      </c>
    </row>
    <row r="7" spans="1:10">
      <c r="A7" s="25">
        <v>7101116</v>
      </c>
      <c r="B7" s="25">
        <v>4820886.073755064</v>
      </c>
      <c r="C7" s="25">
        <v>7069158</v>
      </c>
      <c r="D7" s="25">
        <v>5301291.52950445</v>
      </c>
      <c r="E7" s="25">
        <v>6597281</v>
      </c>
      <c r="F7" s="25">
        <v>5200434.1224923022</v>
      </c>
      <c r="G7" s="25">
        <v>6032108</v>
      </c>
      <c r="H7" s="25">
        <v>4937431.8254277064</v>
      </c>
      <c r="I7" s="25">
        <v>5536807</v>
      </c>
      <c r="J7" s="25">
        <v>4705965.8952748608</v>
      </c>
    </row>
    <row r="8" spans="1:10">
      <c r="A8" s="25">
        <v>9385514</v>
      </c>
      <c r="B8" s="25">
        <v>5975205.1313769259</v>
      </c>
      <c r="C8" s="25">
        <v>9521158</v>
      </c>
      <c r="D8" s="25">
        <v>6695735.1614255039</v>
      </c>
      <c r="E8" s="25">
        <v>9186805</v>
      </c>
      <c r="F8" s="25">
        <v>6790998.1323601818</v>
      </c>
      <c r="G8" s="25">
        <v>8604738</v>
      </c>
      <c r="H8" s="25">
        <v>6604868.1280735657</v>
      </c>
      <c r="I8" s="25">
        <v>8045140</v>
      </c>
      <c r="J8" s="25">
        <v>6412354.0355465189</v>
      </c>
    </row>
    <row r="9" spans="1:10">
      <c r="A9" s="25">
        <v>8356958</v>
      </c>
      <c r="B9" s="25">
        <v>5061104.2106103254</v>
      </c>
      <c r="C9" s="25">
        <v>8555335</v>
      </c>
      <c r="D9" s="25">
        <v>5723317.2216458218</v>
      </c>
      <c r="E9" s="25">
        <v>8428512</v>
      </c>
      <c r="F9" s="25">
        <v>5926828.0155807845</v>
      </c>
      <c r="G9" s="25">
        <v>8044543</v>
      </c>
      <c r="H9" s="25">
        <v>5873949.1120230481</v>
      </c>
      <c r="I9" s="25">
        <v>7582939</v>
      </c>
      <c r="J9" s="25">
        <v>5749416.2408232996</v>
      </c>
    </row>
    <row r="10" spans="1:10">
      <c r="A10" s="25">
        <v>5471633</v>
      </c>
      <c r="B10" s="25">
        <v>3536681.5845107147</v>
      </c>
      <c r="C10" s="25">
        <v>5504865</v>
      </c>
      <c r="D10" s="25">
        <v>3930424.0777666285</v>
      </c>
      <c r="E10" s="25">
        <v>5299412</v>
      </c>
      <c r="F10" s="25">
        <v>3977233.0632723761</v>
      </c>
      <c r="G10" s="25">
        <v>4962765</v>
      </c>
      <c r="H10" s="25">
        <v>3867536.7906807414</v>
      </c>
      <c r="I10" s="25">
        <v>4596419</v>
      </c>
      <c r="J10" s="25">
        <v>3719527.2169720894</v>
      </c>
    </row>
    <row r="11" spans="1:10">
      <c r="A11" s="25">
        <v>2906105</v>
      </c>
      <c r="B11" s="25">
        <v>2063059.1946772977</v>
      </c>
      <c r="C11" s="25">
        <v>2883691</v>
      </c>
      <c r="D11" s="25">
        <v>2261324.2881783443</v>
      </c>
      <c r="E11" s="25">
        <v>2672694</v>
      </c>
      <c r="F11" s="25">
        <v>2203048.1115039084</v>
      </c>
      <c r="G11" s="25">
        <v>2435634</v>
      </c>
      <c r="H11" s="25">
        <v>2084702.8377986103</v>
      </c>
      <c r="I11" s="25">
        <v>2237055</v>
      </c>
      <c r="J11" s="25">
        <v>1988227.9656916701</v>
      </c>
    </row>
    <row r="12" spans="1:10">
      <c r="A12" s="25">
        <v>2967964</v>
      </c>
      <c r="B12" s="25">
        <v>1848605.1873505085</v>
      </c>
      <c r="C12" s="25">
        <v>3003146</v>
      </c>
      <c r="D12" s="25">
        <v>2066216.0111622256</v>
      </c>
      <c r="E12" s="25">
        <v>2908859</v>
      </c>
      <c r="F12" s="25">
        <v>2103693.9805818549</v>
      </c>
      <c r="G12" s="25">
        <v>2724780</v>
      </c>
      <c r="H12" s="25">
        <v>2046203.0304336241</v>
      </c>
      <c r="I12" s="25">
        <v>2551031</v>
      </c>
      <c r="J12" s="25">
        <v>1989254.7489179329</v>
      </c>
    </row>
    <row r="13" spans="1:10">
      <c r="A13" s="25">
        <v>11017081</v>
      </c>
      <c r="B13" s="25">
        <v>6741695.3210939839</v>
      </c>
      <c r="C13" s="25">
        <v>11252160</v>
      </c>
      <c r="D13" s="25">
        <v>7605928.1027753502</v>
      </c>
      <c r="E13" s="25">
        <v>11119411</v>
      </c>
      <c r="F13" s="25">
        <v>7900575.3145360937</v>
      </c>
      <c r="G13" s="25">
        <v>10616953</v>
      </c>
      <c r="H13" s="25">
        <v>7833109.8292261427</v>
      </c>
      <c r="I13" s="25">
        <v>10047068</v>
      </c>
      <c r="J13" s="25">
        <v>7697169.4851526283</v>
      </c>
    </row>
    <row r="14" spans="1:10">
      <c r="A14" s="25">
        <v>5610690</v>
      </c>
      <c r="B14" s="25">
        <v>3309070.6684774677</v>
      </c>
      <c r="C14" s="25">
        <v>5699158</v>
      </c>
      <c r="D14" s="25">
        <v>3712908.1285224445</v>
      </c>
      <c r="E14" s="25">
        <v>5570582</v>
      </c>
      <c r="F14" s="25">
        <v>3814737.8202715367</v>
      </c>
      <c r="G14" s="25">
        <v>5276826</v>
      </c>
      <c r="H14" s="25">
        <v>3752271.7538994187</v>
      </c>
      <c r="I14" s="25">
        <v>4933811</v>
      </c>
      <c r="J14" s="25">
        <v>3643018.7452359018</v>
      </c>
    </row>
    <row r="15" spans="1:10">
      <c r="A15" s="25">
        <v>5951569</v>
      </c>
      <c r="B15" s="25">
        <v>3174543.4647765323</v>
      </c>
      <c r="C15" s="25">
        <v>6095327</v>
      </c>
      <c r="D15" s="25">
        <v>3591373.3197433217</v>
      </c>
      <c r="E15" s="25">
        <v>6020338</v>
      </c>
      <c r="F15" s="25">
        <v>3728593.4697230281</v>
      </c>
      <c r="G15" s="25">
        <v>5772340</v>
      </c>
      <c r="H15" s="25">
        <v>3712217.8149975757</v>
      </c>
      <c r="I15" s="25">
        <v>5450335</v>
      </c>
      <c r="J15" s="25">
        <v>3639671.0150238951</v>
      </c>
    </row>
    <row r="16" spans="1:10">
      <c r="A16" s="25">
        <v>3928160</v>
      </c>
      <c r="B16" s="25">
        <v>2445403.6514075403</v>
      </c>
      <c r="C16" s="25">
        <v>3971338</v>
      </c>
      <c r="D16" s="25">
        <v>2730938.855523977</v>
      </c>
      <c r="E16" s="25">
        <v>3844048</v>
      </c>
      <c r="F16" s="25">
        <v>2778590.4887929498</v>
      </c>
      <c r="G16" s="25">
        <v>3609124</v>
      </c>
      <c r="H16" s="25">
        <v>2708912.2244645464</v>
      </c>
      <c r="I16" s="25">
        <v>3369180</v>
      </c>
      <c r="J16" s="25">
        <v>2625879.1221318436</v>
      </c>
    </row>
    <row r="17" spans="1:11">
      <c r="A17" s="25">
        <v>8794781</v>
      </c>
      <c r="B17" s="25">
        <v>4583957.1923054243</v>
      </c>
      <c r="C17" s="25">
        <v>9048616</v>
      </c>
      <c r="D17" s="25">
        <v>5209684.4612447871</v>
      </c>
      <c r="E17" s="25">
        <v>9103551</v>
      </c>
      <c r="F17" s="25">
        <v>5509354.3824353172</v>
      </c>
      <c r="G17" s="25">
        <v>8775638</v>
      </c>
      <c r="H17" s="25">
        <v>5514751.7341920072</v>
      </c>
      <c r="I17" s="25">
        <v>8376580</v>
      </c>
      <c r="J17" s="25">
        <v>5466022.2243491737</v>
      </c>
    </row>
    <row r="19" spans="1:11">
      <c r="A19" s="25">
        <f>SUM(A2:A17)</f>
        <v>101515549</v>
      </c>
      <c r="B19" s="25">
        <f t="shared" ref="B19:J19" si="0">SUM(B2:B17)</f>
        <v>66827809.462644733</v>
      </c>
      <c r="C19" s="25">
        <f t="shared" si="0"/>
        <v>103270934</v>
      </c>
      <c r="D19" s="25">
        <f t="shared" si="0"/>
        <v>75076001.513925746</v>
      </c>
      <c r="E19" s="25">
        <f t="shared" si="0"/>
        <v>100439899</v>
      </c>
      <c r="F19" s="25">
        <f t="shared" si="0"/>
        <v>76625529.49350065</v>
      </c>
      <c r="G19" s="25">
        <f t="shared" si="0"/>
        <v>94909132</v>
      </c>
      <c r="H19" s="25">
        <f t="shared" si="0"/>
        <v>74790660.777089611</v>
      </c>
      <c r="I19" s="25">
        <f t="shared" si="0"/>
        <v>89007642</v>
      </c>
      <c r="J19" s="25">
        <f t="shared" si="0"/>
        <v>72465929.530975625</v>
      </c>
    </row>
    <row r="20" spans="1:11">
      <c r="B20">
        <f>B19/A19</f>
        <v>0.65830121711349587</v>
      </c>
      <c r="D20">
        <f>D19/C19</f>
        <v>0.72698094813324476</v>
      </c>
      <c r="F20">
        <f>F19/E19</f>
        <v>0.76289930850588217</v>
      </c>
      <c r="H20">
        <f>H19/G19</f>
        <v>0.78802386241494249</v>
      </c>
      <c r="J20">
        <f>J19/I19</f>
        <v>0.81415401984220215</v>
      </c>
    </row>
    <row r="24" spans="1:11">
      <c r="G24">
        <v>2020</v>
      </c>
      <c r="H24">
        <v>2030</v>
      </c>
      <c r="I24">
        <v>2040</v>
      </c>
      <c r="J24">
        <v>2050</v>
      </c>
      <c r="K24">
        <v>2060</v>
      </c>
    </row>
    <row r="25" spans="1:11">
      <c r="G25">
        <v>0.65830121711349587</v>
      </c>
      <c r="H25">
        <v>0.72698094813324476</v>
      </c>
      <c r="I25">
        <v>0.76289930850588217</v>
      </c>
      <c r="J25">
        <v>0.78802386241494249</v>
      </c>
      <c r="K25">
        <v>0.81415401984220215</v>
      </c>
    </row>
    <row r="32" spans="1:11">
      <c r="E32" s="30">
        <v>-6.8494969999999999E-5</v>
      </c>
      <c r="F32" s="30">
        <v>0.28318700000000002</v>
      </c>
      <c r="G32" s="30">
        <v>-291.88900000000001</v>
      </c>
    </row>
  </sheetData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F3A0-27E2-4810-B86F-3773AB90AFDC}">
  <dimension ref="A1:N153"/>
  <sheetViews>
    <sheetView topLeftCell="C82" workbookViewId="0">
      <selection activeCell="K121" sqref="K121:K122"/>
    </sheetView>
  </sheetViews>
  <sheetFormatPr defaultRowHeight="14.25"/>
  <sheetData>
    <row r="1" spans="1:8" s="29" customFormat="1">
      <c r="A1" s="29">
        <v>1336</v>
      </c>
      <c r="B1" s="33">
        <v>370000</v>
      </c>
      <c r="C1" s="34" t="s">
        <v>145</v>
      </c>
      <c r="D1" s="33" t="s">
        <v>171</v>
      </c>
      <c r="E1" s="33" t="s">
        <v>172</v>
      </c>
      <c r="F1" s="33" t="s">
        <v>145</v>
      </c>
      <c r="G1" s="33"/>
    </row>
    <row r="2" spans="1:8" s="29" customFormat="1">
      <c r="A2" s="29">
        <v>1337</v>
      </c>
      <c r="B2" s="33">
        <v>370100</v>
      </c>
      <c r="C2" s="35" t="s">
        <v>146</v>
      </c>
      <c r="D2" s="33" t="s">
        <v>173</v>
      </c>
      <c r="E2" s="33" t="s">
        <v>174</v>
      </c>
      <c r="F2" s="33" t="s">
        <v>145</v>
      </c>
      <c r="G2" s="33" t="s">
        <v>146</v>
      </c>
    </row>
    <row r="3" spans="1:8" s="29" customFormat="1">
      <c r="A3" s="29">
        <v>1338</v>
      </c>
      <c r="B3" s="36">
        <v>370102</v>
      </c>
      <c r="C3" s="37" t="s">
        <v>175</v>
      </c>
      <c r="D3" s="33" t="s">
        <v>176</v>
      </c>
      <c r="E3" s="33" t="s">
        <v>177</v>
      </c>
      <c r="F3" s="33" t="s">
        <v>145</v>
      </c>
      <c r="G3" s="33" t="s">
        <v>146</v>
      </c>
    </row>
    <row r="4" spans="1:8" s="29" customFormat="1">
      <c r="A4" s="29">
        <v>1339</v>
      </c>
      <c r="B4" s="36">
        <v>370103</v>
      </c>
      <c r="C4" s="37" t="s">
        <v>178</v>
      </c>
      <c r="D4" s="33" t="s">
        <v>176</v>
      </c>
      <c r="E4" s="33" t="s">
        <v>177</v>
      </c>
      <c r="F4" s="33" t="s">
        <v>145</v>
      </c>
      <c r="G4" s="33" t="s">
        <v>146</v>
      </c>
    </row>
    <row r="5" spans="1:8" s="29" customFormat="1">
      <c r="A5" s="29">
        <v>1340</v>
      </c>
      <c r="B5" s="36">
        <v>370104</v>
      </c>
      <c r="C5" s="37" t="s">
        <v>179</v>
      </c>
      <c r="D5" s="33" t="s">
        <v>176</v>
      </c>
      <c r="E5" s="33" t="s">
        <v>177</v>
      </c>
      <c r="F5" s="33" t="s">
        <v>145</v>
      </c>
      <c r="G5" s="33" t="s">
        <v>146</v>
      </c>
    </row>
    <row r="6" spans="1:8" s="29" customFormat="1">
      <c r="A6" s="29">
        <v>1341</v>
      </c>
      <c r="B6" s="36">
        <v>370105</v>
      </c>
      <c r="C6" s="37" t="s">
        <v>180</v>
      </c>
      <c r="D6" s="33" t="s">
        <v>176</v>
      </c>
      <c r="E6" s="33" t="s">
        <v>177</v>
      </c>
      <c r="F6" s="33" t="s">
        <v>145</v>
      </c>
      <c r="G6" s="33" t="s">
        <v>146</v>
      </c>
      <c r="H6" s="33" t="s">
        <v>312</v>
      </c>
    </row>
    <row r="7" spans="1:8" s="29" customFormat="1">
      <c r="A7" s="29">
        <v>1342</v>
      </c>
      <c r="B7" s="36">
        <v>370112</v>
      </c>
      <c r="C7" s="38" t="s">
        <v>181</v>
      </c>
      <c r="D7" s="33" t="s">
        <v>176</v>
      </c>
      <c r="E7" s="33" t="s">
        <v>177</v>
      </c>
      <c r="F7" s="33" t="s">
        <v>145</v>
      </c>
      <c r="G7" s="33" t="s">
        <v>146</v>
      </c>
    </row>
    <row r="8" spans="1:8" s="29" customFormat="1">
      <c r="A8" s="29">
        <v>1343</v>
      </c>
      <c r="B8" s="36">
        <v>370113</v>
      </c>
      <c r="C8" s="37" t="s">
        <v>182</v>
      </c>
      <c r="D8" s="33" t="s">
        <v>176</v>
      </c>
      <c r="E8" s="33" t="s">
        <v>177</v>
      </c>
      <c r="F8" s="33" t="s">
        <v>145</v>
      </c>
      <c r="G8" s="33" t="s">
        <v>146</v>
      </c>
    </row>
    <row r="9" spans="1:8" s="29" customFormat="1">
      <c r="A9" s="29">
        <v>1344</v>
      </c>
      <c r="B9" s="36">
        <v>370114</v>
      </c>
      <c r="C9" s="38" t="s">
        <v>183</v>
      </c>
      <c r="D9" s="33" t="s">
        <v>176</v>
      </c>
      <c r="E9" s="33" t="s">
        <v>177</v>
      </c>
      <c r="F9" s="33" t="s">
        <v>145</v>
      </c>
      <c r="G9" s="33" t="s">
        <v>146</v>
      </c>
    </row>
    <row r="10" spans="1:8" s="29" customFormat="1">
      <c r="A10" s="29">
        <v>1345</v>
      </c>
      <c r="B10" s="36">
        <v>370115</v>
      </c>
      <c r="C10" s="37" t="s">
        <v>184</v>
      </c>
      <c r="D10" s="33" t="s">
        <v>176</v>
      </c>
      <c r="E10" s="33" t="s">
        <v>177</v>
      </c>
      <c r="F10" s="33" t="s">
        <v>145</v>
      </c>
      <c r="G10" s="33" t="s">
        <v>146</v>
      </c>
    </row>
    <row r="11" spans="1:8" s="29" customFormat="1">
      <c r="A11" s="29">
        <v>1346</v>
      </c>
      <c r="B11" s="36">
        <v>370116</v>
      </c>
      <c r="C11" s="38" t="s">
        <v>185</v>
      </c>
      <c r="D11" s="33" t="s">
        <v>176</v>
      </c>
      <c r="E11" s="33" t="s">
        <v>177</v>
      </c>
      <c r="F11" s="33" t="s">
        <v>145</v>
      </c>
      <c r="G11" s="33" t="s">
        <v>146</v>
      </c>
    </row>
    <row r="12" spans="1:8" s="29" customFormat="1">
      <c r="A12" s="29">
        <v>1347</v>
      </c>
      <c r="B12" s="36">
        <v>370117</v>
      </c>
      <c r="C12" s="38" t="s">
        <v>186</v>
      </c>
      <c r="D12" s="33" t="s">
        <v>176</v>
      </c>
      <c r="E12" s="33" t="s">
        <v>177</v>
      </c>
      <c r="F12" s="33" t="s">
        <v>145</v>
      </c>
      <c r="G12" s="33" t="s">
        <v>146</v>
      </c>
    </row>
    <row r="13" spans="1:8" s="29" customFormat="1">
      <c r="A13" s="29">
        <v>1348</v>
      </c>
      <c r="B13" s="36">
        <v>370124</v>
      </c>
      <c r="C13" s="38" t="s">
        <v>187</v>
      </c>
      <c r="D13" s="33" t="s">
        <v>176</v>
      </c>
      <c r="E13" s="33" t="s">
        <v>177</v>
      </c>
      <c r="F13" s="33" t="s">
        <v>145</v>
      </c>
      <c r="G13" s="33" t="s">
        <v>146</v>
      </c>
    </row>
    <row r="14" spans="1:8" s="29" customFormat="1">
      <c r="A14" s="29">
        <v>1349</v>
      </c>
      <c r="B14" s="36">
        <v>370126</v>
      </c>
      <c r="C14" s="38" t="s">
        <v>188</v>
      </c>
      <c r="D14" s="33" t="s">
        <v>176</v>
      </c>
      <c r="E14" s="33" t="s">
        <v>177</v>
      </c>
      <c r="F14" s="33" t="s">
        <v>145</v>
      </c>
      <c r="G14" s="33" t="s">
        <v>146</v>
      </c>
    </row>
    <row r="15" spans="1:8" s="29" customFormat="1">
      <c r="A15" s="29">
        <v>1350</v>
      </c>
      <c r="B15" s="33">
        <v>370200</v>
      </c>
      <c r="C15" s="35" t="s">
        <v>147</v>
      </c>
      <c r="D15" s="33" t="s">
        <v>173</v>
      </c>
      <c r="E15" s="33" t="s">
        <v>174</v>
      </c>
      <c r="F15" s="33" t="s">
        <v>145</v>
      </c>
      <c r="G15" s="33" t="s">
        <v>147</v>
      </c>
    </row>
    <row r="16" spans="1:8" s="29" customFormat="1">
      <c r="A16" s="29">
        <v>1351</v>
      </c>
      <c r="B16" s="36">
        <v>370202</v>
      </c>
      <c r="C16" s="37" t="s">
        <v>189</v>
      </c>
      <c r="D16" s="33" t="s">
        <v>176</v>
      </c>
      <c r="E16" s="33" t="s">
        <v>177</v>
      </c>
      <c r="F16" s="33" t="s">
        <v>145</v>
      </c>
      <c r="G16" s="33" t="s">
        <v>147</v>
      </c>
    </row>
    <row r="17" spans="1:7" s="29" customFormat="1">
      <c r="A17" s="29">
        <v>1352</v>
      </c>
      <c r="B17" s="36">
        <v>370203</v>
      </c>
      <c r="C17" s="37" t="s">
        <v>190</v>
      </c>
      <c r="D17" s="33" t="s">
        <v>176</v>
      </c>
      <c r="E17" s="33" t="s">
        <v>177</v>
      </c>
      <c r="F17" s="33" t="s">
        <v>145</v>
      </c>
      <c r="G17" s="33" t="s">
        <v>147</v>
      </c>
    </row>
    <row r="18" spans="1:7" s="29" customFormat="1">
      <c r="A18" s="29">
        <v>1353</v>
      </c>
      <c r="B18" s="36">
        <v>370211</v>
      </c>
      <c r="C18" s="38" t="s">
        <v>191</v>
      </c>
      <c r="D18" s="33" t="s">
        <v>176</v>
      </c>
      <c r="E18" s="33" t="s">
        <v>177</v>
      </c>
      <c r="F18" s="33" t="s">
        <v>145</v>
      </c>
      <c r="G18" s="33" t="s">
        <v>147</v>
      </c>
    </row>
    <row r="19" spans="1:7" s="29" customFormat="1">
      <c r="A19" s="29">
        <v>1354</v>
      </c>
      <c r="B19" s="36">
        <v>370212</v>
      </c>
      <c r="C19" s="37" t="s">
        <v>192</v>
      </c>
      <c r="D19" s="33" t="s">
        <v>176</v>
      </c>
      <c r="E19" s="33" t="s">
        <v>177</v>
      </c>
      <c r="F19" s="33" t="s">
        <v>145</v>
      </c>
      <c r="G19" s="33" t="s">
        <v>147</v>
      </c>
    </row>
    <row r="20" spans="1:7" s="29" customFormat="1">
      <c r="A20" s="29">
        <v>1355</v>
      </c>
      <c r="B20" s="36">
        <v>370213</v>
      </c>
      <c r="C20" s="37" t="s">
        <v>193</v>
      </c>
      <c r="D20" s="33" t="s">
        <v>176</v>
      </c>
      <c r="E20" s="33" t="s">
        <v>177</v>
      </c>
      <c r="F20" s="33" t="s">
        <v>145</v>
      </c>
      <c r="G20" s="33" t="s">
        <v>147</v>
      </c>
    </row>
    <row r="21" spans="1:7" s="29" customFormat="1">
      <c r="A21" s="29">
        <v>1356</v>
      </c>
      <c r="B21" s="36">
        <v>370214</v>
      </c>
      <c r="C21" s="37" t="s">
        <v>194</v>
      </c>
      <c r="D21" s="33" t="s">
        <v>176</v>
      </c>
      <c r="E21" s="33" t="s">
        <v>177</v>
      </c>
      <c r="F21" s="33" t="s">
        <v>145</v>
      </c>
      <c r="G21" s="33" t="s">
        <v>147</v>
      </c>
    </row>
    <row r="22" spans="1:7" s="29" customFormat="1">
      <c r="A22" s="29">
        <v>1357</v>
      </c>
      <c r="B22" s="36">
        <v>370215</v>
      </c>
      <c r="C22" s="37" t="s">
        <v>195</v>
      </c>
      <c r="D22" s="33" t="s">
        <v>176</v>
      </c>
      <c r="E22" s="33" t="s">
        <v>177</v>
      </c>
      <c r="F22" s="33" t="s">
        <v>145</v>
      </c>
      <c r="G22" s="33" t="s">
        <v>147</v>
      </c>
    </row>
    <row r="23" spans="1:7" s="29" customFormat="1">
      <c r="A23" s="29">
        <v>1358</v>
      </c>
      <c r="B23" s="36">
        <v>370281</v>
      </c>
      <c r="C23" s="38" t="s">
        <v>196</v>
      </c>
      <c r="D23" s="33" t="s">
        <v>176</v>
      </c>
      <c r="E23" s="33" t="s">
        <v>177</v>
      </c>
      <c r="F23" s="33" t="s">
        <v>145</v>
      </c>
      <c r="G23" s="33" t="s">
        <v>147</v>
      </c>
    </row>
    <row r="24" spans="1:7" s="29" customFormat="1">
      <c r="A24" s="29">
        <v>1359</v>
      </c>
      <c r="B24" s="36">
        <v>370283</v>
      </c>
      <c r="C24" s="37" t="s">
        <v>197</v>
      </c>
      <c r="D24" s="33" t="s">
        <v>176</v>
      </c>
      <c r="E24" s="33" t="s">
        <v>177</v>
      </c>
      <c r="F24" s="33" t="s">
        <v>145</v>
      </c>
      <c r="G24" s="33" t="s">
        <v>147</v>
      </c>
    </row>
    <row r="25" spans="1:7" s="29" customFormat="1">
      <c r="A25" s="29">
        <v>1360</v>
      </c>
      <c r="B25" s="36">
        <v>370285</v>
      </c>
      <c r="C25" s="38" t="s">
        <v>198</v>
      </c>
      <c r="D25" s="33" t="s">
        <v>176</v>
      </c>
      <c r="E25" s="33" t="s">
        <v>177</v>
      </c>
      <c r="F25" s="33" t="s">
        <v>145</v>
      </c>
      <c r="G25" s="33" t="s">
        <v>147</v>
      </c>
    </row>
    <row r="26" spans="1:7" s="29" customFormat="1">
      <c r="A26" s="29">
        <v>1361</v>
      </c>
      <c r="B26" s="33">
        <v>370300</v>
      </c>
      <c r="C26" s="35" t="s">
        <v>148</v>
      </c>
      <c r="D26" s="33" t="s">
        <v>173</v>
      </c>
      <c r="E26" s="33" t="s">
        <v>174</v>
      </c>
      <c r="F26" s="33" t="s">
        <v>145</v>
      </c>
      <c r="G26" s="33" t="s">
        <v>148</v>
      </c>
    </row>
    <row r="27" spans="1:7" s="29" customFormat="1">
      <c r="A27" s="29">
        <v>1362</v>
      </c>
      <c r="B27" s="36">
        <v>370302</v>
      </c>
      <c r="C27" s="37" t="s">
        <v>199</v>
      </c>
      <c r="D27" s="33" t="s">
        <v>176</v>
      </c>
      <c r="E27" s="33" t="s">
        <v>177</v>
      </c>
      <c r="F27" s="33" t="s">
        <v>145</v>
      </c>
      <c r="G27" s="33" t="s">
        <v>148</v>
      </c>
    </row>
    <row r="28" spans="1:7" s="29" customFormat="1">
      <c r="A28" s="29">
        <v>1363</v>
      </c>
      <c r="B28" s="36">
        <v>370303</v>
      </c>
      <c r="C28" s="37" t="s">
        <v>200</v>
      </c>
      <c r="D28" s="33" t="s">
        <v>176</v>
      </c>
      <c r="E28" s="33" t="s">
        <v>177</v>
      </c>
      <c r="F28" s="33" t="s">
        <v>145</v>
      </c>
      <c r="G28" s="33" t="s">
        <v>148</v>
      </c>
    </row>
    <row r="29" spans="1:7" s="29" customFormat="1">
      <c r="A29" s="29">
        <v>1364</v>
      </c>
      <c r="B29" s="36">
        <v>370304</v>
      </c>
      <c r="C29" s="38" t="s">
        <v>201</v>
      </c>
      <c r="D29" s="33" t="s">
        <v>176</v>
      </c>
      <c r="E29" s="33" t="s">
        <v>177</v>
      </c>
      <c r="F29" s="33" t="s">
        <v>145</v>
      </c>
      <c r="G29" s="33" t="s">
        <v>148</v>
      </c>
    </row>
    <row r="30" spans="1:7" s="29" customFormat="1">
      <c r="A30" s="29">
        <v>1365</v>
      </c>
      <c r="B30" s="36">
        <v>370305</v>
      </c>
      <c r="C30" s="38" t="s">
        <v>202</v>
      </c>
      <c r="D30" s="33" t="s">
        <v>176</v>
      </c>
      <c r="E30" s="33" t="s">
        <v>177</v>
      </c>
      <c r="F30" s="33" t="s">
        <v>145</v>
      </c>
      <c r="G30" s="33" t="s">
        <v>148</v>
      </c>
    </row>
    <row r="31" spans="1:7" s="29" customFormat="1">
      <c r="A31" s="29">
        <v>1366</v>
      </c>
      <c r="B31" s="36">
        <v>370306</v>
      </c>
      <c r="C31" s="37" t="s">
        <v>203</v>
      </c>
      <c r="D31" s="33" t="s">
        <v>176</v>
      </c>
      <c r="E31" s="33" t="s">
        <v>177</v>
      </c>
      <c r="F31" s="33" t="s">
        <v>145</v>
      </c>
      <c r="G31" s="33" t="s">
        <v>148</v>
      </c>
    </row>
    <row r="32" spans="1:7" s="29" customFormat="1">
      <c r="A32" s="29">
        <v>1367</v>
      </c>
      <c r="B32" s="36">
        <v>370321</v>
      </c>
      <c r="C32" s="38" t="s">
        <v>204</v>
      </c>
      <c r="D32" s="33" t="s">
        <v>176</v>
      </c>
      <c r="E32" s="33" t="s">
        <v>177</v>
      </c>
      <c r="F32" s="33" t="s">
        <v>145</v>
      </c>
      <c r="G32" s="33" t="s">
        <v>148</v>
      </c>
    </row>
    <row r="33" spans="1:7" s="29" customFormat="1">
      <c r="A33" s="29">
        <v>1368</v>
      </c>
      <c r="B33" s="36">
        <v>370322</v>
      </c>
      <c r="C33" s="37" t="s">
        <v>205</v>
      </c>
      <c r="D33" s="33" t="s">
        <v>176</v>
      </c>
      <c r="E33" s="33" t="s">
        <v>177</v>
      </c>
      <c r="F33" s="33" t="s">
        <v>145</v>
      </c>
      <c r="G33" s="33" t="s">
        <v>148</v>
      </c>
    </row>
    <row r="34" spans="1:7" s="29" customFormat="1">
      <c r="A34" s="29">
        <v>1369</v>
      </c>
      <c r="B34" s="36">
        <v>370323</v>
      </c>
      <c r="C34" s="37" t="s">
        <v>206</v>
      </c>
      <c r="D34" s="33" t="s">
        <v>176</v>
      </c>
      <c r="E34" s="33" t="s">
        <v>177</v>
      </c>
      <c r="F34" s="33" t="s">
        <v>145</v>
      </c>
      <c r="G34" s="33" t="s">
        <v>148</v>
      </c>
    </row>
    <row r="35" spans="1:7" s="29" customFormat="1">
      <c r="A35" s="29">
        <v>1370</v>
      </c>
      <c r="B35" s="33">
        <v>370400</v>
      </c>
      <c r="C35" s="35" t="s">
        <v>149</v>
      </c>
      <c r="D35" s="33" t="s">
        <v>173</v>
      </c>
      <c r="E35" s="33" t="s">
        <v>174</v>
      </c>
      <c r="F35" s="33" t="s">
        <v>145</v>
      </c>
      <c r="G35" s="33" t="s">
        <v>149</v>
      </c>
    </row>
    <row r="36" spans="1:7" s="29" customFormat="1">
      <c r="A36" s="29">
        <v>1371</v>
      </c>
      <c r="B36" s="36">
        <v>370402</v>
      </c>
      <c r="C36" s="38" t="s">
        <v>178</v>
      </c>
      <c r="D36" s="33" t="s">
        <v>176</v>
      </c>
      <c r="E36" s="33" t="s">
        <v>177</v>
      </c>
      <c r="F36" s="33" t="s">
        <v>145</v>
      </c>
      <c r="G36" s="33" t="s">
        <v>149</v>
      </c>
    </row>
    <row r="37" spans="1:7" s="29" customFormat="1">
      <c r="A37" s="29">
        <v>1372</v>
      </c>
      <c r="B37" s="36">
        <v>370403</v>
      </c>
      <c r="C37" s="38" t="s">
        <v>207</v>
      </c>
      <c r="D37" s="33" t="s">
        <v>176</v>
      </c>
      <c r="E37" s="33" t="s">
        <v>177</v>
      </c>
      <c r="F37" s="33" t="s">
        <v>145</v>
      </c>
      <c r="G37" s="33" t="s">
        <v>149</v>
      </c>
    </row>
    <row r="38" spans="1:7" s="29" customFormat="1">
      <c r="A38" s="29">
        <v>1373</v>
      </c>
      <c r="B38" s="36">
        <v>370404</v>
      </c>
      <c r="C38" s="38" t="s">
        <v>208</v>
      </c>
      <c r="D38" s="33" t="s">
        <v>176</v>
      </c>
      <c r="E38" s="33" t="s">
        <v>177</v>
      </c>
      <c r="F38" s="33" t="s">
        <v>145</v>
      </c>
      <c r="G38" s="33" t="s">
        <v>149</v>
      </c>
    </row>
    <row r="39" spans="1:7" s="29" customFormat="1">
      <c r="A39" s="29">
        <v>1374</v>
      </c>
      <c r="B39" s="36">
        <v>370405</v>
      </c>
      <c r="C39" s="38" t="s">
        <v>209</v>
      </c>
      <c r="D39" s="33" t="s">
        <v>176</v>
      </c>
      <c r="E39" s="33" t="s">
        <v>177</v>
      </c>
      <c r="F39" s="33" t="s">
        <v>145</v>
      </c>
      <c r="G39" s="33" t="s">
        <v>149</v>
      </c>
    </row>
    <row r="40" spans="1:7" s="29" customFormat="1">
      <c r="A40" s="29">
        <v>1375</v>
      </c>
      <c r="B40" s="36">
        <v>370406</v>
      </c>
      <c r="C40" s="38" t="s">
        <v>210</v>
      </c>
      <c r="D40" s="33" t="s">
        <v>176</v>
      </c>
      <c r="E40" s="33" t="s">
        <v>177</v>
      </c>
      <c r="F40" s="33" t="s">
        <v>145</v>
      </c>
      <c r="G40" s="33" t="s">
        <v>149</v>
      </c>
    </row>
    <row r="41" spans="1:7" s="29" customFormat="1">
      <c r="A41" s="29">
        <v>1376</v>
      </c>
      <c r="B41" s="36">
        <v>370481</v>
      </c>
      <c r="C41" s="38" t="s">
        <v>211</v>
      </c>
      <c r="D41" s="33" t="s">
        <v>176</v>
      </c>
      <c r="E41" s="33" t="s">
        <v>177</v>
      </c>
      <c r="F41" s="33" t="s">
        <v>145</v>
      </c>
      <c r="G41" s="33" t="s">
        <v>149</v>
      </c>
    </row>
    <row r="42" spans="1:7" s="29" customFormat="1">
      <c r="A42" s="29">
        <v>1377</v>
      </c>
      <c r="B42" s="33">
        <v>370500</v>
      </c>
      <c r="C42" s="35" t="s">
        <v>150</v>
      </c>
      <c r="D42" s="33" t="s">
        <v>173</v>
      </c>
      <c r="E42" s="33" t="s">
        <v>174</v>
      </c>
      <c r="F42" s="33" t="s">
        <v>145</v>
      </c>
      <c r="G42" s="33" t="s">
        <v>150</v>
      </c>
    </row>
    <row r="43" spans="1:7" s="29" customFormat="1">
      <c r="A43" s="29">
        <v>1378</v>
      </c>
      <c r="B43" s="36">
        <v>370502</v>
      </c>
      <c r="C43" s="37" t="s">
        <v>212</v>
      </c>
      <c r="D43" s="33" t="s">
        <v>176</v>
      </c>
      <c r="E43" s="33" t="s">
        <v>177</v>
      </c>
      <c r="F43" s="33" t="s">
        <v>145</v>
      </c>
      <c r="G43" s="33" t="s">
        <v>150</v>
      </c>
    </row>
    <row r="44" spans="1:7" s="29" customFormat="1">
      <c r="A44" s="29">
        <v>1379</v>
      </c>
      <c r="B44" s="36">
        <v>370503</v>
      </c>
      <c r="C44" s="38" t="s">
        <v>213</v>
      </c>
      <c r="D44" s="33" t="s">
        <v>176</v>
      </c>
      <c r="E44" s="33" t="s">
        <v>177</v>
      </c>
      <c r="F44" s="33" t="s">
        <v>145</v>
      </c>
      <c r="G44" s="33" t="s">
        <v>150</v>
      </c>
    </row>
    <row r="45" spans="1:7" s="29" customFormat="1">
      <c r="A45" s="29">
        <v>1380</v>
      </c>
      <c r="B45" s="36">
        <v>370505</v>
      </c>
      <c r="C45" s="37" t="s">
        <v>214</v>
      </c>
      <c r="D45" s="33" t="s">
        <v>176</v>
      </c>
      <c r="E45" s="33" t="s">
        <v>177</v>
      </c>
      <c r="F45" s="33" t="s">
        <v>145</v>
      </c>
      <c r="G45" s="33" t="s">
        <v>150</v>
      </c>
    </row>
    <row r="46" spans="1:7" s="29" customFormat="1">
      <c r="A46" s="29">
        <v>1381</v>
      </c>
      <c r="B46" s="36">
        <v>370522</v>
      </c>
      <c r="C46" s="37" t="s">
        <v>215</v>
      </c>
      <c r="D46" s="33" t="s">
        <v>176</v>
      </c>
      <c r="E46" s="33" t="s">
        <v>177</v>
      </c>
      <c r="F46" s="33" t="s">
        <v>145</v>
      </c>
      <c r="G46" s="33" t="s">
        <v>150</v>
      </c>
    </row>
    <row r="47" spans="1:7" s="29" customFormat="1">
      <c r="A47" s="29">
        <v>1382</v>
      </c>
      <c r="B47" s="36">
        <v>370523</v>
      </c>
      <c r="C47" s="37" t="s">
        <v>216</v>
      </c>
      <c r="D47" s="33" t="s">
        <v>176</v>
      </c>
      <c r="E47" s="33" t="s">
        <v>177</v>
      </c>
      <c r="F47" s="33" t="s">
        <v>145</v>
      </c>
      <c r="G47" s="33" t="s">
        <v>150</v>
      </c>
    </row>
    <row r="48" spans="1:7" s="29" customFormat="1">
      <c r="A48" s="29">
        <v>1383</v>
      </c>
      <c r="B48" s="33">
        <v>370600</v>
      </c>
      <c r="C48" s="35" t="s">
        <v>151</v>
      </c>
      <c r="D48" s="33" t="s">
        <v>173</v>
      </c>
      <c r="E48" s="33" t="s">
        <v>174</v>
      </c>
      <c r="F48" s="33" t="s">
        <v>145</v>
      </c>
      <c r="G48" s="33" t="s">
        <v>151</v>
      </c>
    </row>
    <row r="49" spans="1:8" s="29" customFormat="1">
      <c r="A49" s="29">
        <v>1384</v>
      </c>
      <c r="B49" s="36">
        <v>370602</v>
      </c>
      <c r="C49" s="37" t="s">
        <v>217</v>
      </c>
      <c r="D49" s="33" t="s">
        <v>176</v>
      </c>
      <c r="E49" s="33" t="s">
        <v>177</v>
      </c>
      <c r="F49" s="33" t="s">
        <v>145</v>
      </c>
      <c r="G49" s="33" t="s">
        <v>151</v>
      </c>
    </row>
    <row r="50" spans="1:8" s="29" customFormat="1">
      <c r="A50" s="29">
        <v>1385</v>
      </c>
      <c r="B50" s="36">
        <v>370611</v>
      </c>
      <c r="C50" s="38" t="s">
        <v>218</v>
      </c>
      <c r="D50" s="33" t="s">
        <v>176</v>
      </c>
      <c r="E50" s="33" t="s">
        <v>177</v>
      </c>
      <c r="F50" s="33" t="s">
        <v>145</v>
      </c>
      <c r="G50" s="33" t="s">
        <v>151</v>
      </c>
    </row>
    <row r="51" spans="1:8" s="29" customFormat="1">
      <c r="A51" s="29">
        <v>1386</v>
      </c>
      <c r="B51" s="36">
        <v>370612</v>
      </c>
      <c r="C51" s="37" t="s">
        <v>219</v>
      </c>
      <c r="D51" s="33" t="s">
        <v>176</v>
      </c>
      <c r="E51" s="33" t="s">
        <v>177</v>
      </c>
      <c r="F51" s="33" t="s">
        <v>145</v>
      </c>
      <c r="G51" s="33" t="s">
        <v>151</v>
      </c>
    </row>
    <row r="52" spans="1:8" s="29" customFormat="1">
      <c r="A52" s="29">
        <v>1387</v>
      </c>
      <c r="B52" s="36">
        <v>370613</v>
      </c>
      <c r="C52" s="37" t="s">
        <v>220</v>
      </c>
      <c r="D52" s="33" t="s">
        <v>176</v>
      </c>
      <c r="E52" s="33" t="s">
        <v>177</v>
      </c>
      <c r="F52" s="33" t="s">
        <v>145</v>
      </c>
      <c r="G52" s="33" t="s">
        <v>151</v>
      </c>
    </row>
    <row r="53" spans="1:8" s="29" customFormat="1">
      <c r="A53" s="29">
        <v>1388</v>
      </c>
      <c r="B53" s="36">
        <v>370614</v>
      </c>
      <c r="C53" s="37" t="s">
        <v>221</v>
      </c>
      <c r="D53" s="33" t="s">
        <v>176</v>
      </c>
      <c r="E53" s="33" t="s">
        <v>177</v>
      </c>
      <c r="F53" s="33" t="s">
        <v>145</v>
      </c>
      <c r="G53" s="33" t="s">
        <v>151</v>
      </c>
    </row>
    <row r="54" spans="1:8" s="29" customFormat="1">
      <c r="A54" s="29">
        <v>1389</v>
      </c>
      <c r="B54" s="36">
        <v>370681</v>
      </c>
      <c r="C54" s="37" t="s">
        <v>222</v>
      </c>
      <c r="D54" s="33" t="s">
        <v>176</v>
      </c>
      <c r="E54" s="33" t="s">
        <v>177</v>
      </c>
      <c r="F54" s="33" t="s">
        <v>145</v>
      </c>
      <c r="G54" s="33" t="s">
        <v>151</v>
      </c>
    </row>
    <row r="55" spans="1:8" s="29" customFormat="1">
      <c r="A55" s="29">
        <v>1390</v>
      </c>
      <c r="B55" s="36">
        <v>370682</v>
      </c>
      <c r="C55" s="37" t="s">
        <v>223</v>
      </c>
      <c r="D55" s="33" t="s">
        <v>176</v>
      </c>
      <c r="E55" s="33" t="s">
        <v>177</v>
      </c>
      <c r="F55" s="33" t="s">
        <v>145</v>
      </c>
      <c r="G55" s="33" t="s">
        <v>151</v>
      </c>
    </row>
    <row r="56" spans="1:8" s="29" customFormat="1">
      <c r="A56" s="29">
        <v>1391</v>
      </c>
      <c r="B56" s="36">
        <v>370683</v>
      </c>
      <c r="C56" s="38" t="s">
        <v>224</v>
      </c>
      <c r="D56" s="33" t="s">
        <v>176</v>
      </c>
      <c r="E56" s="33" t="s">
        <v>177</v>
      </c>
      <c r="F56" s="33" t="s">
        <v>145</v>
      </c>
      <c r="G56" s="33" t="s">
        <v>151</v>
      </c>
    </row>
    <row r="57" spans="1:8" s="29" customFormat="1">
      <c r="A57" s="29">
        <v>1392</v>
      </c>
      <c r="B57" s="36">
        <v>370685</v>
      </c>
      <c r="C57" s="37" t="s">
        <v>225</v>
      </c>
      <c r="D57" s="33" t="s">
        <v>176</v>
      </c>
      <c r="E57" s="33" t="s">
        <v>177</v>
      </c>
      <c r="F57" s="33" t="s">
        <v>145</v>
      </c>
      <c r="G57" s="33" t="s">
        <v>151</v>
      </c>
    </row>
    <row r="58" spans="1:8" s="29" customFormat="1">
      <c r="A58" s="29">
        <v>1393</v>
      </c>
      <c r="B58" s="36">
        <v>370686</v>
      </c>
      <c r="C58" s="37" t="s">
        <v>226</v>
      </c>
      <c r="D58" s="33" t="s">
        <v>176</v>
      </c>
      <c r="E58" s="33" t="s">
        <v>177</v>
      </c>
      <c r="F58" s="33" t="s">
        <v>145</v>
      </c>
      <c r="G58" s="33" t="s">
        <v>151</v>
      </c>
    </row>
    <row r="59" spans="1:8" s="29" customFormat="1">
      <c r="A59" s="29">
        <v>1394</v>
      </c>
      <c r="B59" s="36">
        <v>370687</v>
      </c>
      <c r="C59" s="38" t="s">
        <v>227</v>
      </c>
      <c r="D59" s="33" t="s">
        <v>176</v>
      </c>
      <c r="E59" s="33" t="s">
        <v>177</v>
      </c>
      <c r="F59" s="33" t="s">
        <v>145</v>
      </c>
      <c r="G59" s="33" t="s">
        <v>151</v>
      </c>
    </row>
    <row r="60" spans="1:8" s="29" customFormat="1">
      <c r="A60" s="29">
        <v>1395</v>
      </c>
      <c r="B60" s="33">
        <v>370700</v>
      </c>
      <c r="C60" s="35" t="s">
        <v>152</v>
      </c>
      <c r="D60" s="33" t="s">
        <v>173</v>
      </c>
      <c r="E60" s="33" t="s">
        <v>174</v>
      </c>
      <c r="F60" s="33" t="s">
        <v>145</v>
      </c>
      <c r="G60" s="33" t="s">
        <v>152</v>
      </c>
      <c r="H60" s="33" t="s">
        <v>313</v>
      </c>
    </row>
    <row r="61" spans="1:8" s="29" customFormat="1">
      <c r="A61" s="29">
        <v>1396</v>
      </c>
      <c r="B61" s="36">
        <v>370702</v>
      </c>
      <c r="C61" s="37" t="s">
        <v>228</v>
      </c>
      <c r="D61" s="33" t="s">
        <v>176</v>
      </c>
      <c r="E61" s="33" t="s">
        <v>177</v>
      </c>
      <c r="F61" s="33" t="s">
        <v>145</v>
      </c>
      <c r="G61" s="33" t="s">
        <v>152</v>
      </c>
      <c r="H61" s="33" t="s">
        <v>314</v>
      </c>
    </row>
    <row r="62" spans="1:8" s="29" customFormat="1">
      <c r="A62" s="29">
        <v>1397</v>
      </c>
      <c r="B62" s="36">
        <v>370703</v>
      </c>
      <c r="C62" s="38" t="s">
        <v>229</v>
      </c>
      <c r="D62" s="33" t="s">
        <v>176</v>
      </c>
      <c r="E62" s="33" t="s">
        <v>177</v>
      </c>
      <c r="F62" s="33" t="s">
        <v>145</v>
      </c>
      <c r="G62" s="33" t="s">
        <v>152</v>
      </c>
    </row>
    <row r="63" spans="1:8" s="29" customFormat="1">
      <c r="A63" s="29">
        <v>1398</v>
      </c>
      <c r="B63" s="36">
        <v>370704</v>
      </c>
      <c r="C63" s="38" t="s">
        <v>230</v>
      </c>
      <c r="D63" s="33" t="s">
        <v>176</v>
      </c>
      <c r="E63" s="33" t="s">
        <v>177</v>
      </c>
      <c r="F63" s="33" t="s">
        <v>145</v>
      </c>
      <c r="G63" s="33" t="s">
        <v>152</v>
      </c>
    </row>
    <row r="64" spans="1:8" s="29" customFormat="1">
      <c r="A64" s="29">
        <v>1399</v>
      </c>
      <c r="B64" s="36">
        <v>370705</v>
      </c>
      <c r="C64" s="37" t="s">
        <v>231</v>
      </c>
      <c r="D64" s="33" t="s">
        <v>176</v>
      </c>
      <c r="E64" s="33" t="s">
        <v>177</v>
      </c>
      <c r="F64" s="33" t="s">
        <v>145</v>
      </c>
      <c r="G64" s="33" t="s">
        <v>152</v>
      </c>
    </row>
    <row r="65" spans="1:14" s="29" customFormat="1">
      <c r="A65" s="29">
        <v>1400</v>
      </c>
      <c r="B65" s="36">
        <v>370724</v>
      </c>
      <c r="C65" s="38" t="s">
        <v>232</v>
      </c>
      <c r="D65" s="33" t="s">
        <v>176</v>
      </c>
      <c r="E65" s="33" t="s">
        <v>177</v>
      </c>
      <c r="F65" s="33" t="s">
        <v>145</v>
      </c>
      <c r="G65" s="33" t="s">
        <v>152</v>
      </c>
    </row>
    <row r="66" spans="1:14" s="29" customFormat="1">
      <c r="A66" s="29">
        <v>1401</v>
      </c>
      <c r="B66" s="36">
        <v>370725</v>
      </c>
      <c r="C66" s="37" t="s">
        <v>233</v>
      </c>
      <c r="D66" s="33" t="s">
        <v>176</v>
      </c>
      <c r="E66" s="33" t="s">
        <v>177</v>
      </c>
      <c r="F66" s="33" t="s">
        <v>145</v>
      </c>
      <c r="G66" s="33" t="s">
        <v>152</v>
      </c>
    </row>
    <row r="67" spans="1:14" s="29" customFormat="1">
      <c r="A67" s="29">
        <v>1402</v>
      </c>
      <c r="B67" s="36">
        <v>370781</v>
      </c>
      <c r="C67" s="38" t="s">
        <v>234</v>
      </c>
      <c r="D67" s="33" t="s">
        <v>176</v>
      </c>
      <c r="E67" s="33" t="s">
        <v>177</v>
      </c>
      <c r="F67" s="33" t="s">
        <v>145</v>
      </c>
      <c r="G67" s="33" t="s">
        <v>152</v>
      </c>
    </row>
    <row r="68" spans="1:14" s="29" customFormat="1">
      <c r="A68" s="29">
        <v>1403</v>
      </c>
      <c r="B68" s="36">
        <v>370782</v>
      </c>
      <c r="C68" s="38" t="s">
        <v>235</v>
      </c>
      <c r="D68" s="33" t="s">
        <v>176</v>
      </c>
      <c r="E68" s="33" t="s">
        <v>177</v>
      </c>
      <c r="F68" s="33" t="s">
        <v>145</v>
      </c>
      <c r="G68" s="33" t="s">
        <v>152</v>
      </c>
    </row>
    <row r="69" spans="1:14" s="29" customFormat="1">
      <c r="A69" s="29">
        <v>1404</v>
      </c>
      <c r="B69" s="36">
        <v>370783</v>
      </c>
      <c r="C69" s="38" t="s">
        <v>236</v>
      </c>
      <c r="D69" s="33" t="s">
        <v>176</v>
      </c>
      <c r="E69" s="33" t="s">
        <v>177</v>
      </c>
      <c r="F69" s="33" t="s">
        <v>145</v>
      </c>
      <c r="G69" s="33" t="s">
        <v>152</v>
      </c>
    </row>
    <row r="70" spans="1:14" s="29" customFormat="1">
      <c r="A70" s="29">
        <v>1405</v>
      </c>
      <c r="B70" s="36">
        <v>370784</v>
      </c>
      <c r="C70" s="37" t="s">
        <v>237</v>
      </c>
      <c r="D70" s="33" t="s">
        <v>176</v>
      </c>
      <c r="E70" s="33" t="s">
        <v>177</v>
      </c>
      <c r="F70" s="33" t="s">
        <v>145</v>
      </c>
      <c r="G70" s="33" t="s">
        <v>152</v>
      </c>
    </row>
    <row r="71" spans="1:14" s="29" customFormat="1">
      <c r="A71" s="29">
        <v>1406</v>
      </c>
      <c r="B71" s="36">
        <v>370785</v>
      </c>
      <c r="C71" s="38" t="s">
        <v>238</v>
      </c>
      <c r="D71" s="33" t="s">
        <v>176</v>
      </c>
      <c r="E71" s="33" t="s">
        <v>177</v>
      </c>
      <c r="F71" s="33" t="s">
        <v>145</v>
      </c>
      <c r="G71" s="33" t="s">
        <v>152</v>
      </c>
    </row>
    <row r="72" spans="1:14" s="29" customFormat="1">
      <c r="A72" s="29">
        <v>1407</v>
      </c>
      <c r="B72" s="36">
        <v>370786</v>
      </c>
      <c r="C72" s="37" t="s">
        <v>239</v>
      </c>
      <c r="D72" s="33" t="s">
        <v>176</v>
      </c>
      <c r="E72" s="33" t="s">
        <v>177</v>
      </c>
      <c r="F72" s="33" t="s">
        <v>145</v>
      </c>
      <c r="G72" s="33" t="s">
        <v>152</v>
      </c>
    </row>
    <row r="73" spans="1:14" s="29" customFormat="1">
      <c r="A73" s="29">
        <v>1408</v>
      </c>
      <c r="B73" s="33">
        <v>370800</v>
      </c>
      <c r="C73" s="35" t="s">
        <v>153</v>
      </c>
      <c r="D73" s="33" t="s">
        <v>173</v>
      </c>
      <c r="E73" s="33" t="s">
        <v>174</v>
      </c>
      <c r="F73" s="33" t="s">
        <v>145</v>
      </c>
      <c r="G73" s="33" t="s">
        <v>153</v>
      </c>
    </row>
    <row r="74" spans="1:14" s="29" customFormat="1">
      <c r="A74" s="29">
        <v>1409</v>
      </c>
      <c r="B74" s="36">
        <v>370811</v>
      </c>
      <c r="C74" s="37" t="s">
        <v>240</v>
      </c>
      <c r="D74" s="33" t="s">
        <v>176</v>
      </c>
      <c r="E74" s="33" t="s">
        <v>177</v>
      </c>
      <c r="F74" s="33" t="s">
        <v>145</v>
      </c>
      <c r="G74" s="33" t="s">
        <v>153</v>
      </c>
    </row>
    <row r="75" spans="1:14" s="29" customFormat="1">
      <c r="A75" s="29">
        <v>1410</v>
      </c>
      <c r="B75" s="36">
        <v>370812</v>
      </c>
      <c r="C75" s="37" t="s">
        <v>241</v>
      </c>
      <c r="D75" s="33" t="s">
        <v>176</v>
      </c>
      <c r="E75" s="33" t="s">
        <v>177</v>
      </c>
      <c r="F75" s="33" t="s">
        <v>145</v>
      </c>
      <c r="G75" s="33" t="s">
        <v>153</v>
      </c>
    </row>
    <row r="76" spans="1:14" s="29" customFormat="1">
      <c r="A76" s="29">
        <v>1411</v>
      </c>
      <c r="B76" s="36">
        <v>370826</v>
      </c>
      <c r="C76" s="37" t="s">
        <v>242</v>
      </c>
      <c r="D76" s="33" t="s">
        <v>176</v>
      </c>
      <c r="E76" s="33" t="s">
        <v>177</v>
      </c>
      <c r="F76" s="33" t="s">
        <v>145</v>
      </c>
      <c r="G76" s="33" t="s">
        <v>153</v>
      </c>
    </row>
    <row r="77" spans="1:14" s="29" customFormat="1">
      <c r="A77" s="29">
        <v>1412</v>
      </c>
      <c r="B77" s="36">
        <v>370827</v>
      </c>
      <c r="C77" s="38" t="s">
        <v>243</v>
      </c>
      <c r="D77" s="33" t="s">
        <v>176</v>
      </c>
      <c r="E77" s="33" t="s">
        <v>177</v>
      </c>
      <c r="F77" s="33" t="s">
        <v>145</v>
      </c>
      <c r="G77" s="33" t="s">
        <v>153</v>
      </c>
      <c r="H77" s="29">
        <v>420010</v>
      </c>
      <c r="M77" s="29">
        <v>181059</v>
      </c>
      <c r="N77" s="29">
        <v>238951</v>
      </c>
    </row>
    <row r="78" spans="1:14" s="29" customFormat="1">
      <c r="A78" s="29">
        <v>1413</v>
      </c>
      <c r="B78" s="36">
        <v>370828</v>
      </c>
      <c r="C78" s="37" t="s">
        <v>244</v>
      </c>
      <c r="D78" s="33" t="s">
        <v>176</v>
      </c>
      <c r="E78" s="33" t="s">
        <v>177</v>
      </c>
      <c r="F78" s="33" t="s">
        <v>145</v>
      </c>
      <c r="G78" s="33" t="s">
        <v>153</v>
      </c>
    </row>
    <row r="79" spans="1:14" s="29" customFormat="1">
      <c r="A79" s="29">
        <v>1414</v>
      </c>
      <c r="B79" s="36">
        <v>370829</v>
      </c>
      <c r="C79" s="38" t="s">
        <v>245</v>
      </c>
      <c r="D79" s="33" t="s">
        <v>176</v>
      </c>
      <c r="E79" s="33" t="s">
        <v>177</v>
      </c>
      <c r="F79" s="33" t="s">
        <v>145</v>
      </c>
      <c r="G79" s="33" t="s">
        <v>153</v>
      </c>
      <c r="H79" s="29">
        <v>700149</v>
      </c>
      <c r="I79" s="29">
        <v>232859</v>
      </c>
      <c r="J79" s="29">
        <v>8449</v>
      </c>
      <c r="K79" s="29">
        <v>670253</v>
      </c>
      <c r="L79" s="29">
        <v>29896</v>
      </c>
      <c r="M79" s="29">
        <v>298698</v>
      </c>
      <c r="N79" s="29">
        <v>401451</v>
      </c>
    </row>
    <row r="80" spans="1:14" s="29" customFormat="1">
      <c r="A80" s="29">
        <v>1415</v>
      </c>
      <c r="B80" s="36">
        <v>370830</v>
      </c>
      <c r="C80" s="37" t="s">
        <v>246</v>
      </c>
      <c r="D80" s="33" t="s">
        <v>176</v>
      </c>
      <c r="E80" s="33" t="s">
        <v>177</v>
      </c>
      <c r="F80" s="33" t="s">
        <v>145</v>
      </c>
      <c r="G80" s="33" t="s">
        <v>153</v>
      </c>
    </row>
    <row r="81" spans="1:7" s="29" customFormat="1">
      <c r="A81" s="29">
        <v>1416</v>
      </c>
      <c r="B81" s="36">
        <v>370831</v>
      </c>
      <c r="C81" s="37" t="s">
        <v>247</v>
      </c>
      <c r="D81" s="33" t="s">
        <v>176</v>
      </c>
      <c r="E81" s="33" t="s">
        <v>177</v>
      </c>
      <c r="F81" s="33" t="s">
        <v>145</v>
      </c>
      <c r="G81" s="33" t="s">
        <v>153</v>
      </c>
    </row>
    <row r="82" spans="1:7" s="29" customFormat="1">
      <c r="A82" s="29">
        <v>1417</v>
      </c>
      <c r="B82" s="36">
        <v>370832</v>
      </c>
      <c r="C82" s="38" t="s">
        <v>248</v>
      </c>
      <c r="D82" s="33" t="s">
        <v>176</v>
      </c>
      <c r="E82" s="33" t="s">
        <v>177</v>
      </c>
      <c r="F82" s="33" t="s">
        <v>145</v>
      </c>
      <c r="G82" s="33" t="s">
        <v>153</v>
      </c>
    </row>
    <row r="83" spans="1:7" s="29" customFormat="1">
      <c r="A83" s="29">
        <v>1418</v>
      </c>
      <c r="B83" s="36">
        <v>370881</v>
      </c>
      <c r="C83" s="38" t="s">
        <v>249</v>
      </c>
      <c r="D83" s="33" t="s">
        <v>176</v>
      </c>
      <c r="E83" s="33" t="s">
        <v>177</v>
      </c>
      <c r="F83" s="33" t="s">
        <v>145</v>
      </c>
      <c r="G83" s="33" t="s">
        <v>153</v>
      </c>
    </row>
    <row r="84" spans="1:7" s="29" customFormat="1">
      <c r="A84" s="29">
        <v>1419</v>
      </c>
      <c r="B84" s="36">
        <v>370883</v>
      </c>
      <c r="C84" s="38" t="s">
        <v>250</v>
      </c>
      <c r="D84" s="33" t="s">
        <v>176</v>
      </c>
      <c r="E84" s="33" t="s">
        <v>177</v>
      </c>
      <c r="F84" s="33" t="s">
        <v>145</v>
      </c>
      <c r="G84" s="33" t="s">
        <v>153</v>
      </c>
    </row>
    <row r="85" spans="1:7" s="29" customFormat="1">
      <c r="A85" s="29">
        <v>1420</v>
      </c>
      <c r="B85" s="33">
        <v>370900</v>
      </c>
      <c r="C85" s="35" t="s">
        <v>154</v>
      </c>
      <c r="D85" s="33" t="s">
        <v>173</v>
      </c>
      <c r="E85" s="33" t="s">
        <v>174</v>
      </c>
      <c r="F85" s="33" t="s">
        <v>145</v>
      </c>
      <c r="G85" s="33" t="s">
        <v>154</v>
      </c>
    </row>
    <row r="86" spans="1:7" s="29" customFormat="1">
      <c r="A86" s="29">
        <v>1421</v>
      </c>
      <c r="B86" s="36">
        <v>370902</v>
      </c>
      <c r="C86" s="37" t="s">
        <v>251</v>
      </c>
      <c r="D86" s="33" t="s">
        <v>176</v>
      </c>
      <c r="E86" s="33" t="s">
        <v>177</v>
      </c>
      <c r="F86" s="33" t="s">
        <v>145</v>
      </c>
      <c r="G86" s="33" t="s">
        <v>154</v>
      </c>
    </row>
    <row r="87" spans="1:7" s="29" customFormat="1">
      <c r="A87" s="29">
        <v>1422</v>
      </c>
      <c r="B87" s="36">
        <v>370911</v>
      </c>
      <c r="C87" s="37" t="s">
        <v>252</v>
      </c>
      <c r="D87" s="33" t="s">
        <v>176</v>
      </c>
      <c r="E87" s="33" t="s">
        <v>177</v>
      </c>
      <c r="F87" s="33" t="s">
        <v>145</v>
      </c>
      <c r="G87" s="33" t="s">
        <v>154</v>
      </c>
    </row>
    <row r="88" spans="1:7" s="29" customFormat="1">
      <c r="A88" s="29">
        <v>1423</v>
      </c>
      <c r="B88" s="36">
        <v>370921</v>
      </c>
      <c r="C88" s="37" t="s">
        <v>253</v>
      </c>
      <c r="D88" s="33" t="s">
        <v>176</v>
      </c>
      <c r="E88" s="33" t="s">
        <v>177</v>
      </c>
      <c r="F88" s="33" t="s">
        <v>145</v>
      </c>
      <c r="G88" s="33" t="s">
        <v>154</v>
      </c>
    </row>
    <row r="89" spans="1:7" s="29" customFormat="1">
      <c r="A89" s="29">
        <v>1424</v>
      </c>
      <c r="B89" s="36">
        <v>370923</v>
      </c>
      <c r="C89" s="38" t="s">
        <v>254</v>
      </c>
      <c r="D89" s="33" t="s">
        <v>176</v>
      </c>
      <c r="E89" s="33" t="s">
        <v>177</v>
      </c>
      <c r="F89" s="33" t="s">
        <v>145</v>
      </c>
      <c r="G89" s="33" t="s">
        <v>154</v>
      </c>
    </row>
    <row r="90" spans="1:7" s="29" customFormat="1">
      <c r="A90" s="29">
        <v>1425</v>
      </c>
      <c r="B90" s="36">
        <v>370982</v>
      </c>
      <c r="C90" s="38" t="s">
        <v>255</v>
      </c>
      <c r="D90" s="33" t="s">
        <v>176</v>
      </c>
      <c r="E90" s="33" t="s">
        <v>177</v>
      </c>
      <c r="F90" s="33" t="s">
        <v>145</v>
      </c>
      <c r="G90" s="33" t="s">
        <v>154</v>
      </c>
    </row>
    <row r="91" spans="1:7" s="29" customFormat="1">
      <c r="A91" s="29">
        <v>1426</v>
      </c>
      <c r="B91" s="36">
        <v>370983</v>
      </c>
      <c r="C91" s="38" t="s">
        <v>256</v>
      </c>
      <c r="D91" s="33" t="s">
        <v>176</v>
      </c>
      <c r="E91" s="33" t="s">
        <v>177</v>
      </c>
      <c r="F91" s="33" t="s">
        <v>145</v>
      </c>
      <c r="G91" s="33" t="s">
        <v>154</v>
      </c>
    </row>
    <row r="92" spans="1:7" s="29" customFormat="1">
      <c r="A92" s="29">
        <v>1427</v>
      </c>
      <c r="B92" s="33">
        <v>371000</v>
      </c>
      <c r="C92" s="35" t="s">
        <v>155</v>
      </c>
      <c r="D92" s="33" t="s">
        <v>173</v>
      </c>
      <c r="E92" s="33" t="s">
        <v>174</v>
      </c>
      <c r="F92" s="33" t="s">
        <v>145</v>
      </c>
      <c r="G92" s="33" t="s">
        <v>155</v>
      </c>
    </row>
    <row r="93" spans="1:7" s="29" customFormat="1">
      <c r="A93" s="29">
        <v>1428</v>
      </c>
      <c r="B93" s="36">
        <v>371002</v>
      </c>
      <c r="C93" s="37" t="s">
        <v>257</v>
      </c>
      <c r="D93" s="33" t="s">
        <v>176</v>
      </c>
      <c r="E93" s="33" t="s">
        <v>177</v>
      </c>
      <c r="F93" s="33" t="s">
        <v>145</v>
      </c>
      <c r="G93" s="33" t="s">
        <v>155</v>
      </c>
    </row>
    <row r="94" spans="1:7" s="29" customFormat="1">
      <c r="A94" s="29">
        <v>1429</v>
      </c>
      <c r="B94" s="36">
        <v>371003</v>
      </c>
      <c r="C94" s="37" t="s">
        <v>258</v>
      </c>
      <c r="D94" s="33" t="s">
        <v>176</v>
      </c>
      <c r="E94" s="33" t="s">
        <v>177</v>
      </c>
      <c r="F94" s="33" t="s">
        <v>145</v>
      </c>
      <c r="G94" s="33" t="s">
        <v>155</v>
      </c>
    </row>
    <row r="95" spans="1:7" s="29" customFormat="1">
      <c r="A95" s="29">
        <v>1430</v>
      </c>
      <c r="B95" s="36">
        <v>371082</v>
      </c>
      <c r="C95" s="37" t="s">
        <v>259</v>
      </c>
      <c r="D95" s="33" t="s">
        <v>176</v>
      </c>
      <c r="E95" s="33" t="s">
        <v>177</v>
      </c>
      <c r="F95" s="33" t="s">
        <v>145</v>
      </c>
      <c r="G95" s="33" t="s">
        <v>155</v>
      </c>
    </row>
    <row r="96" spans="1:7" s="29" customFormat="1">
      <c r="A96" s="29">
        <v>1431</v>
      </c>
      <c r="B96" s="36">
        <v>371083</v>
      </c>
      <c r="C96" s="37" t="s">
        <v>260</v>
      </c>
      <c r="D96" s="33" t="s">
        <v>176</v>
      </c>
      <c r="E96" s="33" t="s">
        <v>177</v>
      </c>
      <c r="F96" s="33" t="s">
        <v>145</v>
      </c>
      <c r="G96" s="33" t="s">
        <v>155</v>
      </c>
    </row>
    <row r="97" spans="1:8" s="29" customFormat="1">
      <c r="A97" s="29">
        <v>1432</v>
      </c>
      <c r="B97" s="33">
        <v>371100</v>
      </c>
      <c r="C97" s="35" t="s">
        <v>156</v>
      </c>
      <c r="D97" s="33" t="s">
        <v>173</v>
      </c>
      <c r="E97" s="33" t="s">
        <v>174</v>
      </c>
      <c r="F97" s="33" t="s">
        <v>145</v>
      </c>
      <c r="G97" s="33" t="s">
        <v>156</v>
      </c>
    </row>
    <row r="98" spans="1:8" s="29" customFormat="1">
      <c r="A98" s="29">
        <v>1433</v>
      </c>
      <c r="B98" s="36">
        <v>371102</v>
      </c>
      <c r="C98" s="37" t="s">
        <v>261</v>
      </c>
      <c r="D98" s="33" t="s">
        <v>176</v>
      </c>
      <c r="E98" s="33" t="s">
        <v>177</v>
      </c>
      <c r="F98" s="33" t="s">
        <v>145</v>
      </c>
      <c r="G98" s="33" t="s">
        <v>156</v>
      </c>
    </row>
    <row r="99" spans="1:8" s="29" customFormat="1">
      <c r="A99" s="29">
        <v>1434</v>
      </c>
      <c r="B99" s="36">
        <v>371103</v>
      </c>
      <c r="C99" s="38" t="s">
        <v>262</v>
      </c>
      <c r="D99" s="33" t="s">
        <v>176</v>
      </c>
      <c r="E99" s="33" t="s">
        <v>177</v>
      </c>
      <c r="F99" s="33" t="s">
        <v>145</v>
      </c>
      <c r="G99" s="33" t="s">
        <v>156</v>
      </c>
    </row>
    <row r="100" spans="1:8" s="29" customFormat="1">
      <c r="A100" s="29">
        <v>1435</v>
      </c>
      <c r="B100" s="36">
        <v>371121</v>
      </c>
      <c r="C100" s="37" t="s">
        <v>263</v>
      </c>
      <c r="D100" s="33" t="s">
        <v>176</v>
      </c>
      <c r="E100" s="33" t="s">
        <v>177</v>
      </c>
      <c r="F100" s="33" t="s">
        <v>145</v>
      </c>
      <c r="G100" s="33" t="s">
        <v>156</v>
      </c>
    </row>
    <row r="101" spans="1:8" s="29" customFormat="1">
      <c r="A101" s="29">
        <v>1436</v>
      </c>
      <c r="B101" s="36">
        <v>371122</v>
      </c>
      <c r="C101" s="38" t="s">
        <v>264</v>
      </c>
      <c r="D101" s="33" t="s">
        <v>176</v>
      </c>
      <c r="E101" s="33" t="s">
        <v>177</v>
      </c>
      <c r="F101" s="33" t="s">
        <v>145</v>
      </c>
      <c r="G101" s="33" t="s">
        <v>156</v>
      </c>
    </row>
    <row r="102" spans="1:8" s="29" customFormat="1">
      <c r="A102" s="29">
        <v>1437</v>
      </c>
      <c r="B102" s="33">
        <v>371300</v>
      </c>
      <c r="C102" s="35" t="s">
        <v>157</v>
      </c>
      <c r="D102" s="33" t="s">
        <v>173</v>
      </c>
      <c r="E102" s="33" t="s">
        <v>174</v>
      </c>
      <c r="F102" s="33" t="s">
        <v>145</v>
      </c>
      <c r="G102" s="33" t="s">
        <v>157</v>
      </c>
      <c r="H102" s="33" t="s">
        <v>317</v>
      </c>
    </row>
    <row r="103" spans="1:8" s="29" customFormat="1">
      <c r="A103" s="29">
        <v>1438</v>
      </c>
      <c r="B103" s="36">
        <v>371302</v>
      </c>
      <c r="C103" s="37" t="s">
        <v>265</v>
      </c>
      <c r="D103" s="33" t="s">
        <v>176</v>
      </c>
      <c r="E103" s="33" t="s">
        <v>177</v>
      </c>
      <c r="F103" s="33" t="s">
        <v>145</v>
      </c>
      <c r="G103" s="33" t="s">
        <v>157</v>
      </c>
    </row>
    <row r="104" spans="1:8" s="29" customFormat="1">
      <c r="A104" s="29">
        <v>1439</v>
      </c>
      <c r="B104" s="36">
        <v>371311</v>
      </c>
      <c r="C104" s="37" t="s">
        <v>266</v>
      </c>
      <c r="D104" s="33" t="s">
        <v>176</v>
      </c>
      <c r="E104" s="33" t="s">
        <v>177</v>
      </c>
      <c r="F104" s="33" t="s">
        <v>145</v>
      </c>
      <c r="G104" s="33" t="s">
        <v>157</v>
      </c>
    </row>
    <row r="105" spans="1:8" s="29" customFormat="1">
      <c r="A105" s="29">
        <v>1440</v>
      </c>
      <c r="B105" s="36">
        <v>371312</v>
      </c>
      <c r="C105" s="38" t="s">
        <v>267</v>
      </c>
      <c r="D105" s="33" t="s">
        <v>176</v>
      </c>
      <c r="E105" s="33" t="s">
        <v>177</v>
      </c>
      <c r="F105" s="33" t="s">
        <v>145</v>
      </c>
      <c r="G105" s="33" t="s">
        <v>157</v>
      </c>
    </row>
    <row r="106" spans="1:8" s="29" customFormat="1">
      <c r="A106" s="29">
        <v>1441</v>
      </c>
      <c r="B106" s="36">
        <v>371321</v>
      </c>
      <c r="C106" s="37" t="s">
        <v>268</v>
      </c>
      <c r="D106" s="33" t="s">
        <v>176</v>
      </c>
      <c r="E106" s="33" t="s">
        <v>177</v>
      </c>
      <c r="F106" s="33" t="s">
        <v>145</v>
      </c>
      <c r="G106" s="33" t="s">
        <v>157</v>
      </c>
    </row>
    <row r="107" spans="1:8" s="29" customFormat="1">
      <c r="A107" s="29">
        <v>1442</v>
      </c>
      <c r="B107" s="36">
        <v>371322</v>
      </c>
      <c r="C107" s="38" t="s">
        <v>269</v>
      </c>
      <c r="D107" s="33" t="s">
        <v>176</v>
      </c>
      <c r="E107" s="33" t="s">
        <v>177</v>
      </c>
      <c r="F107" s="33" t="s">
        <v>145</v>
      </c>
      <c r="G107" s="33" t="s">
        <v>157</v>
      </c>
    </row>
    <row r="108" spans="1:8" s="29" customFormat="1">
      <c r="A108" s="29">
        <v>1443</v>
      </c>
      <c r="B108" s="36">
        <v>371323</v>
      </c>
      <c r="C108" s="38" t="s">
        <v>270</v>
      </c>
      <c r="D108" s="33" t="s">
        <v>176</v>
      </c>
      <c r="E108" s="33" t="s">
        <v>177</v>
      </c>
      <c r="F108" s="33" t="s">
        <v>145</v>
      </c>
      <c r="G108" s="33" t="s">
        <v>157</v>
      </c>
    </row>
    <row r="109" spans="1:8" s="29" customFormat="1">
      <c r="A109" s="29">
        <v>1444</v>
      </c>
      <c r="B109" s="36">
        <v>371324</v>
      </c>
      <c r="C109" s="38" t="s">
        <v>271</v>
      </c>
      <c r="D109" s="33" t="s">
        <v>176</v>
      </c>
      <c r="E109" s="33" t="s">
        <v>177</v>
      </c>
      <c r="F109" s="33" t="s">
        <v>145</v>
      </c>
      <c r="G109" s="33" t="s">
        <v>157</v>
      </c>
    </row>
    <row r="110" spans="1:8" s="29" customFormat="1">
      <c r="A110" s="29">
        <v>1445</v>
      </c>
      <c r="B110" s="36">
        <v>371325</v>
      </c>
      <c r="C110" s="37" t="s">
        <v>272</v>
      </c>
      <c r="D110" s="33" t="s">
        <v>176</v>
      </c>
      <c r="E110" s="33" t="s">
        <v>177</v>
      </c>
      <c r="F110" s="33" t="s">
        <v>145</v>
      </c>
      <c r="G110" s="33" t="s">
        <v>157</v>
      </c>
    </row>
    <row r="111" spans="1:8" s="29" customFormat="1">
      <c r="A111" s="29">
        <v>1446</v>
      </c>
      <c r="B111" s="36">
        <v>371326</v>
      </c>
      <c r="C111" s="37" t="s">
        <v>273</v>
      </c>
      <c r="D111" s="33" t="s">
        <v>176</v>
      </c>
      <c r="E111" s="33" t="s">
        <v>177</v>
      </c>
      <c r="F111" s="33" t="s">
        <v>145</v>
      </c>
      <c r="G111" s="33" t="s">
        <v>157</v>
      </c>
    </row>
    <row r="112" spans="1:8" s="29" customFormat="1">
      <c r="A112" s="29">
        <v>1447</v>
      </c>
      <c r="B112" s="36">
        <v>371327</v>
      </c>
      <c r="C112" s="37" t="s">
        <v>274</v>
      </c>
      <c r="D112" s="33" t="s">
        <v>176</v>
      </c>
      <c r="E112" s="33" t="s">
        <v>177</v>
      </c>
      <c r="F112" s="33" t="s">
        <v>145</v>
      </c>
      <c r="G112" s="33" t="s">
        <v>157</v>
      </c>
    </row>
    <row r="113" spans="1:8" s="29" customFormat="1">
      <c r="A113" s="29">
        <v>1448</v>
      </c>
      <c r="B113" s="36">
        <v>371328</v>
      </c>
      <c r="C113" s="37" t="s">
        <v>275</v>
      </c>
      <c r="D113" s="33" t="s">
        <v>176</v>
      </c>
      <c r="E113" s="33" t="s">
        <v>177</v>
      </c>
      <c r="F113" s="33" t="s">
        <v>145</v>
      </c>
      <c r="G113" s="33" t="s">
        <v>157</v>
      </c>
    </row>
    <row r="114" spans="1:8" s="29" customFormat="1">
      <c r="A114" s="29">
        <v>1449</v>
      </c>
      <c r="B114" s="36">
        <v>371329</v>
      </c>
      <c r="C114" s="37" t="s">
        <v>276</v>
      </c>
      <c r="D114" s="33" t="s">
        <v>176</v>
      </c>
      <c r="E114" s="33" t="s">
        <v>177</v>
      </c>
      <c r="F114" s="33" t="s">
        <v>145</v>
      </c>
      <c r="G114" s="33" t="s">
        <v>157</v>
      </c>
    </row>
    <row r="115" spans="1:8" s="29" customFormat="1">
      <c r="A115" s="29">
        <v>1450</v>
      </c>
      <c r="B115" s="33">
        <v>371400</v>
      </c>
      <c r="C115" s="35" t="s">
        <v>158</v>
      </c>
      <c r="D115" s="33" t="s">
        <v>173</v>
      </c>
      <c r="E115" s="33" t="s">
        <v>174</v>
      </c>
      <c r="F115" s="33" t="s">
        <v>145</v>
      </c>
      <c r="G115" s="33" t="s">
        <v>158</v>
      </c>
    </row>
    <row r="116" spans="1:8" s="29" customFormat="1">
      <c r="A116" s="29">
        <v>1451</v>
      </c>
      <c r="B116" s="36">
        <v>371402</v>
      </c>
      <c r="C116" s="37" t="s">
        <v>277</v>
      </c>
      <c r="D116" s="33" t="s">
        <v>176</v>
      </c>
      <c r="E116" s="33" t="s">
        <v>177</v>
      </c>
      <c r="F116" s="33" t="s">
        <v>145</v>
      </c>
      <c r="G116" s="33" t="s">
        <v>158</v>
      </c>
    </row>
    <row r="117" spans="1:8" s="29" customFormat="1">
      <c r="A117" s="29">
        <v>1452</v>
      </c>
      <c r="B117" s="36">
        <v>371403</v>
      </c>
      <c r="C117" s="37" t="s">
        <v>278</v>
      </c>
      <c r="D117" s="33" t="s">
        <v>176</v>
      </c>
      <c r="E117" s="33" t="s">
        <v>177</v>
      </c>
      <c r="F117" s="33" t="s">
        <v>145</v>
      </c>
      <c r="G117" s="33" t="s">
        <v>158</v>
      </c>
    </row>
    <row r="118" spans="1:8" s="29" customFormat="1">
      <c r="A118" s="29">
        <v>1453</v>
      </c>
      <c r="B118" s="36">
        <v>371422</v>
      </c>
      <c r="C118" s="38" t="s">
        <v>279</v>
      </c>
      <c r="D118" s="33" t="s">
        <v>176</v>
      </c>
      <c r="E118" s="33" t="s">
        <v>177</v>
      </c>
      <c r="F118" s="33" t="s">
        <v>145</v>
      </c>
      <c r="G118" s="33" t="s">
        <v>158</v>
      </c>
    </row>
    <row r="119" spans="1:8" s="29" customFormat="1">
      <c r="A119" s="29">
        <v>1454</v>
      </c>
      <c r="B119" s="36">
        <v>371423</v>
      </c>
      <c r="C119" s="37" t="s">
        <v>280</v>
      </c>
      <c r="D119" s="33" t="s">
        <v>176</v>
      </c>
      <c r="E119" s="33" t="s">
        <v>177</v>
      </c>
      <c r="F119" s="33" t="s">
        <v>145</v>
      </c>
      <c r="G119" s="33" t="s">
        <v>158</v>
      </c>
    </row>
    <row r="120" spans="1:8" s="29" customFormat="1">
      <c r="A120" s="29">
        <v>1455</v>
      </c>
      <c r="B120" s="36">
        <v>371424</v>
      </c>
      <c r="C120" s="38" t="s">
        <v>281</v>
      </c>
      <c r="D120" s="33" t="s">
        <v>176</v>
      </c>
      <c r="E120" s="33" t="s">
        <v>177</v>
      </c>
      <c r="F120" s="33" t="s">
        <v>145</v>
      </c>
      <c r="G120" s="33" t="s">
        <v>158</v>
      </c>
    </row>
    <row r="121" spans="1:8" s="29" customFormat="1">
      <c r="A121" s="29">
        <v>1456</v>
      </c>
      <c r="B121" s="36">
        <v>371425</v>
      </c>
      <c r="C121" s="38" t="s">
        <v>282</v>
      </c>
      <c r="D121" s="33" t="s">
        <v>176</v>
      </c>
      <c r="E121" s="33" t="s">
        <v>177</v>
      </c>
      <c r="F121" s="33" t="s">
        <v>145</v>
      </c>
      <c r="G121" s="33" t="s">
        <v>158</v>
      </c>
    </row>
    <row r="122" spans="1:8" s="29" customFormat="1">
      <c r="A122" s="29">
        <v>1457</v>
      </c>
      <c r="B122" s="36">
        <v>371426</v>
      </c>
      <c r="C122" s="38" t="s">
        <v>283</v>
      </c>
      <c r="D122" s="33" t="s">
        <v>176</v>
      </c>
      <c r="E122" s="33" t="s">
        <v>177</v>
      </c>
      <c r="F122" s="33" t="s">
        <v>145</v>
      </c>
      <c r="G122" s="33" t="s">
        <v>158</v>
      </c>
    </row>
    <row r="123" spans="1:8" s="29" customFormat="1">
      <c r="A123" s="29">
        <v>1458</v>
      </c>
      <c r="B123" s="36">
        <v>371427</v>
      </c>
      <c r="C123" s="37" t="s">
        <v>284</v>
      </c>
      <c r="D123" s="33" t="s">
        <v>176</v>
      </c>
      <c r="E123" s="33" t="s">
        <v>177</v>
      </c>
      <c r="F123" s="33" t="s">
        <v>145</v>
      </c>
      <c r="G123" s="33" t="s">
        <v>158</v>
      </c>
    </row>
    <row r="124" spans="1:8" s="29" customFormat="1">
      <c r="A124" s="29">
        <v>1459</v>
      </c>
      <c r="B124" s="36">
        <v>371428</v>
      </c>
      <c r="C124" s="37" t="s">
        <v>285</v>
      </c>
      <c r="D124" s="33" t="s">
        <v>176</v>
      </c>
      <c r="E124" s="33" t="s">
        <v>177</v>
      </c>
      <c r="F124" s="33" t="s">
        <v>145</v>
      </c>
      <c r="G124" s="33" t="s">
        <v>158</v>
      </c>
    </row>
    <row r="125" spans="1:8" s="29" customFormat="1">
      <c r="A125" s="29">
        <v>1460</v>
      </c>
      <c r="B125" s="36">
        <v>371481</v>
      </c>
      <c r="C125" s="37" t="s">
        <v>286</v>
      </c>
      <c r="D125" s="33" t="s">
        <v>176</v>
      </c>
      <c r="E125" s="33" t="s">
        <v>177</v>
      </c>
      <c r="F125" s="33" t="s">
        <v>145</v>
      </c>
      <c r="G125" s="33" t="s">
        <v>158</v>
      </c>
    </row>
    <row r="126" spans="1:8" s="29" customFormat="1">
      <c r="A126" s="29">
        <v>1461</v>
      </c>
      <c r="B126" s="36">
        <v>371482</v>
      </c>
      <c r="C126" s="38" t="s">
        <v>287</v>
      </c>
      <c r="D126" s="33" t="s">
        <v>176</v>
      </c>
      <c r="E126" s="33" t="s">
        <v>177</v>
      </c>
      <c r="F126" s="33" t="s">
        <v>145</v>
      </c>
      <c r="G126" s="33" t="s">
        <v>158</v>
      </c>
    </row>
    <row r="127" spans="1:8" s="29" customFormat="1">
      <c r="A127" s="29">
        <v>1462</v>
      </c>
      <c r="B127" s="33">
        <v>371500</v>
      </c>
      <c r="C127" s="35" t="s">
        <v>159</v>
      </c>
      <c r="D127" s="33" t="s">
        <v>173</v>
      </c>
      <c r="E127" s="33" t="s">
        <v>174</v>
      </c>
      <c r="F127" s="33" t="s">
        <v>145</v>
      </c>
      <c r="G127" s="33" t="s">
        <v>159</v>
      </c>
      <c r="H127" s="33" t="s">
        <v>316</v>
      </c>
    </row>
    <row r="128" spans="1:8" s="29" customFormat="1">
      <c r="A128" s="29">
        <v>1463</v>
      </c>
      <c r="B128" s="36">
        <v>371502</v>
      </c>
      <c r="C128" s="38" t="s">
        <v>288</v>
      </c>
      <c r="D128" s="33" t="s">
        <v>176</v>
      </c>
      <c r="E128" s="33" t="s">
        <v>177</v>
      </c>
      <c r="F128" s="33" t="s">
        <v>145</v>
      </c>
      <c r="G128" s="33" t="s">
        <v>159</v>
      </c>
    </row>
    <row r="129" spans="1:8" s="29" customFormat="1">
      <c r="A129" s="29">
        <v>1464</v>
      </c>
      <c r="B129" s="36">
        <v>371503</v>
      </c>
      <c r="C129" s="38" t="s">
        <v>289</v>
      </c>
      <c r="D129" s="33" t="s">
        <v>176</v>
      </c>
      <c r="E129" s="33" t="s">
        <v>177</v>
      </c>
      <c r="F129" s="33" t="s">
        <v>145</v>
      </c>
      <c r="G129" s="33" t="s">
        <v>159</v>
      </c>
    </row>
    <row r="130" spans="1:8" s="29" customFormat="1">
      <c r="A130" s="29">
        <v>1465</v>
      </c>
      <c r="B130" s="36">
        <v>371521</v>
      </c>
      <c r="C130" s="38" t="s">
        <v>290</v>
      </c>
      <c r="D130" s="33" t="s">
        <v>176</v>
      </c>
      <c r="E130" s="33" t="s">
        <v>177</v>
      </c>
      <c r="F130" s="33" t="s">
        <v>145</v>
      </c>
      <c r="G130" s="33" t="s">
        <v>159</v>
      </c>
    </row>
    <row r="131" spans="1:8" s="29" customFormat="1">
      <c r="A131" s="29">
        <v>1466</v>
      </c>
      <c r="B131" s="36">
        <v>371522</v>
      </c>
      <c r="C131" s="38" t="s">
        <v>291</v>
      </c>
      <c r="D131" s="33" t="s">
        <v>176</v>
      </c>
      <c r="E131" s="33" t="s">
        <v>177</v>
      </c>
      <c r="F131" s="33" t="s">
        <v>145</v>
      </c>
      <c r="G131" s="33" t="s">
        <v>159</v>
      </c>
    </row>
    <row r="132" spans="1:8" s="29" customFormat="1">
      <c r="A132" s="29">
        <v>1467</v>
      </c>
      <c r="B132" s="36">
        <v>371524</v>
      </c>
      <c r="C132" s="37" t="s">
        <v>292</v>
      </c>
      <c r="D132" s="33" t="s">
        <v>176</v>
      </c>
      <c r="E132" s="33" t="s">
        <v>177</v>
      </c>
      <c r="F132" s="33" t="s">
        <v>145</v>
      </c>
      <c r="G132" s="33" t="s">
        <v>159</v>
      </c>
    </row>
    <row r="133" spans="1:8" s="29" customFormat="1">
      <c r="A133" s="29">
        <v>1468</v>
      </c>
      <c r="B133" s="36">
        <v>371525</v>
      </c>
      <c r="C133" s="38" t="s">
        <v>293</v>
      </c>
      <c r="D133" s="33" t="s">
        <v>176</v>
      </c>
      <c r="E133" s="33" t="s">
        <v>177</v>
      </c>
      <c r="F133" s="33" t="s">
        <v>145</v>
      </c>
      <c r="G133" s="33" t="s">
        <v>159</v>
      </c>
    </row>
    <row r="134" spans="1:8" s="29" customFormat="1">
      <c r="A134" s="29">
        <v>1469</v>
      </c>
      <c r="B134" s="36">
        <v>371526</v>
      </c>
      <c r="C134" s="37" t="s">
        <v>294</v>
      </c>
      <c r="D134" s="33" t="s">
        <v>176</v>
      </c>
      <c r="E134" s="33" t="s">
        <v>177</v>
      </c>
      <c r="F134" s="33" t="s">
        <v>145</v>
      </c>
      <c r="G134" s="33" t="s">
        <v>159</v>
      </c>
    </row>
    <row r="135" spans="1:8" s="29" customFormat="1">
      <c r="A135" s="29">
        <v>1470</v>
      </c>
      <c r="B135" s="36">
        <v>371581</v>
      </c>
      <c r="C135" s="38" t="s">
        <v>295</v>
      </c>
      <c r="D135" s="33" t="s">
        <v>176</v>
      </c>
      <c r="E135" s="33" t="s">
        <v>177</v>
      </c>
      <c r="F135" s="33" t="s">
        <v>145</v>
      </c>
      <c r="G135" s="33" t="s">
        <v>159</v>
      </c>
    </row>
    <row r="136" spans="1:8" s="29" customFormat="1">
      <c r="A136" s="29">
        <v>1471</v>
      </c>
      <c r="B136" s="33">
        <v>371600</v>
      </c>
      <c r="C136" s="35" t="s">
        <v>160</v>
      </c>
      <c r="D136" s="33" t="s">
        <v>173</v>
      </c>
      <c r="E136" s="33" t="s">
        <v>174</v>
      </c>
      <c r="F136" s="33" t="s">
        <v>145</v>
      </c>
      <c r="G136" s="33" t="s">
        <v>160</v>
      </c>
      <c r="H136" s="33" t="s">
        <v>315</v>
      </c>
    </row>
    <row r="137" spans="1:8" s="29" customFormat="1">
      <c r="A137" s="29">
        <v>1472</v>
      </c>
      <c r="B137" s="36">
        <v>371602</v>
      </c>
      <c r="C137" s="38" t="s">
        <v>296</v>
      </c>
      <c r="D137" s="33" t="s">
        <v>176</v>
      </c>
      <c r="E137" s="33" t="s">
        <v>177</v>
      </c>
      <c r="F137" s="33" t="s">
        <v>145</v>
      </c>
      <c r="G137" s="33" t="s">
        <v>160</v>
      </c>
    </row>
    <row r="138" spans="1:8" s="29" customFormat="1">
      <c r="A138" s="29">
        <v>1473</v>
      </c>
      <c r="B138" s="36">
        <v>371603</v>
      </c>
      <c r="C138" s="38" t="s">
        <v>297</v>
      </c>
      <c r="D138" s="33" t="s">
        <v>176</v>
      </c>
      <c r="E138" s="33" t="s">
        <v>177</v>
      </c>
      <c r="F138" s="33" t="s">
        <v>145</v>
      </c>
      <c r="G138" s="33" t="s">
        <v>160</v>
      </c>
    </row>
    <row r="139" spans="1:8" s="29" customFormat="1">
      <c r="A139" s="29">
        <v>1474</v>
      </c>
      <c r="B139" s="36">
        <v>371621</v>
      </c>
      <c r="C139" s="38" t="s">
        <v>298</v>
      </c>
      <c r="D139" s="33" t="s">
        <v>176</v>
      </c>
      <c r="E139" s="33" t="s">
        <v>177</v>
      </c>
      <c r="F139" s="33" t="s">
        <v>145</v>
      </c>
      <c r="G139" s="33" t="s">
        <v>160</v>
      </c>
    </row>
    <row r="140" spans="1:8" s="29" customFormat="1">
      <c r="A140" s="29">
        <v>1475</v>
      </c>
      <c r="B140" s="36">
        <v>371622</v>
      </c>
      <c r="C140" s="37" t="s">
        <v>299</v>
      </c>
      <c r="D140" s="33" t="s">
        <v>176</v>
      </c>
      <c r="E140" s="33" t="s">
        <v>177</v>
      </c>
      <c r="F140" s="33" t="s">
        <v>145</v>
      </c>
      <c r="G140" s="33" t="s">
        <v>160</v>
      </c>
    </row>
    <row r="141" spans="1:8" s="29" customFormat="1">
      <c r="A141" s="29">
        <v>1476</v>
      </c>
      <c r="B141" s="36">
        <v>371623</v>
      </c>
      <c r="C141" s="37" t="s">
        <v>300</v>
      </c>
      <c r="D141" s="33" t="s">
        <v>176</v>
      </c>
      <c r="E141" s="33" t="s">
        <v>177</v>
      </c>
      <c r="F141" s="33" t="s">
        <v>145</v>
      </c>
      <c r="G141" s="33" t="s">
        <v>160</v>
      </c>
    </row>
    <row r="142" spans="1:8" s="29" customFormat="1">
      <c r="A142" s="29">
        <v>1477</v>
      </c>
      <c r="B142" s="36">
        <v>371625</v>
      </c>
      <c r="C142" s="37" t="s">
        <v>301</v>
      </c>
      <c r="D142" s="33" t="s">
        <v>176</v>
      </c>
      <c r="E142" s="33" t="s">
        <v>177</v>
      </c>
      <c r="F142" s="33" t="s">
        <v>145</v>
      </c>
      <c r="G142" s="33" t="s">
        <v>160</v>
      </c>
    </row>
    <row r="143" spans="1:8" s="29" customFormat="1">
      <c r="A143" s="29">
        <v>1478</v>
      </c>
      <c r="B143" s="36">
        <v>371681</v>
      </c>
      <c r="C143" s="38" t="s">
        <v>302</v>
      </c>
      <c r="D143" s="33" t="s">
        <v>176</v>
      </c>
      <c r="E143" s="33" t="s">
        <v>177</v>
      </c>
      <c r="F143" s="33" t="s">
        <v>145</v>
      </c>
      <c r="G143" s="33" t="s">
        <v>160</v>
      </c>
    </row>
    <row r="144" spans="1:8" s="29" customFormat="1">
      <c r="A144" s="29">
        <v>1479</v>
      </c>
      <c r="B144" s="33">
        <v>371700</v>
      </c>
      <c r="C144" s="35" t="s">
        <v>161</v>
      </c>
      <c r="D144" s="33" t="s">
        <v>173</v>
      </c>
      <c r="E144" s="33" t="s">
        <v>174</v>
      </c>
      <c r="F144" s="33" t="s">
        <v>145</v>
      </c>
      <c r="G144" s="33" t="s">
        <v>161</v>
      </c>
      <c r="H144" s="33" t="s">
        <v>318</v>
      </c>
    </row>
    <row r="145" spans="1:7" s="29" customFormat="1">
      <c r="A145" s="29">
        <v>1480</v>
      </c>
      <c r="B145" s="36">
        <v>371702</v>
      </c>
      <c r="C145" s="37" t="s">
        <v>303</v>
      </c>
      <c r="D145" s="33" t="s">
        <v>176</v>
      </c>
      <c r="E145" s="33" t="s">
        <v>177</v>
      </c>
      <c r="F145" s="33" t="s">
        <v>145</v>
      </c>
      <c r="G145" s="33" t="s">
        <v>161</v>
      </c>
    </row>
    <row r="146" spans="1:7" s="29" customFormat="1">
      <c r="A146" s="29">
        <v>1481</v>
      </c>
      <c r="B146" s="36">
        <v>371703</v>
      </c>
      <c r="C146" s="38" t="s">
        <v>304</v>
      </c>
      <c r="D146" s="33" t="s">
        <v>176</v>
      </c>
      <c r="E146" s="33" t="s">
        <v>177</v>
      </c>
      <c r="F146" s="33" t="s">
        <v>145</v>
      </c>
      <c r="G146" s="33" t="s">
        <v>161</v>
      </c>
    </row>
    <row r="147" spans="1:7" s="29" customFormat="1">
      <c r="A147" s="29">
        <v>1482</v>
      </c>
      <c r="B147" s="36">
        <v>371721</v>
      </c>
      <c r="C147" s="38" t="s">
        <v>305</v>
      </c>
      <c r="D147" s="33" t="s">
        <v>176</v>
      </c>
      <c r="E147" s="33" t="s">
        <v>177</v>
      </c>
      <c r="F147" s="33" t="s">
        <v>145</v>
      </c>
      <c r="G147" s="33" t="s">
        <v>161</v>
      </c>
    </row>
    <row r="148" spans="1:7" s="29" customFormat="1">
      <c r="A148" s="29">
        <v>1483</v>
      </c>
      <c r="B148" s="36">
        <v>371722</v>
      </c>
      <c r="C148" s="37" t="s">
        <v>306</v>
      </c>
      <c r="D148" s="33" t="s">
        <v>176</v>
      </c>
      <c r="E148" s="33" t="s">
        <v>177</v>
      </c>
      <c r="F148" s="33" t="s">
        <v>145</v>
      </c>
      <c r="G148" s="33" t="s">
        <v>161</v>
      </c>
    </row>
    <row r="149" spans="1:7" s="29" customFormat="1">
      <c r="A149" s="29">
        <v>1484</v>
      </c>
      <c r="B149" s="36">
        <v>371723</v>
      </c>
      <c r="C149" s="37" t="s">
        <v>307</v>
      </c>
      <c r="D149" s="33" t="s">
        <v>176</v>
      </c>
      <c r="E149" s="33" t="s">
        <v>177</v>
      </c>
      <c r="F149" s="33" t="s">
        <v>145</v>
      </c>
      <c r="G149" s="33" t="s">
        <v>161</v>
      </c>
    </row>
    <row r="150" spans="1:7" s="29" customFormat="1">
      <c r="A150" s="29">
        <v>1485</v>
      </c>
      <c r="B150" s="36">
        <v>371724</v>
      </c>
      <c r="C150" s="37" t="s">
        <v>308</v>
      </c>
      <c r="D150" s="33" t="s">
        <v>176</v>
      </c>
      <c r="E150" s="33" t="s">
        <v>177</v>
      </c>
      <c r="F150" s="33" t="s">
        <v>145</v>
      </c>
      <c r="G150" s="33" t="s">
        <v>161</v>
      </c>
    </row>
    <row r="151" spans="1:7" s="29" customFormat="1">
      <c r="A151" s="29">
        <v>1486</v>
      </c>
      <c r="B151" s="36">
        <v>371725</v>
      </c>
      <c r="C151" s="38" t="s">
        <v>309</v>
      </c>
      <c r="D151" s="33" t="s">
        <v>176</v>
      </c>
      <c r="E151" s="33" t="s">
        <v>177</v>
      </c>
      <c r="F151" s="33" t="s">
        <v>145</v>
      </c>
      <c r="G151" s="33" t="s">
        <v>161</v>
      </c>
    </row>
    <row r="152" spans="1:7" s="29" customFormat="1">
      <c r="A152" s="29">
        <v>1487</v>
      </c>
      <c r="B152" s="36">
        <v>371726</v>
      </c>
      <c r="C152" s="38" t="s">
        <v>310</v>
      </c>
      <c r="D152" s="33" t="s">
        <v>176</v>
      </c>
      <c r="E152" s="33" t="s">
        <v>177</v>
      </c>
      <c r="F152" s="33" t="s">
        <v>145</v>
      </c>
      <c r="G152" s="33" t="s">
        <v>161</v>
      </c>
    </row>
    <row r="153" spans="1:7" s="29" customFormat="1">
      <c r="A153" s="29">
        <v>1488</v>
      </c>
      <c r="B153" s="36">
        <v>371728</v>
      </c>
      <c r="C153" s="38" t="s">
        <v>311</v>
      </c>
      <c r="D153" s="33" t="s">
        <v>176</v>
      </c>
      <c r="E153" s="33" t="s">
        <v>177</v>
      </c>
      <c r="F153" s="33" t="s">
        <v>145</v>
      </c>
      <c r="G153" s="33" t="s">
        <v>161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C16A-9D58-4760-BBDA-07447F05CE43}">
  <dimension ref="A3:BD62"/>
  <sheetViews>
    <sheetView topLeftCell="A28" workbookViewId="0">
      <selection activeCell="N53" sqref="N53"/>
    </sheetView>
  </sheetViews>
  <sheetFormatPr defaultRowHeight="14.25"/>
  <cols>
    <col min="1" max="1" width="20.375" customWidth="1"/>
    <col min="2" max="10" width="10" customWidth="1"/>
  </cols>
  <sheetData>
    <row r="3" spans="1:10">
      <c r="A3" t="s">
        <v>319</v>
      </c>
    </row>
    <row r="4" spans="1:10" ht="17.25">
      <c r="A4" s="20" t="s">
        <v>118</v>
      </c>
      <c r="B4" s="20"/>
    </row>
    <row r="6" spans="1:10">
      <c r="A6" t="s">
        <v>120</v>
      </c>
    </row>
    <row r="7" spans="1:10">
      <c r="A7" t="s">
        <v>119</v>
      </c>
    </row>
    <row r="8" spans="1:10">
      <c r="A8" t="s">
        <v>121</v>
      </c>
    </row>
    <row r="9" spans="1:10">
      <c r="A9" t="s">
        <v>122</v>
      </c>
    </row>
    <row r="11" spans="1:10">
      <c r="B11">
        <v>2018</v>
      </c>
      <c r="C11">
        <v>2019</v>
      </c>
      <c r="E11">
        <v>2020</v>
      </c>
      <c r="F11" t="s">
        <v>132</v>
      </c>
      <c r="I11">
        <v>2021</v>
      </c>
      <c r="J11" t="s">
        <v>131</v>
      </c>
    </row>
    <row r="12" spans="1:10">
      <c r="A12" t="s">
        <v>123</v>
      </c>
      <c r="B12">
        <v>1361</v>
      </c>
      <c r="C12">
        <v>1619</v>
      </c>
      <c r="E12">
        <v>2272</v>
      </c>
      <c r="F12">
        <f>E12-C12</f>
        <v>653</v>
      </c>
      <c r="I12">
        <f>I13+I14</f>
        <v>3343</v>
      </c>
    </row>
    <row r="13" spans="1:10">
      <c r="A13" t="s">
        <v>124</v>
      </c>
      <c r="B13">
        <v>713</v>
      </c>
      <c r="C13">
        <v>942</v>
      </c>
      <c r="E13">
        <v>1467</v>
      </c>
      <c r="F13">
        <f>E13-C13</f>
        <v>525</v>
      </c>
      <c r="I13">
        <v>2334</v>
      </c>
    </row>
    <row r="14" spans="1:10">
      <c r="B14">
        <f>B12-B13</f>
        <v>648</v>
      </c>
      <c r="C14">
        <f>C12-C13</f>
        <v>677</v>
      </c>
      <c r="E14">
        <f>E12-E13</f>
        <v>805</v>
      </c>
      <c r="F14">
        <f>E14-C14</f>
        <v>128</v>
      </c>
      <c r="I14">
        <v>1009</v>
      </c>
    </row>
    <row r="15" spans="1:10">
      <c r="A15" t="s">
        <v>125</v>
      </c>
      <c r="C15">
        <v>751</v>
      </c>
      <c r="E15">
        <v>905</v>
      </c>
      <c r="F15">
        <f>E15-C15</f>
        <v>154</v>
      </c>
    </row>
    <row r="19" spans="1:56">
      <c r="A19" t="s">
        <v>38</v>
      </c>
      <c r="C19" s="17">
        <v>677</v>
      </c>
      <c r="D19" s="17"/>
      <c r="E19" s="16">
        <v>805.02</v>
      </c>
      <c r="I19">
        <v>1009</v>
      </c>
    </row>
    <row r="21" spans="1:56">
      <c r="A21" t="s">
        <v>39</v>
      </c>
      <c r="C21" s="17">
        <v>943</v>
      </c>
      <c r="D21" s="17"/>
      <c r="E21" s="16">
        <v>1467.4</v>
      </c>
      <c r="I21">
        <v>2334</v>
      </c>
      <c r="M21" s="17"/>
      <c r="N21" s="17">
        <v>2018</v>
      </c>
      <c r="O21" s="17">
        <v>2019</v>
      </c>
      <c r="P21" s="17">
        <v>2020</v>
      </c>
      <c r="Q21" s="17">
        <v>2021</v>
      </c>
      <c r="R21" s="17">
        <v>2022</v>
      </c>
      <c r="S21" s="17">
        <v>2023</v>
      </c>
      <c r="T21" s="17">
        <v>2024</v>
      </c>
      <c r="U21" s="17">
        <v>2025</v>
      </c>
      <c r="V21" s="17">
        <v>2026</v>
      </c>
      <c r="W21" s="17">
        <v>2027</v>
      </c>
      <c r="X21" s="17">
        <v>2028</v>
      </c>
      <c r="Y21" s="17">
        <v>2029</v>
      </c>
      <c r="Z21" s="17">
        <v>2030</v>
      </c>
      <c r="AA21" s="17">
        <v>2031</v>
      </c>
      <c r="AB21" s="17">
        <v>2032</v>
      </c>
      <c r="AC21" s="17">
        <v>2033</v>
      </c>
      <c r="AD21" s="17">
        <v>2034</v>
      </c>
      <c r="AE21" s="17">
        <v>2035</v>
      </c>
      <c r="AF21" s="17">
        <v>2036</v>
      </c>
      <c r="AG21" s="17">
        <v>2037</v>
      </c>
      <c r="AH21" s="17">
        <v>2038</v>
      </c>
      <c r="AI21" s="17">
        <v>2039</v>
      </c>
      <c r="AJ21" s="17">
        <v>2040</v>
      </c>
      <c r="AK21" s="17">
        <v>2041</v>
      </c>
      <c r="AL21" s="17">
        <v>2042</v>
      </c>
      <c r="AM21" s="17">
        <v>2043</v>
      </c>
      <c r="AN21" s="17">
        <v>2044</v>
      </c>
      <c r="AO21" s="17">
        <v>2045</v>
      </c>
      <c r="AP21" s="17">
        <v>2046</v>
      </c>
      <c r="AQ21" s="17">
        <v>2047</v>
      </c>
      <c r="AR21" s="17">
        <v>2048</v>
      </c>
      <c r="AS21" s="17">
        <v>2049</v>
      </c>
      <c r="AT21" s="17">
        <v>2050</v>
      </c>
      <c r="AU21" s="17">
        <v>2051</v>
      </c>
      <c r="AV21" s="17">
        <v>2052</v>
      </c>
      <c r="AW21" s="17">
        <v>2053</v>
      </c>
      <c r="AX21" s="17">
        <v>2054</v>
      </c>
      <c r="AY21" s="17">
        <v>2055</v>
      </c>
      <c r="AZ21" s="17">
        <v>2056</v>
      </c>
      <c r="BA21" s="17">
        <v>2057</v>
      </c>
      <c r="BB21" s="17">
        <v>2058</v>
      </c>
      <c r="BC21" s="17">
        <v>2059</v>
      </c>
      <c r="BD21" s="17">
        <v>2060</v>
      </c>
    </row>
    <row r="22" spans="1:56">
      <c r="M22" s="17" t="s">
        <v>136</v>
      </c>
      <c r="N22" s="22">
        <v>648</v>
      </c>
      <c r="O22" s="22">
        <v>677</v>
      </c>
      <c r="P22" s="22">
        <v>805</v>
      </c>
      <c r="Q22" s="22">
        <v>1009</v>
      </c>
      <c r="R22" s="23" cm="1">
        <f t="array" ref="R22">TREND(N22:Q22,N$21:Q$21,R$21)</f>
        <v>1087.5</v>
      </c>
      <c r="S22" s="23" cm="1">
        <f t="array" ref="S22">TREND(O22:R22,O$21:R$21,S$21)</f>
        <v>1253.5</v>
      </c>
      <c r="T22" s="23" cm="1">
        <f t="array" ref="T22">TREND(P22:S22,P$21:S$21,T$21)</f>
        <v>1394.75</v>
      </c>
      <c r="U22" s="23" cm="1">
        <f t="array" ref="U22">TREND(Q22:T22,Q$21:T$21,U$21)</f>
        <v>1517</v>
      </c>
      <c r="V22" s="23" cm="1">
        <f t="array" ref="V22">TREND(R22:U22,R$21:U$21,V$21)</f>
        <v>1670.625</v>
      </c>
      <c r="W22" s="23" cm="1">
        <f t="array" ref="W22">TREND(S22:V22,S$21:V$21,W$21)</f>
        <v>1802.375</v>
      </c>
      <c r="X22" s="23" cm="1">
        <f t="array" ref="X22">TREND(T22:W22,T$21:W$21,X$21)</f>
        <v>1940.3125</v>
      </c>
      <c r="Y22" s="23" cm="1">
        <f t="array" ref="Y22">TREND(U22:X22,U$21:X$21,Y$21)</f>
        <v>2083</v>
      </c>
      <c r="Z22" s="23" cm="1">
        <f t="array" ref="Z22">TREND(V22:Y22,V$21:Y$21,Z$21)</f>
        <v>2217.84375</v>
      </c>
      <c r="AA22" s="23" cm="1">
        <f t="array" ref="AA22">TREND(W22:Z22,W$21:Z$21,AA$21)</f>
        <v>2358.15625</v>
      </c>
      <c r="AB22" s="23" cm="1">
        <f t="array" ref="AB22">TREND(X22:AA22,X$21:AA$21,AB$21)</f>
        <v>2496.921875</v>
      </c>
      <c r="AC22" s="23" cm="1">
        <f t="array" ref="AC22">TREND(Y22:AB22,Y$21:AB$21,AC$21)</f>
        <v>2634.5</v>
      </c>
      <c r="AD22" s="23" cm="1">
        <f t="array" ref="AD22">TREND(Z22:AC22,Z$21:AC$21,AD$21)</f>
        <v>2774.0390625</v>
      </c>
      <c r="AE22" s="23" cm="1">
        <f t="array" ref="AE22">TREND(AA22:AD22,AA$21:AD$21,AE$21)</f>
        <v>2912.2109375</v>
      </c>
      <c r="AF22" s="23" cm="1">
        <f t="array" ref="AF22">TREND(AB22:AE22,AB$21:AE$21,AF$21)</f>
        <v>3050.76953125</v>
      </c>
      <c r="AG22" s="23" cm="1">
        <f t="array" ref="AG22">TREND(AC22:AF22,AC$21:AF$21,AG$21)</f>
        <v>3189.625</v>
      </c>
      <c r="AH22" s="23" cm="1">
        <f t="array" ref="AH22">TREND(AD22:AG22,AD$21:AG$21,AH$21)</f>
        <v>3327.990234375</v>
      </c>
      <c r="AI22" s="23" cm="1">
        <f t="array" ref="AI22">TREND(AE22:AH22,AE$21:AH$21,AI$21)</f>
        <v>3466.697265625</v>
      </c>
      <c r="AJ22" s="23" cm="1">
        <f t="array" ref="AJ22">TREND(AF22:AI22,AF$21:AI$21,AJ$21)</f>
        <v>3605.3076171875</v>
      </c>
      <c r="AK22" s="23" cm="1">
        <f t="array" ref="AK22">TREND(AG22:AJ22,AG$21:AJ$21,AK$21)</f>
        <v>3743.84375</v>
      </c>
      <c r="AL22" s="23" cm="1">
        <f t="array" ref="AL22">TREND(AH22:AK22,AH$21:AK$21,AL$21)</f>
        <v>3882.50244140625</v>
      </c>
      <c r="AM22" s="23" cm="1">
        <f t="array" ref="AM22">TREND(AI22:AL22,AI$21:AL$21,AM$21)</f>
        <v>4021.07568359375</v>
      </c>
      <c r="AN22" s="23" cm="1">
        <f t="array" ref="AN22">TREND(AJ22:AM22,AJ$21:AM$21,AN$21)</f>
        <v>4159.673095703125</v>
      </c>
      <c r="AO22" s="23" cm="1">
        <f t="array" ref="AO22">TREND(AK22:AN22,AK$21:AN$21,AO$21)</f>
        <v>4298.2890625</v>
      </c>
      <c r="AP22" s="23" cm="1">
        <f t="array" ref="AP22">TREND(AL22:AO22,AL$21:AO$21,AP$21)</f>
        <v>4436.8743896484375</v>
      </c>
      <c r="AQ22" s="23" cm="1">
        <f t="array" ref="AQ22">TREND(AM22:AP22,AM$21:AP$21,AQ$21)</f>
        <v>4575.4810791015625</v>
      </c>
      <c r="AR22" s="23" cm="1">
        <f t="array" ref="AR22">TREND(AN22:AQ22,AN$21:AQ$21,AR$21)</f>
        <v>4714.0817260742188</v>
      </c>
      <c r="AS22" s="23" cm="1">
        <f t="array" ref="AS22">TREND(AO22:AR22,AO$21:AR$21,AS$21)</f>
        <v>4852.677734375</v>
      </c>
      <c r="AT22" s="23" cm="1">
        <f t="array" ref="AT22">TREND(AP22:AS22,AP$21:AS$21,AT$21)</f>
        <v>4991.2814025878906</v>
      </c>
      <c r="AU22" s="23" cm="1">
        <f t="array" ref="AU22">TREND(AQ22:AT22,AQ$21:AT$21,AU$21)</f>
        <v>5129.8797302246094</v>
      </c>
      <c r="AV22" s="23" cm="1">
        <f t="array" ref="AV22">TREND(AR22:AU22,AR$21:AU$21,AV$21)</f>
        <v>5268.4795684814453</v>
      </c>
      <c r="AW22" s="23" cm="1">
        <f t="array" ref="AW22">TREND(AS22:AV22,AS$21:AV$21,AW$21)</f>
        <v>5407.08056640625</v>
      </c>
      <c r="AX22" s="23" cm="1">
        <f t="array" ref="AX22">TREND(AT22:AW22,AT$21:AW$21,AX$21)</f>
        <v>5545.6796493530273</v>
      </c>
      <c r="AY22" s="23" cm="1">
        <f t="array" ref="AY22">TREND(AU22:AX22,AU$21:AX$21,AY$21)</f>
        <v>5684.2800674438477</v>
      </c>
      <c r="AZ22" s="23" cm="1">
        <f t="array" ref="AZ22">TREND(AV22:AY22,AV$21:AY$21,AZ$21)</f>
        <v>5822.8801078796387</v>
      </c>
      <c r="BA22" s="23" cm="1">
        <f t="array" ref="BA22">TREND(AW22:AZ22,AW$21:AZ$21,BA$21)</f>
        <v>5961.4798583984375</v>
      </c>
      <c r="BB22" s="23" cm="1">
        <f t="array" ref="BB22">TREND(AX22:BA22,AX$21:BA$21,BB$21)</f>
        <v>6100.0800876617432</v>
      </c>
      <c r="BC22" s="23" cm="1">
        <f t="array" ref="BC22">TREND(AY22:BB22,AY$21:BB$21,BC$21)</f>
        <v>6238.6799831390381</v>
      </c>
      <c r="BD22" s="23" cm="1">
        <f t="array" ref="BD22">TREND(AZ22:BC22,AZ$21:BC$21,BD$21)</f>
        <v>6377.2799730300903</v>
      </c>
    </row>
    <row r="23" spans="1:56">
      <c r="M23" s="17" t="s">
        <v>134</v>
      </c>
      <c r="N23" s="22">
        <v>566.34</v>
      </c>
      <c r="O23" s="22">
        <v>606.34</v>
      </c>
      <c r="P23" s="22">
        <v>665.34</v>
      </c>
      <c r="Q23" s="22">
        <v>769.11999999999989</v>
      </c>
      <c r="R23" s="23" cm="1">
        <f t="array" ref="R23">TREND(N23:Q23,N$21:Q$21,R$21)</f>
        <v>818.61999999999534</v>
      </c>
      <c r="S23" s="23" cm="1">
        <f t="array" ref="S23">TREND(O23:R23,O$21:R$21,S$21)</f>
        <v>900.01000000000931</v>
      </c>
      <c r="T23" s="23" cm="1">
        <f t="array" ref="T23">TREND(P23:S23,P$21:S$21,T$21)</f>
        <v>976.64999999999418</v>
      </c>
      <c r="U23" s="23" cm="1">
        <f t="array" ref="U23">TREND(Q23:T23,Q$21:T$21,U$21)</f>
        <v>1042.0950000000303</v>
      </c>
      <c r="V23" s="23" cm="1">
        <f t="array" ref="V23">TREND(R23:U23,R$21:U$21,V$21)</f>
        <v>1121.1100000000151</v>
      </c>
      <c r="W23" s="23" cm="1">
        <f t="array" ref="W23">TREND(S23:V23,S$21:V$21,W$21)</f>
        <v>1192.1524999999965</v>
      </c>
      <c r="X23" s="23" cm="1">
        <f t="array" ref="X23">TREND(T23:W23,T$21:W$21,X$21)</f>
        <v>1264.382500000007</v>
      </c>
      <c r="Y23" s="23" cm="1">
        <f t="array" ref="Y23">TREND(U23:X23,U$21:X$21,Y$21)</f>
        <v>1339.4112500000047</v>
      </c>
      <c r="Z23" s="23" cm="1">
        <f t="array" ref="Z23">TREND(V23:Y23,V$21:Y$21,Z$21)</f>
        <v>1411.047499999986</v>
      </c>
      <c r="AA23" s="23" cm="1">
        <f t="array" ref="AA23">TREND(W23:Z23,W$21:Z$21,AA$21)</f>
        <v>1484.6768750000047</v>
      </c>
      <c r="AB23" s="23" cm="1">
        <f t="array" ref="AB23">TREND(X23:AA23,X$21:AA$21,AB$21)</f>
        <v>1558.0093749999651</v>
      </c>
      <c r="AC23" s="23" cm="1">
        <f t="array" ref="AC23">TREND(Y23:AB23,Y$21:AB$21,AC$21)</f>
        <v>1630.6421874999942</v>
      </c>
      <c r="AD23" s="23" cm="1">
        <f t="array" ref="AD23">TREND(Z23:AC23,Z$21:AC$21,AD$21)</f>
        <v>1704.1231249999546</v>
      </c>
      <c r="AE23" s="23" cm="1">
        <f t="array" ref="AE23">TREND(AA23:AD23,AA$21:AD$21,AE$21)</f>
        <v>1777.1057812499348</v>
      </c>
      <c r="AF23" s="23" cm="1">
        <f t="array" ref="AF23">TREND(AB23:AE23,AB$21:AE$21,AF$21)</f>
        <v>1850.162656249915</v>
      </c>
      <c r="AG23" s="23" cm="1">
        <f t="array" ref="AG23">TREND(AC23:AF23,AC$21:AF$21,AG$21)</f>
        <v>1923.3944531248999</v>
      </c>
      <c r="AH23" s="23" cm="1">
        <f t="array" ref="AH23">TREND(AD23:AG23,AD$21:AG$21,AH$21)</f>
        <v>1996.4142187499092</v>
      </c>
      <c r="AI23" s="23" cm="1">
        <f t="array" ref="AI23">TREND(AE23:AH23,AE$21:AH$21,AI$21)</f>
        <v>2069.5585546874208</v>
      </c>
      <c r="AJ23" s="23" cm="1">
        <f t="array" ref="AJ23">TREND(AF23:AI23,AF$21:AI$21,AJ$21)</f>
        <v>2142.6843359374325</v>
      </c>
      <c r="AK23" s="23" cm="1">
        <f t="array" ref="AK23">TREND(AG23:AJ23,AG$21:AJ$21,AK$21)</f>
        <v>2215.766386718693</v>
      </c>
      <c r="AL23" s="23" cm="1">
        <f t="array" ref="AL23">TREND(AH23:AK23,AH$21:AK$21,AL$21)</f>
        <v>2288.9014453124837</v>
      </c>
      <c r="AM23" s="23" cm="1">
        <f t="array" ref="AM23">TREND(AI23:AL23,AI$21:AL$21,AM$21)</f>
        <v>2362.0053613281343</v>
      </c>
      <c r="AN23" s="23" cm="1">
        <f t="array" ref="AN23">TREND(AJ23:AM23,AJ$21:AM$21,AN$21)</f>
        <v>2435.1139160156599</v>
      </c>
      <c r="AO23" s="23" cm="1">
        <f t="array" ref="AO23">TREND(AK23:AN23,AK$21:AN$21,AO$21)</f>
        <v>2508.2334033203952</v>
      </c>
      <c r="AP23" s="23" cm="1">
        <f t="array" ref="AP23">TREND(AL23:AO23,AL$21:AO$21,AP$21)</f>
        <v>2581.3396386719833</v>
      </c>
      <c r="AQ23" s="23" cm="1">
        <f t="array" ref="AQ23">TREND(AM23:AP23,AM$21:AP$21,AQ$21)</f>
        <v>2654.4536596680991</v>
      </c>
      <c r="AR23" s="23" cm="1">
        <f t="array" ref="AR23">TREND(AN23:AQ23,AN$21:AQ$21,AR$21)</f>
        <v>2727.5665209962463</v>
      </c>
      <c r="AS23" s="23" cm="1">
        <f t="array" ref="AS23">TREND(AO23:AR23,AO$21:AR$21,AS$21)</f>
        <v>2800.6766491701128</v>
      </c>
      <c r="AT23" s="23" cm="1">
        <f t="array" ref="AT23">TREND(AP23:AS23,AP$21:AS$21,AT$21)</f>
        <v>2873.7900903322443</v>
      </c>
      <c r="AU23" s="23" cm="1">
        <f t="array" ref="AU23">TREND(AQ23:AT23,AQ$21:AT$21,AU$21)</f>
        <v>2946.9015850832511</v>
      </c>
      <c r="AV23" s="23" cm="1">
        <f t="array" ref="AV23">TREND(AR23:AU23,AR$21:AU$21,AV$21)</f>
        <v>3020.0133697512792</v>
      </c>
      <c r="AW23" s="23" cm="1">
        <f t="array" ref="AW23">TREND(AS23:AV23,AS$21:AV$21,AW$21)</f>
        <v>3093.125837707863</v>
      </c>
      <c r="AX23" s="23" cm="1">
        <f t="array" ref="AX23">TREND(AT23:AW23,AT$21:AW$21,AX$21)</f>
        <v>3166.2374774173659</v>
      </c>
      <c r="AY23" s="23" cm="1">
        <f t="array" ref="AY23">TREND(AU23:AX23,AU$21:AX$21,AY$21)</f>
        <v>3239.3496037296718</v>
      </c>
      <c r="AZ23" s="23" cm="1">
        <f t="array" ref="AZ23">TREND(AV23:AY23,AV$21:AY$21,AZ$21)</f>
        <v>3312.4616575627006</v>
      </c>
      <c r="BA23" s="23" cm="1">
        <f t="array" ref="BA23">TREND(AW23:AZ23,AW$21:AZ$21,BA$21)</f>
        <v>3385.5735405736195</v>
      </c>
      <c r="BB23" s="23" cm="1">
        <f t="array" ref="BB23">TREND(AX23:BA23,AX$21:BA$21,BB$21)</f>
        <v>3458.6856306463014</v>
      </c>
      <c r="BC23" s="23" cm="1">
        <f t="array" ref="BC23">TREND(AY23:BB23,AY$21:BB$21,BC$21)</f>
        <v>3531.7975990682608</v>
      </c>
      <c r="BD23" s="23" cm="1">
        <f t="array" ref="BD23">TREND(AZ23:BC23,AZ$21:BC$21,BD$21)</f>
        <v>3604.9095856100612</v>
      </c>
    </row>
    <row r="24" spans="1:56">
      <c r="B24">
        <v>2018</v>
      </c>
      <c r="C24">
        <v>2019</v>
      </c>
      <c r="D24" t="s">
        <v>133</v>
      </c>
      <c r="E24">
        <v>2020</v>
      </c>
      <c r="G24" t="s">
        <v>126</v>
      </c>
      <c r="H24" t="s">
        <v>130</v>
      </c>
      <c r="I24">
        <v>2021</v>
      </c>
      <c r="J24" t="s">
        <v>131</v>
      </c>
      <c r="M24" s="17" t="s">
        <v>135</v>
      </c>
      <c r="N24" s="22">
        <v>146.65999999999997</v>
      </c>
      <c r="O24" s="22">
        <v>335.65999999999997</v>
      </c>
      <c r="P24" s="22">
        <v>801.66</v>
      </c>
      <c r="Q24" s="22">
        <v>1564.88</v>
      </c>
      <c r="R24" s="23" cm="1">
        <f t="array" ref="R24">TREND(N24:Q24,N$21:Q$21,R$21)</f>
        <v>1892.3800000000047</v>
      </c>
      <c r="S24" s="23" cm="1">
        <f t="array" ref="S24">TREND(O24:R24,O$21:R$21,S$21)</f>
        <v>2506.9899999999907</v>
      </c>
      <c r="T24" s="23" cm="1">
        <f t="array" ref="T24">TREND(P24:S24,P$21:S$21,T$21)</f>
        <v>3052.3500000000931</v>
      </c>
      <c r="U24" s="23" cm="1">
        <f t="array" ref="U24">TREND(Q24:T24,Q$21:T$21,U$21)</f>
        <v>3523.4050000000279</v>
      </c>
      <c r="V24" s="23" cm="1">
        <f t="array" ref="V24">TREND(R24:U24,R$21:U$21,V$21)</f>
        <v>4103.3899999998976</v>
      </c>
      <c r="W24" s="23" cm="1">
        <f t="array" ref="W24">TREND(S24:V24,S$21:V$21,W$21)</f>
        <v>4611.5974999999162</v>
      </c>
      <c r="X24" s="23" cm="1">
        <f t="array" ref="X24">TREND(T24:W24,T$21:W$21,X$21)</f>
        <v>5137.117499999702</v>
      </c>
      <c r="Y24" s="23" cm="1">
        <f t="array" ref="Y24">TREND(U24:X24,U$21:X$21,Y$21)</f>
        <v>5681.2137499998789</v>
      </c>
      <c r="Z24" s="23" cm="1">
        <f t="array" ref="Z24">TREND(V24:Y24,V$21:Y$21,Z$21)</f>
        <v>6198.0774999998976</v>
      </c>
      <c r="AA24" s="23" cm="1">
        <f t="array" ref="AA24">TREND(W24:Z24,W$21:Z$21,AA$21)</f>
        <v>6732.8856249998789</v>
      </c>
      <c r="AB24" s="23" cm="1">
        <f t="array" ref="AB24">TREND(X24:AA24,X$21:AA$21,AB$21)</f>
        <v>7263.3656250000931</v>
      </c>
      <c r="AC24" s="23" cm="1">
        <f t="array" ref="AC24">TREND(Y24:AB24,Y$21:AB$21,AC$21)</f>
        <v>7789.2015624998603</v>
      </c>
      <c r="AD24" s="23" cm="1">
        <f t="array" ref="AD24">TREND(Z24:AC24,Z$21:AC$21,AD$21)</f>
        <v>8321.8456250000745</v>
      </c>
      <c r="AE24" s="23" cm="1">
        <f t="array" ref="AE24">TREND(AA24:AD24,AA$21:AD$21,AE$21)</f>
        <v>8850.0035937500652</v>
      </c>
      <c r="AF24" s="23" cm="1">
        <f t="array" ref="AF24">TREND(AB24:AE24,AB$21:AE$21,AF$21)</f>
        <v>9379.2435937502887</v>
      </c>
      <c r="AG24" s="23" cm="1">
        <f t="array" ref="AG24">TREND(AC24:AF24,AC$21:AF$21,AG$21)</f>
        <v>9909.6446093753912</v>
      </c>
      <c r="AH24" s="23" cm="1">
        <f t="array" ref="AH24">TREND(AD24:AG24,AD$21:AG$21,AH$21)</f>
        <v>10438.343593750382</v>
      </c>
      <c r="AI24" s="23" cm="1">
        <f t="array" ref="AI24">TREND(AE24:AH24,AE$21:AH$21,AI$21)</f>
        <v>10968.164101563161</v>
      </c>
      <c r="AJ24" s="23" cm="1">
        <f t="array" ref="AJ24">TREND(AF24:AI24,AF$21:AI$21,AJ$21)</f>
        <v>11497.714101563208</v>
      </c>
      <c r="AK24" s="23" cm="1">
        <f t="array" ref="AK24">TREND(AG24:AJ24,AG$21:AJ$21,AK$21)</f>
        <v>12026.973847656976</v>
      </c>
      <c r="AL24" s="23" cm="1">
        <f t="array" ref="AL24">TREND(AH24:AK24,AH$21:AK$21,AL$21)</f>
        <v>12556.659101563273</v>
      </c>
      <c r="AM24" s="23" cm="1">
        <f t="array" ref="AM24">TREND(AI24:AL24,AI$21:AL$21,AM$21)</f>
        <v>13086.063974610064</v>
      </c>
      <c r="AN24" s="23" cm="1">
        <f t="array" ref="AN24">TREND(AJ24:AM24,AJ$21:AM$21,AN$21)</f>
        <v>13615.536474610213</v>
      </c>
      <c r="AO24" s="23" cm="1">
        <f t="array" ref="AO24">TREND(AK24:AN24,AK$21:AN$21,AO$21)</f>
        <v>14145.081538086757</v>
      </c>
      <c r="AP24" s="23" cm="1">
        <f t="array" ref="AP24">TREND(AL24:AO24,AL$21:AO$21,AP$21)</f>
        <v>14674.520224610344</v>
      </c>
      <c r="AQ24" s="23" cm="1">
        <f t="array" ref="AQ24">TREND(AM24:AP24,AM$21:AP$21,AQ$21)</f>
        <v>15204.02900634869</v>
      </c>
      <c r="AR24" s="23" cm="1">
        <f t="array" ref="AR24">TREND(AN24:AQ24,AN$21:AQ$21,AR$21)</f>
        <v>15733.520881348755</v>
      </c>
      <c r="AS24" s="23" cm="1">
        <f t="array" ref="AS24">TREND(AO24:AR24,AO$21:AR$21,AS$21)</f>
        <v>16262.994615479605</v>
      </c>
      <c r="AT24" s="23" cm="1">
        <f t="array" ref="AT24">TREND(AP24:AS24,AP$21:AS$21,AT$21)</f>
        <v>16792.494943849044</v>
      </c>
      <c r="AU24" s="23" cm="1">
        <f t="array" ref="AU24">TREND(AQ24:AT24,AQ$21:AT$21,AU$21)</f>
        <v>17321.977748414734</v>
      </c>
      <c r="AV24" s="23" cm="1">
        <f t="array" ref="AV24">TREND(AR24:AU24,AR$21:AU$21,AV$21)</f>
        <v>17851.464779664762</v>
      </c>
      <c r="AW24" s="23" cm="1">
        <f t="array" ref="AW24">TREND(AS24:AV24,AS$21:AV$21,AW$21)</f>
        <v>18380.956346132327</v>
      </c>
      <c r="AX24" s="23" cm="1">
        <f t="array" ref="AX24">TREND(AT24:AW24,AT$21:AW$21,AX$21)</f>
        <v>18910.44126404007</v>
      </c>
      <c r="AY24" s="23" cm="1">
        <f t="array" ref="AY24">TREND(AU24:AX24,AU$21:AX$21,AY$21)</f>
        <v>19439.930562898749</v>
      </c>
      <c r="AZ24" s="23" cm="1">
        <f t="array" ref="AZ24">TREND(AV24:AY24,AV$21:AY$21,AZ$21)</f>
        <v>19969.418805086287</v>
      </c>
      <c r="BA24" s="23" cm="1">
        <f t="array" ref="BA24">TREND(AW24:AZ24,AW$21:AZ$21,BA$21)</f>
        <v>20498.905913469614</v>
      </c>
      <c r="BB24" s="23" cm="1">
        <f t="array" ref="BB24">TREND(AX24:BA24,AX$21:BA$21,BB$21)</f>
        <v>21028.394683992723</v>
      </c>
      <c r="BC24" s="23" cm="1">
        <f t="array" ref="BC24">TREND(AY24:BB24,AY$21:BB$21,BC$21)</f>
        <v>21557.882359278155</v>
      </c>
      <c r="BD24" s="23" cm="1">
        <f t="array" ref="BD24">TREND(AZ24:BC24,AZ$21:BC$21,BD$21)</f>
        <v>22087.370298731141</v>
      </c>
    </row>
    <row r="25" spans="1:56">
      <c r="A25" t="s">
        <v>129</v>
      </c>
      <c r="B25">
        <v>713</v>
      </c>
      <c r="C25" s="15">
        <v>942</v>
      </c>
      <c r="D25" s="15"/>
      <c r="E25" s="15">
        <v>1467</v>
      </c>
      <c r="G25" s="15">
        <v>1589</v>
      </c>
      <c r="I25" s="15">
        <v>2334</v>
      </c>
      <c r="J25" s="15">
        <f>I25-E25</f>
        <v>867</v>
      </c>
      <c r="M25" s="17" t="s">
        <v>37</v>
      </c>
      <c r="N25" s="22">
        <f>N23+N24</f>
        <v>713</v>
      </c>
      <c r="O25" s="22">
        <f t="shared" ref="O25:BD25" si="0">O23+O24</f>
        <v>942</v>
      </c>
      <c r="P25" s="22">
        <f t="shared" si="0"/>
        <v>1467</v>
      </c>
      <c r="Q25" s="22">
        <f t="shared" si="0"/>
        <v>2334</v>
      </c>
      <c r="R25" s="22">
        <f t="shared" si="0"/>
        <v>2711</v>
      </c>
      <c r="S25" s="22">
        <f t="shared" si="0"/>
        <v>3407</v>
      </c>
      <c r="T25" s="22">
        <f t="shared" si="0"/>
        <v>4029.0000000000873</v>
      </c>
      <c r="U25" s="22">
        <f t="shared" si="0"/>
        <v>4565.5000000000582</v>
      </c>
      <c r="V25" s="22">
        <f t="shared" si="0"/>
        <v>5224.4999999999127</v>
      </c>
      <c r="W25" s="22">
        <f t="shared" si="0"/>
        <v>5803.7499999999127</v>
      </c>
      <c r="X25" s="22">
        <f t="shared" si="0"/>
        <v>6401.499999999709</v>
      </c>
      <c r="Y25" s="22">
        <f t="shared" si="0"/>
        <v>7020.6249999998836</v>
      </c>
      <c r="Z25" s="22">
        <f t="shared" si="0"/>
        <v>7609.1249999998836</v>
      </c>
      <c r="AA25" s="22">
        <f t="shared" si="0"/>
        <v>8217.5624999998836</v>
      </c>
      <c r="AB25" s="22">
        <f t="shared" si="0"/>
        <v>8821.3750000000582</v>
      </c>
      <c r="AC25" s="22">
        <f t="shared" si="0"/>
        <v>9419.8437499998545</v>
      </c>
      <c r="AD25" s="22">
        <f t="shared" si="0"/>
        <v>10025.968750000029</v>
      </c>
      <c r="AE25" s="22">
        <f t="shared" si="0"/>
        <v>10627.109375</v>
      </c>
      <c r="AF25" s="22">
        <f t="shared" si="0"/>
        <v>11229.406250000204</v>
      </c>
      <c r="AG25" s="22">
        <f t="shared" si="0"/>
        <v>11833.039062500291</v>
      </c>
      <c r="AH25" s="22">
        <f t="shared" si="0"/>
        <v>12434.757812500291</v>
      </c>
      <c r="AI25" s="22">
        <f t="shared" si="0"/>
        <v>13037.722656250582</v>
      </c>
      <c r="AJ25" s="22">
        <f t="shared" si="0"/>
        <v>13640.39843750064</v>
      </c>
      <c r="AK25" s="22">
        <f t="shared" si="0"/>
        <v>14242.740234375669</v>
      </c>
      <c r="AL25" s="22">
        <f t="shared" si="0"/>
        <v>14845.560546875757</v>
      </c>
      <c r="AM25" s="22">
        <f t="shared" si="0"/>
        <v>15448.069335938198</v>
      </c>
      <c r="AN25" s="22">
        <f t="shared" si="0"/>
        <v>16050.650390625873</v>
      </c>
      <c r="AO25" s="22">
        <f t="shared" si="0"/>
        <v>16653.314941407152</v>
      </c>
      <c r="AP25" s="22">
        <f t="shared" si="0"/>
        <v>17255.859863282327</v>
      </c>
      <c r="AQ25" s="22">
        <f t="shared" si="0"/>
        <v>17858.482666016789</v>
      </c>
      <c r="AR25" s="22">
        <f t="shared" si="0"/>
        <v>18461.087402345001</v>
      </c>
      <c r="AS25" s="22">
        <f t="shared" si="0"/>
        <v>19063.671264649718</v>
      </c>
      <c r="AT25" s="22">
        <f t="shared" si="0"/>
        <v>19666.285034181288</v>
      </c>
      <c r="AU25" s="22">
        <f t="shared" si="0"/>
        <v>20268.879333497985</v>
      </c>
      <c r="AV25" s="22">
        <f t="shared" si="0"/>
        <v>20871.478149416042</v>
      </c>
      <c r="AW25" s="22">
        <f t="shared" si="0"/>
        <v>21474.08218384019</v>
      </c>
      <c r="AX25" s="22">
        <f t="shared" si="0"/>
        <v>22076.678741457436</v>
      </c>
      <c r="AY25" s="22">
        <f t="shared" si="0"/>
        <v>22679.280166628421</v>
      </c>
      <c r="AZ25" s="22">
        <f t="shared" si="0"/>
        <v>23281.880462648987</v>
      </c>
      <c r="BA25" s="22">
        <f t="shared" si="0"/>
        <v>23884.479454043234</v>
      </c>
      <c r="BB25" s="22">
        <f t="shared" si="0"/>
        <v>24487.080314639024</v>
      </c>
      <c r="BC25" s="22">
        <f t="shared" si="0"/>
        <v>25089.679958346416</v>
      </c>
      <c r="BD25" s="22">
        <f t="shared" si="0"/>
        <v>25692.279884341202</v>
      </c>
    </row>
    <row r="26" spans="1:56">
      <c r="A26" t="s">
        <v>128</v>
      </c>
      <c r="B26" s="15">
        <f>B25-B27</f>
        <v>566.34</v>
      </c>
      <c r="C26" s="15">
        <f>C25-C27</f>
        <v>606.34</v>
      </c>
      <c r="D26" s="15"/>
      <c r="E26" s="15">
        <f>E25-E27</f>
        <v>665.34</v>
      </c>
      <c r="G26" s="15">
        <v>678</v>
      </c>
      <c r="I26" s="15">
        <f>I25-I27</f>
        <v>769.11999999999989</v>
      </c>
      <c r="J26" s="15">
        <f>I26-E26</f>
        <v>103.77999999999986</v>
      </c>
    </row>
    <row r="27" spans="1:56">
      <c r="A27" t="s">
        <v>127</v>
      </c>
      <c r="B27" s="15">
        <f>C27-D27</f>
        <v>146.65999999999997</v>
      </c>
      <c r="C27" s="15">
        <f>E27-466</f>
        <v>335.65999999999997</v>
      </c>
      <c r="D27" s="15">
        <v>189</v>
      </c>
      <c r="E27" s="15">
        <f>G27-H27</f>
        <v>801.66</v>
      </c>
      <c r="G27" s="15">
        <v>911</v>
      </c>
      <c r="H27">
        <v>109.34</v>
      </c>
      <c r="I27" s="15">
        <f>E27+J27</f>
        <v>1564.88</v>
      </c>
      <c r="J27">
        <v>763.22</v>
      </c>
      <c r="M27" s="24" t="s">
        <v>137</v>
      </c>
    </row>
    <row r="30" spans="1:56">
      <c r="A30" s="39"/>
      <c r="B30" s="39">
        <v>2018</v>
      </c>
      <c r="C30" s="39">
        <v>2019</v>
      </c>
      <c r="D30" s="39">
        <v>2020</v>
      </c>
      <c r="E30" s="39">
        <v>2021</v>
      </c>
      <c r="F30" s="39">
        <v>2022</v>
      </c>
      <c r="G30" s="39">
        <v>2023</v>
      </c>
      <c r="H30" s="39">
        <v>2024</v>
      </c>
      <c r="I30" s="39">
        <v>2025</v>
      </c>
      <c r="J30" s="39">
        <v>2026</v>
      </c>
      <c r="K30" s="39">
        <v>2027</v>
      </c>
      <c r="L30" s="39">
        <v>2028</v>
      </c>
      <c r="M30" s="39">
        <v>2029</v>
      </c>
      <c r="N30" s="39">
        <v>2030</v>
      </c>
      <c r="O30" s="39">
        <v>2031</v>
      </c>
      <c r="P30" s="39">
        <v>2032</v>
      </c>
      <c r="Q30" s="39">
        <v>2033</v>
      </c>
      <c r="R30" s="39">
        <v>2034</v>
      </c>
      <c r="S30" s="39">
        <v>2035</v>
      </c>
      <c r="T30" s="39">
        <v>2036</v>
      </c>
      <c r="U30" s="39">
        <v>2037</v>
      </c>
      <c r="V30" s="39">
        <v>2038</v>
      </c>
      <c r="W30" s="39">
        <v>2039</v>
      </c>
      <c r="X30" s="39">
        <v>2040</v>
      </c>
      <c r="Y30" s="39">
        <v>2041</v>
      </c>
      <c r="Z30" s="39">
        <v>2042</v>
      </c>
      <c r="AA30" s="39">
        <v>2043</v>
      </c>
      <c r="AB30" s="39">
        <v>2044</v>
      </c>
      <c r="AC30" s="39">
        <v>2045</v>
      </c>
      <c r="AD30" s="39">
        <v>2046</v>
      </c>
      <c r="AE30" s="39">
        <v>2047</v>
      </c>
      <c r="AF30" s="39">
        <v>2048</v>
      </c>
      <c r="AG30" s="39">
        <v>2049</v>
      </c>
      <c r="AH30" s="39">
        <v>2050</v>
      </c>
      <c r="AI30" s="39">
        <v>2051</v>
      </c>
      <c r="AJ30" s="39">
        <v>2052</v>
      </c>
      <c r="AK30" s="39">
        <v>2053</v>
      </c>
      <c r="AL30" s="39">
        <v>2054</v>
      </c>
      <c r="AM30" s="39">
        <v>2055</v>
      </c>
      <c r="AN30" s="39">
        <v>2056</v>
      </c>
      <c r="AO30" s="39">
        <v>2057</v>
      </c>
      <c r="AP30" s="39">
        <v>2058</v>
      </c>
      <c r="AQ30" s="39">
        <v>2059</v>
      </c>
      <c r="AR30" s="39">
        <v>2060</v>
      </c>
    </row>
    <row r="31" spans="1:56">
      <c r="A31" s="39" t="s">
        <v>136</v>
      </c>
      <c r="B31" s="53">
        <v>6480</v>
      </c>
      <c r="C31" s="53">
        <v>6770</v>
      </c>
      <c r="D31" s="53">
        <v>8050</v>
      </c>
      <c r="E31" s="53">
        <v>10090</v>
      </c>
      <c r="F31" s="53">
        <f>E31+M55+M57+M59</f>
        <v>14090</v>
      </c>
      <c r="G31" s="53">
        <f>($I31-$F31)/3+F31</f>
        <v>16836.666666666668</v>
      </c>
      <c r="H31" s="53">
        <f>($I31-$F31)/3+G31</f>
        <v>19583.333333333336</v>
      </c>
      <c r="I31" s="53">
        <f>57000-I36</f>
        <v>22330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</row>
    <row r="32" spans="1:56">
      <c r="A32" s="39" t="s">
        <v>134</v>
      </c>
      <c r="B32" s="53">
        <v>5663.4000000000005</v>
      </c>
      <c r="C32" s="53">
        <v>6063.4000000000005</v>
      </c>
      <c r="D32" s="53">
        <v>6653.4000000000005</v>
      </c>
      <c r="E32" s="53">
        <v>7691.1999999999989</v>
      </c>
      <c r="F32" s="53">
        <f t="shared" ref="F32:F35" si="1">E32+B49</f>
        <v>8201.0499999999993</v>
      </c>
      <c r="G32" s="53">
        <f t="shared" ref="G32:G35" si="2">F32+C49</f>
        <v>8948.83</v>
      </c>
      <c r="H32" s="53">
        <f t="shared" ref="H32:H35" si="3">G32+D49</f>
        <v>9900.5499999999993</v>
      </c>
      <c r="I32" s="53">
        <f t="shared" ref="I32:I35" si="4">H32+E49</f>
        <v>11090.199999999999</v>
      </c>
      <c r="J32" s="54" cm="1">
        <f t="array" ref="J32">TREND($B32:$I32,$B$30:$I$30,J$30)</f>
        <v>11485.583571428666</v>
      </c>
      <c r="K32" s="54" cm="1">
        <f t="array" ref="K32">TREND($B32:$I32,$B$30:$I$30,K$30)</f>
        <v>12254.267976190429</v>
      </c>
      <c r="L32" s="54" cm="1">
        <f t="array" ref="L32">TREND($B32:$I32,$B$30:$I$30,L$30)</f>
        <v>13022.952380952425</v>
      </c>
      <c r="M32" s="54" cm="1">
        <f t="array" ref="M32">TREND($B32:$I32,$B$30:$I$30,M$30)</f>
        <v>13791.636785714189</v>
      </c>
      <c r="N32" s="54" cm="1">
        <f t="array" ref="N32">TREND($B32:$I32,$B$30:$I$30,N$30)</f>
        <v>14560.321190476185</v>
      </c>
      <c r="O32" s="54" cm="1">
        <f t="array" ref="O32">TREND($B32:$I32,$B$30:$I$30,O$30)</f>
        <v>15329.005595238181</v>
      </c>
      <c r="P32" s="54" cm="1">
        <f t="array" ref="P32">TREND($B32:$I32,$B$30:$I$30,P$30)</f>
        <v>16097.689999999944</v>
      </c>
      <c r="Q32" s="54" cm="1">
        <f t="array" ref="Q32">TREND($B32:$I32,$B$30:$I$30,Q$30)</f>
        <v>16866.37440476194</v>
      </c>
      <c r="R32" s="54" cm="1">
        <f t="array" ref="R32">TREND($B32:$I32,$B$30:$I$30,R$30)</f>
        <v>17635.058809523936</v>
      </c>
      <c r="S32" s="54" cm="1">
        <f t="array" ref="S32">TREND($B32:$I32,$B$30:$I$30,S$30)</f>
        <v>18403.7432142857</v>
      </c>
      <c r="T32" s="54" cm="1">
        <f t="array" ref="T32">TREND($B32:$I32,$B$30:$I$30,T$30)</f>
        <v>19172.427619047696</v>
      </c>
      <c r="U32" s="54" cm="1">
        <f t="array" ref="U32">TREND($B32:$I32,$B$30:$I$30,U$30)</f>
        <v>19941.112023809459</v>
      </c>
      <c r="V32" s="54" cm="1">
        <f t="array" ref="V32">TREND($B32:$I32,$B$30:$I$30,V$30)</f>
        <v>20709.796428571455</v>
      </c>
      <c r="W32" s="54" cm="1">
        <f t="array" ref="W32">TREND($B32:$I32,$B$30:$I$30,W$30)</f>
        <v>21478.480833333451</v>
      </c>
      <c r="X32" s="54" cm="1">
        <f t="array" ref="X32">TREND($B32:$I32,$B$30:$I$30,X$30)</f>
        <v>22247.165238095215</v>
      </c>
      <c r="Y32" s="54" cm="1">
        <f t="array" ref="Y32">TREND($B32:$I32,$B$30:$I$30,Y$30)</f>
        <v>23015.849642857211</v>
      </c>
      <c r="Z32" s="54" cm="1">
        <f t="array" ref="Z32">TREND($B32:$I32,$B$30:$I$30,Z$30)</f>
        <v>23784.534047618974</v>
      </c>
      <c r="AA32" s="54" cm="1">
        <f t="array" ref="AA32">TREND($B32:$I32,$B$30:$I$30,AA$30)</f>
        <v>24553.21845238097</v>
      </c>
      <c r="AB32" s="54" cm="1">
        <f t="array" ref="AB32">TREND($B32:$I32,$B$30:$I$30,AB$30)</f>
        <v>25321.902857142966</v>
      </c>
      <c r="AC32" s="54" cm="1">
        <f t="array" ref="AC32">TREND($B32:$I32,$B$30:$I$30,AC$30)</f>
        <v>26090.58726190473</v>
      </c>
      <c r="AD32" s="54" cm="1">
        <f t="array" ref="AD32">TREND($B32:$I32,$B$30:$I$30,AD$30)</f>
        <v>26859.271666666726</v>
      </c>
      <c r="AE32" s="54" cm="1">
        <f t="array" ref="AE32">TREND($B32:$I32,$B$30:$I$30,AE$30)</f>
        <v>27627.956071428489</v>
      </c>
      <c r="AF32" s="54" cm="1">
        <f t="array" ref="AF32">TREND($B32:$I32,$B$30:$I$30,AF$30)</f>
        <v>28396.640476190485</v>
      </c>
      <c r="AG32" s="54" cm="1">
        <f t="array" ref="AG32">TREND($B32:$I32,$B$30:$I$30,AG$30)</f>
        <v>29165.324880952481</v>
      </c>
      <c r="AH32" s="54" cm="1">
        <f t="array" ref="AH32">TREND($B32:$I32,$B$30:$I$30,AH$30)</f>
        <v>29934.009285714244</v>
      </c>
      <c r="AI32" s="54" cm="1">
        <f t="array" ref="AI32">TREND($B32:$I32,$B$30:$I$30,AI$30)</f>
        <v>30702.693690476241</v>
      </c>
      <c r="AJ32" s="54" cm="1">
        <f t="array" ref="AJ32">TREND($B32:$I32,$B$30:$I$30,AJ$30)</f>
        <v>31471.378095238004</v>
      </c>
      <c r="AK32" s="54" cm="1">
        <f t="array" ref="AK32">TREND($B32:$I32,$B$30:$I$30,AK$30)</f>
        <v>32240.0625</v>
      </c>
      <c r="AL32" s="54" cm="1">
        <f t="array" ref="AL32">TREND($B32:$I32,$B$30:$I$30,AL$30)</f>
        <v>33008.746904761996</v>
      </c>
      <c r="AM32" s="54" cm="1">
        <f t="array" ref="AM32">TREND($B32:$I32,$B$30:$I$30,AM$30)</f>
        <v>33777.431309523759</v>
      </c>
      <c r="AN32" s="54" cm="1">
        <f t="array" ref="AN32">TREND($B32:$I32,$B$30:$I$30,AN$30)</f>
        <v>34546.115714285756</v>
      </c>
      <c r="AO32" s="54" cm="1">
        <f t="array" ref="AO32">TREND($B32:$I32,$B$30:$I$30,AO$30)</f>
        <v>35314.800119047519</v>
      </c>
      <c r="AP32" s="54" cm="1">
        <f t="array" ref="AP32">TREND($B32:$I32,$B$30:$I$30,AP$30)</f>
        <v>36083.484523809515</v>
      </c>
      <c r="AQ32" s="54" cm="1">
        <f t="array" ref="AQ32">TREND($B32:$I32,$B$30:$I$30,AQ$30)</f>
        <v>36852.168928571511</v>
      </c>
      <c r="AR32" s="54" cm="1">
        <f t="array" ref="AR32">TREND($B32:$I32,$B$30:$I$30,AR$30)</f>
        <v>37620.853333333274</v>
      </c>
    </row>
    <row r="33" spans="1:44">
      <c r="A33" s="39" t="s">
        <v>135</v>
      </c>
      <c r="B33" s="53">
        <v>1466.5999999999997</v>
      </c>
      <c r="C33" s="53">
        <v>3356.5999999999995</v>
      </c>
      <c r="D33" s="53">
        <v>8016.5999999999995</v>
      </c>
      <c r="E33" s="53">
        <v>15648.800000000001</v>
      </c>
      <c r="F33" s="53">
        <f>F34+F35</f>
        <v>16838.45</v>
      </c>
      <c r="G33" s="53">
        <f t="shared" si="2"/>
        <v>18583.27</v>
      </c>
      <c r="H33" s="53">
        <f t="shared" si="3"/>
        <v>20803.95</v>
      </c>
      <c r="I33" s="53">
        <f t="shared" si="4"/>
        <v>23579.8</v>
      </c>
      <c r="J33" s="53">
        <f>J34+J35</f>
        <v>28264.55214285641</v>
      </c>
      <c r="K33" s="53">
        <f t="shared" ref="K33:AR33" si="5">K34+K35</f>
        <v>31537.39511904656</v>
      </c>
      <c r="L33" s="53">
        <f t="shared" si="5"/>
        <v>34810.238095236709</v>
      </c>
      <c r="M33" s="53">
        <f t="shared" si="5"/>
        <v>38083.081071428023</v>
      </c>
      <c r="N33" s="53">
        <f t="shared" si="5"/>
        <v>41355.924047618173</v>
      </c>
      <c r="O33" s="53">
        <f t="shared" si="5"/>
        <v>44628.767023808323</v>
      </c>
      <c r="P33" s="53">
        <f t="shared" si="5"/>
        <v>45167.211837558243</v>
      </c>
      <c r="Q33" s="53">
        <f t="shared" si="5"/>
        <v>45130.902002730152</v>
      </c>
      <c r="R33" s="53">
        <f t="shared" si="5"/>
        <v>45101.200492254873</v>
      </c>
      <c r="S33" s="53">
        <f t="shared" si="5"/>
        <v>45079.308194547702</v>
      </c>
      <c r="T33" s="53">
        <f t="shared" si="5"/>
        <v>45066.356660856429</v>
      </c>
      <c r="U33" s="53">
        <f t="shared" si="5"/>
        <v>45063.409793039675</v>
      </c>
      <c r="V33" s="53">
        <f t="shared" si="5"/>
        <v>45071.466301253051</v>
      </c>
      <c r="W33" s="53">
        <f t="shared" si="5"/>
        <v>45091.462857591971</v>
      </c>
      <c r="X33" s="53">
        <f t="shared" si="5"/>
        <v>45124.275467456246</v>
      </c>
      <c r="Y33" s="53">
        <f t="shared" si="5"/>
        <v>45170.720454328402</v>
      </c>
      <c r="Z33" s="53">
        <f t="shared" si="5"/>
        <v>45231.55979101533</v>
      </c>
      <c r="AA33" s="53">
        <f t="shared" si="5"/>
        <v>45307.503993817329</v>
      </c>
      <c r="AB33" s="53">
        <f t="shared" si="5"/>
        <v>45399.211140386738</v>
      </c>
      <c r="AC33" s="53">
        <f t="shared" si="5"/>
        <v>45507.293889606131</v>
      </c>
      <c r="AD33" s="53">
        <f t="shared" si="5"/>
        <v>45632.318263400615</v>
      </c>
      <c r="AE33" s="53">
        <f t="shared" si="5"/>
        <v>45774.813521323696</v>
      </c>
      <c r="AF33" s="53">
        <f t="shared" si="5"/>
        <v>45935.267898511069</v>
      </c>
      <c r="AG33" s="53">
        <f t="shared" si="5"/>
        <v>46114.136997904134</v>
      </c>
      <c r="AH33" s="53">
        <f t="shared" si="5"/>
        <v>46311.84562273544</v>
      </c>
      <c r="AI33" s="53">
        <f t="shared" si="5"/>
        <v>46528.790105467255</v>
      </c>
      <c r="AJ33" s="53">
        <f t="shared" si="5"/>
        <v>46765.346493188583</v>
      </c>
      <c r="AK33" s="53">
        <f t="shared" si="5"/>
        <v>47021.867623819933</v>
      </c>
      <c r="AL33" s="53">
        <f t="shared" si="5"/>
        <v>47298.692326144148</v>
      </c>
      <c r="AM33" s="53">
        <f t="shared" si="5"/>
        <v>46898.70445272392</v>
      </c>
      <c r="AN33" s="53">
        <f t="shared" si="5"/>
        <v>46454.473813621575</v>
      </c>
      <c r="AO33" s="53">
        <f t="shared" si="5"/>
        <v>46030.014918664529</v>
      </c>
      <c r="AP33" s="53">
        <f t="shared" si="5"/>
        <v>45626.482983134701</v>
      </c>
      <c r="AQ33" s="53">
        <f t="shared" si="5"/>
        <v>45245.05754670396</v>
      </c>
      <c r="AR33" s="53">
        <f t="shared" si="5"/>
        <v>44886.93631519669</v>
      </c>
    </row>
    <row r="34" spans="1:44">
      <c r="A34" s="39" t="s">
        <v>321</v>
      </c>
      <c r="B34" s="53">
        <f>$B44*B33</f>
        <v>293.31999999999994</v>
      </c>
      <c r="C34" s="53">
        <f t="shared" ref="C34:E34" si="6">$B44*C33</f>
        <v>671.31999999999994</v>
      </c>
      <c r="D34" s="53">
        <f t="shared" si="6"/>
        <v>1603.32</v>
      </c>
      <c r="E34" s="53">
        <f t="shared" si="6"/>
        <v>3129.76</v>
      </c>
      <c r="F34" s="53">
        <f>E34+B51</f>
        <v>3367.69</v>
      </c>
      <c r="G34" s="53">
        <f t="shared" si="2"/>
        <v>3716.654</v>
      </c>
      <c r="H34" s="53">
        <f t="shared" si="3"/>
        <v>4160.79</v>
      </c>
      <c r="I34" s="53">
        <f>H34+E51</f>
        <v>4715.96</v>
      </c>
      <c r="J34" s="54">
        <f>MIN(TREND($B34:$I34,$B$30:$I$30,J$30),户用光伏上限模拟!L29)</f>
        <v>5652.910428571282</v>
      </c>
      <c r="K34" s="54">
        <f>MIN(TREND($B34:$I34,$B$30:$I$30,K$30),户用光伏上限模拟!M29)</f>
        <v>6307.4790238093119</v>
      </c>
      <c r="L34" s="54">
        <f>MIN(TREND($B34:$I34,$B$30:$I$30,L$30),户用光伏上限模拟!N29)</f>
        <v>6962.0476190473419</v>
      </c>
      <c r="M34" s="54">
        <f>MIN(TREND($B34:$I34,$B$30:$I$30,M$30),户用光伏上限模拟!O29)</f>
        <v>7616.6162142856047</v>
      </c>
      <c r="N34" s="54">
        <f>MIN(TREND($B34:$I34,$B$30:$I$30,N$30),户用光伏上限模拟!P29)</f>
        <v>8271.1848095236346</v>
      </c>
      <c r="O34" s="54">
        <f>MIN(TREND($B34:$I34,$B$30:$I$30,O$30),户用光伏上限模拟!Q29)</f>
        <v>8925.7534047616646</v>
      </c>
      <c r="P34" s="54">
        <f>MIN(TREND($B34:$I34,$B$30:$I$30,P$30),户用光伏上限模拟!R29)</f>
        <v>9580.3219999999274</v>
      </c>
      <c r="Q34" s="54">
        <f>MIN(TREND($B34:$I34,$B$30:$I$30,Q$30),户用光伏上限模拟!S29)</f>
        <v>10234.890595237957</v>
      </c>
      <c r="R34" s="54">
        <f>MIN(TREND($B34:$I34,$B$30:$I$30,R$30),户用光伏上限模拟!T29)</f>
        <v>10889.459190475987</v>
      </c>
      <c r="S34" s="54">
        <f>MIN(TREND($B34:$I34,$B$30:$I$30,S$30),户用光伏上限模拟!U29)</f>
        <v>11544.027785714017</v>
      </c>
      <c r="T34" s="54">
        <f>MIN(TREND($B34:$I34,$B$30:$I$30,T$30),户用光伏上限模拟!V29)</f>
        <v>12198.59638095228</v>
      </c>
      <c r="U34" s="54">
        <f>MIN(TREND($B34:$I34,$B$30:$I$30,U$30),户用光伏上限模拟!W29)</f>
        <v>12853.16497619031</v>
      </c>
      <c r="V34" s="54">
        <f>MIN(TREND($B34:$I34,$B$30:$I$30,V$30),户用光伏上限模拟!X29)</f>
        <v>13507.73357142834</v>
      </c>
      <c r="W34" s="54">
        <f>MIN(TREND($B34:$I34,$B$30:$I$30,W$30),户用光伏上限模拟!Y29)</f>
        <v>14162.30216666637</v>
      </c>
      <c r="X34" s="54">
        <f>MIN(TREND($B34:$I34,$B$30:$I$30,X$30),户用光伏上限模拟!Z29)</f>
        <v>14816.870761904633</v>
      </c>
      <c r="Y34" s="54">
        <f>MIN(TREND($B34:$I34,$B$30:$I$30,Y$30),户用光伏上限模拟!AA29)</f>
        <v>15471.439357142663</v>
      </c>
      <c r="Z34" s="54">
        <f>MIN(TREND($B34:$I34,$B$30:$I$30,Z$30),户用光伏上限模拟!AB29)</f>
        <v>16126.007952380693</v>
      </c>
      <c r="AA34" s="54">
        <f>MIN(TREND($B34:$I34,$B$30:$I$30,AA$30),户用光伏上限模拟!AC29)</f>
        <v>16780.576547618955</v>
      </c>
      <c r="AB34" s="54">
        <f>MIN(TREND($B34:$I34,$B$30:$I$30,AB$30),户用光伏上限模拟!AD29)</f>
        <v>17435.145142856985</v>
      </c>
      <c r="AC34" s="54">
        <f>MIN(TREND($B34:$I34,$B$30:$I$30,AC$30),户用光伏上限模拟!AE29)</f>
        <v>18089.713738095015</v>
      </c>
      <c r="AD34" s="54">
        <f>MIN(TREND($B34:$I34,$B$30:$I$30,AD$30),户用光伏上限模拟!AF29)</f>
        <v>18744.282333333045</v>
      </c>
      <c r="AE34" s="54">
        <f>MIN(TREND($B34:$I34,$B$30:$I$30,AE$30),户用光伏上限模拟!AG29)</f>
        <v>19398.850928571308</v>
      </c>
      <c r="AF34" s="54">
        <f>MIN(TREND($B34:$I34,$B$30:$I$30,AF$30),户用光伏上限模拟!AH29)</f>
        <v>20053.419523809338</v>
      </c>
      <c r="AG34" s="54">
        <f>MIN(TREND($B34:$I34,$B$30:$I$30,AG$30),户用光伏上限模拟!AI29)</f>
        <v>20707.988119047368</v>
      </c>
      <c r="AH34" s="54">
        <f>MIN(TREND($B34:$I34,$B$30:$I$30,AH$30),户用光伏上限模拟!AJ29)</f>
        <v>21362.556714285631</v>
      </c>
      <c r="AI34" s="54">
        <f>MIN(TREND($B34:$I34,$B$30:$I$30,AI$30),户用光伏上限模拟!AK29)</f>
        <v>22017.125309523661</v>
      </c>
      <c r="AJ34" s="54">
        <f>MIN(TREND($B34:$I34,$B$30:$I$30,AJ$30),户用光伏上限模拟!AL29)</f>
        <v>22671.693904761691</v>
      </c>
      <c r="AK34" s="54">
        <f>MIN(TREND($B34:$I34,$B$30:$I$30,AK$30),户用光伏上限模拟!AM29)</f>
        <v>23326.262499999721</v>
      </c>
      <c r="AL34" s="54">
        <f>MIN(TREND($B34:$I34,$B$30:$I$30,AL$30),户用光伏上限模拟!AN29)</f>
        <v>23980.831095237983</v>
      </c>
      <c r="AM34" s="54">
        <f>MIN(TREND($B34:$I34,$B$30:$I$30,AM$30),户用光伏上限模拟!AO29)</f>
        <v>23937.954961655232</v>
      </c>
      <c r="AN34" s="54">
        <f>MIN(TREND($B34:$I34,$B$30:$I$30,AN$30),户用光伏上限模拟!AP29)</f>
        <v>23829.883901552719</v>
      </c>
      <c r="AO34" s="54">
        <f>MIN(TREND($B34:$I34,$B$30:$I$30,AO$30),户用光伏上限模拟!AQ29)</f>
        <v>23720.314892476716</v>
      </c>
      <c r="AP34" s="54">
        <f>MIN(TREND($B34:$I34,$B$30:$I$30,AP$30),户用光伏上限模拟!AR29)</f>
        <v>23610.085384986029</v>
      </c>
      <c r="AQ34" s="54">
        <f>MIN(TREND($B34:$I34,$B$30:$I$30,AQ$30),户用光伏上限模拟!AS29)</f>
        <v>23500.048443249027</v>
      </c>
      <c r="AR34" s="54">
        <f>MIN(TREND($B34:$I34,$B$30:$I$30,AR$30),户用光伏上限模拟!AT29)</f>
        <v>23391.066588371148</v>
      </c>
    </row>
    <row r="35" spans="1:44">
      <c r="A35" s="39" t="s">
        <v>322</v>
      </c>
      <c r="B35" s="53">
        <f>$B45*B33</f>
        <v>1173.2799999999997</v>
      </c>
      <c r="C35" s="53">
        <f t="shared" ref="C35:E35" si="7">$B45*C33</f>
        <v>2685.2799999999997</v>
      </c>
      <c r="D35" s="53">
        <f t="shared" si="7"/>
        <v>6413.28</v>
      </c>
      <c r="E35" s="53">
        <f t="shared" si="7"/>
        <v>12519.04</v>
      </c>
      <c r="F35" s="53">
        <f t="shared" si="1"/>
        <v>13470.76</v>
      </c>
      <c r="G35" s="53">
        <f t="shared" si="2"/>
        <v>14866.616</v>
      </c>
      <c r="H35" s="53">
        <f t="shared" si="3"/>
        <v>16643.16</v>
      </c>
      <c r="I35" s="53">
        <f t="shared" si="4"/>
        <v>18863.84</v>
      </c>
      <c r="J35" s="54">
        <f>MIN(TREND($B35:$I35,$B$30:$I$30,J$30),户用光伏上限模拟!L30)</f>
        <v>22611.641714285128</v>
      </c>
      <c r="K35" s="54">
        <f>MIN(TREND($B35:$I35,$B$30:$I$30,K$30),户用光伏上限模拟!M30)</f>
        <v>25229.916095237248</v>
      </c>
      <c r="L35" s="54">
        <f>MIN(TREND($B35:$I35,$B$30:$I$30,L$30),户用光伏上限模拟!N30)</f>
        <v>27848.190476189367</v>
      </c>
      <c r="M35" s="54">
        <f>MIN(TREND($B35:$I35,$B$30:$I$30,M$30),户用光伏上限模拟!O30)</f>
        <v>30466.464857142419</v>
      </c>
      <c r="N35" s="54">
        <f>MIN(TREND($B35:$I35,$B$30:$I$30,N$30),户用光伏上限模拟!P30)</f>
        <v>33084.739238094538</v>
      </c>
      <c r="O35" s="54">
        <f>MIN(TREND($B35:$I35,$B$30:$I$30,O$30),户用光伏上限模拟!Q30)</f>
        <v>35703.013619046658</v>
      </c>
      <c r="P35" s="54">
        <f>MIN(TREND($B35:$I35,$B$30:$I$30,P$30),户用光伏上限模拟!R30)</f>
        <v>35586.889837558316</v>
      </c>
      <c r="Q35" s="54">
        <f>MIN(TREND($B35:$I35,$B$30:$I$30,Q$30),户用光伏上限模拟!S30)</f>
        <v>34896.011407492195</v>
      </c>
      <c r="R35" s="54">
        <f>MIN(TREND($B35:$I35,$B$30:$I$30,R$30),户用光伏上限模拟!T30)</f>
        <v>34211.741301778886</v>
      </c>
      <c r="S35" s="54">
        <f>MIN(TREND($B35:$I35,$B$30:$I$30,S$30),户用光伏上限模拟!U30)</f>
        <v>33535.280408833685</v>
      </c>
      <c r="T35" s="54">
        <f>MIN(TREND($B35:$I35,$B$30:$I$30,T$30),户用光伏上限模拟!V30)</f>
        <v>32867.760279904149</v>
      </c>
      <c r="U35" s="54">
        <f>MIN(TREND($B35:$I35,$B$30:$I$30,U$30),户用光伏上限模拟!W30)</f>
        <v>32210.244816849365</v>
      </c>
      <c r="V35" s="54">
        <f>MIN(TREND($B35:$I35,$B$30:$I$30,V$30),户用光伏上限模拟!X30)</f>
        <v>31563.732729824715</v>
      </c>
      <c r="W35" s="54">
        <f>MIN(TREND($B35:$I35,$B$30:$I$30,W$30),户用光伏上限模拟!Y30)</f>
        <v>30929.160690925601</v>
      </c>
      <c r="X35" s="54">
        <f>MIN(TREND($B35:$I35,$B$30:$I$30,X$30),户用光伏上限模拟!Z30)</f>
        <v>30307.404705551613</v>
      </c>
      <c r="Y35" s="54">
        <f>MIN(TREND($B35:$I35,$B$30:$I$30,Y$30),户用光伏上限模拟!AA30)</f>
        <v>29699.281097185736</v>
      </c>
      <c r="Z35" s="54">
        <f>MIN(TREND($B35:$I35,$B$30:$I$30,Z$30),户用光伏上限模拟!AB30)</f>
        <v>29105.551838634634</v>
      </c>
      <c r="AA35" s="54">
        <f>MIN(TREND($B35:$I35,$B$30:$I$30,AA$30),户用光伏上限模拟!AC30)</f>
        <v>28526.927446198373</v>
      </c>
      <c r="AB35" s="54">
        <f>MIN(TREND($B35:$I35,$B$30:$I$30,AB$30),户用光伏上限模拟!AD30)</f>
        <v>27964.065997529753</v>
      </c>
      <c r="AC35" s="54">
        <f>MIN(TREND($B35:$I35,$B$30:$I$30,AC$30),户用光伏上限模拟!AE30)</f>
        <v>27417.580151511116</v>
      </c>
      <c r="AD35" s="54">
        <f>MIN(TREND($B35:$I35,$B$30:$I$30,AD$30),户用光伏上限模拟!AF30)</f>
        <v>26888.03593006757</v>
      </c>
      <c r="AE35" s="54">
        <f>MIN(TREND($B35:$I35,$B$30:$I$30,AE$30),户用光伏上限模拟!AG30)</f>
        <v>26375.962592752385</v>
      </c>
      <c r="AF35" s="54">
        <f>MIN(TREND($B35:$I35,$B$30:$I$30,AF$30),户用光伏上限模拟!AH30)</f>
        <v>25881.848374701727</v>
      </c>
      <c r="AG35" s="54">
        <f>MIN(TREND($B35:$I35,$B$30:$I$30,AG$30),户用光伏上限模拟!AI30)</f>
        <v>25406.148878856769</v>
      </c>
      <c r="AH35" s="54">
        <f>MIN(TREND($B35:$I35,$B$30:$I$30,AH$30),户用光伏上限模拟!AJ30)</f>
        <v>24949.288908449809</v>
      </c>
      <c r="AI35" s="54">
        <f>MIN(TREND($B35:$I35,$B$30:$I$30,AI$30),户用光伏上限模拟!AK30)</f>
        <v>24511.664795943598</v>
      </c>
      <c r="AJ35" s="54">
        <f>MIN(TREND($B35:$I35,$B$30:$I$30,AJ$30),户用光伏上限模拟!AL30)</f>
        <v>24093.652588426889</v>
      </c>
      <c r="AK35" s="54">
        <f>MIN(TREND($B35:$I35,$B$30:$I$30,AK$30),户用光伏上限模拟!AM30)</f>
        <v>23695.605123820213</v>
      </c>
      <c r="AL35" s="54">
        <f>MIN(TREND($B35:$I35,$B$30:$I$30,AL$30),户用光伏上限模拟!AN30)</f>
        <v>23317.861230906165</v>
      </c>
      <c r="AM35" s="54">
        <f>MIN(TREND($B35:$I35,$B$30:$I$30,AM$30),户用光伏上限模拟!AO30)</f>
        <v>22960.749491068691</v>
      </c>
      <c r="AN35" s="54">
        <f>MIN(TREND($B35:$I35,$B$30:$I$30,AN$30),户用光伏上限模拟!AP30)</f>
        <v>22624.589912068855</v>
      </c>
      <c r="AO35" s="54">
        <f>MIN(TREND($B35:$I35,$B$30:$I$30,AO$30),户用光伏上限模拟!AQ30)</f>
        <v>22309.700026187817</v>
      </c>
      <c r="AP35" s="54">
        <f>MIN(TREND($B35:$I35,$B$30:$I$30,AP$30),户用光伏上限模拟!AR30)</f>
        <v>22016.397598148673</v>
      </c>
      <c r="AQ35" s="54">
        <f>MIN(TREND($B35:$I35,$B$30:$I$30,AQ$30),户用光伏上限模拟!AS30)</f>
        <v>21745.009103454933</v>
      </c>
      <c r="AR35" s="54">
        <f>MIN(TREND($B35:$I35,$B$30:$I$30,AR$30),户用光伏上限模拟!AT30)</f>
        <v>21495.869726825542</v>
      </c>
    </row>
    <row r="36" spans="1:44">
      <c r="A36" s="39" t="s">
        <v>37</v>
      </c>
      <c r="B36" s="53">
        <f t="shared" ref="B36:E36" si="8">B33+B32</f>
        <v>7130</v>
      </c>
      <c r="C36" s="53">
        <f t="shared" si="8"/>
        <v>9420</v>
      </c>
      <c r="D36" s="53">
        <f t="shared" si="8"/>
        <v>14670</v>
      </c>
      <c r="E36" s="53">
        <f t="shared" si="8"/>
        <v>23340</v>
      </c>
      <c r="F36" s="53">
        <f>F33+F32</f>
        <v>25039.5</v>
      </c>
      <c r="G36" s="53">
        <f t="shared" ref="G36:I36" si="9">G33+G32</f>
        <v>27532.1</v>
      </c>
      <c r="H36" s="53">
        <f t="shared" si="9"/>
        <v>30704.5</v>
      </c>
      <c r="I36" s="53">
        <f>I33+I32</f>
        <v>34670</v>
      </c>
      <c r="J36" s="53">
        <f t="shared" ref="J36:AR36" si="10">J33+J32</f>
        <v>39750.135714285076</v>
      </c>
      <c r="K36" s="53">
        <f>K33+K32</f>
        <v>43791.663095236989</v>
      </c>
      <c r="L36" s="53">
        <f t="shared" si="10"/>
        <v>47833.190476189135</v>
      </c>
      <c r="M36" s="53">
        <f t="shared" si="10"/>
        <v>51874.717857142212</v>
      </c>
      <c r="N36" s="53">
        <f t="shared" si="10"/>
        <v>55916.245238094358</v>
      </c>
      <c r="O36" s="53">
        <f t="shared" si="10"/>
        <v>59957.772619046504</v>
      </c>
      <c r="P36" s="53">
        <f t="shared" si="10"/>
        <v>61264.901837558187</v>
      </c>
      <c r="Q36" s="53">
        <f t="shared" si="10"/>
        <v>61997.276407492092</v>
      </c>
      <c r="R36" s="53">
        <f t="shared" si="10"/>
        <v>62736.259301778809</v>
      </c>
      <c r="S36" s="53">
        <f t="shared" si="10"/>
        <v>63483.051408833402</v>
      </c>
      <c r="T36" s="53">
        <f t="shared" si="10"/>
        <v>64238.784279904125</v>
      </c>
      <c r="U36" s="53">
        <f t="shared" si="10"/>
        <v>65004.521816849134</v>
      </c>
      <c r="V36" s="53">
        <f t="shared" si="10"/>
        <v>65781.262729824506</v>
      </c>
      <c r="W36" s="53">
        <f t="shared" si="10"/>
        <v>66569.943690925429</v>
      </c>
      <c r="X36" s="53">
        <f t="shared" si="10"/>
        <v>67371.44070555146</v>
      </c>
      <c r="Y36" s="53">
        <f t="shared" si="10"/>
        <v>68186.570097185613</v>
      </c>
      <c r="Z36" s="53">
        <f t="shared" si="10"/>
        <v>69016.093838634304</v>
      </c>
      <c r="AA36" s="53">
        <f t="shared" si="10"/>
        <v>69860.722446198299</v>
      </c>
      <c r="AB36" s="53">
        <f t="shared" si="10"/>
        <v>70721.113997529697</v>
      </c>
      <c r="AC36" s="53">
        <f t="shared" si="10"/>
        <v>71597.881151510868</v>
      </c>
      <c r="AD36" s="53">
        <f t="shared" si="10"/>
        <v>72491.589930067334</v>
      </c>
      <c r="AE36" s="53">
        <f t="shared" si="10"/>
        <v>73402.769592752185</v>
      </c>
      <c r="AF36" s="53">
        <f t="shared" si="10"/>
        <v>74331.908374701554</v>
      </c>
      <c r="AG36" s="53">
        <f t="shared" si="10"/>
        <v>75279.461878856615</v>
      </c>
      <c r="AH36" s="53">
        <f t="shared" si="10"/>
        <v>76245.854908449692</v>
      </c>
      <c r="AI36" s="53">
        <f t="shared" si="10"/>
        <v>77231.483795943495</v>
      </c>
      <c r="AJ36" s="53">
        <f t="shared" si="10"/>
        <v>78236.724588426587</v>
      </c>
      <c r="AK36" s="53">
        <f t="shared" si="10"/>
        <v>79261.93012381994</v>
      </c>
      <c r="AL36" s="53">
        <f t="shared" si="10"/>
        <v>80307.439230906137</v>
      </c>
      <c r="AM36" s="53">
        <f t="shared" si="10"/>
        <v>80676.135762247679</v>
      </c>
      <c r="AN36" s="53">
        <f t="shared" si="10"/>
        <v>81000.58952790733</v>
      </c>
      <c r="AO36" s="53">
        <f t="shared" si="10"/>
        <v>81344.815037712047</v>
      </c>
      <c r="AP36" s="53">
        <f t="shared" si="10"/>
        <v>81709.967506944216</v>
      </c>
      <c r="AQ36" s="53">
        <f t="shared" si="10"/>
        <v>82097.226475275471</v>
      </c>
      <c r="AR36" s="53">
        <f t="shared" si="10"/>
        <v>82507.789648529957</v>
      </c>
    </row>
    <row r="37" spans="1:44">
      <c r="A37" s="39" t="s">
        <v>320</v>
      </c>
      <c r="B37" s="53">
        <f>B31+B36</f>
        <v>13610</v>
      </c>
      <c r="C37" s="53">
        <f t="shared" ref="C37:F37" si="11">C31+C36</f>
        <v>16190</v>
      </c>
      <c r="D37" s="53">
        <f t="shared" si="11"/>
        <v>22720</v>
      </c>
      <c r="E37" s="53">
        <f t="shared" si="11"/>
        <v>33430</v>
      </c>
      <c r="F37" s="53">
        <f t="shared" si="11"/>
        <v>39129.5</v>
      </c>
      <c r="G37" s="53">
        <f t="shared" ref="G37" si="12">G31+G36</f>
        <v>44368.766666666663</v>
      </c>
      <c r="H37" s="53">
        <f t="shared" ref="H37" si="13">H31+H36</f>
        <v>50287.833333333336</v>
      </c>
      <c r="I37" s="53">
        <f t="shared" ref="I37:J37" si="14">I31+I36</f>
        <v>57000</v>
      </c>
      <c r="J37" s="53">
        <f t="shared" si="14"/>
        <v>39750.135714285076</v>
      </c>
      <c r="K37" s="53">
        <f t="shared" ref="K37" si="15">K31+K36</f>
        <v>43791.663095236989</v>
      </c>
      <c r="L37" s="53">
        <f t="shared" ref="L37" si="16">L31+L36</f>
        <v>47833.190476189135</v>
      </c>
      <c r="M37" s="53">
        <f t="shared" ref="M37:N37" si="17">M31+M36</f>
        <v>51874.717857142212</v>
      </c>
      <c r="N37" s="53">
        <f t="shared" si="17"/>
        <v>55916.245238094358</v>
      </c>
      <c r="O37" s="53">
        <f t="shared" ref="O37" si="18">O31+O36</f>
        <v>59957.772619046504</v>
      </c>
      <c r="P37" s="53">
        <f t="shared" ref="P37" si="19">P31+P36</f>
        <v>61264.901837558187</v>
      </c>
      <c r="Q37" s="53">
        <f t="shared" ref="Q37:R37" si="20">Q31+Q36</f>
        <v>61997.276407492092</v>
      </c>
      <c r="R37" s="53">
        <f t="shared" si="20"/>
        <v>62736.259301778809</v>
      </c>
      <c r="S37" s="53">
        <f t="shared" ref="S37" si="21">S31+S36</f>
        <v>63483.051408833402</v>
      </c>
      <c r="T37" s="53">
        <f t="shared" ref="T37" si="22">T31+T36</f>
        <v>64238.784279904125</v>
      </c>
      <c r="U37" s="53">
        <f t="shared" ref="U37:V37" si="23">U31+U36</f>
        <v>65004.521816849134</v>
      </c>
      <c r="V37" s="53">
        <f t="shared" si="23"/>
        <v>65781.262729824506</v>
      </c>
      <c r="W37" s="53">
        <f t="shared" ref="W37" si="24">W31+W36</f>
        <v>66569.943690925429</v>
      </c>
      <c r="X37" s="53">
        <f t="shared" ref="X37" si="25">X31+X36</f>
        <v>67371.44070555146</v>
      </c>
      <c r="Y37" s="53">
        <f t="shared" ref="Y37:Z37" si="26">Y31+Y36</f>
        <v>68186.570097185613</v>
      </c>
      <c r="Z37" s="53">
        <f t="shared" si="26"/>
        <v>69016.093838634304</v>
      </c>
      <c r="AA37" s="53">
        <f t="shared" ref="AA37" si="27">AA31+AA36</f>
        <v>69860.722446198299</v>
      </c>
      <c r="AB37" s="53">
        <f t="shared" ref="AB37" si="28">AB31+AB36</f>
        <v>70721.113997529697</v>
      </c>
      <c r="AC37" s="53">
        <f t="shared" ref="AC37:AD37" si="29">AC31+AC36</f>
        <v>71597.881151510868</v>
      </c>
      <c r="AD37" s="53">
        <f t="shared" si="29"/>
        <v>72491.589930067334</v>
      </c>
      <c r="AE37" s="53">
        <f t="shared" ref="AE37" si="30">AE31+AE36</f>
        <v>73402.769592752185</v>
      </c>
      <c r="AF37" s="53">
        <f t="shared" ref="AF37" si="31">AF31+AF36</f>
        <v>74331.908374701554</v>
      </c>
      <c r="AG37" s="53">
        <f t="shared" ref="AG37:AH37" si="32">AG31+AG36</f>
        <v>75279.461878856615</v>
      </c>
      <c r="AH37" s="53">
        <f t="shared" si="32"/>
        <v>76245.854908449692</v>
      </c>
      <c r="AI37" s="53">
        <f t="shared" ref="AI37" si="33">AI31+AI36</f>
        <v>77231.483795943495</v>
      </c>
      <c r="AJ37" s="53">
        <f t="shared" ref="AJ37" si="34">AJ31+AJ36</f>
        <v>78236.724588426587</v>
      </c>
      <c r="AK37" s="53">
        <f t="shared" ref="AK37:AL37" si="35">AK31+AK36</f>
        <v>79261.93012381994</v>
      </c>
      <c r="AL37" s="53">
        <f t="shared" si="35"/>
        <v>80307.439230906137</v>
      </c>
      <c r="AM37" s="53">
        <f t="shared" ref="AM37" si="36">AM31+AM36</f>
        <v>80676.135762247679</v>
      </c>
      <c r="AN37" s="53">
        <f t="shared" ref="AN37" si="37">AN31+AN36</f>
        <v>81000.58952790733</v>
      </c>
      <c r="AO37" s="53">
        <f t="shared" ref="AO37:AP37" si="38">AO31+AO36</f>
        <v>81344.815037712047</v>
      </c>
      <c r="AP37" s="53">
        <f t="shared" si="38"/>
        <v>81709.967506944216</v>
      </c>
      <c r="AQ37" s="53">
        <f t="shared" ref="AQ37" si="39">AQ31+AQ36</f>
        <v>82097.226475275471</v>
      </c>
      <c r="AR37" s="53">
        <f t="shared" ref="AR37" si="40">AR31+AR36</f>
        <v>82507.789648529957</v>
      </c>
    </row>
    <row r="38" spans="1:44">
      <c r="A38" s="24" t="s">
        <v>323</v>
      </c>
    </row>
    <row r="39" spans="1:44">
      <c r="A39" t="s">
        <v>328</v>
      </c>
    </row>
    <row r="40" spans="1:44">
      <c r="A40" s="50" t="s">
        <v>329</v>
      </c>
    </row>
    <row r="41" spans="1:44">
      <c r="A41" t="s">
        <v>324</v>
      </c>
      <c r="B41" s="22">
        <f>20000-(E36-D36)</f>
        <v>11330</v>
      </c>
      <c r="C41" s="39">
        <f>B41</f>
        <v>11330</v>
      </c>
      <c r="D41" s="39"/>
      <c r="E41" s="39"/>
    </row>
    <row r="42" spans="1:44">
      <c r="A42" t="s">
        <v>128</v>
      </c>
      <c r="B42" s="49">
        <v>0.3</v>
      </c>
      <c r="C42" s="39">
        <f>B42*B41</f>
        <v>3399</v>
      </c>
      <c r="D42" s="39"/>
      <c r="E42" s="39"/>
    </row>
    <row r="43" spans="1:44">
      <c r="A43" t="s">
        <v>127</v>
      </c>
      <c r="B43" s="49">
        <v>0.7</v>
      </c>
      <c r="C43" s="39">
        <f>B43*B41</f>
        <v>7930.9999999999991</v>
      </c>
      <c r="D43" s="39"/>
      <c r="E43" s="39"/>
    </row>
    <row r="44" spans="1:44">
      <c r="A44" t="s">
        <v>326</v>
      </c>
      <c r="B44" s="49">
        <v>0.2</v>
      </c>
      <c r="C44" s="39">
        <f>B44*C43</f>
        <v>1586.1999999999998</v>
      </c>
      <c r="D44" s="39"/>
      <c r="E44" s="39"/>
    </row>
    <row r="45" spans="1:44">
      <c r="A45" t="s">
        <v>327</v>
      </c>
      <c r="B45" s="49">
        <v>0.8</v>
      </c>
      <c r="C45" s="39">
        <f>B45*C43</f>
        <v>6344.7999999999993</v>
      </c>
      <c r="D45" s="39"/>
      <c r="E45" s="39"/>
    </row>
    <row r="46" spans="1:44">
      <c r="B46" s="39"/>
      <c r="C46" s="39"/>
      <c r="D46" s="39"/>
      <c r="E46" s="39"/>
    </row>
    <row r="47" spans="1:44">
      <c r="A47" t="s">
        <v>325</v>
      </c>
      <c r="B47" s="39">
        <v>2022</v>
      </c>
      <c r="C47" s="39">
        <v>2023</v>
      </c>
      <c r="D47" s="39">
        <v>2024</v>
      </c>
      <c r="E47" s="39">
        <v>2025</v>
      </c>
    </row>
    <row r="48" spans="1:44">
      <c r="B48" s="39">
        <v>0.15</v>
      </c>
      <c r="C48" s="39">
        <v>0.22</v>
      </c>
      <c r="D48" s="39">
        <v>0.28000000000000003</v>
      </c>
      <c r="E48" s="39">
        <v>0.35</v>
      </c>
    </row>
    <row r="49" spans="1:14">
      <c r="A49" s="39" t="s">
        <v>134</v>
      </c>
      <c r="B49" s="39">
        <f>B$48*$C42</f>
        <v>509.84999999999997</v>
      </c>
      <c r="C49" s="39">
        <f t="shared" ref="C49:E49" si="41">C$48*$C42</f>
        <v>747.78</v>
      </c>
      <c r="D49" s="39">
        <f t="shared" si="41"/>
        <v>951.72000000000014</v>
      </c>
      <c r="E49" s="39">
        <f t="shared" si="41"/>
        <v>1189.6499999999999</v>
      </c>
    </row>
    <row r="50" spans="1:14">
      <c r="A50" s="39" t="s">
        <v>135</v>
      </c>
      <c r="B50" s="39">
        <f t="shared" ref="B50:E50" si="42">B$48*$C43</f>
        <v>1189.6499999999999</v>
      </c>
      <c r="C50" s="39">
        <f t="shared" si="42"/>
        <v>1744.8199999999997</v>
      </c>
      <c r="D50" s="39">
        <f t="shared" si="42"/>
        <v>2220.6799999999998</v>
      </c>
      <c r="E50" s="39">
        <f t="shared" si="42"/>
        <v>2775.8499999999995</v>
      </c>
    </row>
    <row r="51" spans="1:14">
      <c r="A51" s="39" t="s">
        <v>321</v>
      </c>
      <c r="B51" s="39">
        <f t="shared" ref="B51:E51" si="43">B$48*$C44</f>
        <v>237.92999999999995</v>
      </c>
      <c r="C51" s="39">
        <f t="shared" si="43"/>
        <v>348.96399999999994</v>
      </c>
      <c r="D51" s="39">
        <f t="shared" si="43"/>
        <v>444.13599999999997</v>
      </c>
      <c r="E51" s="39">
        <f t="shared" si="43"/>
        <v>555.16999999999985</v>
      </c>
    </row>
    <row r="52" spans="1:14">
      <c r="A52" s="39" t="s">
        <v>322</v>
      </c>
      <c r="B52" s="39">
        <f t="shared" ref="B52:E52" si="44">B$48*$C45</f>
        <v>951.7199999999998</v>
      </c>
      <c r="C52" s="39">
        <f t="shared" si="44"/>
        <v>1395.8559999999998</v>
      </c>
      <c r="D52" s="39">
        <f t="shared" si="44"/>
        <v>1776.5439999999999</v>
      </c>
      <c r="E52" s="39">
        <f t="shared" si="44"/>
        <v>2220.6799999999994</v>
      </c>
    </row>
    <row r="53" spans="1:14">
      <c r="A53" s="51"/>
      <c r="M53">
        <v>2022</v>
      </c>
      <c r="N53">
        <v>2025</v>
      </c>
    </row>
    <row r="54" spans="1:14">
      <c r="A54" s="52" t="s">
        <v>330</v>
      </c>
    </row>
    <row r="55" spans="1:14">
      <c r="A55" s="52" t="s">
        <v>331</v>
      </c>
      <c r="M55">
        <v>1500</v>
      </c>
      <c r="N55">
        <v>4200</v>
      </c>
    </row>
    <row r="56" spans="1:14">
      <c r="A56" s="52" t="s">
        <v>332</v>
      </c>
    </row>
    <row r="57" spans="1:14">
      <c r="A57" s="52" t="s">
        <v>335</v>
      </c>
      <c r="M57">
        <v>1500</v>
      </c>
      <c r="N57">
        <v>3000</v>
      </c>
    </row>
    <row r="58" spans="1:14">
      <c r="A58" s="52" t="s">
        <v>333</v>
      </c>
    </row>
    <row r="59" spans="1:14">
      <c r="A59" s="52" t="s">
        <v>334</v>
      </c>
      <c r="M59">
        <v>1000</v>
      </c>
      <c r="N59">
        <v>10000</v>
      </c>
    </row>
    <row r="61" spans="1:14">
      <c r="A61" s="52" t="s">
        <v>357</v>
      </c>
    </row>
    <row r="62" spans="1:14">
      <c r="A62" s="52" t="s">
        <v>358</v>
      </c>
    </row>
  </sheetData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F071-0BFC-43D9-9370-555995DD7AF3}">
  <sheetPr>
    <tabColor theme="4"/>
  </sheetPr>
  <dimension ref="A1:D17"/>
  <sheetViews>
    <sheetView workbookViewId="0">
      <selection activeCell="C34" sqref="C34"/>
    </sheetView>
  </sheetViews>
  <sheetFormatPr defaultRowHeight="14.25"/>
  <cols>
    <col min="1" max="1" width="22.25" bestFit="1" customWidth="1"/>
    <col min="2" max="2" width="15.5" bestFit="1" customWidth="1"/>
    <col min="3" max="3" width="14.25" bestFit="1" customWidth="1"/>
    <col min="4" max="4" width="11.125" bestFit="1" customWidth="1"/>
  </cols>
  <sheetData>
    <row r="1" spans="1:4">
      <c r="A1" t="s">
        <v>355</v>
      </c>
      <c r="B1" t="s">
        <v>354</v>
      </c>
      <c r="C1" t="s">
        <v>353</v>
      </c>
      <c r="D1" t="s">
        <v>352</v>
      </c>
    </row>
    <row r="2" spans="1:4">
      <c r="A2" t="s">
        <v>351</v>
      </c>
      <c r="B2">
        <v>0</v>
      </c>
      <c r="C2">
        <v>0</v>
      </c>
      <c r="D2">
        <v>0</v>
      </c>
    </row>
    <row r="3" spans="1:4">
      <c r="A3" t="s">
        <v>350</v>
      </c>
      <c r="B3">
        <v>0</v>
      </c>
      <c r="C3">
        <v>0</v>
      </c>
      <c r="D3">
        <v>0</v>
      </c>
    </row>
    <row r="4" spans="1:4">
      <c r="A4" t="s">
        <v>349</v>
      </c>
      <c r="B4">
        <v>0</v>
      </c>
      <c r="C4">
        <v>0</v>
      </c>
      <c r="D4">
        <v>0</v>
      </c>
    </row>
    <row r="5" spans="1:4">
      <c r="A5" t="s">
        <v>348</v>
      </c>
      <c r="B5">
        <v>0</v>
      </c>
      <c r="C5">
        <v>0</v>
      </c>
      <c r="D5">
        <v>0</v>
      </c>
    </row>
    <row r="6" spans="1:4">
      <c r="A6" t="s">
        <v>347</v>
      </c>
      <c r="B6">
        <v>0</v>
      </c>
      <c r="C6">
        <v>0</v>
      </c>
      <c r="D6">
        <v>0</v>
      </c>
    </row>
    <row r="7" spans="1:4">
      <c r="A7" t="s">
        <v>346</v>
      </c>
      <c r="B7">
        <f>山东光伏数据!D34</f>
        <v>1603.32</v>
      </c>
      <c r="C7">
        <f>山东光伏数据!D35</f>
        <v>6413.28</v>
      </c>
      <c r="D7">
        <f>山东光伏数据!D32</f>
        <v>6653.4000000000005</v>
      </c>
    </row>
    <row r="8" spans="1:4">
      <c r="A8" t="s">
        <v>345</v>
      </c>
      <c r="B8">
        <v>0</v>
      </c>
      <c r="C8">
        <v>0</v>
      </c>
      <c r="D8">
        <v>0</v>
      </c>
    </row>
    <row r="9" spans="1:4">
      <c r="A9" t="s">
        <v>344</v>
      </c>
      <c r="B9">
        <v>0</v>
      </c>
      <c r="C9">
        <v>0</v>
      </c>
      <c r="D9">
        <v>0</v>
      </c>
    </row>
    <row r="10" spans="1:4">
      <c r="A10" t="s">
        <v>343</v>
      </c>
      <c r="B10">
        <v>0</v>
      </c>
      <c r="C10">
        <v>0</v>
      </c>
      <c r="D10">
        <v>0</v>
      </c>
    </row>
    <row r="11" spans="1:4">
      <c r="A11" t="s">
        <v>342</v>
      </c>
      <c r="B11">
        <v>0</v>
      </c>
      <c r="C11">
        <v>0</v>
      </c>
      <c r="D11">
        <v>0</v>
      </c>
    </row>
    <row r="12" spans="1:4">
      <c r="A12" t="s">
        <v>341</v>
      </c>
      <c r="B12">
        <v>0</v>
      </c>
      <c r="C12">
        <v>0</v>
      </c>
      <c r="D12">
        <v>0</v>
      </c>
    </row>
    <row r="13" spans="1:4">
      <c r="A13" t="s">
        <v>340</v>
      </c>
      <c r="B13">
        <v>0</v>
      </c>
      <c r="C13">
        <v>0</v>
      </c>
      <c r="D13">
        <v>0</v>
      </c>
    </row>
    <row r="14" spans="1:4">
      <c r="A14" t="s">
        <v>339</v>
      </c>
      <c r="B14">
        <v>0</v>
      </c>
      <c r="C14">
        <v>0</v>
      </c>
      <c r="D14">
        <v>0</v>
      </c>
    </row>
    <row r="15" spans="1:4">
      <c r="A15" t="s">
        <v>338</v>
      </c>
      <c r="B15">
        <v>0</v>
      </c>
      <c r="C15">
        <v>0</v>
      </c>
      <c r="D15">
        <v>0</v>
      </c>
    </row>
    <row r="16" spans="1:4">
      <c r="A16" t="s">
        <v>337</v>
      </c>
      <c r="B16">
        <v>0</v>
      </c>
      <c r="C16">
        <v>0</v>
      </c>
      <c r="D16">
        <v>0</v>
      </c>
    </row>
    <row r="17" spans="1:4">
      <c r="A17" t="s">
        <v>336</v>
      </c>
      <c r="B17">
        <v>0</v>
      </c>
      <c r="C17">
        <v>0</v>
      </c>
      <c r="D17">
        <v>0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FB20-5812-44C9-A6CD-10793B4B4D45}">
  <sheetPr>
    <tabColor theme="3"/>
  </sheetPr>
  <dimension ref="A1:AR17"/>
  <sheetViews>
    <sheetView workbookViewId="0">
      <selection activeCell="B7" sqref="B7"/>
    </sheetView>
  </sheetViews>
  <sheetFormatPr defaultRowHeight="14.25"/>
  <cols>
    <col min="1" max="1" width="23.375" style="55" customWidth="1"/>
    <col min="2" max="45" width="7" style="55" customWidth="1"/>
    <col min="46" max="16384" width="9" style="55"/>
  </cols>
  <sheetData>
    <row r="1" spans="1:44">
      <c r="A1" s="55" t="s">
        <v>356</v>
      </c>
      <c r="B1" s="55">
        <v>2018</v>
      </c>
      <c r="C1" s="55">
        <v>2019</v>
      </c>
      <c r="D1" s="55">
        <v>2020</v>
      </c>
      <c r="E1" s="55">
        <v>2021</v>
      </c>
      <c r="F1" s="55">
        <v>2022</v>
      </c>
      <c r="G1" s="55">
        <v>2023</v>
      </c>
      <c r="H1" s="55">
        <v>2024</v>
      </c>
      <c r="I1" s="55">
        <v>2025</v>
      </c>
      <c r="J1" s="55">
        <v>2026</v>
      </c>
      <c r="K1" s="55">
        <v>2027</v>
      </c>
      <c r="L1" s="55">
        <v>2028</v>
      </c>
      <c r="M1" s="55">
        <v>2029</v>
      </c>
      <c r="N1" s="55">
        <v>2030</v>
      </c>
      <c r="O1" s="55">
        <v>2031</v>
      </c>
      <c r="P1" s="55">
        <v>2032</v>
      </c>
      <c r="Q1" s="55">
        <v>2033</v>
      </c>
      <c r="R1" s="55">
        <v>2034</v>
      </c>
      <c r="S1" s="55">
        <v>2035</v>
      </c>
      <c r="T1" s="55">
        <v>2036</v>
      </c>
      <c r="U1" s="55">
        <v>2037</v>
      </c>
      <c r="V1" s="55">
        <v>2038</v>
      </c>
      <c r="W1" s="55">
        <v>2039</v>
      </c>
      <c r="X1" s="55">
        <v>2040</v>
      </c>
      <c r="Y1" s="55">
        <v>2041</v>
      </c>
      <c r="Z1" s="55">
        <v>2042</v>
      </c>
      <c r="AA1" s="55">
        <v>2043</v>
      </c>
      <c r="AB1" s="55">
        <v>2044</v>
      </c>
      <c r="AC1" s="55">
        <v>2045</v>
      </c>
      <c r="AD1" s="55">
        <v>2046</v>
      </c>
      <c r="AE1" s="55">
        <v>2047</v>
      </c>
      <c r="AF1" s="55">
        <v>2048</v>
      </c>
      <c r="AG1" s="55">
        <v>2049</v>
      </c>
      <c r="AH1" s="55">
        <v>2050</v>
      </c>
      <c r="AI1" s="55">
        <v>2051</v>
      </c>
      <c r="AJ1" s="55">
        <v>2052</v>
      </c>
      <c r="AK1" s="55">
        <v>2053</v>
      </c>
      <c r="AL1" s="55">
        <v>2054</v>
      </c>
      <c r="AM1" s="55">
        <v>2055</v>
      </c>
      <c r="AN1" s="55">
        <v>2056</v>
      </c>
      <c r="AO1" s="55">
        <v>2057</v>
      </c>
      <c r="AP1" s="55">
        <v>2058</v>
      </c>
      <c r="AQ1" s="55">
        <v>2059</v>
      </c>
      <c r="AR1" s="55">
        <v>2060</v>
      </c>
    </row>
    <row r="2" spans="1:44">
      <c r="A2" s="55" t="s">
        <v>351</v>
      </c>
      <c r="B2" s="55">
        <v>0</v>
      </c>
      <c r="C2" s="55">
        <v>0</v>
      </c>
      <c r="D2" s="55">
        <v>0</v>
      </c>
      <c r="E2" s="55">
        <v>0</v>
      </c>
      <c r="F2" s="55">
        <v>0</v>
      </c>
      <c r="G2" s="55">
        <v>0</v>
      </c>
      <c r="H2" s="55">
        <v>0</v>
      </c>
      <c r="I2" s="55">
        <v>0</v>
      </c>
      <c r="J2" s="55">
        <v>0</v>
      </c>
      <c r="K2" s="55">
        <v>0</v>
      </c>
      <c r="L2" s="55">
        <v>0</v>
      </c>
      <c r="M2" s="55">
        <v>0</v>
      </c>
      <c r="N2" s="55">
        <v>0</v>
      </c>
      <c r="O2" s="55">
        <v>0</v>
      </c>
      <c r="P2" s="55">
        <v>0</v>
      </c>
      <c r="Q2" s="55">
        <v>0</v>
      </c>
      <c r="R2" s="55">
        <v>0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  <c r="X2" s="55">
        <v>0</v>
      </c>
      <c r="Y2" s="55">
        <v>0</v>
      </c>
      <c r="Z2" s="55">
        <v>0</v>
      </c>
      <c r="AA2" s="55">
        <v>0</v>
      </c>
      <c r="AB2" s="55">
        <v>0</v>
      </c>
      <c r="AC2" s="55">
        <v>0</v>
      </c>
      <c r="AD2" s="55">
        <v>0</v>
      </c>
      <c r="AE2" s="55">
        <v>0</v>
      </c>
      <c r="AF2" s="55">
        <v>0</v>
      </c>
      <c r="AG2" s="55">
        <v>0</v>
      </c>
      <c r="AH2" s="55">
        <v>0</v>
      </c>
      <c r="AI2" s="55">
        <v>0</v>
      </c>
      <c r="AJ2" s="55">
        <v>0</v>
      </c>
      <c r="AK2" s="55">
        <v>0</v>
      </c>
      <c r="AL2" s="55">
        <v>0</v>
      </c>
      <c r="AM2" s="55">
        <v>0</v>
      </c>
      <c r="AN2" s="55">
        <v>0</v>
      </c>
      <c r="AO2" s="55">
        <v>0</v>
      </c>
      <c r="AP2" s="55">
        <v>0</v>
      </c>
      <c r="AQ2" s="55">
        <v>0</v>
      </c>
      <c r="AR2" s="55">
        <v>0</v>
      </c>
    </row>
    <row r="3" spans="1:44">
      <c r="A3" s="55" t="s">
        <v>350</v>
      </c>
      <c r="B3" s="55">
        <v>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5">
        <v>0</v>
      </c>
      <c r="Z3" s="55">
        <v>0</v>
      </c>
      <c r="AA3" s="55">
        <v>0</v>
      </c>
      <c r="AB3" s="55">
        <v>0</v>
      </c>
      <c r="AC3" s="55">
        <v>0</v>
      </c>
      <c r="AD3" s="55">
        <v>0</v>
      </c>
      <c r="AE3" s="55">
        <v>0</v>
      </c>
      <c r="AF3" s="55">
        <v>0</v>
      </c>
      <c r="AG3" s="55">
        <v>0</v>
      </c>
      <c r="AH3" s="55">
        <v>0</v>
      </c>
      <c r="AI3" s="55">
        <v>0</v>
      </c>
      <c r="AJ3" s="55">
        <v>0</v>
      </c>
      <c r="AK3" s="55">
        <v>0</v>
      </c>
      <c r="AL3" s="55">
        <v>0</v>
      </c>
      <c r="AM3" s="55">
        <v>0</v>
      </c>
      <c r="AN3" s="55">
        <v>0</v>
      </c>
      <c r="AO3" s="55">
        <v>0</v>
      </c>
      <c r="AP3" s="55">
        <v>0</v>
      </c>
      <c r="AQ3" s="55">
        <v>0</v>
      </c>
      <c r="AR3" s="55">
        <v>0</v>
      </c>
    </row>
    <row r="4" spans="1:44">
      <c r="A4" s="55" t="s">
        <v>349</v>
      </c>
      <c r="B4" s="55">
        <v>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0</v>
      </c>
      <c r="AH4" s="55">
        <v>0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</row>
    <row r="5" spans="1:44">
      <c r="A5" s="55" t="s">
        <v>348</v>
      </c>
      <c r="B5" s="55">
        <v>0</v>
      </c>
      <c r="C5" s="55">
        <v>0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</row>
    <row r="6" spans="1:44">
      <c r="A6" s="55" t="s">
        <v>347</v>
      </c>
      <c r="B6" s="55">
        <v>0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0</v>
      </c>
      <c r="AH6" s="55">
        <v>0</v>
      </c>
      <c r="AI6" s="55">
        <v>0</v>
      </c>
      <c r="AJ6" s="55">
        <v>0</v>
      </c>
      <c r="AK6" s="55">
        <v>0</v>
      </c>
      <c r="AL6" s="55">
        <v>0</v>
      </c>
      <c r="AM6" s="55">
        <v>0</v>
      </c>
      <c r="AN6" s="55">
        <v>0</v>
      </c>
      <c r="AO6" s="55">
        <v>0</v>
      </c>
      <c r="AP6" s="55">
        <v>0</v>
      </c>
      <c r="AQ6" s="55">
        <v>0</v>
      </c>
      <c r="AR6" s="55">
        <v>0</v>
      </c>
    </row>
    <row r="7" spans="1:44" s="67" customFormat="1">
      <c r="A7" s="67" t="s">
        <v>346</v>
      </c>
      <c r="B7" s="67">
        <f>'BDEQ-BDESC-urban-residential'!B7*MAX(能源局光伏并网数据!$AV18:$AY18)*8760</f>
        <v>249104.03397027595</v>
      </c>
      <c r="C7" s="67">
        <f>'BDEQ-BDESC-urban-residential'!C7*MAX(能源局光伏并网数据!$AV18:$AY18)*8760</f>
        <v>570123.14225053077</v>
      </c>
      <c r="D7" s="67">
        <f>'BDEQ-BDESC-urban-residential'!D7*MAX(能源局光伏并网数据!$AV18:$AY18)*8760</f>
        <v>1361630.5732484076</v>
      </c>
      <c r="E7" s="67">
        <f>'BDEQ-BDESC-urban-residential'!E7*MAX(能源局光伏并网数据!$AV18:$AY18)*8760</f>
        <v>2657970.2760084928</v>
      </c>
      <c r="F7" s="67">
        <f>'BDEQ-BDESC-urban-residential'!F7*MAX(能源局光伏并网数据!$AV18:$AY18)*8760</f>
        <v>2860033.9702760084</v>
      </c>
      <c r="G7" s="67">
        <f>'BDEQ-BDESC-urban-residential'!G7*MAX(能源局光伏并网数据!$AV18:$AY18)*8760</f>
        <v>3156394.0552016986</v>
      </c>
      <c r="H7" s="67">
        <f>'BDEQ-BDESC-urban-residential'!H7*MAX(能源局光伏并网数据!$AV18:$AY18)*8760</f>
        <v>3533579.6178343953</v>
      </c>
      <c r="I7" s="67">
        <f>'BDEQ-BDESC-urban-residential'!I7*MAX(能源局光伏并网数据!$AV18:$AY18)*8760</f>
        <v>4005061.5711252657</v>
      </c>
      <c r="J7" s="67">
        <f>'BDEQ-BDESC-urban-residential'!J7*MAX(能源局光伏并网数据!$AV18:$AY18)*8760</f>
        <v>4800773.1877463115</v>
      </c>
      <c r="K7" s="67">
        <f>'BDEQ-BDESC-urban-residential'!K7*MAX(能源局光伏并网数据!$AV18:$AY18)*8760</f>
        <v>5356670.0839144895</v>
      </c>
      <c r="L7" s="67">
        <f>'BDEQ-BDESC-urban-residential'!L7*MAX(能源局光伏并网数据!$AV18:$AY18)*8760</f>
        <v>5912566.9800826674</v>
      </c>
      <c r="M7" s="67">
        <f>'BDEQ-BDESC-urban-residential'!M7*MAX(能源局光伏并网数据!$AV18:$AY18)*8760</f>
        <v>6468463.8762510438</v>
      </c>
      <c r="N7" s="67">
        <f>'BDEQ-BDESC-urban-residential'!N7*MAX(能源局光伏并网数据!$AV18:$AY18)*8760</f>
        <v>7024360.7724192226</v>
      </c>
      <c r="O7" s="67">
        <f>'BDEQ-BDESC-urban-residential'!O7*MAX(能源局光伏并网数据!$AV18:$AY18)*8760</f>
        <v>7580257.6685874015</v>
      </c>
      <c r="P7" s="67">
        <f>'BDEQ-BDESC-urban-residential'!P7*MAX(能源局光伏并网数据!$AV18:$AY18)*8760</f>
        <v>8136154.5647557769</v>
      </c>
      <c r="Q7" s="67">
        <f>'BDEQ-BDESC-urban-residential'!Q7*MAX(能源局光伏并网数据!$AV18:$AY18)*8760</f>
        <v>8692051.4609239548</v>
      </c>
      <c r="R7" s="67">
        <f>'BDEQ-BDESC-urban-residential'!R7*MAX(能源局光伏并网数据!$AV18:$AY18)*8760</f>
        <v>9247948.3570921347</v>
      </c>
      <c r="S7" s="67">
        <f>'BDEQ-BDESC-urban-residential'!S7*MAX(能源局光伏并网数据!$AV18:$AY18)*8760</f>
        <v>9803845.2532603126</v>
      </c>
      <c r="T7" s="67">
        <f>'BDEQ-BDESC-urban-residential'!T7*MAX(能源局光伏并网数据!$AV18:$AY18)*8760</f>
        <v>10359742.149428688</v>
      </c>
      <c r="U7" s="67">
        <f>'BDEQ-BDESC-urban-residential'!U7*MAX(能源局光伏并网数据!$AV18:$AY18)*8760</f>
        <v>10915639.045596866</v>
      </c>
      <c r="V7" s="67">
        <f>'BDEQ-BDESC-urban-residential'!V7*MAX(能源局光伏并网数据!$AV18:$AY18)*8760</f>
        <v>11471535.941765046</v>
      </c>
      <c r="W7" s="67">
        <f>'BDEQ-BDESC-urban-residential'!W7*MAX(能源局光伏并网数据!$AV18:$AY18)*8760</f>
        <v>12027432.837933224</v>
      </c>
      <c r="X7" s="67">
        <f>'BDEQ-BDESC-urban-residential'!X7*MAX(能源局光伏并网数据!$AV18:$AY18)*8760</f>
        <v>12583329.734101599</v>
      </c>
      <c r="Y7" s="67">
        <f>'BDEQ-BDESC-urban-residential'!Y7*MAX(能源局光伏并网数据!$AV18:$AY18)*8760</f>
        <v>13139226.630269777</v>
      </c>
      <c r="Z7" s="67">
        <f>'BDEQ-BDESC-urban-residential'!Z7*MAX(能源局光伏并网数据!$AV18:$AY18)*8760</f>
        <v>13695123.526437955</v>
      </c>
      <c r="AA7" s="67">
        <f>'BDEQ-BDESC-urban-residential'!AA7*MAX(能源局光伏并网数据!$AV18:$AY18)*8760</f>
        <v>14251020.422606332</v>
      </c>
      <c r="AB7" s="67">
        <f>'BDEQ-BDESC-urban-residential'!AB7*MAX(能源局光伏并网数据!$AV18:$AY18)*8760</f>
        <v>14806917.31877451</v>
      </c>
      <c r="AC7" s="67">
        <f>'BDEQ-BDESC-urban-residential'!AC7*MAX(能源局光伏并网数据!$AV18:$AY18)*8760</f>
        <v>15362814.214942688</v>
      </c>
      <c r="AD7" s="67">
        <f>'BDEQ-BDESC-urban-residential'!AD7*MAX(能源局光伏并网数据!$AV18:$AY18)*8760</f>
        <v>15918711.111110866</v>
      </c>
      <c r="AE7" s="67">
        <f>'BDEQ-BDESC-urban-residential'!AE7*MAX(能源局光伏并网数据!$AV18:$AY18)*8760</f>
        <v>16474608.007279243</v>
      </c>
      <c r="AF7" s="67">
        <f>'BDEQ-BDESC-urban-residential'!AF7*MAX(能源局光伏并网数据!$AV18:$AY18)*8760</f>
        <v>17030504.903447419</v>
      </c>
      <c r="AG7" s="67">
        <f>'BDEQ-BDESC-urban-residential'!AG7*MAX(能源局光伏并网数据!$AV18:$AY18)*8760</f>
        <v>17586401.799615599</v>
      </c>
      <c r="AH7" s="67">
        <f>'BDEQ-BDESC-urban-residential'!AH7*MAX(能源局光伏并网数据!$AV18:$AY18)*8760</f>
        <v>18142298.695783976</v>
      </c>
      <c r="AI7" s="67">
        <f>'BDEQ-BDESC-urban-residential'!AI7*MAX(能源局光伏并网数据!$AV18:$AY18)*8760</f>
        <v>18698195.591952153</v>
      </c>
      <c r="AJ7" s="67">
        <f>'BDEQ-BDESC-urban-residential'!AJ7*MAX(能源局光伏并网数据!$AV18:$AY18)*8760</f>
        <v>19254092.488120332</v>
      </c>
      <c r="AK7" s="67">
        <f>'BDEQ-BDESC-urban-residential'!AK7*MAX(能源局光伏并网数据!$AV18:$AY18)*8760</f>
        <v>19809989.384288512</v>
      </c>
      <c r="AL7" s="67">
        <f>'BDEQ-BDESC-urban-residential'!AL7*MAX(能源局光伏并网数据!$AV18:$AY18)*8760</f>
        <v>20365886.280456889</v>
      </c>
      <c r="AM7" s="67">
        <f>'BDEQ-BDESC-urban-residential'!AM7*MAX(能源局光伏并网数据!$AV18:$AY18)*8760</f>
        <v>20329473.428157311</v>
      </c>
      <c r="AN7" s="67">
        <f>'BDEQ-BDESC-urban-residential'!AN7*MAX(能源局光伏并网数据!$AV18:$AY18)*8760</f>
        <v>20237693.334651988</v>
      </c>
      <c r="AO7" s="67">
        <f>'BDEQ-BDESC-urban-residential'!AO7*MAX(能源局光伏并网数据!$AV18:$AY18)*8760</f>
        <v>20144641.097644769</v>
      </c>
      <c r="AP7" s="67">
        <f>'BDEQ-BDESC-urban-residential'!AP7*MAX(能源局光伏并网数据!$AV18:$AY18)*8760</f>
        <v>20051027.9278013</v>
      </c>
      <c r="AQ7" s="67">
        <f>'BDEQ-BDESC-urban-residential'!AQ7*MAX(能源局光伏并网数据!$AV18:$AY18)*8760</f>
        <v>19957578.29575289</v>
      </c>
      <c r="AR7" s="67">
        <f>'BDEQ-BDESC-urban-residential'!AR7*MAX(能源局光伏并网数据!$AV18:$AY18)*8760</f>
        <v>19865024.703499913</v>
      </c>
    </row>
    <row r="8" spans="1:44">
      <c r="A8" s="55" t="s">
        <v>345</v>
      </c>
      <c r="B8" s="55">
        <v>0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  <c r="AG8" s="55">
        <v>0</v>
      </c>
      <c r="AH8" s="55">
        <v>0</v>
      </c>
      <c r="AI8" s="55">
        <v>0</v>
      </c>
      <c r="AJ8" s="55">
        <v>0</v>
      </c>
      <c r="AK8" s="55">
        <v>0</v>
      </c>
      <c r="AL8" s="55">
        <v>0</v>
      </c>
      <c r="AM8" s="55">
        <v>0</v>
      </c>
      <c r="AN8" s="55">
        <v>0</v>
      </c>
      <c r="AO8" s="55">
        <v>0</v>
      </c>
      <c r="AP8" s="55">
        <v>0</v>
      </c>
      <c r="AQ8" s="55">
        <v>0</v>
      </c>
      <c r="AR8" s="55">
        <v>0</v>
      </c>
    </row>
    <row r="9" spans="1:44">
      <c r="A9" s="55" t="s">
        <v>344</v>
      </c>
      <c r="B9" s="55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</row>
    <row r="10" spans="1:44">
      <c r="A10" s="55" t="s">
        <v>343</v>
      </c>
      <c r="B10" s="55">
        <v>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</row>
    <row r="11" spans="1:44">
      <c r="A11" s="55" t="s">
        <v>342</v>
      </c>
      <c r="B11" s="55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</row>
    <row r="12" spans="1:44">
      <c r="A12" s="55" t="s">
        <v>341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v>0</v>
      </c>
      <c r="AK12" s="55">
        <v>0</v>
      </c>
      <c r="AL12" s="55">
        <v>0</v>
      </c>
      <c r="AM12" s="55">
        <v>0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</row>
    <row r="13" spans="1:44">
      <c r="A13" s="55" t="s">
        <v>340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  <c r="AL13" s="55">
        <v>0</v>
      </c>
      <c r="AM13" s="55">
        <v>0</v>
      </c>
      <c r="AN13" s="55">
        <v>0</v>
      </c>
      <c r="AO13" s="55">
        <v>0</v>
      </c>
      <c r="AP13" s="55">
        <v>0</v>
      </c>
      <c r="AQ13" s="55">
        <v>0</v>
      </c>
      <c r="AR13" s="55">
        <v>0</v>
      </c>
    </row>
    <row r="14" spans="1:44">
      <c r="A14" s="55" t="s">
        <v>339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55">
        <v>0</v>
      </c>
      <c r="AK14" s="55">
        <v>0</v>
      </c>
      <c r="AL14" s="55">
        <v>0</v>
      </c>
      <c r="AM14" s="55">
        <v>0</v>
      </c>
      <c r="AN14" s="55">
        <v>0</v>
      </c>
      <c r="AO14" s="55">
        <v>0</v>
      </c>
      <c r="AP14" s="55">
        <v>0</v>
      </c>
      <c r="AQ14" s="55">
        <v>0</v>
      </c>
      <c r="AR14" s="55">
        <v>0</v>
      </c>
    </row>
    <row r="15" spans="1:44">
      <c r="A15" s="55" t="s">
        <v>338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0</v>
      </c>
      <c r="AH15" s="55">
        <v>0</v>
      </c>
      <c r="AI15" s="55">
        <v>0</v>
      </c>
      <c r="AJ15" s="55">
        <v>0</v>
      </c>
      <c r="AK15" s="55">
        <v>0</v>
      </c>
      <c r="AL15" s="55">
        <v>0</v>
      </c>
      <c r="AM15" s="55">
        <v>0</v>
      </c>
      <c r="AN15" s="55">
        <v>0</v>
      </c>
      <c r="AO15" s="55">
        <v>0</v>
      </c>
      <c r="AP15" s="55">
        <v>0</v>
      </c>
      <c r="AQ15" s="55">
        <v>0</v>
      </c>
      <c r="AR15" s="55">
        <v>0</v>
      </c>
    </row>
    <row r="16" spans="1:44">
      <c r="A16" s="55" t="s">
        <v>337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55">
        <v>0</v>
      </c>
      <c r="AK16" s="55">
        <v>0</v>
      </c>
      <c r="AL16" s="55">
        <v>0</v>
      </c>
      <c r="AM16" s="55">
        <v>0</v>
      </c>
      <c r="AN16" s="55">
        <v>0</v>
      </c>
      <c r="AO16" s="55">
        <v>0</v>
      </c>
      <c r="AP16" s="55">
        <v>0</v>
      </c>
      <c r="AQ16" s="55">
        <v>0</v>
      </c>
      <c r="AR16" s="55">
        <v>0</v>
      </c>
    </row>
    <row r="17" spans="1:44">
      <c r="A17" s="55" t="s">
        <v>336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55">
        <v>0</v>
      </c>
      <c r="AK17" s="55">
        <v>0</v>
      </c>
      <c r="AL17" s="55">
        <v>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CC6D-5391-43B4-85E6-40B0AD62E247}">
  <sheetPr>
    <tabColor theme="3"/>
  </sheetPr>
  <dimension ref="A1:AR17"/>
  <sheetViews>
    <sheetView workbookViewId="0">
      <selection activeCell="B7" sqref="B7"/>
    </sheetView>
  </sheetViews>
  <sheetFormatPr defaultRowHeight="14.25"/>
  <cols>
    <col min="1" max="1" width="23.375" style="55" customWidth="1"/>
    <col min="2" max="44" width="7" style="55" customWidth="1"/>
    <col min="45" max="16384" width="9" style="55"/>
  </cols>
  <sheetData>
    <row r="1" spans="1:44">
      <c r="A1" s="55" t="s">
        <v>356</v>
      </c>
      <c r="B1" s="55">
        <v>2018</v>
      </c>
      <c r="C1" s="55">
        <v>2019</v>
      </c>
      <c r="D1" s="55">
        <v>2020</v>
      </c>
      <c r="E1" s="55">
        <v>2021</v>
      </c>
      <c r="F1" s="55">
        <v>2022</v>
      </c>
      <c r="G1" s="55">
        <v>2023</v>
      </c>
      <c r="H1" s="55">
        <v>2024</v>
      </c>
      <c r="I1" s="55">
        <v>2025</v>
      </c>
      <c r="J1" s="55">
        <v>2026</v>
      </c>
      <c r="K1" s="55">
        <v>2027</v>
      </c>
      <c r="L1" s="55">
        <v>2028</v>
      </c>
      <c r="M1" s="55">
        <v>2029</v>
      </c>
      <c r="N1" s="55">
        <v>2030</v>
      </c>
      <c r="O1" s="55">
        <v>2031</v>
      </c>
      <c r="P1" s="55">
        <v>2032</v>
      </c>
      <c r="Q1" s="55">
        <v>2033</v>
      </c>
      <c r="R1" s="55">
        <v>2034</v>
      </c>
      <c r="S1" s="55">
        <v>2035</v>
      </c>
      <c r="T1" s="55">
        <v>2036</v>
      </c>
      <c r="U1" s="55">
        <v>2037</v>
      </c>
      <c r="V1" s="55">
        <v>2038</v>
      </c>
      <c r="W1" s="55">
        <v>2039</v>
      </c>
      <c r="X1" s="55">
        <v>2040</v>
      </c>
      <c r="Y1" s="55">
        <v>2041</v>
      </c>
      <c r="Z1" s="55">
        <v>2042</v>
      </c>
      <c r="AA1" s="55">
        <v>2043</v>
      </c>
      <c r="AB1" s="55">
        <v>2044</v>
      </c>
      <c r="AC1" s="55">
        <v>2045</v>
      </c>
      <c r="AD1" s="55">
        <v>2046</v>
      </c>
      <c r="AE1" s="55">
        <v>2047</v>
      </c>
      <c r="AF1" s="55">
        <v>2048</v>
      </c>
      <c r="AG1" s="55">
        <v>2049</v>
      </c>
      <c r="AH1" s="55">
        <v>2050</v>
      </c>
      <c r="AI1" s="55">
        <v>2051</v>
      </c>
      <c r="AJ1" s="55">
        <v>2052</v>
      </c>
      <c r="AK1" s="55">
        <v>2053</v>
      </c>
      <c r="AL1" s="55">
        <v>2054</v>
      </c>
      <c r="AM1" s="55">
        <v>2055</v>
      </c>
      <c r="AN1" s="55">
        <v>2056</v>
      </c>
      <c r="AO1" s="55">
        <v>2057</v>
      </c>
      <c r="AP1" s="55">
        <v>2058</v>
      </c>
      <c r="AQ1" s="55">
        <v>2059</v>
      </c>
      <c r="AR1" s="55">
        <v>2060</v>
      </c>
    </row>
    <row r="2" spans="1:44">
      <c r="A2" s="55" t="s">
        <v>351</v>
      </c>
      <c r="B2" s="55">
        <v>0</v>
      </c>
      <c r="C2" s="55">
        <v>0</v>
      </c>
      <c r="D2" s="55">
        <v>0</v>
      </c>
      <c r="E2" s="55">
        <v>0</v>
      </c>
      <c r="F2" s="55">
        <v>0</v>
      </c>
      <c r="G2" s="55">
        <v>0</v>
      </c>
      <c r="H2" s="55">
        <v>0</v>
      </c>
      <c r="I2" s="55">
        <v>0</v>
      </c>
      <c r="J2" s="55">
        <v>0</v>
      </c>
      <c r="K2" s="55">
        <v>0</v>
      </c>
      <c r="L2" s="55">
        <v>0</v>
      </c>
      <c r="M2" s="55">
        <v>0</v>
      </c>
      <c r="N2" s="55">
        <v>0</v>
      </c>
      <c r="O2" s="55">
        <v>0</v>
      </c>
      <c r="P2" s="55">
        <v>0</v>
      </c>
      <c r="Q2" s="55">
        <v>0</v>
      </c>
      <c r="R2" s="55">
        <v>0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  <c r="X2" s="55">
        <v>0</v>
      </c>
      <c r="Y2" s="55">
        <v>0</v>
      </c>
      <c r="Z2" s="55">
        <v>0</v>
      </c>
      <c r="AA2" s="55">
        <v>0</v>
      </c>
      <c r="AB2" s="55">
        <v>0</v>
      </c>
      <c r="AC2" s="55">
        <v>0</v>
      </c>
      <c r="AD2" s="55">
        <v>0</v>
      </c>
      <c r="AE2" s="55">
        <v>0</v>
      </c>
      <c r="AF2" s="55">
        <v>0</v>
      </c>
      <c r="AG2" s="55">
        <v>0</v>
      </c>
      <c r="AH2" s="55">
        <v>0</v>
      </c>
      <c r="AI2" s="55">
        <v>0</v>
      </c>
      <c r="AJ2" s="55">
        <v>0</v>
      </c>
      <c r="AK2" s="55">
        <v>0</v>
      </c>
      <c r="AL2" s="55">
        <v>0</v>
      </c>
      <c r="AM2" s="55">
        <v>0</v>
      </c>
      <c r="AN2" s="55">
        <v>0</v>
      </c>
      <c r="AO2" s="55">
        <v>0</v>
      </c>
      <c r="AP2" s="55">
        <v>0</v>
      </c>
      <c r="AQ2" s="55">
        <v>0</v>
      </c>
      <c r="AR2" s="55">
        <v>0</v>
      </c>
    </row>
    <row r="3" spans="1:44">
      <c r="A3" s="55" t="s">
        <v>350</v>
      </c>
      <c r="B3" s="55">
        <v>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5">
        <v>0</v>
      </c>
      <c r="Z3" s="55">
        <v>0</v>
      </c>
      <c r="AA3" s="55">
        <v>0</v>
      </c>
      <c r="AB3" s="55">
        <v>0</v>
      </c>
      <c r="AC3" s="55">
        <v>0</v>
      </c>
      <c r="AD3" s="55">
        <v>0</v>
      </c>
      <c r="AE3" s="55">
        <v>0</v>
      </c>
      <c r="AF3" s="55">
        <v>0</v>
      </c>
      <c r="AG3" s="55">
        <v>0</v>
      </c>
      <c r="AH3" s="55">
        <v>0</v>
      </c>
      <c r="AI3" s="55">
        <v>0</v>
      </c>
      <c r="AJ3" s="55">
        <v>0</v>
      </c>
      <c r="AK3" s="55">
        <v>0</v>
      </c>
      <c r="AL3" s="55">
        <v>0</v>
      </c>
      <c r="AM3" s="55">
        <v>0</v>
      </c>
      <c r="AN3" s="55">
        <v>0</v>
      </c>
      <c r="AO3" s="55">
        <v>0</v>
      </c>
      <c r="AP3" s="55">
        <v>0</v>
      </c>
      <c r="AQ3" s="55">
        <v>0</v>
      </c>
      <c r="AR3" s="55">
        <v>0</v>
      </c>
    </row>
    <row r="4" spans="1:44">
      <c r="A4" s="55" t="s">
        <v>349</v>
      </c>
      <c r="B4" s="55">
        <v>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0</v>
      </c>
      <c r="AH4" s="55">
        <v>0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</row>
    <row r="5" spans="1:44">
      <c r="A5" s="55" t="s">
        <v>348</v>
      </c>
      <c r="B5" s="55">
        <v>0</v>
      </c>
      <c r="C5" s="55">
        <v>0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</row>
    <row r="6" spans="1:44">
      <c r="A6" s="55" t="s">
        <v>347</v>
      </c>
      <c r="B6" s="55">
        <v>0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0</v>
      </c>
      <c r="AH6" s="55">
        <v>0</v>
      </c>
      <c r="AI6" s="55">
        <v>0</v>
      </c>
      <c r="AJ6" s="55">
        <v>0</v>
      </c>
      <c r="AK6" s="55">
        <v>0</v>
      </c>
      <c r="AL6" s="55">
        <v>0</v>
      </c>
      <c r="AM6" s="55">
        <v>0</v>
      </c>
      <c r="AN6" s="55">
        <v>0</v>
      </c>
      <c r="AO6" s="55">
        <v>0</v>
      </c>
      <c r="AP6" s="55">
        <v>0</v>
      </c>
      <c r="AQ6" s="55">
        <v>0</v>
      </c>
      <c r="AR6" s="55">
        <v>0</v>
      </c>
    </row>
    <row r="7" spans="1:44">
      <c r="A7" s="55" t="s">
        <v>346</v>
      </c>
      <c r="B7" s="67">
        <f>'BDEQ-BDESC-rural-residential'!B7*MAX(能源局光伏并网数据!$AV18:$AY18)*8760</f>
        <v>996416.13588110381</v>
      </c>
      <c r="C7" s="67">
        <f>'BDEQ-BDESC-rural-residential'!C7*MAX(能源局光伏并网数据!$AV18:$AY18)*8760</f>
        <v>2280492.5690021231</v>
      </c>
      <c r="D7" s="67">
        <f>'BDEQ-BDESC-rural-residential'!D7*MAX(能源局光伏并网数据!$AV18:$AY18)*8760</f>
        <v>5446522.2929936303</v>
      </c>
      <c r="E7" s="67">
        <f>'BDEQ-BDESC-rural-residential'!E7*MAX(能源局光伏并网数据!$AV18:$AY18)*8760</f>
        <v>10631881.104033971</v>
      </c>
      <c r="F7" s="67">
        <f>'BDEQ-BDESC-rural-residential'!F7*MAX(能源局光伏并网数据!$AV18:$AY18)*8760</f>
        <v>11440135.881104033</v>
      </c>
      <c r="G7" s="67">
        <f>'BDEQ-BDESC-rural-residential'!G7*MAX(能源局光伏并网数据!$AV18:$AY18)*8760</f>
        <v>12625576.220806794</v>
      </c>
      <c r="H7" s="67">
        <f>'BDEQ-BDESC-rural-residential'!H7*MAX(能源局光伏并网数据!$AV18:$AY18)*8760</f>
        <v>14134318.471337581</v>
      </c>
      <c r="I7" s="67">
        <f>'BDEQ-BDESC-rural-residential'!I7*MAX(能源局光伏并网数据!$AV18:$AY18)*8760</f>
        <v>16020246.284501063</v>
      </c>
      <c r="J7" s="67">
        <f>'BDEQ-BDESC-rural-residential'!J7*MAX(能源局光伏并网数据!$AV18:$AY18)*8760</f>
        <v>19203092.750985246</v>
      </c>
      <c r="K7" s="67">
        <f>'BDEQ-BDESC-rural-residential'!K7*MAX(能源局光伏并网数据!$AV18:$AY18)*8760</f>
        <v>21426680.335657958</v>
      </c>
      <c r="L7" s="67">
        <f>'BDEQ-BDESC-rural-residential'!L7*MAX(能源局光伏并网数据!$AV18:$AY18)*8760</f>
        <v>23650267.92033067</v>
      </c>
      <c r="M7" s="67">
        <f>'BDEQ-BDESC-rural-residential'!M7*MAX(能源局光伏并网数据!$AV18:$AY18)*8760</f>
        <v>25873855.505004175</v>
      </c>
      <c r="N7" s="67">
        <f>'BDEQ-BDESC-rural-residential'!N7*MAX(能源局光伏并网数据!$AV18:$AY18)*8760</f>
        <v>28097443.089676891</v>
      </c>
      <c r="O7" s="67">
        <f>'BDEQ-BDESC-rural-residential'!O7*MAX(能源局光伏并网数据!$AV18:$AY18)*8760</f>
        <v>30321030.674349606</v>
      </c>
      <c r="P7" s="67">
        <f>'BDEQ-BDESC-rural-residential'!P7*MAX(能源局光伏并网数据!$AV18:$AY18)*8760</f>
        <v>30222411.751641881</v>
      </c>
      <c r="Q7" s="67">
        <f>'BDEQ-BDESC-rural-residential'!Q7*MAX(能源局光伏并网数据!$AV18:$AY18)*8760</f>
        <v>29635678.477700379</v>
      </c>
      <c r="R7" s="67">
        <f>'BDEQ-BDESC-rural-residential'!R7*MAX(能源局光伏并网数据!$AV18:$AY18)*8760</f>
        <v>29054557.368814342</v>
      </c>
      <c r="S7" s="67">
        <f>'BDEQ-BDESC-rural-residential'!S7*MAX(能源局光伏并网数据!$AV18:$AY18)*8760</f>
        <v>28480068.287756845</v>
      </c>
      <c r="T7" s="67">
        <f>'BDEQ-BDESC-rural-residential'!T7*MAX(能源局光伏并网数据!$AV18:$AY18)*8760</f>
        <v>27913172.212232824</v>
      </c>
      <c r="U7" s="67">
        <f>'BDEQ-BDESC-rural-residential'!U7*MAX(能源局光伏并网数据!$AV18:$AY18)*8760</f>
        <v>27354772.66823725</v>
      </c>
      <c r="V7" s="67">
        <f>'BDEQ-BDESC-rural-residential'!V7*MAX(能源局光伏并网数据!$AV18:$AY18)*8760</f>
        <v>26805717.817260906</v>
      </c>
      <c r="W7" s="67">
        <f>'BDEQ-BDESC-rural-residential'!W7*MAX(能源局光伏并网数据!$AV18:$AY18)*8760</f>
        <v>26266803.134544037</v>
      </c>
      <c r="X7" s="67">
        <f>'BDEQ-BDESC-rural-residential'!X7*MAX(能源局光伏并网数据!$AV18:$AY18)*8760</f>
        <v>25738772.573716868</v>
      </c>
      <c r="Y7" s="67">
        <f>'BDEQ-BDESC-rural-residential'!Y7*MAX(能源局光伏并网数据!$AV18:$AY18)*8760</f>
        <v>25222319.40313014</v>
      </c>
      <c r="Z7" s="67">
        <f>'BDEQ-BDESC-rural-residential'!Z7*MAX(能源局光伏并网数据!$AV18:$AY18)*8760</f>
        <v>24718090.733447675</v>
      </c>
      <c r="AA7" s="67">
        <f>'BDEQ-BDESC-rural-residential'!AA7*MAX(能源局光伏并网数据!$AV18:$AY18)*8760</f>
        <v>24226689.97554002</v>
      </c>
      <c r="AB7" s="67">
        <f>'BDEQ-BDESC-rural-residential'!AB7*MAX(能源局光伏并网数据!$AV18:$AY18)*8760</f>
        <v>23748676.006394695</v>
      </c>
      <c r="AC7" s="67">
        <f>'BDEQ-BDESC-rural-residential'!AC7*MAX(能源局光伏并网数据!$AV18:$AY18)*8760</f>
        <v>23284569.130795002</v>
      </c>
      <c r="AD7" s="67">
        <f>'BDEQ-BDESC-rural-residential'!AD7*MAX(能源局光伏并网数据!$AV18:$AY18)*8760</f>
        <v>22834850.046766512</v>
      </c>
      <c r="AE7" s="67">
        <f>'BDEQ-BDESC-rural-residential'!AE7*MAX(能源局光伏并网数据!$AV18:$AY18)*8760</f>
        <v>22399968.231636848</v>
      </c>
      <c r="AF7" s="67">
        <f>'BDEQ-BDESC-rural-residential'!AF7*MAX(能源局光伏并网数据!$AV18:$AY18)*8760</f>
        <v>21980338.322464313</v>
      </c>
      <c r="AG7" s="67">
        <f>'BDEQ-BDESC-rural-residential'!AG7*MAX(能源局光伏并网数据!$AV18:$AY18)*8760</f>
        <v>21576347.243190464</v>
      </c>
      <c r="AH7" s="67">
        <f>'BDEQ-BDESC-rural-residential'!AH7*MAX(能源局光伏并网数据!$AV18:$AY18)*8760</f>
        <v>21188355.76089156</v>
      </c>
      <c r="AI7" s="67">
        <f>'BDEQ-BDESC-rural-residential'!AI7*MAX(能源局光伏并网数据!$AV18:$AY18)*8760</f>
        <v>20816700.463646371</v>
      </c>
      <c r="AJ7" s="67">
        <f>'BDEQ-BDESC-rural-residential'!AJ7*MAX(能源局光伏并网数据!$AV18:$AY18)*8760</f>
        <v>20461700.712039821</v>
      </c>
      <c r="AK7" s="67">
        <f>'BDEQ-BDESC-rural-residential'!AK7*MAX(能源局光伏并网数据!$AV18:$AY18)*8760</f>
        <v>20123656.156110585</v>
      </c>
      <c r="AL7" s="67">
        <f>'BDEQ-BDESC-rural-residential'!AL7*MAX(能源局光伏并网数据!$AV18:$AY18)*8760</f>
        <v>19802854.548540268</v>
      </c>
      <c r="AM7" s="67">
        <f>'BDEQ-BDESC-rural-residential'!AM7*MAX(能源局光伏并网数据!$AV18:$AY18)*8760</f>
        <v>19499574.939336468</v>
      </c>
      <c r="AN7" s="67">
        <f>'BDEQ-BDESC-rural-residential'!AN7*MAX(能源局光伏并网数据!$AV18:$AY18)*8760</f>
        <v>19214089.097298391</v>
      </c>
      <c r="AO7" s="67">
        <f>'BDEQ-BDESC-rural-residential'!AO7*MAX(能源局光伏并网数据!$AV18:$AY18)*8760</f>
        <v>18946666.688906848</v>
      </c>
      <c r="AP7" s="67">
        <f>'BDEQ-BDESC-rural-residential'!AP7*MAX(能源局光伏并网数据!$AV18:$AY18)*8760</f>
        <v>18697577.578045581</v>
      </c>
      <c r="AQ7" s="67">
        <f>'BDEQ-BDESC-rural-residential'!AQ7*MAX(能源局光伏并网数据!$AV18:$AY18)*8760</f>
        <v>18467099.026288692</v>
      </c>
      <c r="AR7" s="67">
        <f>'BDEQ-BDESC-rural-residential'!AR7*MAX(能源局光伏并网数据!$AV18:$AY18)*8760</f>
        <v>18255515.691571586</v>
      </c>
    </row>
    <row r="8" spans="1:44">
      <c r="A8" s="55" t="s">
        <v>345</v>
      </c>
      <c r="B8" s="55">
        <v>0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  <c r="AG8" s="55">
        <v>0</v>
      </c>
      <c r="AH8" s="55">
        <v>0</v>
      </c>
      <c r="AI8" s="55">
        <v>0</v>
      </c>
      <c r="AJ8" s="55">
        <v>0</v>
      </c>
      <c r="AK8" s="55">
        <v>0</v>
      </c>
      <c r="AL8" s="55">
        <v>0</v>
      </c>
      <c r="AM8" s="55">
        <v>0</v>
      </c>
      <c r="AN8" s="55">
        <v>0</v>
      </c>
      <c r="AO8" s="55">
        <v>0</v>
      </c>
      <c r="AP8" s="55">
        <v>0</v>
      </c>
      <c r="AQ8" s="55">
        <v>0</v>
      </c>
      <c r="AR8" s="55">
        <v>0</v>
      </c>
    </row>
    <row r="9" spans="1:44">
      <c r="A9" s="55" t="s">
        <v>344</v>
      </c>
      <c r="B9" s="55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</row>
    <row r="10" spans="1:44">
      <c r="A10" s="55" t="s">
        <v>343</v>
      </c>
      <c r="B10" s="55">
        <v>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</row>
    <row r="11" spans="1:44">
      <c r="A11" s="55" t="s">
        <v>342</v>
      </c>
      <c r="B11" s="55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</row>
    <row r="12" spans="1:44">
      <c r="A12" s="55" t="s">
        <v>341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v>0</v>
      </c>
      <c r="AK12" s="55">
        <v>0</v>
      </c>
      <c r="AL12" s="55">
        <v>0</v>
      </c>
      <c r="AM12" s="55">
        <v>0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</row>
    <row r="13" spans="1:44">
      <c r="A13" s="55" t="s">
        <v>340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  <c r="AL13" s="55">
        <v>0</v>
      </c>
      <c r="AM13" s="55">
        <v>0</v>
      </c>
      <c r="AN13" s="55">
        <v>0</v>
      </c>
      <c r="AO13" s="55">
        <v>0</v>
      </c>
      <c r="AP13" s="55">
        <v>0</v>
      </c>
      <c r="AQ13" s="55">
        <v>0</v>
      </c>
      <c r="AR13" s="55">
        <v>0</v>
      </c>
    </row>
    <row r="14" spans="1:44">
      <c r="A14" s="55" t="s">
        <v>339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55">
        <v>0</v>
      </c>
      <c r="AK14" s="55">
        <v>0</v>
      </c>
      <c r="AL14" s="55">
        <v>0</v>
      </c>
      <c r="AM14" s="55">
        <v>0</v>
      </c>
      <c r="AN14" s="55">
        <v>0</v>
      </c>
      <c r="AO14" s="55">
        <v>0</v>
      </c>
      <c r="AP14" s="55">
        <v>0</v>
      </c>
      <c r="AQ14" s="55">
        <v>0</v>
      </c>
      <c r="AR14" s="55">
        <v>0</v>
      </c>
    </row>
    <row r="15" spans="1:44">
      <c r="A15" s="55" t="s">
        <v>338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0</v>
      </c>
      <c r="AH15" s="55">
        <v>0</v>
      </c>
      <c r="AI15" s="55">
        <v>0</v>
      </c>
      <c r="AJ15" s="55">
        <v>0</v>
      </c>
      <c r="AK15" s="55">
        <v>0</v>
      </c>
      <c r="AL15" s="55">
        <v>0</v>
      </c>
      <c r="AM15" s="55">
        <v>0</v>
      </c>
      <c r="AN15" s="55">
        <v>0</v>
      </c>
      <c r="AO15" s="55">
        <v>0</v>
      </c>
      <c r="AP15" s="55">
        <v>0</v>
      </c>
      <c r="AQ15" s="55">
        <v>0</v>
      </c>
      <c r="AR15" s="55">
        <v>0</v>
      </c>
    </row>
    <row r="16" spans="1:44">
      <c r="A16" s="55" t="s">
        <v>337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55">
        <v>0</v>
      </c>
      <c r="AK16" s="55">
        <v>0</v>
      </c>
      <c r="AL16" s="55">
        <v>0</v>
      </c>
      <c r="AM16" s="55">
        <v>0</v>
      </c>
      <c r="AN16" s="55">
        <v>0</v>
      </c>
      <c r="AO16" s="55">
        <v>0</v>
      </c>
      <c r="AP16" s="55">
        <v>0</v>
      </c>
      <c r="AQ16" s="55">
        <v>0</v>
      </c>
      <c r="AR16" s="55">
        <v>0</v>
      </c>
    </row>
    <row r="17" spans="1:44">
      <c r="A17" s="55" t="s">
        <v>336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55">
        <v>0</v>
      </c>
      <c r="AK17" s="55">
        <v>0</v>
      </c>
      <c r="AL17" s="55">
        <v>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DF70-A103-4729-9A66-ACE3D8B2EAE3}">
  <sheetPr>
    <tabColor theme="3"/>
  </sheetPr>
  <dimension ref="A1:AR17"/>
  <sheetViews>
    <sheetView workbookViewId="0">
      <selection activeCell="AN21" sqref="AN21"/>
    </sheetView>
  </sheetViews>
  <sheetFormatPr defaultRowHeight="14.25"/>
  <cols>
    <col min="1" max="1" width="23.375" style="55" customWidth="1"/>
    <col min="2" max="44" width="7" style="55" customWidth="1"/>
    <col min="45" max="16384" width="9" style="55"/>
  </cols>
  <sheetData>
    <row r="1" spans="1:44">
      <c r="A1" s="55" t="s">
        <v>356</v>
      </c>
      <c r="B1" s="55">
        <v>2018</v>
      </c>
      <c r="C1" s="55">
        <v>2019</v>
      </c>
      <c r="D1" s="55">
        <v>2020</v>
      </c>
      <c r="E1" s="55">
        <v>2021</v>
      </c>
      <c r="F1" s="55">
        <v>2022</v>
      </c>
      <c r="G1" s="55">
        <v>2023</v>
      </c>
      <c r="H1" s="55">
        <v>2024</v>
      </c>
      <c r="I1" s="55">
        <v>2025</v>
      </c>
      <c r="J1" s="55">
        <v>2026</v>
      </c>
      <c r="K1" s="55">
        <v>2027</v>
      </c>
      <c r="L1" s="55">
        <v>2028</v>
      </c>
      <c r="M1" s="55">
        <v>2029</v>
      </c>
      <c r="N1" s="55">
        <v>2030</v>
      </c>
      <c r="O1" s="55">
        <v>2031</v>
      </c>
      <c r="P1" s="55">
        <v>2032</v>
      </c>
      <c r="Q1" s="55">
        <v>2033</v>
      </c>
      <c r="R1" s="55">
        <v>2034</v>
      </c>
      <c r="S1" s="55">
        <v>2035</v>
      </c>
      <c r="T1" s="55">
        <v>2036</v>
      </c>
      <c r="U1" s="55">
        <v>2037</v>
      </c>
      <c r="V1" s="55">
        <v>2038</v>
      </c>
      <c r="W1" s="55">
        <v>2039</v>
      </c>
      <c r="X1" s="55">
        <v>2040</v>
      </c>
      <c r="Y1" s="55">
        <v>2041</v>
      </c>
      <c r="Z1" s="55">
        <v>2042</v>
      </c>
      <c r="AA1" s="55">
        <v>2043</v>
      </c>
      <c r="AB1" s="55">
        <v>2044</v>
      </c>
      <c r="AC1" s="55">
        <v>2045</v>
      </c>
      <c r="AD1" s="55">
        <v>2046</v>
      </c>
      <c r="AE1" s="55">
        <v>2047</v>
      </c>
      <c r="AF1" s="55">
        <v>2048</v>
      </c>
      <c r="AG1" s="55">
        <v>2049</v>
      </c>
      <c r="AH1" s="55">
        <v>2050</v>
      </c>
      <c r="AI1" s="55">
        <v>2051</v>
      </c>
      <c r="AJ1" s="55">
        <v>2052</v>
      </c>
      <c r="AK1" s="55">
        <v>2053</v>
      </c>
      <c r="AL1" s="55">
        <v>2054</v>
      </c>
      <c r="AM1" s="55">
        <v>2055</v>
      </c>
      <c r="AN1" s="55">
        <v>2056</v>
      </c>
      <c r="AO1" s="55">
        <v>2057</v>
      </c>
      <c r="AP1" s="55">
        <v>2058</v>
      </c>
      <c r="AQ1" s="55">
        <v>2059</v>
      </c>
      <c r="AR1" s="55">
        <v>2060</v>
      </c>
    </row>
    <row r="2" spans="1:44">
      <c r="A2" s="55" t="s">
        <v>351</v>
      </c>
      <c r="B2" s="55">
        <v>0</v>
      </c>
      <c r="C2" s="55">
        <v>0</v>
      </c>
      <c r="D2" s="55">
        <v>0</v>
      </c>
      <c r="E2" s="55">
        <v>0</v>
      </c>
      <c r="F2" s="55">
        <v>0</v>
      </c>
      <c r="G2" s="55">
        <v>0</v>
      </c>
      <c r="H2" s="55">
        <v>0</v>
      </c>
      <c r="I2" s="55">
        <v>0</v>
      </c>
      <c r="J2" s="55">
        <v>0</v>
      </c>
      <c r="K2" s="55">
        <v>0</v>
      </c>
      <c r="L2" s="55">
        <v>0</v>
      </c>
      <c r="M2" s="55">
        <v>0</v>
      </c>
      <c r="N2" s="55">
        <v>0</v>
      </c>
      <c r="O2" s="55">
        <v>0</v>
      </c>
      <c r="P2" s="55">
        <v>0</v>
      </c>
      <c r="Q2" s="55">
        <v>0</v>
      </c>
      <c r="R2" s="55">
        <v>0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  <c r="X2" s="55">
        <v>0</v>
      </c>
      <c r="Y2" s="55">
        <v>0</v>
      </c>
      <c r="Z2" s="55">
        <v>0</v>
      </c>
      <c r="AA2" s="55">
        <v>0</v>
      </c>
      <c r="AB2" s="55">
        <v>0</v>
      </c>
      <c r="AC2" s="55">
        <v>0</v>
      </c>
      <c r="AD2" s="55">
        <v>0</v>
      </c>
      <c r="AE2" s="55">
        <v>0</v>
      </c>
      <c r="AF2" s="55">
        <v>0</v>
      </c>
      <c r="AG2" s="55">
        <v>0</v>
      </c>
      <c r="AH2" s="55">
        <v>0</v>
      </c>
      <c r="AI2" s="55">
        <v>0</v>
      </c>
      <c r="AJ2" s="55">
        <v>0</v>
      </c>
      <c r="AK2" s="55">
        <v>0</v>
      </c>
      <c r="AL2" s="55">
        <v>0</v>
      </c>
      <c r="AM2" s="55">
        <v>0</v>
      </c>
      <c r="AN2" s="55">
        <v>0</v>
      </c>
      <c r="AO2" s="55">
        <v>0</v>
      </c>
      <c r="AP2" s="55">
        <v>0</v>
      </c>
      <c r="AQ2" s="55">
        <v>0</v>
      </c>
      <c r="AR2" s="55">
        <v>0</v>
      </c>
    </row>
    <row r="3" spans="1:44">
      <c r="A3" s="55" t="s">
        <v>350</v>
      </c>
      <c r="B3" s="55">
        <v>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5">
        <v>0</v>
      </c>
      <c r="Z3" s="55">
        <v>0</v>
      </c>
      <c r="AA3" s="55">
        <v>0</v>
      </c>
      <c r="AB3" s="55">
        <v>0</v>
      </c>
      <c r="AC3" s="55">
        <v>0</v>
      </c>
      <c r="AD3" s="55">
        <v>0</v>
      </c>
      <c r="AE3" s="55">
        <v>0</v>
      </c>
      <c r="AF3" s="55">
        <v>0</v>
      </c>
      <c r="AG3" s="55">
        <v>0</v>
      </c>
      <c r="AH3" s="55">
        <v>0</v>
      </c>
      <c r="AI3" s="55">
        <v>0</v>
      </c>
      <c r="AJ3" s="55">
        <v>0</v>
      </c>
      <c r="AK3" s="55">
        <v>0</v>
      </c>
      <c r="AL3" s="55">
        <v>0</v>
      </c>
      <c r="AM3" s="55">
        <v>0</v>
      </c>
      <c r="AN3" s="55">
        <v>0</v>
      </c>
      <c r="AO3" s="55">
        <v>0</v>
      </c>
      <c r="AP3" s="55">
        <v>0</v>
      </c>
      <c r="AQ3" s="55">
        <v>0</v>
      </c>
      <c r="AR3" s="55">
        <v>0</v>
      </c>
    </row>
    <row r="4" spans="1:44">
      <c r="A4" s="55" t="s">
        <v>349</v>
      </c>
      <c r="B4" s="55">
        <v>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0</v>
      </c>
      <c r="AH4" s="55">
        <v>0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</row>
    <row r="5" spans="1:44">
      <c r="A5" s="55" t="s">
        <v>348</v>
      </c>
      <c r="B5" s="55">
        <v>0</v>
      </c>
      <c r="C5" s="55">
        <v>0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</row>
    <row r="6" spans="1:44">
      <c r="A6" s="55" t="s">
        <v>347</v>
      </c>
      <c r="B6" s="55">
        <v>0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0</v>
      </c>
      <c r="AH6" s="55">
        <v>0</v>
      </c>
      <c r="AI6" s="55">
        <v>0</v>
      </c>
      <c r="AJ6" s="55">
        <v>0</v>
      </c>
      <c r="AK6" s="55">
        <v>0</v>
      </c>
      <c r="AL6" s="55">
        <v>0</v>
      </c>
      <c r="AM6" s="55">
        <v>0</v>
      </c>
      <c r="AN6" s="55">
        <v>0</v>
      </c>
      <c r="AO6" s="55">
        <v>0</v>
      </c>
      <c r="AP6" s="55">
        <v>0</v>
      </c>
      <c r="AQ6" s="55">
        <v>0</v>
      </c>
      <c r="AR6" s="55">
        <v>0</v>
      </c>
    </row>
    <row r="7" spans="1:44">
      <c r="A7" s="55" t="s">
        <v>346</v>
      </c>
      <c r="B7" s="67">
        <f>'BDEQ-BDESC-commercial'!B7*MAX(能源局光伏并网数据!$AV18:$AY18)*8760</f>
        <v>4809681.5286624208</v>
      </c>
      <c r="C7" s="67">
        <f>'BDEQ-BDESC-commercial'!C7*MAX(能源局光伏并网数据!$AV18:$AY18)*8760</f>
        <v>5149384.288747347</v>
      </c>
      <c r="D7" s="67">
        <f>'BDEQ-BDESC-commercial'!D7*MAX(能源局光伏并网数据!$AV18:$AY18)*8760</f>
        <v>5650445.8598726122</v>
      </c>
      <c r="E7" s="67">
        <f>'BDEQ-BDESC-commercial'!E7*MAX(能源局光伏并网数据!$AV18:$AY18)*8760</f>
        <v>6531804.6709129503</v>
      </c>
      <c r="F7" s="67">
        <f>'BDEQ-BDESC-commercial'!F7*MAX(能源局光伏并网数据!$AV18:$AY18)*8760</f>
        <v>6964798.3014861997</v>
      </c>
      <c r="G7" s="67">
        <f>'BDEQ-BDESC-commercial'!G7*MAX(能源局光伏并网数据!$AV18:$AY18)*8760</f>
        <v>7599855.6263269633</v>
      </c>
      <c r="H7" s="67">
        <f>'BDEQ-BDESC-commercial'!H7*MAX(能源局光伏并网数据!$AV18:$AY18)*8760</f>
        <v>8408110.4033970274</v>
      </c>
      <c r="I7" s="67">
        <f>'BDEQ-BDESC-commercial'!I7*MAX(能源局光伏并网数据!$AV18:$AY18)*8760</f>
        <v>9418428.8747346066</v>
      </c>
      <c r="J7" s="67">
        <f>'BDEQ-BDESC-commercial'!J7*MAX(能源局光伏并网数据!$AV18:$AY18)*8760</f>
        <v>9754211.1010009889</v>
      </c>
      <c r="K7" s="67">
        <f>'BDEQ-BDESC-commercial'!K7*MAX(能源局光伏并网数据!$AV18:$AY18)*8760</f>
        <v>10407021.635830514</v>
      </c>
      <c r="L7" s="67">
        <f>'BDEQ-BDESC-commercial'!L7*MAX(能源局光伏并网数据!$AV18:$AY18)*8760</f>
        <v>11059832.170660233</v>
      </c>
      <c r="M7" s="67">
        <f>'BDEQ-BDESC-commercial'!M7*MAX(能源局光伏并网数据!$AV18:$AY18)*8760</f>
        <v>11712642.705489758</v>
      </c>
      <c r="N7" s="67">
        <f>'BDEQ-BDESC-commercial'!N7*MAX(能源局光伏并网数据!$AV18:$AY18)*8760</f>
        <v>12365453.240319477</v>
      </c>
      <c r="O7" s="67">
        <f>'BDEQ-BDESC-commercial'!O7*MAX(能源局光伏并网数据!$AV18:$AY18)*8760</f>
        <v>13018263.775149198</v>
      </c>
      <c r="P7" s="67">
        <f>'BDEQ-BDESC-commercial'!P7*MAX(能源局光伏并网数据!$AV18:$AY18)*8760</f>
        <v>13671074.309978722</v>
      </c>
      <c r="Q7" s="67">
        <f>'BDEQ-BDESC-commercial'!Q7*MAX(能源局光伏并网数据!$AV18:$AY18)*8760</f>
        <v>14323884.844808443</v>
      </c>
      <c r="R7" s="67">
        <f>'BDEQ-BDESC-commercial'!R7*MAX(能源局光伏并网数据!$AV18:$AY18)*8760</f>
        <v>14976695.379638162</v>
      </c>
      <c r="S7" s="67">
        <f>'BDEQ-BDESC-commercial'!S7*MAX(能源局光伏并网数据!$AV18:$AY18)*8760</f>
        <v>15629505.914467687</v>
      </c>
      <c r="T7" s="67">
        <f>'BDEQ-BDESC-commercial'!T7*MAX(能源局光伏并网数据!$AV18:$AY18)*8760</f>
        <v>16282316.449297406</v>
      </c>
      <c r="U7" s="67">
        <f>'BDEQ-BDESC-commercial'!U7*MAX(能源局光伏并网数据!$AV18:$AY18)*8760</f>
        <v>16935126.984126929</v>
      </c>
      <c r="V7" s="67">
        <f>'BDEQ-BDESC-commercial'!V7*MAX(能源局光伏并网数据!$AV18:$AY18)*8760</f>
        <v>17587937.51895665</v>
      </c>
      <c r="W7" s="67">
        <f>'BDEQ-BDESC-commercial'!W7*MAX(能源局光伏并网数据!$AV18:$AY18)*8760</f>
        <v>18240748.053786371</v>
      </c>
      <c r="X7" s="67">
        <f>'BDEQ-BDESC-commercial'!X7*MAX(能源局光伏并网数据!$AV18:$AY18)*8760</f>
        <v>18893558.588615894</v>
      </c>
      <c r="Y7" s="67">
        <f>'BDEQ-BDESC-commercial'!Y7*MAX(能源局光伏并网数据!$AV18:$AY18)*8760</f>
        <v>19546369.123445615</v>
      </c>
      <c r="Z7" s="67">
        <f>'BDEQ-BDESC-commercial'!Z7*MAX(能源局光伏并网数据!$AV18:$AY18)*8760</f>
        <v>20199179.658275139</v>
      </c>
      <c r="AA7" s="67">
        <f>'BDEQ-BDESC-commercial'!AA7*MAX(能源局光伏并网数据!$AV18:$AY18)*8760</f>
        <v>20851990.193104856</v>
      </c>
      <c r="AB7" s="67">
        <f>'BDEQ-BDESC-commercial'!AB7*MAX(能源局光伏并网数据!$AV18:$AY18)*8760</f>
        <v>21504800.72793458</v>
      </c>
      <c r="AC7" s="67">
        <f>'BDEQ-BDESC-commercial'!AC7*MAX(能源局光伏并网数据!$AV18:$AY18)*8760</f>
        <v>22157611.2627641</v>
      </c>
      <c r="AD7" s="67">
        <f>'BDEQ-BDESC-commercial'!AD7*MAX(能源局光伏并网数据!$AV18:$AY18)*8760</f>
        <v>22810421.797593821</v>
      </c>
      <c r="AE7" s="67">
        <f>'BDEQ-BDESC-commercial'!AE7*MAX(能源局光伏并网数据!$AV18:$AY18)*8760</f>
        <v>23463232.332423344</v>
      </c>
      <c r="AF7" s="67">
        <f>'BDEQ-BDESC-commercial'!AF7*MAX(能源局光伏并网数据!$AV18:$AY18)*8760</f>
        <v>24116042.867253065</v>
      </c>
      <c r="AG7" s="67">
        <f>'BDEQ-BDESC-commercial'!AG7*MAX(能源局光伏并网数据!$AV18:$AY18)*8760</f>
        <v>24768853.40208279</v>
      </c>
      <c r="AH7" s="67">
        <f>'BDEQ-BDESC-commercial'!AH7*MAX(能源局光伏并网数据!$AV18:$AY18)*8760</f>
        <v>25421663.936912309</v>
      </c>
      <c r="AI7" s="67">
        <f>'BDEQ-BDESC-commercial'!AI7*MAX(能源局光伏并网数据!$AV18:$AY18)*8760</f>
        <v>26074474.47174203</v>
      </c>
      <c r="AJ7" s="67">
        <f>'BDEQ-BDESC-commercial'!AJ7*MAX(能源局光伏并网数据!$AV18:$AY18)*8760</f>
        <v>26727285.006571554</v>
      </c>
      <c r="AK7" s="67">
        <f>'BDEQ-BDESC-commercial'!AK7*MAX(能源局光伏并网数据!$AV18:$AY18)*8760</f>
        <v>27380095.541401275</v>
      </c>
      <c r="AL7" s="67">
        <f>'BDEQ-BDESC-commercial'!AL7*MAX(能源局光伏并网数据!$AV18:$AY18)*8760</f>
        <v>28032906.076230995</v>
      </c>
      <c r="AM7" s="67">
        <f>'BDEQ-BDESC-commercial'!AM7*MAX(能源局光伏并网数据!$AV18:$AY18)*8760</f>
        <v>28685716.611060519</v>
      </c>
      <c r="AN7" s="67">
        <f>'BDEQ-BDESC-commercial'!AN7*MAX(能源局光伏并网数据!$AV18:$AY18)*8760</f>
        <v>29338527.14589024</v>
      </c>
      <c r="AO7" s="67">
        <f>'BDEQ-BDESC-commercial'!AO7*MAX(能源局光伏并网数据!$AV18:$AY18)*8760</f>
        <v>29991337.680719763</v>
      </c>
      <c r="AP7" s="67">
        <f>'BDEQ-BDESC-commercial'!AP7*MAX(能源局光伏并网数据!$AV18:$AY18)*8760</f>
        <v>30644148.215549484</v>
      </c>
      <c r="AQ7" s="67">
        <f>'BDEQ-BDESC-commercial'!AQ7*MAX(能源局光伏并网数据!$AV18:$AY18)*8760</f>
        <v>31296958.750379201</v>
      </c>
      <c r="AR7" s="67">
        <f>'BDEQ-BDESC-commercial'!AR7*MAX(能源局光伏并网数据!$AV18:$AY18)*8760</f>
        <v>31949769.285208728</v>
      </c>
    </row>
    <row r="8" spans="1:44">
      <c r="A8" s="55" t="s">
        <v>345</v>
      </c>
      <c r="B8" s="55">
        <v>0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  <c r="AG8" s="55">
        <v>0</v>
      </c>
      <c r="AH8" s="55">
        <v>0</v>
      </c>
      <c r="AI8" s="55">
        <v>0</v>
      </c>
      <c r="AJ8" s="55">
        <v>0</v>
      </c>
      <c r="AK8" s="55">
        <v>0</v>
      </c>
      <c r="AL8" s="55">
        <v>0</v>
      </c>
      <c r="AM8" s="55">
        <v>0</v>
      </c>
      <c r="AN8" s="55">
        <v>0</v>
      </c>
      <c r="AO8" s="55">
        <v>0</v>
      </c>
      <c r="AP8" s="55">
        <v>0</v>
      </c>
      <c r="AQ8" s="55">
        <v>0</v>
      </c>
      <c r="AR8" s="55">
        <v>0</v>
      </c>
    </row>
    <row r="9" spans="1:44">
      <c r="A9" s="55" t="s">
        <v>344</v>
      </c>
      <c r="B9" s="55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</row>
    <row r="10" spans="1:44">
      <c r="A10" s="55" t="s">
        <v>343</v>
      </c>
      <c r="B10" s="55">
        <v>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</row>
    <row r="11" spans="1:44">
      <c r="A11" s="55" t="s">
        <v>342</v>
      </c>
      <c r="B11" s="55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</row>
    <row r="12" spans="1:44">
      <c r="A12" s="55" t="s">
        <v>341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v>0</v>
      </c>
      <c r="AK12" s="55">
        <v>0</v>
      </c>
      <c r="AL12" s="55">
        <v>0</v>
      </c>
      <c r="AM12" s="55">
        <v>0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</row>
    <row r="13" spans="1:44">
      <c r="A13" s="55" t="s">
        <v>340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  <c r="AL13" s="55">
        <v>0</v>
      </c>
      <c r="AM13" s="55">
        <v>0</v>
      </c>
      <c r="AN13" s="55">
        <v>0</v>
      </c>
      <c r="AO13" s="55">
        <v>0</v>
      </c>
      <c r="AP13" s="55">
        <v>0</v>
      </c>
      <c r="AQ13" s="55">
        <v>0</v>
      </c>
      <c r="AR13" s="55">
        <v>0</v>
      </c>
    </row>
    <row r="14" spans="1:44">
      <c r="A14" s="55" t="s">
        <v>339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55">
        <v>0</v>
      </c>
      <c r="AK14" s="55">
        <v>0</v>
      </c>
      <c r="AL14" s="55">
        <v>0</v>
      </c>
      <c r="AM14" s="55">
        <v>0</v>
      </c>
      <c r="AN14" s="55">
        <v>0</v>
      </c>
      <c r="AO14" s="55">
        <v>0</v>
      </c>
      <c r="AP14" s="55">
        <v>0</v>
      </c>
      <c r="AQ14" s="55">
        <v>0</v>
      </c>
      <c r="AR14" s="55">
        <v>0</v>
      </c>
    </row>
    <row r="15" spans="1:44">
      <c r="A15" s="55" t="s">
        <v>338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0</v>
      </c>
      <c r="AH15" s="55">
        <v>0</v>
      </c>
      <c r="AI15" s="55">
        <v>0</v>
      </c>
      <c r="AJ15" s="55">
        <v>0</v>
      </c>
      <c r="AK15" s="55">
        <v>0</v>
      </c>
      <c r="AL15" s="55">
        <v>0</v>
      </c>
      <c r="AM15" s="55">
        <v>0</v>
      </c>
      <c r="AN15" s="55">
        <v>0</v>
      </c>
      <c r="AO15" s="55">
        <v>0</v>
      </c>
      <c r="AP15" s="55">
        <v>0</v>
      </c>
      <c r="AQ15" s="55">
        <v>0</v>
      </c>
      <c r="AR15" s="55">
        <v>0</v>
      </c>
    </row>
    <row r="16" spans="1:44">
      <c r="A16" s="55" t="s">
        <v>337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55">
        <v>0</v>
      </c>
      <c r="AK16" s="55">
        <v>0</v>
      </c>
      <c r="AL16" s="55">
        <v>0</v>
      </c>
      <c r="AM16" s="55">
        <v>0</v>
      </c>
      <c r="AN16" s="55">
        <v>0</v>
      </c>
      <c r="AO16" s="55">
        <v>0</v>
      </c>
      <c r="AP16" s="55">
        <v>0</v>
      </c>
      <c r="AQ16" s="55">
        <v>0</v>
      </c>
      <c r="AR16" s="55">
        <v>0</v>
      </c>
    </row>
    <row r="17" spans="1:44">
      <c r="A17" s="55" t="s">
        <v>336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55">
        <v>0</v>
      </c>
      <c r="AK17" s="55">
        <v>0</v>
      </c>
      <c r="AL17" s="55">
        <v>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F341-18E3-4D12-9DF2-2BC371992545}">
  <sheetPr>
    <tabColor theme="3"/>
  </sheetPr>
  <dimension ref="A1:AR17"/>
  <sheetViews>
    <sheetView tabSelected="1" workbookViewId="0">
      <selection activeCell="G31" sqref="G31"/>
    </sheetView>
  </sheetViews>
  <sheetFormatPr defaultRowHeight="14.25"/>
  <cols>
    <col min="1" max="1" width="23.375" style="55" customWidth="1"/>
    <col min="2" max="44" width="7" style="55" customWidth="1"/>
    <col min="45" max="16384" width="9" style="55"/>
  </cols>
  <sheetData>
    <row r="1" spans="1:44">
      <c r="A1" s="55" t="s">
        <v>355</v>
      </c>
      <c r="B1" s="55">
        <v>2018</v>
      </c>
      <c r="C1" s="55">
        <v>2019</v>
      </c>
      <c r="D1" s="55">
        <v>2020</v>
      </c>
      <c r="E1" s="55">
        <v>2021</v>
      </c>
      <c r="F1" s="55">
        <v>2022</v>
      </c>
      <c r="G1" s="55">
        <v>2023</v>
      </c>
      <c r="H1" s="55">
        <v>2024</v>
      </c>
      <c r="I1" s="55">
        <v>2025</v>
      </c>
      <c r="J1" s="55">
        <v>2026</v>
      </c>
      <c r="K1" s="55">
        <v>2027</v>
      </c>
      <c r="L1" s="55">
        <v>2028</v>
      </c>
      <c r="M1" s="55">
        <v>2029</v>
      </c>
      <c r="N1" s="55">
        <v>2030</v>
      </c>
      <c r="O1" s="55">
        <v>2031</v>
      </c>
      <c r="P1" s="55">
        <v>2032</v>
      </c>
      <c r="Q1" s="55">
        <v>2033</v>
      </c>
      <c r="R1" s="55">
        <v>2034</v>
      </c>
      <c r="S1" s="55">
        <v>2035</v>
      </c>
      <c r="T1" s="55">
        <v>2036</v>
      </c>
      <c r="U1" s="55">
        <v>2037</v>
      </c>
      <c r="V1" s="55">
        <v>2038</v>
      </c>
      <c r="W1" s="55">
        <v>2039</v>
      </c>
      <c r="X1" s="55">
        <v>2040</v>
      </c>
      <c r="Y1" s="55">
        <v>2041</v>
      </c>
      <c r="Z1" s="55">
        <v>2042</v>
      </c>
      <c r="AA1" s="55">
        <v>2043</v>
      </c>
      <c r="AB1" s="55">
        <v>2044</v>
      </c>
      <c r="AC1" s="55">
        <v>2045</v>
      </c>
      <c r="AD1" s="55">
        <v>2046</v>
      </c>
      <c r="AE1" s="55">
        <v>2047</v>
      </c>
      <c r="AF1" s="55">
        <v>2048</v>
      </c>
      <c r="AG1" s="55">
        <v>2049</v>
      </c>
      <c r="AH1" s="55">
        <v>2050</v>
      </c>
      <c r="AI1" s="55">
        <v>2051</v>
      </c>
      <c r="AJ1" s="55">
        <v>2052</v>
      </c>
      <c r="AK1" s="55">
        <v>2053</v>
      </c>
      <c r="AL1" s="55">
        <v>2054</v>
      </c>
      <c r="AM1" s="55">
        <v>2055</v>
      </c>
      <c r="AN1" s="55">
        <v>2056</v>
      </c>
      <c r="AO1" s="55">
        <v>2057</v>
      </c>
      <c r="AP1" s="55">
        <v>2058</v>
      </c>
      <c r="AQ1" s="55">
        <v>2059</v>
      </c>
      <c r="AR1" s="55">
        <v>2060</v>
      </c>
    </row>
    <row r="2" spans="1:44">
      <c r="A2" s="55" t="s">
        <v>351</v>
      </c>
      <c r="B2" s="55">
        <v>0</v>
      </c>
      <c r="C2" s="55">
        <v>0</v>
      </c>
      <c r="D2" s="55">
        <v>0</v>
      </c>
      <c r="E2" s="55">
        <v>0</v>
      </c>
      <c r="F2" s="55">
        <v>0</v>
      </c>
      <c r="G2" s="55">
        <v>0</v>
      </c>
      <c r="H2" s="55">
        <v>0</v>
      </c>
      <c r="I2" s="55">
        <v>0</v>
      </c>
      <c r="J2" s="55">
        <v>0</v>
      </c>
      <c r="K2" s="55">
        <v>0</v>
      </c>
      <c r="L2" s="55">
        <v>0</v>
      </c>
      <c r="M2" s="55">
        <v>0</v>
      </c>
      <c r="N2" s="55">
        <v>0</v>
      </c>
      <c r="O2" s="55">
        <v>0</v>
      </c>
      <c r="P2" s="55">
        <v>0</v>
      </c>
      <c r="Q2" s="55">
        <v>0</v>
      </c>
      <c r="R2" s="55">
        <v>0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  <c r="X2" s="55">
        <v>0</v>
      </c>
      <c r="Y2" s="55">
        <v>0</v>
      </c>
      <c r="Z2" s="55">
        <v>0</v>
      </c>
      <c r="AA2" s="55">
        <v>0</v>
      </c>
      <c r="AB2" s="55">
        <v>0</v>
      </c>
      <c r="AC2" s="55">
        <v>0</v>
      </c>
      <c r="AD2" s="55">
        <v>0</v>
      </c>
      <c r="AE2" s="55">
        <v>0</v>
      </c>
      <c r="AF2" s="55">
        <v>0</v>
      </c>
      <c r="AG2" s="55">
        <v>0</v>
      </c>
      <c r="AH2" s="55">
        <v>0</v>
      </c>
      <c r="AI2" s="55">
        <v>0</v>
      </c>
      <c r="AJ2" s="55">
        <v>0</v>
      </c>
      <c r="AK2" s="55">
        <v>0</v>
      </c>
      <c r="AL2" s="55">
        <v>0</v>
      </c>
      <c r="AM2" s="55">
        <v>0</v>
      </c>
      <c r="AN2" s="55">
        <v>0</v>
      </c>
      <c r="AO2" s="55">
        <v>0</v>
      </c>
      <c r="AP2" s="55">
        <v>0</v>
      </c>
      <c r="AQ2" s="55">
        <v>0</v>
      </c>
      <c r="AR2" s="55">
        <v>0</v>
      </c>
    </row>
    <row r="3" spans="1:44">
      <c r="A3" s="55" t="s">
        <v>350</v>
      </c>
      <c r="B3" s="55">
        <v>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5">
        <v>0</v>
      </c>
      <c r="Z3" s="55">
        <v>0</v>
      </c>
      <c r="AA3" s="55">
        <v>0</v>
      </c>
      <c r="AB3" s="55">
        <v>0</v>
      </c>
      <c r="AC3" s="55">
        <v>0</v>
      </c>
      <c r="AD3" s="55">
        <v>0</v>
      </c>
      <c r="AE3" s="55">
        <v>0</v>
      </c>
      <c r="AF3" s="55">
        <v>0</v>
      </c>
      <c r="AG3" s="55">
        <v>0</v>
      </c>
      <c r="AH3" s="55">
        <v>0</v>
      </c>
      <c r="AI3" s="55">
        <v>0</v>
      </c>
      <c r="AJ3" s="55">
        <v>0</v>
      </c>
      <c r="AK3" s="55">
        <v>0</v>
      </c>
      <c r="AL3" s="55">
        <v>0</v>
      </c>
      <c r="AM3" s="55">
        <v>0</v>
      </c>
      <c r="AN3" s="55">
        <v>0</v>
      </c>
      <c r="AO3" s="55">
        <v>0</v>
      </c>
      <c r="AP3" s="55">
        <v>0</v>
      </c>
      <c r="AQ3" s="55">
        <v>0</v>
      </c>
      <c r="AR3" s="55">
        <v>0</v>
      </c>
    </row>
    <row r="4" spans="1:44">
      <c r="A4" s="55" t="s">
        <v>349</v>
      </c>
      <c r="B4" s="55">
        <v>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0</v>
      </c>
      <c r="AH4" s="55">
        <v>0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</row>
    <row r="5" spans="1:44">
      <c r="A5" s="55" t="s">
        <v>348</v>
      </c>
      <c r="B5" s="55">
        <v>0</v>
      </c>
      <c r="C5" s="55">
        <v>0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</row>
    <row r="6" spans="1:44">
      <c r="A6" s="55" t="s">
        <v>347</v>
      </c>
      <c r="B6" s="55">
        <v>0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0</v>
      </c>
      <c r="AH6" s="55">
        <v>0</v>
      </c>
      <c r="AI6" s="55">
        <v>0</v>
      </c>
      <c r="AJ6" s="55">
        <v>0</v>
      </c>
      <c r="AK6" s="55">
        <v>0</v>
      </c>
      <c r="AL6" s="55">
        <v>0</v>
      </c>
      <c r="AM6" s="55">
        <v>0</v>
      </c>
      <c r="AN6" s="55">
        <v>0</v>
      </c>
      <c r="AO6" s="55">
        <v>0</v>
      </c>
      <c r="AP6" s="55">
        <v>0</v>
      </c>
      <c r="AQ6" s="55">
        <v>0</v>
      </c>
      <c r="AR6" s="55">
        <v>0</v>
      </c>
    </row>
    <row r="7" spans="1:44">
      <c r="A7" s="55" t="s">
        <v>346</v>
      </c>
      <c r="B7" s="55">
        <f>山东光伏数据!B34</f>
        <v>293.31999999999994</v>
      </c>
      <c r="C7" s="55">
        <f>山东光伏数据!C34</f>
        <v>671.31999999999994</v>
      </c>
      <c r="D7" s="55">
        <f>山东光伏数据!D34</f>
        <v>1603.32</v>
      </c>
      <c r="E7" s="55">
        <f>山东光伏数据!E34</f>
        <v>3129.76</v>
      </c>
      <c r="F7" s="55">
        <f>山东光伏数据!F34</f>
        <v>3367.69</v>
      </c>
      <c r="G7" s="55">
        <f>山东光伏数据!G34</f>
        <v>3716.654</v>
      </c>
      <c r="H7" s="55">
        <f>山东光伏数据!H34</f>
        <v>4160.79</v>
      </c>
      <c r="I7" s="55">
        <f>山东光伏数据!I34</f>
        <v>4715.96</v>
      </c>
      <c r="J7" s="55">
        <f>山东光伏数据!J34</f>
        <v>5652.910428571282</v>
      </c>
      <c r="K7" s="55">
        <f>山东光伏数据!K34</f>
        <v>6307.4790238093119</v>
      </c>
      <c r="L7" s="55">
        <f>山东光伏数据!L34</f>
        <v>6962.0476190473419</v>
      </c>
      <c r="M7" s="55">
        <f>山东光伏数据!M34</f>
        <v>7616.6162142856047</v>
      </c>
      <c r="N7" s="55">
        <f>山东光伏数据!N34</f>
        <v>8271.1848095236346</v>
      </c>
      <c r="O7" s="55">
        <f>山东光伏数据!O34</f>
        <v>8925.7534047616646</v>
      </c>
      <c r="P7" s="55">
        <f>山东光伏数据!P34</f>
        <v>9580.3219999999274</v>
      </c>
      <c r="Q7" s="55">
        <f>山东光伏数据!Q34</f>
        <v>10234.890595237957</v>
      </c>
      <c r="R7" s="55">
        <f>山东光伏数据!R34</f>
        <v>10889.459190475987</v>
      </c>
      <c r="S7" s="55">
        <f>山东光伏数据!S34</f>
        <v>11544.027785714017</v>
      </c>
      <c r="T7" s="55">
        <f>山东光伏数据!T34</f>
        <v>12198.59638095228</v>
      </c>
      <c r="U7" s="55">
        <f>山东光伏数据!U34</f>
        <v>12853.16497619031</v>
      </c>
      <c r="V7" s="55">
        <f>山东光伏数据!V34</f>
        <v>13507.73357142834</v>
      </c>
      <c r="W7" s="55">
        <f>山东光伏数据!W34</f>
        <v>14162.30216666637</v>
      </c>
      <c r="X7" s="55">
        <f>山东光伏数据!X34</f>
        <v>14816.870761904633</v>
      </c>
      <c r="Y7" s="55">
        <f>山东光伏数据!Y34</f>
        <v>15471.439357142663</v>
      </c>
      <c r="Z7" s="55">
        <f>山东光伏数据!Z34</f>
        <v>16126.007952380693</v>
      </c>
      <c r="AA7" s="55">
        <f>山东光伏数据!AA34</f>
        <v>16780.576547618955</v>
      </c>
      <c r="AB7" s="55">
        <f>山东光伏数据!AB34</f>
        <v>17435.145142856985</v>
      </c>
      <c r="AC7" s="55">
        <f>山东光伏数据!AC34</f>
        <v>18089.713738095015</v>
      </c>
      <c r="AD7" s="55">
        <f>山东光伏数据!AD34</f>
        <v>18744.282333333045</v>
      </c>
      <c r="AE7" s="55">
        <f>山东光伏数据!AE34</f>
        <v>19398.850928571308</v>
      </c>
      <c r="AF7" s="55">
        <f>山东光伏数据!AF34</f>
        <v>20053.419523809338</v>
      </c>
      <c r="AG7" s="55">
        <f>山东光伏数据!AG34</f>
        <v>20707.988119047368</v>
      </c>
      <c r="AH7" s="55">
        <f>山东光伏数据!AH34</f>
        <v>21362.556714285631</v>
      </c>
      <c r="AI7" s="55">
        <f>山东光伏数据!AI34</f>
        <v>22017.125309523661</v>
      </c>
      <c r="AJ7" s="55">
        <f>山东光伏数据!AJ34</f>
        <v>22671.693904761691</v>
      </c>
      <c r="AK7" s="55">
        <f>山东光伏数据!AK34</f>
        <v>23326.262499999721</v>
      </c>
      <c r="AL7" s="55">
        <f>山东光伏数据!AL34</f>
        <v>23980.831095237983</v>
      </c>
      <c r="AM7" s="55">
        <f>山东光伏数据!AM34</f>
        <v>23937.954961655232</v>
      </c>
      <c r="AN7" s="55">
        <f>山东光伏数据!AN34</f>
        <v>23829.883901552719</v>
      </c>
      <c r="AO7" s="55">
        <f>山东光伏数据!AO34</f>
        <v>23720.314892476716</v>
      </c>
      <c r="AP7" s="55">
        <f>山东光伏数据!AP34</f>
        <v>23610.085384986029</v>
      </c>
      <c r="AQ7" s="55">
        <f>山东光伏数据!AQ34</f>
        <v>23500.048443249027</v>
      </c>
      <c r="AR7" s="55">
        <f>山东光伏数据!AR34</f>
        <v>23391.066588371148</v>
      </c>
    </row>
    <row r="8" spans="1:44">
      <c r="A8" s="55" t="s">
        <v>345</v>
      </c>
      <c r="B8" s="55">
        <v>0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  <c r="AG8" s="55">
        <v>0</v>
      </c>
      <c r="AH8" s="55">
        <v>0</v>
      </c>
      <c r="AI8" s="55">
        <v>0</v>
      </c>
      <c r="AJ8" s="55">
        <v>0</v>
      </c>
      <c r="AK8" s="55">
        <v>0</v>
      </c>
      <c r="AL8" s="55">
        <v>0</v>
      </c>
      <c r="AM8" s="55">
        <v>0</v>
      </c>
      <c r="AN8" s="55">
        <v>0</v>
      </c>
      <c r="AO8" s="55">
        <v>0</v>
      </c>
      <c r="AP8" s="55">
        <v>0</v>
      </c>
      <c r="AQ8" s="55">
        <v>0</v>
      </c>
      <c r="AR8" s="55">
        <v>0</v>
      </c>
    </row>
    <row r="9" spans="1:44">
      <c r="A9" s="55" t="s">
        <v>344</v>
      </c>
      <c r="B9" s="55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</row>
    <row r="10" spans="1:44">
      <c r="A10" s="55" t="s">
        <v>343</v>
      </c>
      <c r="B10" s="55">
        <v>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</row>
    <row r="11" spans="1:44">
      <c r="A11" s="55" t="s">
        <v>342</v>
      </c>
      <c r="B11" s="55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</row>
    <row r="12" spans="1:44">
      <c r="A12" s="55" t="s">
        <v>341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v>0</v>
      </c>
      <c r="AK12" s="55">
        <v>0</v>
      </c>
      <c r="AL12" s="55">
        <v>0</v>
      </c>
      <c r="AM12" s="55">
        <v>0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</row>
    <row r="13" spans="1:44">
      <c r="A13" s="55" t="s">
        <v>340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  <c r="AL13" s="55">
        <v>0</v>
      </c>
      <c r="AM13" s="55">
        <v>0</v>
      </c>
      <c r="AN13" s="55">
        <v>0</v>
      </c>
      <c r="AO13" s="55">
        <v>0</v>
      </c>
      <c r="AP13" s="55">
        <v>0</v>
      </c>
      <c r="AQ13" s="55">
        <v>0</v>
      </c>
      <c r="AR13" s="55">
        <v>0</v>
      </c>
    </row>
    <row r="14" spans="1:44">
      <c r="A14" s="55" t="s">
        <v>339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55">
        <v>0</v>
      </c>
      <c r="AK14" s="55">
        <v>0</v>
      </c>
      <c r="AL14" s="55">
        <v>0</v>
      </c>
      <c r="AM14" s="55">
        <v>0</v>
      </c>
      <c r="AN14" s="55">
        <v>0</v>
      </c>
      <c r="AO14" s="55">
        <v>0</v>
      </c>
      <c r="AP14" s="55">
        <v>0</v>
      </c>
      <c r="AQ14" s="55">
        <v>0</v>
      </c>
      <c r="AR14" s="55">
        <v>0</v>
      </c>
    </row>
    <row r="15" spans="1:44">
      <c r="A15" s="55" t="s">
        <v>338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0</v>
      </c>
      <c r="AH15" s="55">
        <v>0</v>
      </c>
      <c r="AI15" s="55">
        <v>0</v>
      </c>
      <c r="AJ15" s="55">
        <v>0</v>
      </c>
      <c r="AK15" s="55">
        <v>0</v>
      </c>
      <c r="AL15" s="55">
        <v>0</v>
      </c>
      <c r="AM15" s="55">
        <v>0</v>
      </c>
      <c r="AN15" s="55">
        <v>0</v>
      </c>
      <c r="AO15" s="55">
        <v>0</v>
      </c>
      <c r="AP15" s="55">
        <v>0</v>
      </c>
      <c r="AQ15" s="55">
        <v>0</v>
      </c>
      <c r="AR15" s="55">
        <v>0</v>
      </c>
    </row>
    <row r="16" spans="1:44">
      <c r="A16" s="55" t="s">
        <v>337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55">
        <v>0</v>
      </c>
      <c r="AK16" s="55">
        <v>0</v>
      </c>
      <c r="AL16" s="55">
        <v>0</v>
      </c>
      <c r="AM16" s="55">
        <v>0</v>
      </c>
      <c r="AN16" s="55">
        <v>0</v>
      </c>
      <c r="AO16" s="55">
        <v>0</v>
      </c>
      <c r="AP16" s="55">
        <v>0</v>
      </c>
      <c r="AQ16" s="55">
        <v>0</v>
      </c>
      <c r="AR16" s="55">
        <v>0</v>
      </c>
    </row>
    <row r="17" spans="1:44">
      <c r="A17" s="55" t="s">
        <v>336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55">
        <v>0</v>
      </c>
      <c r="AK17" s="55">
        <v>0</v>
      </c>
      <c r="AL17" s="55">
        <v>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A434-071F-4C81-B860-84B3D973AD8F}">
  <sheetPr>
    <tabColor theme="3"/>
  </sheetPr>
  <dimension ref="A1:AR17"/>
  <sheetViews>
    <sheetView topLeftCell="M1" workbookViewId="0">
      <selection activeCell="B7" sqref="B7:AR7"/>
    </sheetView>
  </sheetViews>
  <sheetFormatPr defaultRowHeight="14.25"/>
  <cols>
    <col min="1" max="1" width="23.375" style="55" customWidth="1"/>
    <col min="2" max="44" width="7" style="55" customWidth="1"/>
    <col min="45" max="16384" width="9" style="55"/>
  </cols>
  <sheetData>
    <row r="1" spans="1:44">
      <c r="A1" s="55" t="s">
        <v>355</v>
      </c>
      <c r="B1" s="55">
        <v>2018</v>
      </c>
      <c r="C1" s="55">
        <v>2019</v>
      </c>
      <c r="D1" s="55">
        <v>2020</v>
      </c>
      <c r="E1" s="55">
        <v>2021</v>
      </c>
      <c r="F1" s="55">
        <v>2022</v>
      </c>
      <c r="G1" s="55">
        <v>2023</v>
      </c>
      <c r="H1" s="55">
        <v>2024</v>
      </c>
      <c r="I1" s="55">
        <v>2025</v>
      </c>
      <c r="J1" s="55">
        <v>2026</v>
      </c>
      <c r="K1" s="55">
        <v>2027</v>
      </c>
      <c r="L1" s="55">
        <v>2028</v>
      </c>
      <c r="M1" s="55">
        <v>2029</v>
      </c>
      <c r="N1" s="55">
        <v>2030</v>
      </c>
      <c r="O1" s="55">
        <v>2031</v>
      </c>
      <c r="P1" s="55">
        <v>2032</v>
      </c>
      <c r="Q1" s="55">
        <v>2033</v>
      </c>
      <c r="R1" s="55">
        <v>2034</v>
      </c>
      <c r="S1" s="55">
        <v>2035</v>
      </c>
      <c r="T1" s="55">
        <v>2036</v>
      </c>
      <c r="U1" s="55">
        <v>2037</v>
      </c>
      <c r="V1" s="55">
        <v>2038</v>
      </c>
      <c r="W1" s="55">
        <v>2039</v>
      </c>
      <c r="X1" s="55">
        <v>2040</v>
      </c>
      <c r="Y1" s="55">
        <v>2041</v>
      </c>
      <c r="Z1" s="55">
        <v>2042</v>
      </c>
      <c r="AA1" s="55">
        <v>2043</v>
      </c>
      <c r="AB1" s="55">
        <v>2044</v>
      </c>
      <c r="AC1" s="55">
        <v>2045</v>
      </c>
      <c r="AD1" s="55">
        <v>2046</v>
      </c>
      <c r="AE1" s="55">
        <v>2047</v>
      </c>
      <c r="AF1" s="55">
        <v>2048</v>
      </c>
      <c r="AG1" s="55">
        <v>2049</v>
      </c>
      <c r="AH1" s="55">
        <v>2050</v>
      </c>
      <c r="AI1" s="55">
        <v>2051</v>
      </c>
      <c r="AJ1" s="55">
        <v>2052</v>
      </c>
      <c r="AK1" s="55">
        <v>2053</v>
      </c>
      <c r="AL1" s="55">
        <v>2054</v>
      </c>
      <c r="AM1" s="55">
        <v>2055</v>
      </c>
      <c r="AN1" s="55">
        <v>2056</v>
      </c>
      <c r="AO1" s="55">
        <v>2057</v>
      </c>
      <c r="AP1" s="55">
        <v>2058</v>
      </c>
      <c r="AQ1" s="55">
        <v>2059</v>
      </c>
      <c r="AR1" s="55">
        <v>2060</v>
      </c>
    </row>
    <row r="2" spans="1:44">
      <c r="A2" s="55" t="s">
        <v>351</v>
      </c>
      <c r="B2" s="55">
        <v>0</v>
      </c>
      <c r="C2" s="55">
        <v>0</v>
      </c>
      <c r="D2" s="55">
        <v>0</v>
      </c>
      <c r="E2" s="55">
        <v>0</v>
      </c>
      <c r="F2" s="55">
        <v>0</v>
      </c>
      <c r="G2" s="55">
        <v>0</v>
      </c>
      <c r="H2" s="55">
        <v>0</v>
      </c>
      <c r="I2" s="55">
        <v>0</v>
      </c>
      <c r="J2" s="55">
        <v>0</v>
      </c>
      <c r="K2" s="55">
        <v>0</v>
      </c>
      <c r="L2" s="55">
        <v>0</v>
      </c>
      <c r="M2" s="55">
        <v>0</v>
      </c>
      <c r="N2" s="55">
        <v>0</v>
      </c>
      <c r="O2" s="55">
        <v>0</v>
      </c>
      <c r="P2" s="55">
        <v>0</v>
      </c>
      <c r="Q2" s="55">
        <v>0</v>
      </c>
      <c r="R2" s="55">
        <v>0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  <c r="X2" s="55">
        <v>0</v>
      </c>
      <c r="Y2" s="55">
        <v>0</v>
      </c>
      <c r="Z2" s="55">
        <v>0</v>
      </c>
      <c r="AA2" s="55">
        <v>0</v>
      </c>
      <c r="AB2" s="55">
        <v>0</v>
      </c>
      <c r="AC2" s="55">
        <v>0</v>
      </c>
      <c r="AD2" s="55">
        <v>0</v>
      </c>
      <c r="AE2" s="55">
        <v>0</v>
      </c>
      <c r="AF2" s="55">
        <v>0</v>
      </c>
      <c r="AG2" s="55">
        <v>0</v>
      </c>
      <c r="AH2" s="55">
        <v>0</v>
      </c>
      <c r="AI2" s="55">
        <v>0</v>
      </c>
      <c r="AJ2" s="55">
        <v>0</v>
      </c>
      <c r="AK2" s="55">
        <v>0</v>
      </c>
      <c r="AL2" s="55">
        <v>0</v>
      </c>
      <c r="AM2" s="55">
        <v>0</v>
      </c>
      <c r="AN2" s="55">
        <v>0</v>
      </c>
      <c r="AO2" s="55">
        <v>0</v>
      </c>
      <c r="AP2" s="55">
        <v>0</v>
      </c>
      <c r="AQ2" s="55">
        <v>0</v>
      </c>
      <c r="AR2" s="55">
        <v>0</v>
      </c>
    </row>
    <row r="3" spans="1:44">
      <c r="A3" s="55" t="s">
        <v>350</v>
      </c>
      <c r="B3" s="55">
        <v>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5">
        <v>0</v>
      </c>
      <c r="Z3" s="55">
        <v>0</v>
      </c>
      <c r="AA3" s="55">
        <v>0</v>
      </c>
      <c r="AB3" s="55">
        <v>0</v>
      </c>
      <c r="AC3" s="55">
        <v>0</v>
      </c>
      <c r="AD3" s="55">
        <v>0</v>
      </c>
      <c r="AE3" s="55">
        <v>0</v>
      </c>
      <c r="AF3" s="55">
        <v>0</v>
      </c>
      <c r="AG3" s="55">
        <v>0</v>
      </c>
      <c r="AH3" s="55">
        <v>0</v>
      </c>
      <c r="AI3" s="55">
        <v>0</v>
      </c>
      <c r="AJ3" s="55">
        <v>0</v>
      </c>
      <c r="AK3" s="55">
        <v>0</v>
      </c>
      <c r="AL3" s="55">
        <v>0</v>
      </c>
      <c r="AM3" s="55">
        <v>0</v>
      </c>
      <c r="AN3" s="55">
        <v>0</v>
      </c>
      <c r="AO3" s="55">
        <v>0</v>
      </c>
      <c r="AP3" s="55">
        <v>0</v>
      </c>
      <c r="AQ3" s="55">
        <v>0</v>
      </c>
      <c r="AR3" s="55">
        <v>0</v>
      </c>
    </row>
    <row r="4" spans="1:44">
      <c r="A4" s="55" t="s">
        <v>349</v>
      </c>
      <c r="B4" s="55">
        <v>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0</v>
      </c>
      <c r="AH4" s="55">
        <v>0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</row>
    <row r="5" spans="1:44">
      <c r="A5" s="55" t="s">
        <v>348</v>
      </c>
      <c r="B5" s="55">
        <v>0</v>
      </c>
      <c r="C5" s="55">
        <v>0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</row>
    <row r="6" spans="1:44">
      <c r="A6" s="55" t="s">
        <v>347</v>
      </c>
      <c r="B6" s="55">
        <v>0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0</v>
      </c>
      <c r="AH6" s="55">
        <v>0</v>
      </c>
      <c r="AI6" s="55">
        <v>0</v>
      </c>
      <c r="AJ6" s="55">
        <v>0</v>
      </c>
      <c r="AK6" s="55">
        <v>0</v>
      </c>
      <c r="AL6" s="55">
        <v>0</v>
      </c>
      <c r="AM6" s="55">
        <v>0</v>
      </c>
      <c r="AN6" s="55">
        <v>0</v>
      </c>
      <c r="AO6" s="55">
        <v>0</v>
      </c>
      <c r="AP6" s="55">
        <v>0</v>
      </c>
      <c r="AQ6" s="55">
        <v>0</v>
      </c>
      <c r="AR6" s="55">
        <v>0</v>
      </c>
    </row>
    <row r="7" spans="1:44">
      <c r="A7" s="55" t="s">
        <v>346</v>
      </c>
      <c r="B7" s="55">
        <f>山东光伏数据!B35</f>
        <v>1173.2799999999997</v>
      </c>
      <c r="C7" s="55">
        <f>山东光伏数据!C35</f>
        <v>2685.2799999999997</v>
      </c>
      <c r="D7" s="55">
        <f>山东光伏数据!D35</f>
        <v>6413.28</v>
      </c>
      <c r="E7" s="55">
        <f>山东光伏数据!E35</f>
        <v>12519.04</v>
      </c>
      <c r="F7" s="55">
        <f>山东光伏数据!F35</f>
        <v>13470.76</v>
      </c>
      <c r="G7" s="55">
        <f>山东光伏数据!G35</f>
        <v>14866.616</v>
      </c>
      <c r="H7" s="55">
        <f>山东光伏数据!H35</f>
        <v>16643.16</v>
      </c>
      <c r="I7" s="55">
        <f>山东光伏数据!I35</f>
        <v>18863.84</v>
      </c>
      <c r="J7" s="55">
        <f>山东光伏数据!J35</f>
        <v>22611.641714285128</v>
      </c>
      <c r="K7" s="55">
        <f>山东光伏数据!K35</f>
        <v>25229.916095237248</v>
      </c>
      <c r="L7" s="55">
        <f>山东光伏数据!L35</f>
        <v>27848.190476189367</v>
      </c>
      <c r="M7" s="55">
        <f>山东光伏数据!M35</f>
        <v>30466.464857142419</v>
      </c>
      <c r="N7" s="55">
        <f>山东光伏数据!N35</f>
        <v>33084.739238094538</v>
      </c>
      <c r="O7" s="55">
        <f>山东光伏数据!O35</f>
        <v>35703.013619046658</v>
      </c>
      <c r="P7" s="55">
        <f>山东光伏数据!P35</f>
        <v>35586.889837558316</v>
      </c>
      <c r="Q7" s="55">
        <f>山东光伏数据!Q35</f>
        <v>34896.011407492195</v>
      </c>
      <c r="R7" s="55">
        <f>山东光伏数据!R35</f>
        <v>34211.741301778886</v>
      </c>
      <c r="S7" s="55">
        <f>山东光伏数据!S35</f>
        <v>33535.280408833685</v>
      </c>
      <c r="T7" s="55">
        <f>山东光伏数据!T35</f>
        <v>32867.760279904149</v>
      </c>
      <c r="U7" s="55">
        <f>山东光伏数据!U35</f>
        <v>32210.244816849365</v>
      </c>
      <c r="V7" s="55">
        <f>山东光伏数据!V35</f>
        <v>31563.732729824715</v>
      </c>
      <c r="W7" s="55">
        <f>山东光伏数据!W35</f>
        <v>30929.160690925601</v>
      </c>
      <c r="X7" s="55">
        <f>山东光伏数据!X35</f>
        <v>30307.404705551613</v>
      </c>
      <c r="Y7" s="55">
        <f>山东光伏数据!Y35</f>
        <v>29699.281097185736</v>
      </c>
      <c r="Z7" s="55">
        <f>山东光伏数据!Z35</f>
        <v>29105.551838634634</v>
      </c>
      <c r="AA7" s="55">
        <f>山东光伏数据!AA35</f>
        <v>28526.927446198373</v>
      </c>
      <c r="AB7" s="55">
        <f>山东光伏数据!AB35</f>
        <v>27964.065997529753</v>
      </c>
      <c r="AC7" s="55">
        <f>山东光伏数据!AC35</f>
        <v>27417.580151511116</v>
      </c>
      <c r="AD7" s="55">
        <f>山东光伏数据!AD35</f>
        <v>26888.03593006757</v>
      </c>
      <c r="AE7" s="55">
        <f>山东光伏数据!AE35</f>
        <v>26375.962592752385</v>
      </c>
      <c r="AF7" s="55">
        <f>山东光伏数据!AF35</f>
        <v>25881.848374701727</v>
      </c>
      <c r="AG7" s="55">
        <f>山东光伏数据!AG35</f>
        <v>25406.148878856769</v>
      </c>
      <c r="AH7" s="55">
        <f>山东光伏数据!AH35</f>
        <v>24949.288908449809</v>
      </c>
      <c r="AI7" s="55">
        <f>山东光伏数据!AI35</f>
        <v>24511.664795943598</v>
      </c>
      <c r="AJ7" s="55">
        <f>山东光伏数据!AJ35</f>
        <v>24093.652588426889</v>
      </c>
      <c r="AK7" s="55">
        <f>山东光伏数据!AK35</f>
        <v>23695.605123820213</v>
      </c>
      <c r="AL7" s="55">
        <f>山东光伏数据!AL35</f>
        <v>23317.861230906165</v>
      </c>
      <c r="AM7" s="55">
        <f>山东光伏数据!AM35</f>
        <v>22960.749491068691</v>
      </c>
      <c r="AN7" s="55">
        <f>山东光伏数据!AN35</f>
        <v>22624.589912068855</v>
      </c>
      <c r="AO7" s="55">
        <f>山东光伏数据!AO35</f>
        <v>22309.700026187817</v>
      </c>
      <c r="AP7" s="55">
        <f>山东光伏数据!AP35</f>
        <v>22016.397598148673</v>
      </c>
      <c r="AQ7" s="55">
        <f>山东光伏数据!AQ35</f>
        <v>21745.009103454933</v>
      </c>
      <c r="AR7" s="55">
        <f>山东光伏数据!AR35</f>
        <v>21495.869726825542</v>
      </c>
    </row>
    <row r="8" spans="1:44">
      <c r="A8" s="55" t="s">
        <v>345</v>
      </c>
      <c r="B8" s="55">
        <v>0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  <c r="AG8" s="55">
        <v>0</v>
      </c>
      <c r="AH8" s="55">
        <v>0</v>
      </c>
      <c r="AI8" s="55">
        <v>0</v>
      </c>
      <c r="AJ8" s="55">
        <v>0</v>
      </c>
      <c r="AK8" s="55">
        <v>0</v>
      </c>
      <c r="AL8" s="55">
        <v>0</v>
      </c>
      <c r="AM8" s="55">
        <v>0</v>
      </c>
      <c r="AN8" s="55">
        <v>0</v>
      </c>
      <c r="AO8" s="55">
        <v>0</v>
      </c>
      <c r="AP8" s="55">
        <v>0</v>
      </c>
      <c r="AQ8" s="55">
        <v>0</v>
      </c>
      <c r="AR8" s="55">
        <v>0</v>
      </c>
    </row>
    <row r="9" spans="1:44">
      <c r="A9" s="55" t="s">
        <v>344</v>
      </c>
      <c r="B9" s="55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</row>
    <row r="10" spans="1:44">
      <c r="A10" s="55" t="s">
        <v>343</v>
      </c>
      <c r="B10" s="55">
        <v>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</row>
    <row r="11" spans="1:44">
      <c r="A11" s="55" t="s">
        <v>342</v>
      </c>
      <c r="B11" s="55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</row>
    <row r="12" spans="1:44">
      <c r="A12" s="55" t="s">
        <v>341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v>0</v>
      </c>
      <c r="AK12" s="55">
        <v>0</v>
      </c>
      <c r="AL12" s="55">
        <v>0</v>
      </c>
      <c r="AM12" s="55">
        <v>0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</row>
    <row r="13" spans="1:44">
      <c r="A13" s="55" t="s">
        <v>340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  <c r="AL13" s="55">
        <v>0</v>
      </c>
      <c r="AM13" s="55">
        <v>0</v>
      </c>
      <c r="AN13" s="55">
        <v>0</v>
      </c>
      <c r="AO13" s="55">
        <v>0</v>
      </c>
      <c r="AP13" s="55">
        <v>0</v>
      </c>
      <c r="AQ13" s="55">
        <v>0</v>
      </c>
      <c r="AR13" s="55">
        <v>0</v>
      </c>
    </row>
    <row r="14" spans="1:44">
      <c r="A14" s="55" t="s">
        <v>339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55">
        <v>0</v>
      </c>
      <c r="AK14" s="55">
        <v>0</v>
      </c>
      <c r="AL14" s="55">
        <v>0</v>
      </c>
      <c r="AM14" s="55">
        <v>0</v>
      </c>
      <c r="AN14" s="55">
        <v>0</v>
      </c>
      <c r="AO14" s="55">
        <v>0</v>
      </c>
      <c r="AP14" s="55">
        <v>0</v>
      </c>
      <c r="AQ14" s="55">
        <v>0</v>
      </c>
      <c r="AR14" s="55">
        <v>0</v>
      </c>
    </row>
    <row r="15" spans="1:44">
      <c r="A15" s="55" t="s">
        <v>338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0</v>
      </c>
      <c r="AH15" s="55">
        <v>0</v>
      </c>
      <c r="AI15" s="55">
        <v>0</v>
      </c>
      <c r="AJ15" s="55">
        <v>0</v>
      </c>
      <c r="AK15" s="55">
        <v>0</v>
      </c>
      <c r="AL15" s="55">
        <v>0</v>
      </c>
      <c r="AM15" s="55">
        <v>0</v>
      </c>
      <c r="AN15" s="55">
        <v>0</v>
      </c>
      <c r="AO15" s="55">
        <v>0</v>
      </c>
      <c r="AP15" s="55">
        <v>0</v>
      </c>
      <c r="AQ15" s="55">
        <v>0</v>
      </c>
      <c r="AR15" s="55">
        <v>0</v>
      </c>
    </row>
    <row r="16" spans="1:44">
      <c r="A16" s="55" t="s">
        <v>337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55">
        <v>0</v>
      </c>
      <c r="AK16" s="55">
        <v>0</v>
      </c>
      <c r="AL16" s="55">
        <v>0</v>
      </c>
      <c r="AM16" s="55">
        <v>0</v>
      </c>
      <c r="AN16" s="55">
        <v>0</v>
      </c>
      <c r="AO16" s="55">
        <v>0</v>
      </c>
      <c r="AP16" s="55">
        <v>0</v>
      </c>
      <c r="AQ16" s="55">
        <v>0</v>
      </c>
      <c r="AR16" s="55">
        <v>0</v>
      </c>
    </row>
    <row r="17" spans="1:44">
      <c r="A17" s="55" t="s">
        <v>336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55">
        <v>0</v>
      </c>
      <c r="AK17" s="55">
        <v>0</v>
      </c>
      <c r="AL17" s="55">
        <v>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43FB-146E-4B2C-A476-B4B6A0C84611}">
  <sheetPr>
    <tabColor theme="3"/>
  </sheetPr>
  <dimension ref="A1:AR17"/>
  <sheetViews>
    <sheetView workbookViewId="0">
      <selection activeCell="B7" sqref="B7:AR7"/>
    </sheetView>
  </sheetViews>
  <sheetFormatPr defaultRowHeight="14.25"/>
  <cols>
    <col min="1" max="1" width="23.375" style="55" customWidth="1"/>
    <col min="2" max="44" width="7" style="55" customWidth="1"/>
    <col min="45" max="16384" width="9" style="55"/>
  </cols>
  <sheetData>
    <row r="1" spans="1:44">
      <c r="A1" s="55" t="s">
        <v>355</v>
      </c>
      <c r="B1" s="55">
        <v>2018</v>
      </c>
      <c r="C1" s="55">
        <v>2019</v>
      </c>
      <c r="D1" s="55">
        <v>2020</v>
      </c>
      <c r="E1" s="55">
        <v>2021</v>
      </c>
      <c r="F1" s="55">
        <v>2022</v>
      </c>
      <c r="G1" s="55">
        <v>2023</v>
      </c>
      <c r="H1" s="55">
        <v>2024</v>
      </c>
      <c r="I1" s="55">
        <v>2025</v>
      </c>
      <c r="J1" s="55">
        <v>2026</v>
      </c>
      <c r="K1" s="55">
        <v>2027</v>
      </c>
      <c r="L1" s="55">
        <v>2028</v>
      </c>
      <c r="M1" s="55">
        <v>2029</v>
      </c>
      <c r="N1" s="55">
        <v>2030</v>
      </c>
      <c r="O1" s="55">
        <v>2031</v>
      </c>
      <c r="P1" s="55">
        <v>2032</v>
      </c>
      <c r="Q1" s="55">
        <v>2033</v>
      </c>
      <c r="R1" s="55">
        <v>2034</v>
      </c>
      <c r="S1" s="55">
        <v>2035</v>
      </c>
      <c r="T1" s="55">
        <v>2036</v>
      </c>
      <c r="U1" s="55">
        <v>2037</v>
      </c>
      <c r="V1" s="55">
        <v>2038</v>
      </c>
      <c r="W1" s="55">
        <v>2039</v>
      </c>
      <c r="X1" s="55">
        <v>2040</v>
      </c>
      <c r="Y1" s="55">
        <v>2041</v>
      </c>
      <c r="Z1" s="55">
        <v>2042</v>
      </c>
      <c r="AA1" s="55">
        <v>2043</v>
      </c>
      <c r="AB1" s="55">
        <v>2044</v>
      </c>
      <c r="AC1" s="55">
        <v>2045</v>
      </c>
      <c r="AD1" s="55">
        <v>2046</v>
      </c>
      <c r="AE1" s="55">
        <v>2047</v>
      </c>
      <c r="AF1" s="55">
        <v>2048</v>
      </c>
      <c r="AG1" s="55">
        <v>2049</v>
      </c>
      <c r="AH1" s="55">
        <v>2050</v>
      </c>
      <c r="AI1" s="55">
        <v>2051</v>
      </c>
      <c r="AJ1" s="55">
        <v>2052</v>
      </c>
      <c r="AK1" s="55">
        <v>2053</v>
      </c>
      <c r="AL1" s="55">
        <v>2054</v>
      </c>
      <c r="AM1" s="55">
        <v>2055</v>
      </c>
      <c r="AN1" s="55">
        <v>2056</v>
      </c>
      <c r="AO1" s="55">
        <v>2057</v>
      </c>
      <c r="AP1" s="55">
        <v>2058</v>
      </c>
      <c r="AQ1" s="55">
        <v>2059</v>
      </c>
      <c r="AR1" s="55">
        <v>2060</v>
      </c>
    </row>
    <row r="2" spans="1:44">
      <c r="A2" s="55" t="s">
        <v>351</v>
      </c>
      <c r="B2" s="55">
        <v>0</v>
      </c>
      <c r="C2" s="55">
        <v>0</v>
      </c>
      <c r="D2" s="55">
        <v>0</v>
      </c>
      <c r="E2" s="55">
        <v>0</v>
      </c>
      <c r="F2" s="55">
        <v>0</v>
      </c>
      <c r="G2" s="55">
        <v>0</v>
      </c>
      <c r="H2" s="55">
        <v>0</v>
      </c>
      <c r="I2" s="55">
        <v>0</v>
      </c>
      <c r="J2" s="55">
        <v>0</v>
      </c>
      <c r="K2" s="55">
        <v>0</v>
      </c>
      <c r="L2" s="55">
        <v>0</v>
      </c>
      <c r="M2" s="55">
        <v>0</v>
      </c>
      <c r="N2" s="55">
        <v>0</v>
      </c>
      <c r="O2" s="55">
        <v>0</v>
      </c>
      <c r="P2" s="55">
        <v>0</v>
      </c>
      <c r="Q2" s="55">
        <v>0</v>
      </c>
      <c r="R2" s="55">
        <v>0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  <c r="X2" s="55">
        <v>0</v>
      </c>
      <c r="Y2" s="55">
        <v>0</v>
      </c>
      <c r="Z2" s="55">
        <v>0</v>
      </c>
      <c r="AA2" s="55">
        <v>0</v>
      </c>
      <c r="AB2" s="55">
        <v>0</v>
      </c>
      <c r="AC2" s="55">
        <v>0</v>
      </c>
      <c r="AD2" s="55">
        <v>0</v>
      </c>
      <c r="AE2" s="55">
        <v>0</v>
      </c>
      <c r="AF2" s="55">
        <v>0</v>
      </c>
      <c r="AG2" s="55">
        <v>0</v>
      </c>
      <c r="AH2" s="55">
        <v>0</v>
      </c>
      <c r="AI2" s="55">
        <v>0</v>
      </c>
      <c r="AJ2" s="55">
        <v>0</v>
      </c>
      <c r="AK2" s="55">
        <v>0</v>
      </c>
      <c r="AL2" s="55">
        <v>0</v>
      </c>
      <c r="AM2" s="55">
        <v>0</v>
      </c>
      <c r="AN2" s="55">
        <v>0</v>
      </c>
      <c r="AO2" s="55">
        <v>0</v>
      </c>
      <c r="AP2" s="55">
        <v>0</v>
      </c>
      <c r="AQ2" s="55">
        <v>0</v>
      </c>
      <c r="AR2" s="55">
        <v>0</v>
      </c>
    </row>
    <row r="3" spans="1:44">
      <c r="A3" s="55" t="s">
        <v>350</v>
      </c>
      <c r="B3" s="55">
        <v>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5">
        <v>0</v>
      </c>
      <c r="Z3" s="55">
        <v>0</v>
      </c>
      <c r="AA3" s="55">
        <v>0</v>
      </c>
      <c r="AB3" s="55">
        <v>0</v>
      </c>
      <c r="AC3" s="55">
        <v>0</v>
      </c>
      <c r="AD3" s="55">
        <v>0</v>
      </c>
      <c r="AE3" s="55">
        <v>0</v>
      </c>
      <c r="AF3" s="55">
        <v>0</v>
      </c>
      <c r="AG3" s="55">
        <v>0</v>
      </c>
      <c r="AH3" s="55">
        <v>0</v>
      </c>
      <c r="AI3" s="55">
        <v>0</v>
      </c>
      <c r="AJ3" s="55">
        <v>0</v>
      </c>
      <c r="AK3" s="55">
        <v>0</v>
      </c>
      <c r="AL3" s="55">
        <v>0</v>
      </c>
      <c r="AM3" s="55">
        <v>0</v>
      </c>
      <c r="AN3" s="55">
        <v>0</v>
      </c>
      <c r="AO3" s="55">
        <v>0</v>
      </c>
      <c r="AP3" s="55">
        <v>0</v>
      </c>
      <c r="AQ3" s="55">
        <v>0</v>
      </c>
      <c r="AR3" s="55">
        <v>0</v>
      </c>
    </row>
    <row r="4" spans="1:44">
      <c r="A4" s="55" t="s">
        <v>349</v>
      </c>
      <c r="B4" s="55">
        <v>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0</v>
      </c>
      <c r="AH4" s="55">
        <v>0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</row>
    <row r="5" spans="1:44">
      <c r="A5" s="55" t="s">
        <v>348</v>
      </c>
      <c r="B5" s="55">
        <v>0</v>
      </c>
      <c r="C5" s="55">
        <v>0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</row>
    <row r="6" spans="1:44">
      <c r="A6" s="55" t="s">
        <v>347</v>
      </c>
      <c r="B6" s="55">
        <v>0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0</v>
      </c>
      <c r="AH6" s="55">
        <v>0</v>
      </c>
      <c r="AI6" s="55">
        <v>0</v>
      </c>
      <c r="AJ6" s="55">
        <v>0</v>
      </c>
      <c r="AK6" s="55">
        <v>0</v>
      </c>
      <c r="AL6" s="55">
        <v>0</v>
      </c>
      <c r="AM6" s="55">
        <v>0</v>
      </c>
      <c r="AN6" s="55">
        <v>0</v>
      </c>
      <c r="AO6" s="55">
        <v>0</v>
      </c>
      <c r="AP6" s="55">
        <v>0</v>
      </c>
      <c r="AQ6" s="55">
        <v>0</v>
      </c>
      <c r="AR6" s="55">
        <v>0</v>
      </c>
    </row>
    <row r="7" spans="1:44">
      <c r="A7" s="55" t="s">
        <v>346</v>
      </c>
      <c r="B7" s="55">
        <f>山东光伏数据!B32</f>
        <v>5663.4000000000005</v>
      </c>
      <c r="C7" s="55">
        <f>山东光伏数据!C32</f>
        <v>6063.4000000000005</v>
      </c>
      <c r="D7" s="55">
        <f>山东光伏数据!D32</f>
        <v>6653.4000000000005</v>
      </c>
      <c r="E7" s="55">
        <f>山东光伏数据!E32</f>
        <v>7691.1999999999989</v>
      </c>
      <c r="F7" s="55">
        <f>山东光伏数据!F32</f>
        <v>8201.0499999999993</v>
      </c>
      <c r="G7" s="55">
        <f>山东光伏数据!G32</f>
        <v>8948.83</v>
      </c>
      <c r="H7" s="55">
        <f>山东光伏数据!H32</f>
        <v>9900.5499999999993</v>
      </c>
      <c r="I7" s="55">
        <f>山东光伏数据!I32</f>
        <v>11090.199999999999</v>
      </c>
      <c r="J7" s="55">
        <f>山东光伏数据!J32</f>
        <v>11485.583571428666</v>
      </c>
      <c r="K7" s="55">
        <f>山东光伏数据!K32</f>
        <v>12254.267976190429</v>
      </c>
      <c r="L7" s="55">
        <f>山东光伏数据!L32</f>
        <v>13022.952380952425</v>
      </c>
      <c r="M7" s="55">
        <f>山东光伏数据!M32</f>
        <v>13791.636785714189</v>
      </c>
      <c r="N7" s="55">
        <f>山东光伏数据!N32</f>
        <v>14560.321190476185</v>
      </c>
      <c r="O7" s="55">
        <f>山东光伏数据!O32</f>
        <v>15329.005595238181</v>
      </c>
      <c r="P7" s="55">
        <f>山东光伏数据!P32</f>
        <v>16097.689999999944</v>
      </c>
      <c r="Q7" s="55">
        <f>山东光伏数据!Q32</f>
        <v>16866.37440476194</v>
      </c>
      <c r="R7" s="55">
        <f>山东光伏数据!R32</f>
        <v>17635.058809523936</v>
      </c>
      <c r="S7" s="55">
        <f>山东光伏数据!S32</f>
        <v>18403.7432142857</v>
      </c>
      <c r="T7" s="55">
        <f>山东光伏数据!T32</f>
        <v>19172.427619047696</v>
      </c>
      <c r="U7" s="55">
        <f>山东光伏数据!U32</f>
        <v>19941.112023809459</v>
      </c>
      <c r="V7" s="55">
        <f>山东光伏数据!V32</f>
        <v>20709.796428571455</v>
      </c>
      <c r="W7" s="55">
        <f>山东光伏数据!W32</f>
        <v>21478.480833333451</v>
      </c>
      <c r="X7" s="55">
        <f>山东光伏数据!X32</f>
        <v>22247.165238095215</v>
      </c>
      <c r="Y7" s="55">
        <f>山东光伏数据!Y32</f>
        <v>23015.849642857211</v>
      </c>
      <c r="Z7" s="55">
        <f>山东光伏数据!Z32</f>
        <v>23784.534047618974</v>
      </c>
      <c r="AA7" s="55">
        <f>山东光伏数据!AA32</f>
        <v>24553.21845238097</v>
      </c>
      <c r="AB7" s="55">
        <f>山东光伏数据!AB32</f>
        <v>25321.902857142966</v>
      </c>
      <c r="AC7" s="55">
        <f>山东光伏数据!AC32</f>
        <v>26090.58726190473</v>
      </c>
      <c r="AD7" s="55">
        <f>山东光伏数据!AD32</f>
        <v>26859.271666666726</v>
      </c>
      <c r="AE7" s="55">
        <f>山东光伏数据!AE32</f>
        <v>27627.956071428489</v>
      </c>
      <c r="AF7" s="55">
        <f>山东光伏数据!AF32</f>
        <v>28396.640476190485</v>
      </c>
      <c r="AG7" s="55">
        <f>山东光伏数据!AG32</f>
        <v>29165.324880952481</v>
      </c>
      <c r="AH7" s="55">
        <f>山东光伏数据!AH32</f>
        <v>29934.009285714244</v>
      </c>
      <c r="AI7" s="55">
        <f>山东光伏数据!AI32</f>
        <v>30702.693690476241</v>
      </c>
      <c r="AJ7" s="55">
        <f>山东光伏数据!AJ32</f>
        <v>31471.378095238004</v>
      </c>
      <c r="AK7" s="55">
        <f>山东光伏数据!AK32</f>
        <v>32240.0625</v>
      </c>
      <c r="AL7" s="55">
        <f>山东光伏数据!AL32</f>
        <v>33008.746904761996</v>
      </c>
      <c r="AM7" s="55">
        <f>山东光伏数据!AM32</f>
        <v>33777.431309523759</v>
      </c>
      <c r="AN7" s="55">
        <f>山东光伏数据!AN32</f>
        <v>34546.115714285756</v>
      </c>
      <c r="AO7" s="55">
        <f>山东光伏数据!AO32</f>
        <v>35314.800119047519</v>
      </c>
      <c r="AP7" s="55">
        <f>山东光伏数据!AP32</f>
        <v>36083.484523809515</v>
      </c>
      <c r="AQ7" s="55">
        <f>山东光伏数据!AQ32</f>
        <v>36852.168928571511</v>
      </c>
      <c r="AR7" s="55">
        <f>山东光伏数据!AR32</f>
        <v>37620.853333333274</v>
      </c>
    </row>
    <row r="8" spans="1:44">
      <c r="A8" s="55" t="s">
        <v>345</v>
      </c>
      <c r="B8" s="55">
        <v>0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0</v>
      </c>
      <c r="AF8" s="55">
        <v>0</v>
      </c>
      <c r="AG8" s="55">
        <v>0</v>
      </c>
      <c r="AH8" s="55">
        <v>0</v>
      </c>
      <c r="AI8" s="55">
        <v>0</v>
      </c>
      <c r="AJ8" s="55">
        <v>0</v>
      </c>
      <c r="AK8" s="55">
        <v>0</v>
      </c>
      <c r="AL8" s="55">
        <v>0</v>
      </c>
      <c r="AM8" s="55">
        <v>0</v>
      </c>
      <c r="AN8" s="55">
        <v>0</v>
      </c>
      <c r="AO8" s="55">
        <v>0</v>
      </c>
      <c r="AP8" s="55">
        <v>0</v>
      </c>
      <c r="AQ8" s="55">
        <v>0</v>
      </c>
      <c r="AR8" s="55">
        <v>0</v>
      </c>
    </row>
    <row r="9" spans="1:44">
      <c r="A9" s="55" t="s">
        <v>344</v>
      </c>
      <c r="B9" s="55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</row>
    <row r="10" spans="1:44">
      <c r="A10" s="55" t="s">
        <v>343</v>
      </c>
      <c r="B10" s="55">
        <v>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</row>
    <row r="11" spans="1:44">
      <c r="A11" s="55" t="s">
        <v>342</v>
      </c>
      <c r="B11" s="55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</row>
    <row r="12" spans="1:44">
      <c r="A12" s="55" t="s">
        <v>341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v>0</v>
      </c>
      <c r="AK12" s="55">
        <v>0</v>
      </c>
      <c r="AL12" s="55">
        <v>0</v>
      </c>
      <c r="AM12" s="55">
        <v>0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</row>
    <row r="13" spans="1:44">
      <c r="A13" s="55" t="s">
        <v>340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  <c r="AL13" s="55">
        <v>0</v>
      </c>
      <c r="AM13" s="55">
        <v>0</v>
      </c>
      <c r="AN13" s="55">
        <v>0</v>
      </c>
      <c r="AO13" s="55">
        <v>0</v>
      </c>
      <c r="AP13" s="55">
        <v>0</v>
      </c>
      <c r="AQ13" s="55">
        <v>0</v>
      </c>
      <c r="AR13" s="55">
        <v>0</v>
      </c>
    </row>
    <row r="14" spans="1:44">
      <c r="A14" s="55" t="s">
        <v>339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55">
        <v>0</v>
      </c>
      <c r="AK14" s="55">
        <v>0</v>
      </c>
      <c r="AL14" s="55">
        <v>0</v>
      </c>
      <c r="AM14" s="55">
        <v>0</v>
      </c>
      <c r="AN14" s="55">
        <v>0</v>
      </c>
      <c r="AO14" s="55">
        <v>0</v>
      </c>
      <c r="AP14" s="55">
        <v>0</v>
      </c>
      <c r="AQ14" s="55">
        <v>0</v>
      </c>
      <c r="AR14" s="55">
        <v>0</v>
      </c>
    </row>
    <row r="15" spans="1:44">
      <c r="A15" s="55" t="s">
        <v>338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0</v>
      </c>
      <c r="AH15" s="55">
        <v>0</v>
      </c>
      <c r="AI15" s="55">
        <v>0</v>
      </c>
      <c r="AJ15" s="55">
        <v>0</v>
      </c>
      <c r="AK15" s="55">
        <v>0</v>
      </c>
      <c r="AL15" s="55">
        <v>0</v>
      </c>
      <c r="AM15" s="55">
        <v>0</v>
      </c>
      <c r="AN15" s="55">
        <v>0</v>
      </c>
      <c r="AO15" s="55">
        <v>0</v>
      </c>
      <c r="AP15" s="55">
        <v>0</v>
      </c>
      <c r="AQ15" s="55">
        <v>0</v>
      </c>
      <c r="AR15" s="55">
        <v>0</v>
      </c>
    </row>
    <row r="16" spans="1:44">
      <c r="A16" s="55" t="s">
        <v>337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55">
        <v>0</v>
      </c>
      <c r="AK16" s="55">
        <v>0</v>
      </c>
      <c r="AL16" s="55">
        <v>0</v>
      </c>
      <c r="AM16" s="55">
        <v>0</v>
      </c>
      <c r="AN16" s="55">
        <v>0</v>
      </c>
      <c r="AO16" s="55">
        <v>0</v>
      </c>
      <c r="AP16" s="55">
        <v>0</v>
      </c>
      <c r="AQ16" s="55">
        <v>0</v>
      </c>
      <c r="AR16" s="55">
        <v>0</v>
      </c>
    </row>
    <row r="17" spans="1:44">
      <c r="A17" s="55" t="s">
        <v>336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55">
        <v>0</v>
      </c>
      <c r="AK17" s="55">
        <v>0</v>
      </c>
      <c r="AL17" s="55">
        <v>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能源局光伏并网数据</vt:lpstr>
      <vt:lpstr>户用光伏安装数据</vt:lpstr>
      <vt:lpstr>户用光伏上限模拟</vt:lpstr>
      <vt:lpstr>世行山东城市化率</vt:lpstr>
      <vt:lpstr>整县推进试点城市</vt:lpstr>
      <vt:lpstr>山东光伏数据</vt:lpstr>
      <vt:lpstr>SYDEC</vt:lpstr>
      <vt:lpstr>BDEQ-BEOfDS-urban-residential</vt:lpstr>
      <vt:lpstr>BDEQ-BEOfDS-rural-residential</vt:lpstr>
      <vt:lpstr>BDEQ-BEOfDS-commercial</vt:lpstr>
      <vt:lpstr>BDEQ-BDESC-urban-residential</vt:lpstr>
      <vt:lpstr>BDEQ-BDESC-rural-residential</vt:lpstr>
      <vt:lpstr>BDEQ-BDESC-commercial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2022-04-19T10:31:17Z</dcterms:created>
  <dcterms:modified xsi:type="dcterms:W3CDTF">2022-04-22T03:33:19Z</dcterms:modified>
</cp:coreProperties>
</file>